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68" documentId="13_ncr:1_{6A2CC3E2-FAFB-4D8F-B284-5E8FB5045DFE}" xr6:coauthVersionLast="47" xr6:coauthVersionMax="47" xr10:uidLastSave="{A5C43550-0FB3-414C-A200-3A02876D9B0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<sst xmlns="http://schemas.openxmlformats.org/spreadsheetml/2006/main" count="7374" uniqueCount="3243">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</sst>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Tcendo o Futuro"/>
        <filter val="Tcendo o Futuro - E.C. 04 do Cruzeiro"/>
        <filter val="Tcendo o Futuro - E.C. 06 do Cruzeiro"/>
        <filter val="Tcendo o Futuro - E.C. 114 Sul e E.C. 106 Norte"/>
        <filter val="Tcendo o Futuro - E.C. 708 Norte e E.C. 113 Norte"/>
        <filter val="Tcendo o Futuro - Edição Especial Filhos"/>
        <filter val="Tcendo o Futuro (1ª turma) - Colégio Mão Amiga João Paulo II - Paronoá"/>
        <filter val="Tcendo o Futuro 1"/>
        <filter val="Tcendo o Futuro 2"/>
        <filter val="TCendo o Futuro 3"/>
        <filter val="TCendo o Futuro 4"/>
        <filter val="TCendo o Futuro 5"/>
        <filter val="TCendo o Futuro 6"/>
        <filter val="TCendo o Futuro 7"/>
        <filter val="TCendo o Futuro 8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406" activePane="bottomLeft" state="frozen"/>
      <selection pane="bottomLeft" activeCell="E714" sqref="E7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 hidden="1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hidden="1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hidden="1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hidden="1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hidden="1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hidden="1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hidden="1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hidden="1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hidden="1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hidden="1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hidden="1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hidden="1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hidden="1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hidden="1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hidden="1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hidden="1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hidden="1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hidden="1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hidden="1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hidden="1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hidden="1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hidden="1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hidden="1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hidden="1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hidden="1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hidden="1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hidden="1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hidden="1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hidden="1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hidden="1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hidden="1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hidden="1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hidden="1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hidden="1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hidden="1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hidden="1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hidden="1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hidden="1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hidden="1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hidden="1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hidden="1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hidden="1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hidden="1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hidden="1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hidden="1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hidden="1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hidden="1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hidden="1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hidden="1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hidden="1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hidden="1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hidden="1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hidden="1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hidden="1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hidden="1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hidden="1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hidden="1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hidden="1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hidden="1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hidden="1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hidden="1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hidden="1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hidden="1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hidden="1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hidden="1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hidden="1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hidden="1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hidden="1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hidden="1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hidden="1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hidden="1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hidden="1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hidden="1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hidden="1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hidden="1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hidden="1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hidden="1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hidden="1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hidden="1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hidden="1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hidden="1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hidden="1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hidden="1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hidden="1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hidden="1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hidden="1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hidden="1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hidden="1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hidden="1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hidden="1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hidden="1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hidden="1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hidden="1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hidden="1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hidden="1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hidden="1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hidden="1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hidden="1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hidden="1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hidden="1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hidden="1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hidden="1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hidden="1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hidden="1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hidden="1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hidden="1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hidden="1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hidden="1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hidden="1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hidden="1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hidden="1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hidden="1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hidden="1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hidden="1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hidden="1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hidden="1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hidden="1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hidden="1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hidden="1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hidden="1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hidden="1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hidden="1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hidden="1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hidden="1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hidden="1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hidden="1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hidden="1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hidden="1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hidden="1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hidden="1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hidden="1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hidden="1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hidden="1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hidden="1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hidden="1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hidden="1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hidden="1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hidden="1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hidden="1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hidden="1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hidden="1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hidden="1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hidden="1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hidden="1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hidden="1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hidden="1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hidden="1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hidden="1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hidden="1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hidden="1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hidden="1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 hidden="1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hidden="1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hidden="1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hidden="1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hidden="1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hidden="1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hidden="1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hidden="1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hidden="1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hidden="1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hidden="1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hidden="1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hidden="1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hidden="1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hidden="1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hidden="1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hidden="1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hidden="1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hidden="1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hidden="1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hidden="1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hidden="1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hidden="1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hidden="1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hidden="1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hidden="1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hidden="1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hidden="1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hidden="1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hidden="1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hidden="1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hidden="1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hidden="1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hidden="1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hidden="1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hidden="1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hidden="1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hidden="1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hidden="1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hidden="1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hidden="1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hidden="1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hidden="1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hidden="1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hidden="1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hidden="1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hidden="1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hidden="1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hidden="1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hidden="1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hidden="1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2641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2642</v>
      </c>
    </row>
    <row r="646" spans="1:20" ht="30" hidden="1">
      <c r="A646" s="122" t="s">
        <v>2643</v>
      </c>
      <c r="B646" s="118">
        <v>2025</v>
      </c>
      <c r="C646" s="146" t="s">
        <v>22</v>
      </c>
      <c r="D646" s="118" t="s">
        <v>2644</v>
      </c>
      <c r="E646" s="119" t="s">
        <v>2645</v>
      </c>
      <c r="F646" s="151" t="s">
        <v>24</v>
      </c>
      <c r="G646" s="132" t="s">
        <v>206</v>
      </c>
      <c r="H646" s="122" t="s">
        <v>2646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hidden="1">
      <c r="A647" s="122" t="s">
        <v>2647</v>
      </c>
      <c r="B647" s="118">
        <v>2025</v>
      </c>
      <c r="C647" s="146" t="s">
        <v>22</v>
      </c>
      <c r="D647" s="118" t="s">
        <v>2492</v>
      </c>
      <c r="E647" s="119" t="s">
        <v>2648</v>
      </c>
      <c r="F647" s="120" t="s">
        <v>24</v>
      </c>
      <c r="G647" s="132" t="s">
        <v>206</v>
      </c>
      <c r="H647" s="122" t="s">
        <v>2649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hidden="1">
      <c r="A648" s="122" t="s">
        <v>2650</v>
      </c>
      <c r="B648" s="118">
        <v>2025</v>
      </c>
      <c r="C648" s="118" t="s">
        <v>22</v>
      </c>
      <c r="D648" s="172" t="s">
        <v>2651</v>
      </c>
      <c r="E648" s="119" t="s">
        <v>2235</v>
      </c>
      <c r="F648" s="120" t="s">
        <v>69</v>
      </c>
      <c r="G648" s="121" t="s">
        <v>79</v>
      </c>
      <c r="H648" s="177" t="s">
        <v>2652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hidden="1">
      <c r="A649" s="122" t="s">
        <v>2653</v>
      </c>
      <c r="B649" s="118">
        <v>2025</v>
      </c>
      <c r="C649" s="118" t="s">
        <v>22</v>
      </c>
      <c r="D649" s="118" t="s">
        <v>2654</v>
      </c>
      <c r="E649" s="119" t="s">
        <v>2655</v>
      </c>
      <c r="F649" s="120" t="s">
        <v>69</v>
      </c>
      <c r="G649" s="121" t="s">
        <v>79</v>
      </c>
      <c r="H649" s="173" t="s">
        <v>2656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hidden="1">
      <c r="A650" s="122" t="s">
        <v>2657</v>
      </c>
      <c r="B650" s="118">
        <v>2025</v>
      </c>
      <c r="C650" s="146" t="s">
        <v>22</v>
      </c>
      <c r="D650" s="118" t="s">
        <v>2658</v>
      </c>
      <c r="E650" s="119" t="s">
        <v>2659</v>
      </c>
      <c r="F650" s="120" t="s">
        <v>24</v>
      </c>
      <c r="G650" s="132" t="s">
        <v>206</v>
      </c>
      <c r="H650" s="122" t="s">
        <v>2660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2661</v>
      </c>
    </row>
    <row r="651" spans="1:20" ht="30" hidden="1">
      <c r="A651" s="122" t="s">
        <v>2662</v>
      </c>
      <c r="B651" s="118">
        <v>2025</v>
      </c>
      <c r="C651" s="146" t="s">
        <v>22</v>
      </c>
      <c r="D651" s="118" t="s">
        <v>2663</v>
      </c>
      <c r="E651" s="145" t="s">
        <v>2664</v>
      </c>
      <c r="F651" s="120" t="s">
        <v>24</v>
      </c>
      <c r="G651" s="121" t="s">
        <v>42</v>
      </c>
      <c r="H651" s="122" t="s">
        <v>2665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2666</v>
      </c>
    </row>
    <row r="652" spans="1:20" ht="15" hidden="1">
      <c r="A652" s="122" t="s">
        <v>2667</v>
      </c>
      <c r="B652" s="118">
        <v>2025</v>
      </c>
      <c r="C652" s="146" t="s">
        <v>22</v>
      </c>
      <c r="D652" s="118" t="s">
        <v>2668</v>
      </c>
      <c r="E652" s="119" t="s">
        <v>2669</v>
      </c>
      <c r="F652" s="120" t="s">
        <v>24</v>
      </c>
      <c r="G652" s="121" t="s">
        <v>25</v>
      </c>
      <c r="H652" s="147" t="s">
        <v>2670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2671</v>
      </c>
    </row>
    <row r="653" spans="1:20" ht="15" hidden="1">
      <c r="A653" s="122" t="s">
        <v>2672</v>
      </c>
      <c r="B653" s="118">
        <v>2025</v>
      </c>
      <c r="C653" s="118" t="s">
        <v>22</v>
      </c>
      <c r="D653" s="118" t="s">
        <v>2673</v>
      </c>
      <c r="E653" s="145" t="s">
        <v>2674</v>
      </c>
      <c r="F653" s="120" t="s">
        <v>88</v>
      </c>
      <c r="G653" s="121" t="s">
        <v>79</v>
      </c>
      <c r="H653" s="147" t="s">
        <v>2670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>
      <c r="A654" s="122" t="s">
        <v>2675</v>
      </c>
      <c r="B654" s="118">
        <v>2025</v>
      </c>
      <c r="C654" s="118" t="s">
        <v>22</v>
      </c>
      <c r="D654" s="118" t="s">
        <v>2676</v>
      </c>
      <c r="E654" s="119" t="s">
        <v>2677</v>
      </c>
      <c r="F654" s="120" t="s">
        <v>24</v>
      </c>
      <c r="G654" s="121" t="s">
        <v>42</v>
      </c>
      <c r="H654" s="147" t="s">
        <v>2678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>
      <c r="A655" s="122" t="s">
        <v>2679</v>
      </c>
      <c r="B655" s="118">
        <v>2025</v>
      </c>
      <c r="C655" s="118" t="s">
        <v>22</v>
      </c>
      <c r="D655" s="118" t="s">
        <v>2680</v>
      </c>
      <c r="E655" s="119" t="s">
        <v>2681</v>
      </c>
      <c r="F655" s="120" t="s">
        <v>24</v>
      </c>
      <c r="G655" s="121" t="s">
        <v>206</v>
      </c>
      <c r="H655" s="122" t="s">
        <v>2682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>
      <c r="A656" s="122" t="s">
        <v>2683</v>
      </c>
      <c r="B656" s="118">
        <v>2025</v>
      </c>
      <c r="C656" s="118" t="s">
        <v>22</v>
      </c>
      <c r="D656" s="118" t="s">
        <v>2684</v>
      </c>
      <c r="E656" s="119" t="s">
        <v>2685</v>
      </c>
      <c r="F656" s="120" t="s">
        <v>88</v>
      </c>
      <c r="G656" s="121" t="s">
        <v>79</v>
      </c>
      <c r="H656" s="129" t="s">
        <v>2686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>
      <c r="A657" s="156" t="s">
        <v>2687</v>
      </c>
      <c r="B657" s="118">
        <v>2026</v>
      </c>
      <c r="C657" s="154" t="s">
        <v>22</v>
      </c>
      <c r="D657" s="154" t="s">
        <v>2688</v>
      </c>
      <c r="E657" s="159" t="s">
        <v>2689</v>
      </c>
      <c r="F657" s="170" t="s">
        <v>69</v>
      </c>
      <c r="G657" s="155" t="s">
        <v>79</v>
      </c>
      <c r="H657" s="156" t="s">
        <v>2690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2691</v>
      </c>
    </row>
    <row r="658" spans="1:20" ht="15" hidden="1">
      <c r="A658" s="156" t="s">
        <v>2692</v>
      </c>
      <c r="B658" s="118">
        <v>2026</v>
      </c>
      <c r="C658" s="118" t="s">
        <v>22</v>
      </c>
      <c r="D658" s="154" t="s">
        <v>2693</v>
      </c>
      <c r="E658" s="145" t="s">
        <v>2694</v>
      </c>
      <c r="F658" s="120" t="s">
        <v>69</v>
      </c>
      <c r="G658" s="155" t="s">
        <v>2695</v>
      </c>
      <c r="H658" s="156" t="s">
        <v>2696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>
      <c r="A659" s="122" t="s">
        <v>2697</v>
      </c>
      <c r="B659" s="118">
        <v>2026</v>
      </c>
      <c r="C659" s="154" t="s">
        <v>2566</v>
      </c>
      <c r="D659" s="154" t="s">
        <v>2698</v>
      </c>
      <c r="E659" s="159" t="s">
        <v>2699</v>
      </c>
      <c r="F659" s="170" t="s">
        <v>24</v>
      </c>
      <c r="G659" s="155" t="s">
        <v>2700</v>
      </c>
      <c r="H659" s="156" t="s">
        <v>2701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>
      <c r="A660" s="156" t="s">
        <v>2702</v>
      </c>
      <c r="B660" s="118">
        <v>2026</v>
      </c>
      <c r="C660" s="154" t="s">
        <v>22</v>
      </c>
      <c r="D660" s="154" t="s">
        <v>2703</v>
      </c>
      <c r="E660" s="159" t="s">
        <v>2704</v>
      </c>
      <c r="F660" s="170" t="s">
        <v>24</v>
      </c>
      <c r="G660" s="155" t="s">
        <v>206</v>
      </c>
      <c r="H660" s="156" t="s">
        <v>2705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2706</v>
      </c>
    </row>
    <row r="661" spans="1:20" ht="15" hidden="1">
      <c r="A661" s="122" t="s">
        <v>2707</v>
      </c>
      <c r="B661" s="118">
        <v>2026</v>
      </c>
      <c r="C661" s="118" t="s">
        <v>22</v>
      </c>
      <c r="D661" s="118" t="s">
        <v>2708</v>
      </c>
      <c r="E661" s="119" t="s">
        <v>2138</v>
      </c>
      <c r="F661" s="120" t="s">
        <v>69</v>
      </c>
      <c r="G661" s="121" t="s">
        <v>79</v>
      </c>
      <c r="H661" s="122" t="s">
        <v>2709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>
      <c r="A662" s="156" t="s">
        <v>2710</v>
      </c>
      <c r="B662" s="118">
        <v>2026</v>
      </c>
      <c r="C662" s="154" t="s">
        <v>2711</v>
      </c>
      <c r="D662" s="154" t="s">
        <v>2712</v>
      </c>
      <c r="E662" s="159" t="s">
        <v>2713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2714</v>
      </c>
    </row>
    <row r="663" spans="1:20" ht="30" hidden="1">
      <c r="A663" s="156" t="s">
        <v>2715</v>
      </c>
      <c r="B663" s="118">
        <v>2026</v>
      </c>
      <c r="C663" s="146" t="s">
        <v>2566</v>
      </c>
      <c r="D663" s="118" t="s">
        <v>2716</v>
      </c>
      <c r="E663" s="145" t="s">
        <v>2717</v>
      </c>
      <c r="F663" s="120" t="s">
        <v>88</v>
      </c>
      <c r="G663" s="121" t="s">
        <v>2718</v>
      </c>
      <c r="H663" s="122" t="s">
        <v>2719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2720</v>
      </c>
    </row>
    <row r="664" spans="1:20" ht="15" hidden="1">
      <c r="A664" s="156" t="s">
        <v>2721</v>
      </c>
      <c r="B664" s="118">
        <v>2026</v>
      </c>
      <c r="C664" s="154" t="s">
        <v>22</v>
      </c>
      <c r="D664" s="154" t="s">
        <v>2722</v>
      </c>
      <c r="E664" s="159" t="s">
        <v>2723</v>
      </c>
      <c r="F664" s="170" t="s">
        <v>24</v>
      </c>
      <c r="G664" s="155" t="s">
        <v>25</v>
      </c>
      <c r="H664" s="156" t="s">
        <v>2724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2725</v>
      </c>
    </row>
    <row r="665" spans="1:20" ht="15" hidden="1">
      <c r="A665" s="122" t="s">
        <v>2726</v>
      </c>
      <c r="B665" s="118">
        <v>2026</v>
      </c>
      <c r="C665" s="154" t="s">
        <v>22</v>
      </c>
      <c r="D665" s="154" t="s">
        <v>2727</v>
      </c>
      <c r="E665" s="159" t="s">
        <v>2677</v>
      </c>
      <c r="F665" s="170" t="s">
        <v>24</v>
      </c>
      <c r="G665" s="155" t="s">
        <v>42</v>
      </c>
      <c r="H665" s="156" t="s">
        <v>2728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>
      <c r="A666" s="122" t="s">
        <v>2729</v>
      </c>
      <c r="B666" s="118">
        <v>2026</v>
      </c>
      <c r="C666" s="154" t="s">
        <v>22</v>
      </c>
      <c r="D666" s="154" t="s">
        <v>2730</v>
      </c>
      <c r="E666" s="159" t="s">
        <v>2731</v>
      </c>
      <c r="F666" s="170" t="s">
        <v>24</v>
      </c>
      <c r="G666" s="155" t="s">
        <v>371</v>
      </c>
      <c r="H666" s="156" t="s">
        <v>2732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>
      <c r="A667" s="122" t="s">
        <v>2733</v>
      </c>
      <c r="B667" s="118">
        <v>2026</v>
      </c>
      <c r="C667" s="118" t="s">
        <v>22</v>
      </c>
      <c r="D667" s="154" t="s">
        <v>2734</v>
      </c>
      <c r="E667" s="159" t="s">
        <v>2735</v>
      </c>
      <c r="F667" s="120" t="s">
        <v>88</v>
      </c>
      <c r="G667" s="121" t="s">
        <v>2718</v>
      </c>
      <c r="H667" s="156" t="s">
        <v>2736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>
      <c r="A668" s="156" t="s">
        <v>2737</v>
      </c>
      <c r="B668" s="118">
        <v>2026</v>
      </c>
      <c r="C668" s="193" t="s">
        <v>22</v>
      </c>
      <c r="D668" s="154" t="s">
        <v>2738</v>
      </c>
      <c r="E668" s="159" t="s">
        <v>2739</v>
      </c>
      <c r="F668" s="170" t="s">
        <v>88</v>
      </c>
      <c r="G668" s="155" t="s">
        <v>2718</v>
      </c>
      <c r="H668" s="156" t="s">
        <v>2740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>
      <c r="A669" s="156" t="s">
        <v>2741</v>
      </c>
      <c r="B669" s="118">
        <v>2026</v>
      </c>
      <c r="C669" s="118" t="s">
        <v>22</v>
      </c>
      <c r="D669" s="154" t="s">
        <v>2742</v>
      </c>
      <c r="E669" s="159" t="s">
        <v>2743</v>
      </c>
      <c r="F669" s="120" t="s">
        <v>69</v>
      </c>
      <c r="G669" s="155" t="s">
        <v>2695</v>
      </c>
      <c r="H669" s="156" t="s">
        <v>2744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2745</v>
      </c>
    </row>
    <row r="670" spans="1:20" ht="30" hidden="1">
      <c r="A670" s="156" t="s">
        <v>2746</v>
      </c>
      <c r="B670" s="118">
        <v>2026</v>
      </c>
      <c r="C670" s="118" t="s">
        <v>22</v>
      </c>
      <c r="D670" s="154" t="s">
        <v>2742</v>
      </c>
      <c r="E670" s="166" t="s">
        <v>2747</v>
      </c>
      <c r="F670" s="120" t="s">
        <v>69</v>
      </c>
      <c r="G670" s="155" t="s">
        <v>2695</v>
      </c>
      <c r="H670" s="156" t="s">
        <v>2748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2745</v>
      </c>
    </row>
    <row r="671" spans="1:20" ht="15" hidden="1">
      <c r="A671" s="156" t="s">
        <v>2749</v>
      </c>
      <c r="B671" s="118">
        <v>2026</v>
      </c>
      <c r="C671" s="154" t="s">
        <v>22</v>
      </c>
      <c r="D671" s="154" t="s">
        <v>2750</v>
      </c>
      <c r="E671" s="159" t="s">
        <v>2751</v>
      </c>
      <c r="F671" s="170" t="s">
        <v>69</v>
      </c>
      <c r="G671" s="155" t="s">
        <v>79</v>
      </c>
      <c r="H671" s="194" t="s">
        <v>2752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2753</v>
      </c>
    </row>
    <row r="672" spans="1:20" ht="15" hidden="1">
      <c r="A672" s="122" t="s">
        <v>2754</v>
      </c>
      <c r="B672" s="118">
        <v>2026</v>
      </c>
      <c r="C672" s="154" t="s">
        <v>22</v>
      </c>
      <c r="D672" s="154" t="s">
        <v>2755</v>
      </c>
      <c r="E672" s="159" t="s">
        <v>2756</v>
      </c>
      <c r="F672" s="170" t="s">
        <v>24</v>
      </c>
      <c r="G672" s="155" t="s">
        <v>25</v>
      </c>
      <c r="H672" s="156" t="s">
        <v>2757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2758</v>
      </c>
    </row>
    <row r="673" spans="1:20" ht="15" hidden="1">
      <c r="A673" s="122" t="s">
        <v>2759</v>
      </c>
      <c r="B673" s="118">
        <v>2026</v>
      </c>
      <c r="C673" s="118" t="s">
        <v>22</v>
      </c>
      <c r="D673" s="118" t="s">
        <v>2760</v>
      </c>
      <c r="E673" s="119" t="s">
        <v>2761</v>
      </c>
      <c r="F673" s="120" t="s">
        <v>24</v>
      </c>
      <c r="G673" s="132" t="s">
        <v>371</v>
      </c>
      <c r="H673" s="140" t="s">
        <v>2762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2763</v>
      </c>
    </row>
    <row r="674" spans="1:20" ht="15" hidden="1">
      <c r="A674" s="122" t="s">
        <v>2764</v>
      </c>
      <c r="B674" s="118">
        <v>2026</v>
      </c>
      <c r="C674" s="118" t="s">
        <v>22</v>
      </c>
      <c r="D674" s="118" t="s">
        <v>2765</v>
      </c>
      <c r="E674" s="119" t="s">
        <v>2766</v>
      </c>
      <c r="F674" s="120" t="s">
        <v>69</v>
      </c>
      <c r="G674" s="121" t="s">
        <v>2695</v>
      </c>
      <c r="H674" s="153" t="s">
        <v>2767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2768</v>
      </c>
    </row>
    <row r="675" spans="1:20" ht="15" hidden="1">
      <c r="A675" s="122" t="s">
        <v>2769</v>
      </c>
      <c r="B675" s="118">
        <v>2026</v>
      </c>
      <c r="C675" s="118" t="s">
        <v>22</v>
      </c>
      <c r="D675" s="154" t="s">
        <v>2770</v>
      </c>
      <c r="E675" s="119" t="s">
        <v>2771</v>
      </c>
      <c r="F675" s="120" t="s">
        <v>69</v>
      </c>
      <c r="G675" s="155" t="s">
        <v>2695</v>
      </c>
      <c r="H675" s="176" t="s">
        <v>2772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2768</v>
      </c>
    </row>
    <row r="676" spans="1:20" ht="15" hidden="1">
      <c r="A676" s="122" t="s">
        <v>2773</v>
      </c>
      <c r="B676" s="118">
        <v>2026</v>
      </c>
      <c r="C676" s="118" t="s">
        <v>22</v>
      </c>
      <c r="D676" s="118" t="s">
        <v>2774</v>
      </c>
      <c r="E676" s="119" t="s">
        <v>2775</v>
      </c>
      <c r="F676" s="120" t="s">
        <v>69</v>
      </c>
      <c r="G676" s="121" t="s">
        <v>79</v>
      </c>
      <c r="H676" s="118" t="s">
        <v>2776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>
      <c r="A677" s="122" t="s">
        <v>2777</v>
      </c>
      <c r="B677" s="118">
        <v>2026</v>
      </c>
      <c r="C677" s="195" t="s">
        <v>2566</v>
      </c>
      <c r="D677" s="195" t="s">
        <v>2778</v>
      </c>
      <c r="E677" s="159" t="s">
        <v>2779</v>
      </c>
      <c r="F677" s="170" t="s">
        <v>69</v>
      </c>
      <c r="G677" s="196" t="s">
        <v>2695</v>
      </c>
      <c r="H677" s="165" t="s">
        <v>2701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2745</v>
      </c>
    </row>
    <row r="678" spans="1:20" ht="15" hidden="1">
      <c r="A678" s="156" t="s">
        <v>2780</v>
      </c>
      <c r="B678" s="118">
        <v>2026</v>
      </c>
      <c r="C678" s="195" t="s">
        <v>22</v>
      </c>
      <c r="D678" s="195" t="s">
        <v>2781</v>
      </c>
      <c r="E678" s="159" t="s">
        <v>2782</v>
      </c>
      <c r="F678" s="170" t="s">
        <v>69</v>
      </c>
      <c r="G678" s="196" t="s">
        <v>79</v>
      </c>
      <c r="H678" s="165" t="s">
        <v>2783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>
      <c r="A679" s="156" t="s">
        <v>2784</v>
      </c>
      <c r="B679" s="118">
        <v>2026</v>
      </c>
      <c r="C679" s="195" t="s">
        <v>22</v>
      </c>
      <c r="D679" s="195" t="s">
        <v>2785</v>
      </c>
      <c r="E679" s="201" t="s">
        <v>2786</v>
      </c>
      <c r="F679" s="170" t="s">
        <v>69</v>
      </c>
      <c r="G679" s="155" t="s">
        <v>79</v>
      </c>
      <c r="H679" s="165" t="s">
        <v>2787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2788</v>
      </c>
    </row>
    <row r="680" spans="1:20" ht="15" hidden="1">
      <c r="A680" s="122" t="s">
        <v>2789</v>
      </c>
      <c r="B680" s="118">
        <v>2026</v>
      </c>
      <c r="C680" s="150" t="s">
        <v>2790</v>
      </c>
      <c r="D680" s="137" t="s">
        <v>2791</v>
      </c>
      <c r="E680" s="138" t="s">
        <v>2792</v>
      </c>
      <c r="F680" s="120" t="s">
        <v>24</v>
      </c>
      <c r="G680" s="121" t="s">
        <v>2793</v>
      </c>
      <c r="H680" s="140" t="s">
        <v>2794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2795</v>
      </c>
    </row>
    <row r="681" spans="1:20" ht="15" hidden="1">
      <c r="A681" s="156" t="s">
        <v>2796</v>
      </c>
      <c r="B681" s="118">
        <v>2026</v>
      </c>
      <c r="C681" s="150" t="s">
        <v>22</v>
      </c>
      <c r="D681" s="137" t="s">
        <v>2791</v>
      </c>
      <c r="E681" s="138" t="s">
        <v>2797</v>
      </c>
      <c r="F681" s="120" t="s">
        <v>24</v>
      </c>
      <c r="G681" s="139" t="s">
        <v>2793</v>
      </c>
      <c r="H681" s="140" t="s">
        <v>2798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2795</v>
      </c>
    </row>
    <row r="682" spans="1:20" ht="15" hidden="1">
      <c r="A682" s="156" t="s">
        <v>2799</v>
      </c>
      <c r="B682" s="118">
        <v>2026</v>
      </c>
      <c r="C682" s="195" t="s">
        <v>2790</v>
      </c>
      <c r="D682" s="137" t="s">
        <v>2791</v>
      </c>
      <c r="E682" s="138" t="s">
        <v>2797</v>
      </c>
      <c r="F682" s="170" t="s">
        <v>24</v>
      </c>
      <c r="G682" s="196" t="s">
        <v>2793</v>
      </c>
      <c r="H682" s="165" t="s">
        <v>2800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2795</v>
      </c>
    </row>
    <row r="683" spans="1:20" ht="15" hidden="1">
      <c r="A683" s="122" t="s">
        <v>2801</v>
      </c>
      <c r="B683" s="118">
        <v>2026</v>
      </c>
      <c r="C683" s="137" t="s">
        <v>22</v>
      </c>
      <c r="D683" s="137" t="s">
        <v>2802</v>
      </c>
      <c r="E683" s="138" t="s">
        <v>2803</v>
      </c>
      <c r="F683" s="120" t="s">
        <v>24</v>
      </c>
      <c r="G683" s="121" t="s">
        <v>42</v>
      </c>
      <c r="H683" s="171" t="s">
        <v>2804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2805</v>
      </c>
    </row>
    <row r="684" spans="1:20" ht="15" hidden="1">
      <c r="A684" s="156" t="s">
        <v>2806</v>
      </c>
      <c r="B684" s="137">
        <v>2026</v>
      </c>
      <c r="C684" s="150" t="s">
        <v>22</v>
      </c>
      <c r="D684" s="137" t="s">
        <v>2807</v>
      </c>
      <c r="E684" s="138" t="s">
        <v>2808</v>
      </c>
      <c r="F684" s="144" t="s">
        <v>24</v>
      </c>
      <c r="G684" s="139" t="s">
        <v>25</v>
      </c>
      <c r="H684" s="165" t="s">
        <v>2809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2810</v>
      </c>
    </row>
    <row r="685" spans="1:20" ht="15" hidden="1">
      <c r="A685" s="122" t="s">
        <v>2811</v>
      </c>
      <c r="B685" s="137">
        <v>2026</v>
      </c>
      <c r="C685" s="118" t="s">
        <v>22</v>
      </c>
      <c r="D685" s="122" t="s">
        <v>2812</v>
      </c>
      <c r="E685" s="119" t="s">
        <v>2813</v>
      </c>
      <c r="F685" s="120" t="s">
        <v>24</v>
      </c>
      <c r="G685" s="132" t="s">
        <v>2793</v>
      </c>
      <c r="H685" s="122" t="s">
        <v>2814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2795</v>
      </c>
    </row>
    <row r="686" spans="1:20" ht="15" hidden="1">
      <c r="A686" s="122" t="s">
        <v>2815</v>
      </c>
      <c r="B686" s="137">
        <v>2026</v>
      </c>
      <c r="C686" s="118" t="s">
        <v>22</v>
      </c>
      <c r="D686" s="118" t="s">
        <v>2816</v>
      </c>
      <c r="E686" s="119" t="s">
        <v>2817</v>
      </c>
      <c r="F686" s="120" t="s">
        <v>69</v>
      </c>
      <c r="G686" s="121" t="s">
        <v>2695</v>
      </c>
      <c r="H686" s="122" t="s">
        <v>2818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2745</v>
      </c>
    </row>
    <row r="687" spans="1:20" ht="15" hidden="1">
      <c r="A687" s="156" t="s">
        <v>2819</v>
      </c>
      <c r="B687" s="137">
        <v>2026</v>
      </c>
      <c r="C687" s="118" t="s">
        <v>22</v>
      </c>
      <c r="D687" s="154" t="s">
        <v>2820</v>
      </c>
      <c r="E687" s="159" t="s">
        <v>2821</v>
      </c>
      <c r="F687" s="170" t="s">
        <v>24</v>
      </c>
      <c r="G687" s="155" t="s">
        <v>42</v>
      </c>
      <c r="H687" s="156" t="s">
        <v>2822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>
      <c r="A688" s="156" t="s">
        <v>2823</v>
      </c>
      <c r="B688" s="137">
        <v>2026</v>
      </c>
      <c r="C688" s="154" t="s">
        <v>22</v>
      </c>
      <c r="D688" s="154" t="s">
        <v>2824</v>
      </c>
      <c r="E688" s="159" t="s">
        <v>2825</v>
      </c>
      <c r="F688" s="170" t="s">
        <v>69</v>
      </c>
      <c r="G688" s="155" t="s">
        <v>79</v>
      </c>
      <c r="H688" s="156" t="s">
        <v>2826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2827</v>
      </c>
    </row>
    <row r="689" spans="1:20" ht="15" hidden="1">
      <c r="A689" s="122" t="s">
        <v>2828</v>
      </c>
      <c r="B689" s="137">
        <v>2026</v>
      </c>
      <c r="C689" s="118" t="s">
        <v>22</v>
      </c>
      <c r="D689" s="118" t="s">
        <v>2829</v>
      </c>
      <c r="E689" s="119" t="s">
        <v>2830</v>
      </c>
      <c r="F689" s="120" t="s">
        <v>24</v>
      </c>
      <c r="G689" s="132" t="s">
        <v>2700</v>
      </c>
      <c r="H689" s="122" t="s">
        <v>2831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2832</v>
      </c>
    </row>
    <row r="690" spans="1:20" ht="15" hidden="1">
      <c r="A690" s="122" t="s">
        <v>2833</v>
      </c>
      <c r="B690" s="137">
        <v>2026</v>
      </c>
      <c r="C690" s="118" t="s">
        <v>22</v>
      </c>
      <c r="D690" s="118" t="s">
        <v>2829</v>
      </c>
      <c r="E690" s="119" t="s">
        <v>2834</v>
      </c>
      <c r="F690" s="120" t="s">
        <v>24</v>
      </c>
      <c r="G690" s="132" t="s">
        <v>2700</v>
      </c>
      <c r="H690" s="122" t="s">
        <v>2835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2827</v>
      </c>
    </row>
    <row r="691" spans="1:20" ht="15" hidden="1">
      <c r="A691" s="122" t="s">
        <v>2836</v>
      </c>
      <c r="B691" s="137">
        <v>2026</v>
      </c>
      <c r="C691" s="154" t="s">
        <v>22</v>
      </c>
      <c r="D691" s="154" t="s">
        <v>2837</v>
      </c>
      <c r="E691" s="159" t="s">
        <v>2838</v>
      </c>
      <c r="F691" s="170" t="s">
        <v>24</v>
      </c>
      <c r="G691" s="155" t="s">
        <v>2700</v>
      </c>
      <c r="H691" s="156" t="s">
        <v>2839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2827</v>
      </c>
    </row>
    <row r="692" spans="1:20" ht="15" hidden="1">
      <c r="A692" s="156" t="s">
        <v>2840</v>
      </c>
      <c r="B692" s="137">
        <v>2026</v>
      </c>
      <c r="C692" s="154" t="s">
        <v>22</v>
      </c>
      <c r="D692" s="154" t="s">
        <v>2837</v>
      </c>
      <c r="E692" s="159" t="s">
        <v>2841</v>
      </c>
      <c r="F692" s="170" t="s">
        <v>24</v>
      </c>
      <c r="G692" s="155" t="s">
        <v>2700</v>
      </c>
      <c r="H692" s="156" t="s">
        <v>2842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2827</v>
      </c>
    </row>
    <row r="693" spans="1:20" ht="15" hidden="1">
      <c r="A693" s="156" t="s">
        <v>2843</v>
      </c>
      <c r="B693" s="137">
        <v>2026</v>
      </c>
      <c r="C693" s="154" t="s">
        <v>2711</v>
      </c>
      <c r="D693" s="154" t="s">
        <v>2844</v>
      </c>
      <c r="E693" s="159" t="s">
        <v>2845</v>
      </c>
      <c r="F693" s="170" t="s">
        <v>24</v>
      </c>
      <c r="G693" s="155" t="s">
        <v>25</v>
      </c>
      <c r="H693" s="156" t="s">
        <v>2701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hidden="1">
      <c r="A694" s="156" t="s">
        <v>2846</v>
      </c>
      <c r="B694" s="137">
        <v>2026</v>
      </c>
      <c r="C694" s="118" t="s">
        <v>2847</v>
      </c>
      <c r="D694" s="154" t="s">
        <v>2848</v>
      </c>
      <c r="E694" s="159" t="s">
        <v>2849</v>
      </c>
      <c r="F694" s="120" t="s">
        <v>69</v>
      </c>
      <c r="G694" s="121" t="s">
        <v>79</v>
      </c>
      <c r="H694" s="156" t="s">
        <v>2850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>
      <c r="A695" s="156" t="s">
        <v>2851</v>
      </c>
      <c r="B695" s="137">
        <v>2026</v>
      </c>
      <c r="C695" s="154" t="s">
        <v>2711</v>
      </c>
      <c r="D695" s="154" t="s">
        <v>2852</v>
      </c>
      <c r="E695" s="159" t="s">
        <v>2853</v>
      </c>
      <c r="F695" s="170" t="s">
        <v>69</v>
      </c>
      <c r="G695" s="155" t="s">
        <v>79</v>
      </c>
      <c r="H695" s="156" t="s">
        <v>2854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>
      <c r="A696" s="122" t="s">
        <v>2855</v>
      </c>
      <c r="B696" s="137">
        <v>2026</v>
      </c>
      <c r="C696" s="118" t="s">
        <v>22</v>
      </c>
      <c r="D696" s="118" t="s">
        <v>2856</v>
      </c>
      <c r="E696" s="119" t="s">
        <v>2857</v>
      </c>
      <c r="F696" s="120" t="s">
        <v>69</v>
      </c>
      <c r="G696" s="121" t="s">
        <v>79</v>
      </c>
      <c r="H696" s="122" t="s">
        <v>2858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>
      <c r="A697" s="122" t="s">
        <v>2859</v>
      </c>
      <c r="B697" s="137">
        <v>2026</v>
      </c>
      <c r="C697" s="118" t="s">
        <v>22</v>
      </c>
      <c r="D697" s="154" t="s">
        <v>2860</v>
      </c>
      <c r="E697" s="159" t="s">
        <v>2861</v>
      </c>
      <c r="F697" s="120" t="s">
        <v>24</v>
      </c>
      <c r="G697" s="132" t="s">
        <v>2700</v>
      </c>
      <c r="H697" s="156" t="s">
        <v>2862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2827</v>
      </c>
    </row>
    <row r="698" spans="1:20" ht="15" hidden="1">
      <c r="A698" s="156" t="s">
        <v>2863</v>
      </c>
      <c r="B698" s="137">
        <v>2026</v>
      </c>
      <c r="C698" s="154" t="s">
        <v>2790</v>
      </c>
      <c r="D698" s="154" t="s">
        <v>2864</v>
      </c>
      <c r="E698" s="159" t="s">
        <v>2865</v>
      </c>
      <c r="F698" s="170" t="s">
        <v>24</v>
      </c>
      <c r="G698" s="155" t="s">
        <v>75</v>
      </c>
      <c r="H698" s="156" t="s">
        <v>2866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2867</v>
      </c>
    </row>
    <row r="699" spans="1:20" ht="15" hidden="1">
      <c r="A699" s="122" t="s">
        <v>2868</v>
      </c>
      <c r="B699" s="137">
        <v>2026</v>
      </c>
      <c r="C699" s="118" t="s">
        <v>22</v>
      </c>
      <c r="D699" s="118" t="s">
        <v>2869</v>
      </c>
      <c r="E699" s="119" t="s">
        <v>2870</v>
      </c>
      <c r="F699" s="120" t="s">
        <v>24</v>
      </c>
      <c r="G699" s="121" t="s">
        <v>206</v>
      </c>
      <c r="H699" s="122" t="s">
        <v>2871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2872</v>
      </c>
    </row>
    <row r="700" spans="1:20" ht="15" hidden="1">
      <c r="A700" s="156" t="s">
        <v>2873</v>
      </c>
      <c r="B700" s="137">
        <v>2026</v>
      </c>
      <c r="C700" s="154" t="s">
        <v>22</v>
      </c>
      <c r="D700" s="154" t="s">
        <v>2874</v>
      </c>
      <c r="E700" s="159" t="s">
        <v>2875</v>
      </c>
      <c r="F700" s="170" t="s">
        <v>88</v>
      </c>
      <c r="G700" s="155" t="s">
        <v>2718</v>
      </c>
      <c r="H700" s="156" t="s">
        <v>2876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hidden="1">
      <c r="A701" s="156" t="s">
        <v>2877</v>
      </c>
      <c r="B701" s="137">
        <v>2026</v>
      </c>
      <c r="C701" s="154" t="s">
        <v>22</v>
      </c>
      <c r="D701" s="154" t="s">
        <v>2878</v>
      </c>
      <c r="E701" s="159" t="s">
        <v>2879</v>
      </c>
      <c r="F701" s="170" t="s">
        <v>24</v>
      </c>
      <c r="G701" s="155" t="s">
        <v>75</v>
      </c>
      <c r="H701" s="156" t="s">
        <v>2880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2810</v>
      </c>
    </row>
    <row r="702" spans="1:20" ht="15" hidden="1">
      <c r="A702" s="156" t="s">
        <v>2881</v>
      </c>
      <c r="B702" s="137">
        <v>2026</v>
      </c>
      <c r="C702" s="154" t="s">
        <v>22</v>
      </c>
      <c r="D702" s="154" t="s">
        <v>2882</v>
      </c>
      <c r="E702" s="159" t="s">
        <v>2883</v>
      </c>
      <c r="F702" s="170" t="s">
        <v>69</v>
      </c>
      <c r="G702" s="155" t="s">
        <v>79</v>
      </c>
      <c r="H702" s="156" t="s">
        <v>2787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2884</v>
      </c>
    </row>
    <row r="703" spans="1:20" ht="15" hidden="1">
      <c r="A703" s="156" t="s">
        <v>2885</v>
      </c>
      <c r="B703" s="137">
        <v>2026</v>
      </c>
      <c r="C703" s="154" t="s">
        <v>22</v>
      </c>
      <c r="D703" s="154" t="s">
        <v>2886</v>
      </c>
      <c r="E703" s="159" t="s">
        <v>2887</v>
      </c>
      <c r="F703" s="170" t="s">
        <v>69</v>
      </c>
      <c r="G703" s="155" t="s">
        <v>79</v>
      </c>
      <c r="H703" s="156" t="s">
        <v>2783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2888</v>
      </c>
    </row>
    <row r="704" spans="1:20" ht="15" hidden="1">
      <c r="A704" s="156" t="s">
        <v>2889</v>
      </c>
      <c r="B704" s="137">
        <v>2026</v>
      </c>
      <c r="C704" s="154" t="s">
        <v>22</v>
      </c>
      <c r="D704" s="154" t="s">
        <v>2890</v>
      </c>
      <c r="E704" s="159" t="s">
        <v>2891</v>
      </c>
      <c r="F704" s="170" t="s">
        <v>69</v>
      </c>
      <c r="G704" s="155" t="s">
        <v>79</v>
      </c>
      <c r="H704" s="156" t="s">
        <v>2892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2714</v>
      </c>
    </row>
    <row r="705" spans="1:21" ht="15" hidden="1">
      <c r="A705" s="156" t="s">
        <v>2893</v>
      </c>
      <c r="B705" s="137">
        <v>2026</v>
      </c>
      <c r="C705" s="154" t="s">
        <v>22</v>
      </c>
      <c r="D705" s="154" t="s">
        <v>2894</v>
      </c>
      <c r="E705" s="159" t="s">
        <v>2895</v>
      </c>
      <c r="F705" s="170" t="s">
        <v>69</v>
      </c>
      <c r="G705" s="155" t="s">
        <v>79</v>
      </c>
      <c r="H705" s="156" t="s">
        <v>2705</v>
      </c>
      <c r="I705" s="156" t="s">
        <v>2705</v>
      </c>
      <c r="J705" s="156" t="s">
        <v>2705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2896</v>
      </c>
    </row>
    <row r="706" spans="1:21" ht="15" hidden="1">
      <c r="A706" s="156" t="s">
        <v>2897</v>
      </c>
      <c r="B706" s="137">
        <v>2026</v>
      </c>
      <c r="C706" s="154" t="s">
        <v>22</v>
      </c>
      <c r="D706" s="154" t="s">
        <v>2898</v>
      </c>
      <c r="E706" s="159" t="s">
        <v>2899</v>
      </c>
      <c r="F706" s="170" t="s">
        <v>69</v>
      </c>
      <c r="G706" s="155" t="s">
        <v>79</v>
      </c>
      <c r="H706" s="156" t="s">
        <v>2900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hidden="1">
      <c r="A707" s="156" t="s">
        <v>2901</v>
      </c>
      <c r="B707" s="137">
        <v>2026</v>
      </c>
      <c r="C707" s="154" t="s">
        <v>22</v>
      </c>
      <c r="D707" s="154" t="s">
        <v>2902</v>
      </c>
      <c r="E707" s="159" t="s">
        <v>2903</v>
      </c>
      <c r="F707" s="170" t="s">
        <v>69</v>
      </c>
      <c r="G707" s="155" t="s">
        <v>79</v>
      </c>
      <c r="H707" s="156" t="s">
        <v>2904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hidden="1">
      <c r="A708" s="156" t="s">
        <v>2905</v>
      </c>
      <c r="B708" s="137">
        <v>2026</v>
      </c>
      <c r="C708" s="154" t="s">
        <v>22</v>
      </c>
      <c r="D708" s="154" t="s">
        <v>2906</v>
      </c>
      <c r="E708" s="159" t="s">
        <v>2907</v>
      </c>
      <c r="F708" s="170" t="s">
        <v>69</v>
      </c>
      <c r="G708" s="155" t="s">
        <v>79</v>
      </c>
      <c r="H708" s="156" t="s">
        <v>2900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2908</v>
      </c>
    </row>
    <row r="709" spans="1:21" ht="15" hidden="1">
      <c r="A709" s="156" t="s">
        <v>2909</v>
      </c>
      <c r="B709" s="137">
        <v>2026</v>
      </c>
      <c r="C709" s="154" t="s">
        <v>2711</v>
      </c>
      <c r="D709" s="154" t="s">
        <v>2910</v>
      </c>
      <c r="E709" s="159" t="s">
        <v>2911</v>
      </c>
      <c r="F709" s="170" t="s">
        <v>24</v>
      </c>
      <c r="G709" s="155" t="s">
        <v>75</v>
      </c>
      <c r="H709" s="156" t="s">
        <v>2912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2913</v>
      </c>
      <c r="U709" s="105"/>
    </row>
    <row r="710" spans="1:21" ht="15" hidden="1">
      <c r="A710" s="156" t="s">
        <v>2914</v>
      </c>
      <c r="B710" s="137">
        <v>2026</v>
      </c>
      <c r="C710" s="154" t="s">
        <v>22</v>
      </c>
      <c r="D710" s="154" t="s">
        <v>2915</v>
      </c>
      <c r="E710" s="159" t="s">
        <v>2916</v>
      </c>
      <c r="F710" s="170" t="s">
        <v>69</v>
      </c>
      <c r="G710" s="155" t="s">
        <v>79</v>
      </c>
      <c r="H710" s="156" t="s">
        <v>2917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hidden="1">
      <c r="A711" s="156" t="s">
        <v>2918</v>
      </c>
      <c r="B711" s="137">
        <v>2026</v>
      </c>
      <c r="C711" s="154" t="s">
        <v>22</v>
      </c>
      <c r="D711" s="154" t="s">
        <v>2919</v>
      </c>
      <c r="E711" s="159" t="s">
        <v>2920</v>
      </c>
      <c r="F711" s="170" t="s">
        <v>24</v>
      </c>
      <c r="G711" s="155" t="s">
        <v>206</v>
      </c>
      <c r="H711" s="156" t="s">
        <v>2900</v>
      </c>
      <c r="I711" s="156" t="s">
        <v>2900</v>
      </c>
      <c r="J711" s="156" t="s">
        <v>2900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2921</v>
      </c>
    </row>
    <row r="712" spans="1:21" ht="15" hidden="1">
      <c r="A712" s="122" t="s">
        <v>2922</v>
      </c>
      <c r="B712" s="137">
        <v>2026</v>
      </c>
      <c r="C712" s="118" t="s">
        <v>22</v>
      </c>
      <c r="D712" s="122" t="s">
        <v>2923</v>
      </c>
      <c r="E712" s="119" t="s">
        <v>2924</v>
      </c>
      <c r="F712" s="120" t="s">
        <v>69</v>
      </c>
      <c r="G712" s="121" t="s">
        <v>79</v>
      </c>
      <c r="H712" s="122" t="s">
        <v>2925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>
      <c r="A713" s="122" t="s">
        <v>2926</v>
      </c>
      <c r="B713" s="137">
        <v>2026</v>
      </c>
      <c r="C713" s="118" t="s">
        <v>22</v>
      </c>
      <c r="D713" s="122" t="s">
        <v>2923</v>
      </c>
      <c r="E713" s="119" t="s">
        <v>2927</v>
      </c>
      <c r="F713" s="120" t="s">
        <v>69</v>
      </c>
      <c r="G713" s="121" t="s">
        <v>79</v>
      </c>
      <c r="H713" s="122" t="s">
        <v>2928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2929</v>
      </c>
      <c r="B714" s="137">
        <v>2026</v>
      </c>
      <c r="C714" s="154" t="s">
        <v>22</v>
      </c>
      <c r="D714" s="154" t="s">
        <v>2930</v>
      </c>
      <c r="E714" s="159" t="s">
        <v>2931</v>
      </c>
      <c r="F714" s="170" t="s">
        <v>88</v>
      </c>
      <c r="G714" s="155" t="s">
        <v>2718</v>
      </c>
      <c r="H714" s="156" t="s">
        <v>2932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2933</v>
      </c>
    </row>
    <row r="715" spans="1:21" ht="30">
      <c r="A715" s="156" t="s">
        <v>2934</v>
      </c>
      <c r="B715" s="137">
        <v>2026</v>
      </c>
      <c r="C715" s="154" t="s">
        <v>22</v>
      </c>
      <c r="D715" s="154" t="s">
        <v>2930</v>
      </c>
      <c r="E715" s="159" t="s">
        <v>2935</v>
      </c>
      <c r="F715" s="170" t="s">
        <v>88</v>
      </c>
      <c r="G715" s="155" t="s">
        <v>2718</v>
      </c>
      <c r="H715" s="156" t="s">
        <v>2936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2933</v>
      </c>
    </row>
    <row r="716" spans="1:21" ht="15">
      <c r="A716" s="156" t="s">
        <v>2937</v>
      </c>
      <c r="B716" s="137">
        <v>2026</v>
      </c>
      <c r="C716" s="154" t="s">
        <v>2711</v>
      </c>
      <c r="D716" s="154" t="s">
        <v>2930</v>
      </c>
      <c r="E716" s="159" t="s">
        <v>2938</v>
      </c>
      <c r="F716" s="170" t="s">
        <v>88</v>
      </c>
      <c r="G716" s="155" t="s">
        <v>2718</v>
      </c>
      <c r="H716" s="156" t="s">
        <v>2939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2940</v>
      </c>
      <c r="B717" s="137">
        <v>2026</v>
      </c>
      <c r="C717" s="154" t="s">
        <v>2711</v>
      </c>
      <c r="D717" s="154" t="s">
        <v>2930</v>
      </c>
      <c r="E717" s="159" t="s">
        <v>2941</v>
      </c>
      <c r="F717" s="170" t="s">
        <v>88</v>
      </c>
      <c r="G717" s="155" t="s">
        <v>2718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2943</v>
      </c>
      <c r="B718" s="137">
        <v>2026</v>
      </c>
      <c r="C718" s="154" t="s">
        <v>2711</v>
      </c>
      <c r="D718" s="154" t="s">
        <v>2930</v>
      </c>
      <c r="E718" s="159" t="s">
        <v>2944</v>
      </c>
      <c r="F718" s="170" t="s">
        <v>88</v>
      </c>
      <c r="G718" s="155" t="s">
        <v>2718</v>
      </c>
      <c r="H718" s="156" t="s">
        <v>2945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2946</v>
      </c>
      <c r="B719" s="137">
        <v>2026</v>
      </c>
      <c r="C719" s="154" t="s">
        <v>2711</v>
      </c>
      <c r="D719" s="154" t="s">
        <v>2930</v>
      </c>
      <c r="E719" s="159" t="s">
        <v>2947</v>
      </c>
      <c r="F719" s="170" t="s">
        <v>88</v>
      </c>
      <c r="G719" s="155" t="s">
        <v>2718</v>
      </c>
      <c r="H719" s="156" t="s">
        <v>2948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2949</v>
      </c>
      <c r="B720" s="137">
        <v>2026</v>
      </c>
      <c r="C720" s="118" t="s">
        <v>22</v>
      </c>
      <c r="D720" s="118" t="s">
        <v>2950</v>
      </c>
      <c r="E720" s="119" t="s">
        <v>2951</v>
      </c>
      <c r="F720" s="120" t="s">
        <v>24</v>
      </c>
      <c r="G720" s="121" t="s">
        <v>206</v>
      </c>
      <c r="H720" s="122" t="s">
        <v>2952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2953</v>
      </c>
    </row>
    <row r="721" spans="1:20" ht="45">
      <c r="A721" s="122" t="s">
        <v>2954</v>
      </c>
      <c r="B721" s="137">
        <v>2026</v>
      </c>
      <c r="C721" s="137" t="s">
        <v>22</v>
      </c>
      <c r="D721" s="137" t="s">
        <v>2930</v>
      </c>
      <c r="E721" s="138" t="s">
        <v>2955</v>
      </c>
      <c r="F721" s="144" t="s">
        <v>88</v>
      </c>
      <c r="G721" s="150" t="s">
        <v>2718</v>
      </c>
      <c r="H721" s="140" t="s">
        <v>2956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2957</v>
      </c>
    </row>
    <row r="722" spans="1:20" ht="45">
      <c r="A722" s="122" t="s">
        <v>2958</v>
      </c>
      <c r="B722" s="118">
        <v>2026</v>
      </c>
      <c r="C722" s="118" t="s">
        <v>22</v>
      </c>
      <c r="D722" s="118" t="s">
        <v>2930</v>
      </c>
      <c r="E722" s="119" t="s">
        <v>2959</v>
      </c>
      <c r="F722" s="120" t="s">
        <v>88</v>
      </c>
      <c r="G722" s="146" t="s">
        <v>2718</v>
      </c>
      <c r="H722" s="122" t="s">
        <v>2960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2961</v>
      </c>
    </row>
    <row r="723" spans="1:20" ht="15" hidden="1">
      <c r="A723" s="122" t="s">
        <v>2962</v>
      </c>
      <c r="B723" s="137">
        <v>2026</v>
      </c>
      <c r="C723" s="154" t="s">
        <v>22</v>
      </c>
      <c r="D723" s="154" t="s">
        <v>2963</v>
      </c>
      <c r="E723" s="159" t="s">
        <v>2964</v>
      </c>
      <c r="F723" s="170" t="s">
        <v>88</v>
      </c>
      <c r="G723" s="155" t="s">
        <v>2718</v>
      </c>
      <c r="H723" s="156" t="s">
        <v>2965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 hidden="1">
      <c r="A724" s="156" t="s">
        <v>2966</v>
      </c>
      <c r="B724" s="172">
        <v>2026</v>
      </c>
      <c r="C724" s="154" t="s">
        <v>22</v>
      </c>
      <c r="D724" s="154" t="s">
        <v>2967</v>
      </c>
      <c r="E724" s="159" t="s">
        <v>2968</v>
      </c>
      <c r="F724" s="170" t="s">
        <v>88</v>
      </c>
      <c r="G724" s="155" t="s">
        <v>2718</v>
      </c>
      <c r="H724" s="156" t="s">
        <v>2969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>
      <c r="A725" s="156" t="s">
        <v>2970</v>
      </c>
      <c r="B725" s="154">
        <v>2026</v>
      </c>
      <c r="C725" s="154" t="s">
        <v>22</v>
      </c>
      <c r="D725" s="154" t="s">
        <v>2963</v>
      </c>
      <c r="E725" s="159" t="s">
        <v>2971</v>
      </c>
      <c r="F725" s="170" t="s">
        <v>88</v>
      </c>
      <c r="G725" s="155" t="s">
        <v>2718</v>
      </c>
      <c r="H725" s="156" t="s">
        <v>2972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>
      <c r="A726" s="156" t="s">
        <v>2973</v>
      </c>
      <c r="B726" s="154">
        <v>2026</v>
      </c>
      <c r="C726" s="154" t="s">
        <v>2711</v>
      </c>
      <c r="D726" s="154" t="s">
        <v>2963</v>
      </c>
      <c r="E726" s="159" t="s">
        <v>2974</v>
      </c>
      <c r="F726" s="170" t="s">
        <v>88</v>
      </c>
      <c r="G726" s="155" t="s">
        <v>2718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hidden="1">
      <c r="A727" s="156" t="s">
        <v>2975</v>
      </c>
      <c r="B727" s="154">
        <v>2026</v>
      </c>
      <c r="C727" s="154" t="s">
        <v>2711</v>
      </c>
      <c r="D727" s="154" t="s">
        <v>2963</v>
      </c>
      <c r="E727" s="159" t="s">
        <v>2976</v>
      </c>
      <c r="F727" s="170" t="s">
        <v>88</v>
      </c>
      <c r="G727" s="155" t="s">
        <v>2718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hidden="1">
      <c r="A728" s="156" t="s">
        <v>2977</v>
      </c>
      <c r="B728" s="154">
        <v>2026</v>
      </c>
      <c r="C728" s="154" t="s">
        <v>22</v>
      </c>
      <c r="D728" s="154" t="s">
        <v>2963</v>
      </c>
      <c r="E728" s="159" t="s">
        <v>2978</v>
      </c>
      <c r="F728" s="170" t="s">
        <v>88</v>
      </c>
      <c r="G728" s="155" t="s">
        <v>2718</v>
      </c>
      <c r="H728" s="156" t="s">
        <v>2979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 hidden="1">
      <c r="A729" s="156" t="s">
        <v>2980</v>
      </c>
      <c r="B729" s="154">
        <v>2026</v>
      </c>
      <c r="C729" s="154" t="s">
        <v>2711</v>
      </c>
      <c r="D729" s="154" t="s">
        <v>2963</v>
      </c>
      <c r="E729" s="159" t="s">
        <v>2981</v>
      </c>
      <c r="F729" s="170" t="s">
        <v>88</v>
      </c>
      <c r="G729" s="155" t="s">
        <v>2718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hidden="1">
      <c r="A730" s="156" t="s">
        <v>2982</v>
      </c>
      <c r="B730" s="154">
        <v>2026</v>
      </c>
      <c r="C730" s="154" t="s">
        <v>2711</v>
      </c>
      <c r="D730" s="154" t="s">
        <v>2963</v>
      </c>
      <c r="E730" s="201" t="s">
        <v>2983</v>
      </c>
      <c r="F730" s="170" t="s">
        <v>88</v>
      </c>
      <c r="G730" s="155" t="s">
        <v>2718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hidden="1">
      <c r="A731" s="156" t="s">
        <v>2984</v>
      </c>
      <c r="B731" s="154">
        <v>2026</v>
      </c>
      <c r="C731" s="154" t="s">
        <v>2711</v>
      </c>
      <c r="D731" s="154" t="s">
        <v>2963</v>
      </c>
      <c r="E731" s="201" t="s">
        <v>2985</v>
      </c>
      <c r="F731" s="170" t="s">
        <v>88</v>
      </c>
      <c r="G731" s="155" t="s">
        <v>2718</v>
      </c>
      <c r="H731" s="156" t="s">
        <v>2986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hidden="1">
      <c r="A732" s="156" t="s">
        <v>2987</v>
      </c>
      <c r="B732" s="154">
        <v>2026</v>
      </c>
      <c r="C732" s="154" t="s">
        <v>2711</v>
      </c>
      <c r="D732" s="154" t="s">
        <v>2988</v>
      </c>
      <c r="E732" s="159" t="s">
        <v>2989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hidden="1">
      <c r="A733" s="156" t="s">
        <v>2990</v>
      </c>
      <c r="B733" s="154">
        <v>2026</v>
      </c>
      <c r="C733" s="154" t="s">
        <v>2711</v>
      </c>
      <c r="D733" s="154"/>
      <c r="E733" s="201" t="s">
        <v>2991</v>
      </c>
      <c r="F733" s="170" t="s">
        <v>24</v>
      </c>
      <c r="G733" s="155" t="s">
        <v>2718</v>
      </c>
      <c r="H733" s="156" t="s">
        <v>2992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hidden="1">
      <c r="A734" s="156" t="s">
        <v>2993</v>
      </c>
      <c r="B734" s="154">
        <v>2026</v>
      </c>
      <c r="C734" s="154" t="s">
        <v>2711</v>
      </c>
      <c r="D734" s="154" t="s">
        <v>2994</v>
      </c>
      <c r="E734" s="159" t="s">
        <v>2995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hidden="1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2996</v>
      </c>
      <c r="E735" s="159" t="s">
        <v>2997</v>
      </c>
      <c r="F735" s="170" t="s">
        <v>24</v>
      </c>
      <c r="G735" s="155" t="s">
        <v>206</v>
      </c>
      <c r="H735" s="156" t="s">
        <v>2998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2999</v>
      </c>
    </row>
    <row r="736" spans="1:20" ht="15" hidden="1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2790</v>
      </c>
      <c r="D736" s="154" t="s">
        <v>3000</v>
      </c>
      <c r="E736" s="159" t="s">
        <v>3001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hidden="1">
      <c r="A737" s="156" t="s">
        <v>3002</v>
      </c>
      <c r="B737" s="154">
        <v>2026</v>
      </c>
      <c r="C737" s="154" t="s">
        <v>22</v>
      </c>
      <c r="D737" s="154" t="s">
        <v>3003</v>
      </c>
      <c r="E737" s="159" t="s">
        <v>3004</v>
      </c>
      <c r="F737" s="170" t="s">
        <v>69</v>
      </c>
      <c r="G737" s="155" t="s">
        <v>79</v>
      </c>
      <c r="H737" s="156" t="s">
        <v>3005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2714</v>
      </c>
    </row>
    <row r="738" spans="1:20" ht="15" hidden="1">
      <c r="A738" s="156" t="s">
        <v>3006</v>
      </c>
      <c r="B738" s="154">
        <v>2026</v>
      </c>
      <c r="C738" s="154" t="s">
        <v>22</v>
      </c>
      <c r="D738" s="154" t="s">
        <v>3007</v>
      </c>
      <c r="E738" s="159" t="s">
        <v>3008</v>
      </c>
      <c r="F738" s="170" t="s">
        <v>69</v>
      </c>
      <c r="G738" s="155" t="s">
        <v>2695</v>
      </c>
      <c r="H738" s="156" t="s">
        <v>3009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3010</v>
      </c>
    </row>
    <row r="739" spans="1:20" ht="15" hidden="1">
      <c r="A739" s="156" t="s">
        <v>3011</v>
      </c>
      <c r="B739" s="154">
        <v>2026</v>
      </c>
      <c r="C739" s="154" t="s">
        <v>22</v>
      </c>
      <c r="D739" s="154" t="s">
        <v>3012</v>
      </c>
      <c r="E739" s="159" t="s">
        <v>3013</v>
      </c>
      <c r="F739" s="170" t="s">
        <v>24</v>
      </c>
      <c r="G739" s="155" t="s">
        <v>2700</v>
      </c>
      <c r="H739" s="156" t="s">
        <v>3014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hidden="1">
      <c r="A740" s="156" t="s">
        <v>3015</v>
      </c>
      <c r="B740" s="154">
        <v>2026</v>
      </c>
      <c r="C740" s="154" t="s">
        <v>2711</v>
      </c>
      <c r="D740" s="154" t="s">
        <v>3016</v>
      </c>
      <c r="E740" s="159" t="s">
        <v>3017</v>
      </c>
      <c r="F740" s="170" t="s">
        <v>24</v>
      </c>
      <c r="G740" s="155" t="s">
        <v>2700</v>
      </c>
      <c r="H740" s="156" t="s">
        <v>3018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hidden="1">
      <c r="A741" s="156" t="s">
        <v>3019</v>
      </c>
      <c r="B741" s="154">
        <v>2026</v>
      </c>
      <c r="C741" s="154" t="s">
        <v>2711</v>
      </c>
      <c r="D741" s="154" t="s">
        <v>3020</v>
      </c>
      <c r="E741" s="159" t="s">
        <v>3021</v>
      </c>
      <c r="F741" s="170" t="s">
        <v>24</v>
      </c>
      <c r="G741" s="155" t="s">
        <v>2700</v>
      </c>
      <c r="H741" s="156" t="s">
        <v>3022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2827</v>
      </c>
    </row>
    <row r="742" spans="1:20" ht="15" hidden="1">
      <c r="A742" s="156" t="s">
        <v>3023</v>
      </c>
      <c r="B742" s="154">
        <v>2026</v>
      </c>
      <c r="C742" s="154" t="s">
        <v>2711</v>
      </c>
      <c r="D742" s="154" t="s">
        <v>3020</v>
      </c>
      <c r="E742" s="159" t="s">
        <v>3024</v>
      </c>
      <c r="F742" s="170" t="s">
        <v>24</v>
      </c>
      <c r="G742" s="155" t="s">
        <v>2700</v>
      </c>
      <c r="H742" s="156" t="s">
        <v>3025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2827</v>
      </c>
    </row>
    <row r="743" spans="1:20" ht="15" hidden="1">
      <c r="A743" s="156" t="s">
        <v>3026</v>
      </c>
      <c r="B743" s="154">
        <v>2027</v>
      </c>
      <c r="C743" s="154" t="s">
        <v>2711</v>
      </c>
      <c r="D743" s="154" t="s">
        <v>3027</v>
      </c>
      <c r="E743" s="159" t="s">
        <v>3028</v>
      </c>
      <c r="F743" s="170" t="s">
        <v>24</v>
      </c>
      <c r="G743" s="155" t="s">
        <v>206</v>
      </c>
      <c r="H743" s="156" t="s">
        <v>3029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2999</v>
      </c>
    </row>
    <row r="744" spans="1:20" ht="15" hidden="1">
      <c r="A744" s="156" t="s">
        <v>3030</v>
      </c>
      <c r="B744" s="154">
        <v>2026</v>
      </c>
      <c r="C744" s="154" t="s">
        <v>2711</v>
      </c>
      <c r="D744" s="154" t="s">
        <v>3031</v>
      </c>
      <c r="E744" s="166" t="s">
        <v>3032</v>
      </c>
      <c r="F744" s="170" t="s">
        <v>24</v>
      </c>
      <c r="G744" s="155" t="s">
        <v>206</v>
      </c>
      <c r="H744" s="156" t="s">
        <v>3033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hidden="1">
      <c r="A745" s="156" t="s">
        <v>3034</v>
      </c>
      <c r="B745" s="154">
        <v>2026</v>
      </c>
      <c r="C745" s="154" t="s">
        <v>2711</v>
      </c>
      <c r="D745" s="154" t="s">
        <v>3031</v>
      </c>
      <c r="E745" s="166" t="s">
        <v>3035</v>
      </c>
      <c r="F745" s="170" t="s">
        <v>24</v>
      </c>
      <c r="G745" s="155" t="s">
        <v>206</v>
      </c>
      <c r="H745" s="156" t="s">
        <v>3036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hidden="1">
      <c r="A746" s="156" t="s">
        <v>3037</v>
      </c>
      <c r="B746" s="154">
        <v>2026</v>
      </c>
      <c r="C746" s="154" t="s">
        <v>2711</v>
      </c>
      <c r="D746" s="154" t="s">
        <v>3038</v>
      </c>
      <c r="E746" s="166" t="s">
        <v>3039</v>
      </c>
      <c r="F746" s="170" t="s">
        <v>24</v>
      </c>
      <c r="G746" s="155" t="s">
        <v>206</v>
      </c>
      <c r="H746" s="156" t="s">
        <v>3040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3041</v>
      </c>
    </row>
    <row r="747" spans="1:20" ht="15" hidden="1">
      <c r="A747" s="156" t="s">
        <v>3042</v>
      </c>
      <c r="B747" s="154">
        <v>2026</v>
      </c>
      <c r="C747" s="154" t="s">
        <v>2711</v>
      </c>
      <c r="D747" s="154" t="s">
        <v>3043</v>
      </c>
      <c r="E747" s="166" t="s">
        <v>3044</v>
      </c>
      <c r="F747" s="170" t="s">
        <v>24</v>
      </c>
      <c r="G747" s="155" t="s">
        <v>206</v>
      </c>
      <c r="H747" s="156" t="s">
        <v>3045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hidden="1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 hidden="1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 hidden="1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3046</v>
      </c>
      <c r="H1" s="168" t="s">
        <v>3047</v>
      </c>
    </row>
    <row r="2" spans="1:8">
      <c r="H2" s="167" t="s">
        <v>3048</v>
      </c>
    </row>
    <row r="3" spans="1:8">
      <c r="A3" t="s">
        <v>0</v>
      </c>
      <c r="B3" t="s">
        <v>19</v>
      </c>
      <c r="C3" t="s">
        <v>3049</v>
      </c>
      <c r="D3" t="s">
        <v>3050</v>
      </c>
      <c r="E3" t="s">
        <v>3051</v>
      </c>
      <c r="H3" s="167" t="s">
        <v>3052</v>
      </c>
    </row>
    <row r="4" spans="1:8">
      <c r="A4">
        <v>1</v>
      </c>
      <c r="B4" t="s">
        <v>3053</v>
      </c>
      <c r="D4" t="s">
        <v>3054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3055</v>
      </c>
    </row>
    <row r="5" spans="1:8">
      <c r="A5">
        <v>2</v>
      </c>
      <c r="B5" t="s">
        <v>2507</v>
      </c>
      <c r="D5" t="s">
        <v>3054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3056</v>
      </c>
    </row>
    <row r="6" spans="1:8">
      <c r="A6">
        <v>3</v>
      </c>
      <c r="B6" t="s">
        <v>1030</v>
      </c>
      <c r="D6" t="s">
        <v>3054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3057</v>
      </c>
      <c r="D7" t="s">
        <v>3054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3058</v>
      </c>
    </row>
    <row r="8" spans="1:8">
      <c r="A8">
        <v>5</v>
      </c>
      <c r="B8" t="s">
        <v>3059</v>
      </c>
      <c r="D8" t="s">
        <v>3054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3054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3054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3054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3054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3054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3054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3054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3054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3054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3054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3054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3054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3054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3054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3060</v>
      </c>
      <c r="D23" t="s">
        <v>3054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3054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3061</v>
      </c>
      <c r="D25" t="s">
        <v>3054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3062</v>
      </c>
      <c r="D26" t="s">
        <v>3054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3054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3054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3063</v>
      </c>
      <c r="D29" t="s">
        <v>3054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3054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3054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3054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3064</v>
      </c>
      <c r="D33" t="s">
        <v>3054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3065</v>
      </c>
      <c r="D34" t="s">
        <v>3054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3054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3054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3054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3066</v>
      </c>
      <c r="D38" t="s">
        <v>3054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3067</v>
      </c>
      <c r="D39" t="s">
        <v>3054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3054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3068</v>
      </c>
      <c r="D41" t="s">
        <v>3054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3054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3054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3069</v>
      </c>
      <c r="D44" t="s">
        <v>3054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3054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3054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3054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3054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3070</v>
      </c>
      <c r="D49" t="s">
        <v>3054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3054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3071</v>
      </c>
      <c r="D51" t="s">
        <v>3054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3054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3054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3072</v>
      </c>
      <c r="D54" t="s">
        <v>3054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3054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3054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3054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3073</v>
      </c>
      <c r="D58" t="s">
        <v>3054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3054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3054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3074</v>
      </c>
      <c r="D61" t="s">
        <v>3054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3075</v>
      </c>
      <c r="D62" t="s">
        <v>3054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3076</v>
      </c>
      <c r="D63" t="s">
        <v>3054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3077</v>
      </c>
      <c r="D64" t="s">
        <v>3054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3054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3054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3078</v>
      </c>
      <c r="D67" t="s">
        <v>3054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3079</v>
      </c>
      <c r="D68" t="s">
        <v>3054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3054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3080</v>
      </c>
      <c r="D70" t="s">
        <v>3054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2671</v>
      </c>
      <c r="D71" t="s">
        <v>3054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3054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3054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3081</v>
      </c>
      <c r="D74" t="s">
        <v>3054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3054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3054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3054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3054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3082</v>
      </c>
      <c r="D79" t="s">
        <v>3054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3083</v>
      </c>
      <c r="D80" t="s">
        <v>3054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3084</v>
      </c>
      <c r="D81" t="s">
        <v>3054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3085</v>
      </c>
      <c r="D82" t="s">
        <v>3054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3054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3086</v>
      </c>
      <c r="D84" t="s">
        <v>3054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3054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3087</v>
      </c>
      <c r="D86" t="s">
        <v>3054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3088</v>
      </c>
      <c r="D87" t="s">
        <v>3054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3089</v>
      </c>
      <c r="D88" t="s">
        <v>3054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3090</v>
      </c>
      <c r="D89" t="s">
        <v>3054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3091</v>
      </c>
      <c r="D90" t="s">
        <v>3054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3092</v>
      </c>
      <c r="D91" t="s">
        <v>3054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3093</v>
      </c>
      <c r="D92" t="s">
        <v>3054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3094</v>
      </c>
      <c r="D93" t="s">
        <v>3054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3095</v>
      </c>
      <c r="D94" t="s">
        <v>3054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3054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3096</v>
      </c>
      <c r="D96" t="s">
        <v>3054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3054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3097</v>
      </c>
      <c r="D98" t="s">
        <v>3054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3098</v>
      </c>
      <c r="D99" t="s">
        <v>3054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3099</v>
      </c>
      <c r="D100" t="s">
        <v>3054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3100</v>
      </c>
      <c r="D101" t="s">
        <v>3054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3054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3101</v>
      </c>
      <c r="D103" t="s">
        <v>3054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3102</v>
      </c>
      <c r="D104" t="s">
        <v>3054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3103</v>
      </c>
      <c r="D105" t="s">
        <v>3054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3054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3054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3104</v>
      </c>
      <c r="D108" t="s">
        <v>3054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3105</v>
      </c>
      <c r="D109" t="s">
        <v>3054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3106</v>
      </c>
      <c r="C1" s="18" t="s">
        <v>3107</v>
      </c>
      <c r="D1" s="18" t="s">
        <v>4</v>
      </c>
      <c r="E1" s="18" t="s">
        <v>3108</v>
      </c>
      <c r="F1" s="18" t="s">
        <v>19</v>
      </c>
      <c r="G1" s="18" t="s">
        <v>3109</v>
      </c>
      <c r="H1" s="18" t="s">
        <v>3110</v>
      </c>
      <c r="I1" s="18" t="s">
        <v>3111</v>
      </c>
      <c r="J1" s="18" t="s">
        <v>3112</v>
      </c>
      <c r="L1" s="110" t="s">
        <v>3113</v>
      </c>
      <c r="M1" s="22">
        <v>2026</v>
      </c>
      <c r="U1" s="79" t="s">
        <v>3114</v>
      </c>
      <c r="V1" s="78"/>
      <c r="X1" s="77" t="s">
        <v>3115</v>
      </c>
      <c r="Y1" s="26"/>
      <c r="Z1" s="26"/>
      <c r="AA1" s="26"/>
      <c r="AC1" s="99" t="s">
        <v>3116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3117</v>
      </c>
      <c r="M2" s="106" t="s">
        <v>2929</v>
      </c>
      <c r="X2" s="112" t="s">
        <v>3106</v>
      </c>
      <c r="Y2" s="112" t="s">
        <v>19</v>
      </c>
      <c r="Z2" s="112" t="s">
        <v>3118</v>
      </c>
      <c r="AA2" s="112" t="s">
        <v>3119</v>
      </c>
      <c r="AC2" s="113" t="s">
        <v>1</v>
      </c>
      <c r="AD2" s="113" t="s">
        <v>3120</v>
      </c>
      <c r="AE2" s="113" t="s">
        <v>3121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3122</v>
      </c>
      <c r="M3" s="111" t="s">
        <v>3123</v>
      </c>
      <c r="N3" s="111" t="s">
        <v>3124</v>
      </c>
      <c r="O3" s="111" t="s">
        <v>3125</v>
      </c>
      <c r="P3" s="111" t="s">
        <v>3126</v>
      </c>
      <c r="Q3" s="111" t="s">
        <v>3127</v>
      </c>
      <c r="R3" s="111" t="s">
        <v>3128</v>
      </c>
      <c r="S3" s="111" t="s">
        <v>3129</v>
      </c>
      <c r="T3" s="111" t="s">
        <v>3130</v>
      </c>
      <c r="X3" t="s">
        <v>2836</v>
      </c>
      <c r="Y3" t="s">
        <v>3067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3131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3067</v>
      </c>
      <c r="Z6">
        <v>1</v>
      </c>
      <c r="AA6">
        <v>0</v>
      </c>
      <c r="AC6" s="96">
        <v>2026</v>
      </c>
      <c r="AD6" s="17" t="s">
        <v>3132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7" t="s">
        <v>3061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7" t="s">
        <v>3079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7" t="s">
        <v>3061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7" t="s">
        <v>3079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7" t="s">
        <v>3061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7" t="s">
        <v>3079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3067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3067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3102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3098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3080</v>
      </c>
      <c r="Z33">
        <v>4</v>
      </c>
      <c r="AA33">
        <v>0.6</v>
      </c>
      <c r="AC33" s="98"/>
      <c r="AD33" s="114" t="s">
        <v>3133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3081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3072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3089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2687</v>
      </c>
      <c r="Y45" t="s">
        <v>3088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2687</v>
      </c>
      <c r="Y46" t="s">
        <v>3100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2687</v>
      </c>
      <c r="Y47" t="s">
        <v>3097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2687</v>
      </c>
      <c r="Y48" t="s">
        <v>3099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2687</v>
      </c>
      <c r="Y49" t="s">
        <v>3096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2687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2687</v>
      </c>
      <c r="Y51" t="s">
        <v>3134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2687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2687</v>
      </c>
      <c r="Y53" t="s">
        <v>3103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2687</v>
      </c>
      <c r="Y54" t="s">
        <v>3101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3088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2749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2749</v>
      </c>
      <c r="Y58" s="109" t="s">
        <v>3095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2749</v>
      </c>
      <c r="Y59" t="s">
        <v>3094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2749</v>
      </c>
      <c r="Y60" t="s">
        <v>3093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3085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2962</v>
      </c>
      <c r="Y68" t="s">
        <v>3083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3067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3072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3086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3090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3087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3091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3073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3073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3073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3135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3135</v>
      </c>
      <c r="Y87" t="s">
        <v>3085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3135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3136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3137</v>
      </c>
      <c r="B4" s="214"/>
      <c r="D4" s="215" t="s">
        <v>3138</v>
      </c>
      <c r="E4" s="216"/>
      <c r="G4" s="44" t="s">
        <v>3139</v>
      </c>
    </row>
    <row r="5" spans="1:7" ht="54.95" customHeight="1" thickBot="1">
      <c r="A5" s="34">
        <f>COUNTIF('Ações InCompany'!B:B,2026)</f>
        <v>90</v>
      </c>
      <c r="B5" s="35" t="s">
        <v>3140</v>
      </c>
      <c r="D5" s="42">
        <f>COUNTIFS('Ações InCompany'!B:B,2026,'Ações InCompany'!C:C,"Realizado")</f>
        <v>59</v>
      </c>
      <c r="E5" s="43" t="s">
        <v>3140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3141</v>
      </c>
      <c r="B8" s="211"/>
      <c r="D8" s="211" t="s">
        <v>3142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3143</v>
      </c>
      <c r="D10" s="27" t="s">
        <v>3144</v>
      </c>
      <c r="E10" s="27" t="s">
        <v>3145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3146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3147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3148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3149</v>
      </c>
      <c r="B14" s="33">
        <f>SUM(B11:B13)</f>
        <v>59</v>
      </c>
      <c r="D14" s="32" t="s">
        <v>3150</v>
      </c>
      <c r="E14" s="33">
        <f>SUM(E11:E13)</f>
        <v>3263</v>
      </c>
    </row>
    <row r="30" spans="1:5" ht="17.25">
      <c r="A30" s="211" t="s">
        <v>3151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3152</v>
      </c>
      <c r="C32" s="27" t="s">
        <v>3153</v>
      </c>
      <c r="D32" s="27" t="s">
        <v>3154</v>
      </c>
      <c r="E32" s="27" t="s">
        <v>3155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2695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3156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3157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3149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3158</v>
      </c>
      <c r="B1" s="11" t="s">
        <v>3159</v>
      </c>
      <c r="C1" s="12" t="s">
        <v>3160</v>
      </c>
      <c r="D1" s="12" t="s">
        <v>3161</v>
      </c>
      <c r="E1" s="12" t="s">
        <v>3162</v>
      </c>
    </row>
    <row r="2" spans="1:5" ht="18" customHeight="1">
      <c r="A2" s="11" t="s">
        <v>3163</v>
      </c>
      <c r="B2" s="11" t="s">
        <v>3164</v>
      </c>
      <c r="C2" s="11" t="s">
        <v>1736</v>
      </c>
      <c r="D2" s="11" t="s">
        <v>3165</v>
      </c>
      <c r="E2" s="11" t="s">
        <v>3166</v>
      </c>
    </row>
    <row r="3" spans="1:5" ht="18" customHeight="1">
      <c r="A3" s="11" t="s">
        <v>3163</v>
      </c>
      <c r="B3" s="11" t="s">
        <v>3164</v>
      </c>
      <c r="C3" s="13" t="s">
        <v>25</v>
      </c>
      <c r="D3" s="11" t="s">
        <v>3167</v>
      </c>
      <c r="E3" s="11" t="s">
        <v>3168</v>
      </c>
    </row>
    <row r="4" spans="1:5" ht="18" customHeight="1">
      <c r="A4" s="11" t="s">
        <v>3163</v>
      </c>
      <c r="B4" s="11" t="s">
        <v>3164</v>
      </c>
      <c r="C4" s="11" t="s">
        <v>75</v>
      </c>
      <c r="D4" s="11" t="s">
        <v>3165</v>
      </c>
      <c r="E4" s="11" t="s">
        <v>3169</v>
      </c>
    </row>
    <row r="5" spans="1:5" ht="18" customHeight="1">
      <c r="A5" s="11" t="s">
        <v>3163</v>
      </c>
      <c r="B5" s="11" t="s">
        <v>3164</v>
      </c>
      <c r="C5" s="11" t="s">
        <v>79</v>
      </c>
      <c r="D5" s="11" t="s">
        <v>3170</v>
      </c>
      <c r="E5" s="11" t="s">
        <v>3171</v>
      </c>
    </row>
    <row r="6" spans="1:5" ht="18" customHeight="1">
      <c r="A6" s="11" t="s">
        <v>3163</v>
      </c>
      <c r="B6" s="11" t="s">
        <v>3164</v>
      </c>
      <c r="C6" s="11" t="s">
        <v>2718</v>
      </c>
      <c r="D6" s="11" t="s">
        <v>3172</v>
      </c>
      <c r="E6" s="11" t="s">
        <v>3173</v>
      </c>
    </row>
    <row r="7" spans="1:5" ht="18" customHeight="1">
      <c r="A7" s="11" t="s">
        <v>3163</v>
      </c>
      <c r="B7" s="11" t="s">
        <v>3174</v>
      </c>
      <c r="C7" s="11" t="s">
        <v>36</v>
      </c>
      <c r="D7" s="11" t="s">
        <v>3175</v>
      </c>
      <c r="E7" s="11" t="s">
        <v>3176</v>
      </c>
    </row>
    <row r="8" spans="1:5" ht="18" customHeight="1">
      <c r="A8" s="11" t="s">
        <v>3163</v>
      </c>
      <c r="B8" s="11" t="s">
        <v>3174</v>
      </c>
      <c r="C8" s="11" t="s">
        <v>42</v>
      </c>
      <c r="D8" s="11" t="s">
        <v>3177</v>
      </c>
      <c r="E8" s="11" t="s">
        <v>3178</v>
      </c>
    </row>
    <row r="9" spans="1:5" ht="18" customHeight="1">
      <c r="A9" s="11" t="s">
        <v>3163</v>
      </c>
      <c r="B9" s="11" t="s">
        <v>3179</v>
      </c>
      <c r="C9" s="11" t="s">
        <v>464</v>
      </c>
      <c r="D9" s="11" t="s">
        <v>3180</v>
      </c>
      <c r="E9" s="11" t="s">
        <v>3181</v>
      </c>
    </row>
    <row r="10" spans="1:5" ht="18" customHeight="1">
      <c r="A10" s="11" t="s">
        <v>3163</v>
      </c>
      <c r="B10" s="11" t="s">
        <v>3179</v>
      </c>
      <c r="C10" s="11" t="s">
        <v>206</v>
      </c>
      <c r="D10" s="11" t="s">
        <v>24</v>
      </c>
      <c r="E10" s="11" t="s">
        <v>3182</v>
      </c>
    </row>
    <row r="11" spans="1:5" ht="18" customHeight="1">
      <c r="A11" s="11" t="s">
        <v>3163</v>
      </c>
      <c r="B11" s="11" t="s">
        <v>3179</v>
      </c>
      <c r="C11" s="11" t="s">
        <v>371</v>
      </c>
      <c r="D11" s="11" t="s">
        <v>24</v>
      </c>
      <c r="E11" s="11" t="s">
        <v>3183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3184</v>
      </c>
      <c r="B1" s="5" t="s">
        <v>10</v>
      </c>
      <c r="C1" s="14" t="s">
        <v>3185</v>
      </c>
      <c r="D1" s="14" t="s">
        <v>3107</v>
      </c>
    </row>
    <row r="2" spans="1:4" ht="21" customHeight="1">
      <c r="A2" s="102" t="s">
        <v>24</v>
      </c>
      <c r="B2" s="102" t="s">
        <v>38</v>
      </c>
      <c r="C2" s="11" t="s">
        <v>3186</v>
      </c>
      <c r="D2" s="11" t="s">
        <v>2711</v>
      </c>
    </row>
    <row r="3" spans="1:4" ht="21" customHeight="1">
      <c r="A3" s="11" t="s">
        <v>69</v>
      </c>
      <c r="B3" s="102" t="s">
        <v>27</v>
      </c>
      <c r="C3" s="11" t="s">
        <v>3187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2790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3158</v>
      </c>
      <c r="B1" s="11" t="s">
        <v>3159</v>
      </c>
      <c r="C1" s="12" t="s">
        <v>3160</v>
      </c>
      <c r="D1" s="12" t="s">
        <v>3161</v>
      </c>
      <c r="E1" s="12" t="s">
        <v>3162</v>
      </c>
    </row>
    <row r="2" spans="1:5" ht="18" customHeight="1">
      <c r="A2" s="11" t="s">
        <v>3188</v>
      </c>
      <c r="B2" s="11" t="s">
        <v>3164</v>
      </c>
      <c r="C2" s="13" t="s">
        <v>25</v>
      </c>
      <c r="D2" s="11" t="s">
        <v>3165</v>
      </c>
      <c r="E2" s="16" t="s">
        <v>3189</v>
      </c>
    </row>
    <row r="3" spans="1:5" ht="18" customHeight="1">
      <c r="A3" s="11" t="s">
        <v>3188</v>
      </c>
      <c r="B3" s="11" t="s">
        <v>3164</v>
      </c>
      <c r="C3" s="11" t="s">
        <v>75</v>
      </c>
      <c r="D3" s="11" t="s">
        <v>3167</v>
      </c>
      <c r="E3" s="11" t="s">
        <v>3190</v>
      </c>
    </row>
    <row r="4" spans="1:5" ht="18" customHeight="1">
      <c r="A4" s="11" t="s">
        <v>3188</v>
      </c>
      <c r="B4" s="11" t="s">
        <v>3164</v>
      </c>
      <c r="C4" s="11" t="s">
        <v>79</v>
      </c>
      <c r="D4" s="11" t="s">
        <v>3170</v>
      </c>
      <c r="E4" s="11" t="s">
        <v>3191</v>
      </c>
    </row>
    <row r="5" spans="1:5" ht="27.75" customHeight="1">
      <c r="A5" s="11" t="s">
        <v>3188</v>
      </c>
      <c r="B5" s="11" t="s">
        <v>3164</v>
      </c>
      <c r="C5" s="11" t="s">
        <v>2695</v>
      </c>
      <c r="D5" s="16" t="s">
        <v>3192</v>
      </c>
      <c r="E5" s="11" t="s">
        <v>3193</v>
      </c>
    </row>
    <row r="6" spans="1:5" ht="18" customHeight="1">
      <c r="A6" s="11" t="s">
        <v>3188</v>
      </c>
      <c r="B6" s="11" t="s">
        <v>3164</v>
      </c>
      <c r="C6" s="11" t="s">
        <v>2718</v>
      </c>
      <c r="D6" s="11" t="s">
        <v>3172</v>
      </c>
      <c r="E6" s="11" t="s">
        <v>3173</v>
      </c>
    </row>
    <row r="7" spans="1:5" ht="18" customHeight="1">
      <c r="A7" s="11" t="s">
        <v>3188</v>
      </c>
      <c r="B7" s="11" t="s">
        <v>3174</v>
      </c>
      <c r="C7" s="11" t="s">
        <v>2700</v>
      </c>
      <c r="D7" s="11" t="s">
        <v>3194</v>
      </c>
      <c r="E7" s="11" t="s">
        <v>3195</v>
      </c>
    </row>
    <row r="8" spans="1:5" ht="18" customHeight="1">
      <c r="A8" s="11" t="s">
        <v>3188</v>
      </c>
      <c r="B8" s="11" t="s">
        <v>3174</v>
      </c>
      <c r="C8" s="11" t="s">
        <v>42</v>
      </c>
      <c r="D8" s="11" t="s">
        <v>3177</v>
      </c>
      <c r="E8" s="11" t="s">
        <v>3178</v>
      </c>
    </row>
    <row r="9" spans="1:5" ht="18" customHeight="1">
      <c r="A9" s="11" t="s">
        <v>3188</v>
      </c>
      <c r="B9" s="11" t="s">
        <v>3174</v>
      </c>
      <c r="C9" s="11" t="s">
        <v>2793</v>
      </c>
      <c r="D9" s="11" t="s">
        <v>3196</v>
      </c>
      <c r="E9" s="16" t="s">
        <v>3197</v>
      </c>
    </row>
    <row r="10" spans="1:5" ht="18" customHeight="1">
      <c r="A10" s="11" t="s">
        <v>3188</v>
      </c>
      <c r="B10" s="11" t="s">
        <v>3198</v>
      </c>
      <c r="C10" s="11" t="s">
        <v>3156</v>
      </c>
      <c r="D10" s="11" t="s">
        <v>3199</v>
      </c>
      <c r="E10" s="16" t="s">
        <v>3200</v>
      </c>
    </row>
    <row r="11" spans="1:5" ht="18" customHeight="1">
      <c r="A11" s="11" t="s">
        <v>3188</v>
      </c>
      <c r="B11" s="11" t="s">
        <v>3198</v>
      </c>
      <c r="C11" s="11" t="s">
        <v>206</v>
      </c>
      <c r="D11" s="11" t="s">
        <v>24</v>
      </c>
      <c r="E11" s="11" t="s">
        <v>3182</v>
      </c>
    </row>
    <row r="12" spans="1:5" ht="18" customHeight="1">
      <c r="A12" s="11" t="s">
        <v>3188</v>
      </c>
      <c r="B12" s="11" t="s">
        <v>3198</v>
      </c>
      <c r="C12" s="11" t="s">
        <v>371</v>
      </c>
      <c r="D12" s="11" t="s">
        <v>24</v>
      </c>
      <c r="E12" s="11" t="s">
        <v>3183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3201</v>
      </c>
      <c r="B1" s="217"/>
      <c r="C1" s="217"/>
      <c r="D1" s="217"/>
      <c r="E1" s="217"/>
      <c r="F1" s="217"/>
      <c r="G1" s="217"/>
      <c r="H1" s="217"/>
    </row>
    <row r="2" spans="1:8">
      <c r="A2" s="48" t="s">
        <v>3202</v>
      </c>
    </row>
    <row r="4" spans="1:8" ht="21.95" customHeight="1">
      <c r="A4" s="218" t="s">
        <v>3203</v>
      </c>
      <c r="B4" s="219"/>
      <c r="D4" s="218" t="s">
        <v>3204</v>
      </c>
      <c r="E4" s="219"/>
      <c r="G4" s="218" t="s">
        <v>3205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3206</v>
      </c>
      <c r="B7" s="61" t="s">
        <v>3207</v>
      </c>
      <c r="C7" s="61" t="s">
        <v>1</v>
      </c>
      <c r="D7" s="61" t="s">
        <v>3208</v>
      </c>
      <c r="E7" s="61" t="s">
        <v>3209</v>
      </c>
      <c r="F7" s="61" t="s">
        <v>3107</v>
      </c>
      <c r="G7" s="61" t="s">
        <v>5</v>
      </c>
      <c r="H7" s="61" t="s">
        <v>3210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3211</v>
      </c>
      <c r="B1" s="224"/>
      <c r="C1" s="224"/>
      <c r="D1" s="224"/>
      <c r="E1" s="224"/>
      <c r="F1" s="224"/>
    </row>
    <row r="2" spans="1:7">
      <c r="A2" s="225" t="s">
        <v>3212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3110</v>
      </c>
      <c r="C4" s="24" t="s">
        <v>3111</v>
      </c>
      <c r="D4" s="24" t="s">
        <v>3213</v>
      </c>
      <c r="E4" s="24" t="s">
        <v>3112</v>
      </c>
      <c r="F4" s="24" t="s">
        <v>3214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3150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3215</v>
      </c>
      <c r="B1" s="117" t="s">
        <v>3216</v>
      </c>
      <c r="C1" s="117" t="s">
        <v>3217</v>
      </c>
      <c r="D1" s="117" t="s">
        <v>3218</v>
      </c>
      <c r="E1" s="117" t="s">
        <v>3219</v>
      </c>
      <c r="F1" s="117" t="s">
        <v>3220</v>
      </c>
      <c r="G1" s="117" t="s">
        <v>10</v>
      </c>
      <c r="H1" s="117" t="s">
        <v>3221</v>
      </c>
      <c r="I1" s="117" t="s">
        <v>3222</v>
      </c>
      <c r="J1" s="117" t="s">
        <v>3223</v>
      </c>
      <c r="K1" s="117" t="s">
        <v>3224</v>
      </c>
      <c r="L1" s="117" t="s">
        <v>3225</v>
      </c>
      <c r="N1" s="117" t="s">
        <v>3226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3227</v>
      </c>
      <c r="L2" t="str">
        <f>IF(K2="","",IFERROR(INDEX(Tabela2[Curso],MATCH(K2,Tabela2[ID],0)),""))</f>
        <v/>
      </c>
      <c r="N2" s="117" t="s">
        <v>3106</v>
      </c>
      <c r="O2" s="117" t="s">
        <v>4</v>
      </c>
      <c r="P2" s="117" t="s">
        <v>3228</v>
      </c>
      <c r="Q2" s="117" t="s">
        <v>3229</v>
      </c>
      <c r="R2" s="117" t="s">
        <v>3230</v>
      </c>
      <c r="S2" s="117" t="s">
        <v>3231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3227</v>
      </c>
      <c r="L3" t="str">
        <f>IF(K3="","",IFERROR(INDEX(Tabela2[Curso],MATCH(K3,Tabela2[ID],0)),""))</f>
        <v/>
      </c>
      <c r="N3" t="s">
        <v>2687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3227</v>
      </c>
      <c r="L10" t="str">
        <f>IF(K10="","",IFERROR(INDEX(Tabela2[Curso],MATCH(K10,Tabela2[ID],0)),""))</f>
        <v/>
      </c>
      <c r="N10" s="111" t="s">
        <v>3232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3227</v>
      </c>
      <c r="L11" t="str">
        <f>IF(K11="","",IFERROR(INDEX(Tabela2[Curso],MATCH(K11,Tabela2[ID],0)),""))</f>
        <v/>
      </c>
      <c r="N11" s="210" t="s">
        <v>3233</v>
      </c>
      <c r="O11" s="210" t="s">
        <v>3234</v>
      </c>
      <c r="P11" s="210" t="s">
        <v>3235</v>
      </c>
      <c r="Q11" s="210" t="s">
        <v>3218</v>
      </c>
      <c r="R11" s="210" t="s">
        <v>3219</v>
      </c>
      <c r="S11" s="210" t="s">
        <v>3236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3227</v>
      </c>
      <c r="L12" t="str">
        <f>IF(K12="","",IFERROR(INDEX(Tabela2[Curso],MATCH(K12,Tabela2[ID],0)),""))</f>
        <v/>
      </c>
      <c r="N12" t="s">
        <v>3237</v>
      </c>
      <c r="O12" t="s">
        <v>2754</v>
      </c>
      <c r="P12" t="s">
        <v>3238</v>
      </c>
      <c r="Q12">
        <v>0</v>
      </c>
      <c r="R12">
        <v>0</v>
      </c>
      <c r="S12" t="s">
        <v>3239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3227</v>
      </c>
      <c r="L13" t="str">
        <f>IF(K13="","",IFERROR(INDEX(Tabela2[Curso],MATCH(K13,Tabela2[ID],0)),""))</f>
        <v/>
      </c>
      <c r="N13" t="s">
        <v>3240</v>
      </c>
      <c r="O13" t="s">
        <v>2687</v>
      </c>
      <c r="P13" t="s">
        <v>3241</v>
      </c>
      <c r="Q13">
        <v>0</v>
      </c>
      <c r="R13">
        <v>0</v>
      </c>
      <c r="S13" t="s">
        <v>3242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2026-09-14T17:14:55Z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