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73" documentId="13_ncr:1_{6A2CC3E2-FAFB-4D8F-B284-5E8FB5045DFE}" xr6:coauthVersionLast="47" xr6:coauthVersionMax="47" xr10:uidLastSave="{6AB62C67-78FE-46B1-BC50-CDCE3046BEA6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a="1"/>
  <c r="A5" i="23" l="1" a="1"/>
  <c r="E105" i="23"/>
  <c r="A2" i="20"/>
  <c r="F6" i="23" l="1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<sst xmlns="http://schemas.openxmlformats.org/spreadsheetml/2006/main" count="7241" uniqueCount="3185">
  <si>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</si>
  <si>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</si>
  <si>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</si>
  <si>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</si>
  <si>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</si>
  <si>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</si>
  <si>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</si>
  <si>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</si>
  <si>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</si>
  <si>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</si>
  <si>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</si>
  <si>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</si>
  <si>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</si>
  <si>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</si>
  <si>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</si>
  <si>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</si>
  <si>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</si>
  <si>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</si>
  <si>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</si>
  <si>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</si>
  <si>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</si>
  <si>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</si>
  <si>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</si>
  <si>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</si>
  <si>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</si>
  <si>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</si>
  <si>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</si>
  <si>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</si>
  <si>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</si>
  <si>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</si>
  <si>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</si>
  <si>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</si>
  <si>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</si>
  <si>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</si>
  <si>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</si>
  <si>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</si>
  <si>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</si>
  <si>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</si>
  <si>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</si>
  <si>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</si>
  <si>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</si>
  <si>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</si>
  <si>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</si>
  <si>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</si>
  <si>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</si>
  <si>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</si>
  <si>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</si>
  <si>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</si>
  <si>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</si>
  <si>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</si>
  <si>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</si>
  <si>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</si>
  <si>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</si>
  <si>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</si>
  <si>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</si>
  <si>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</si>
  <si>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</si>
  <si>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</si>
  <si>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</si>
  <si>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</si>
  <si>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</si>
  <si>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</si>
  <si>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</si>
  <si>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</si>
  <si>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</si>
  <si>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</si>
  <si>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</si>
  <si>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</si>
  <si>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</si>
  <si>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</si>
  <si>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</si>
  <si>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</si>
  <si>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</si>
  <si>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</si>
  <si>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</si>
  <si>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</si>
  <si>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</si>
  <si>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</si>
  <si>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</si>
  <si>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</si>
  <si>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</si>
  <si>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</si>
  <si>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</si>
  <si>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</si>
  <si>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</si>
  <si>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</si>
  <si>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</si>
  <si>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</si>
  <si>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</si>
  <si>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</si>
  <si>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</si>
  <si>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</si>
  <si>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</si>
  <si>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</si>
  <si>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</si>
  <si>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</si>
  <si>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</si>
  <si>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</si>
  <si>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</si>
  <si>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</si>
  <si>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</si>
  <si>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</si>
  <si>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</si>
  <si>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</si>
  <si>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</si>
  <si>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</si>
  <si>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</si>
  <si>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</si>
  <si>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</si>
  <si>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</si>
  <si>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</si>
  <si>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</si>
  <si>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</si>
  <si>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</si>
  <si>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</si>
  <si>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</si>
  <si>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</si>
  <si>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</si>
  <si>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</si>
  <si>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</si>
  <si>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</si>
  <si>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</si>
  <si>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</si>
  <si>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</si>
  <si>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</si>
  <si>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</si>
  <si>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</si>
  <si>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</si>
  <si>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</si>
  <si>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</si>
  <si>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</si>
  <si>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</si>
  <si>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</si>
  <si>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</si>
  <si>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</si>
  <si>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</si>
  <si>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</si>
  <si>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</si>
  <si>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</si>
  <si>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</si>
  <si>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</si>
  <si>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</si>
  <si>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</si>
  <si>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</si>
  <si>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</si>
  <si>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</si>
  <si>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</si>
  <si>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</si>
  <si>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</si>
  <si>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</si>
  <si>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</si>
  <si>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</si>
  <si>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</si>
  <si>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</si>
  <si>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</si>
  <si>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</si>
  <si>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</si>
  <si>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</si>
  <si>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</si>
  <si>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</si>
  <si>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</si>
  <si>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</si>
  <si>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</si>
  <si>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</si>
  <si>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</si>
  <si>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</si>
  <si>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</si>
  <si>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</si>
  <si>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</si>
  <si>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</si>
  <si>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</si>
  <si>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</si>
  <si>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</si>
  <si>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</si>
  <si>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</si>
  <si>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</si>
  <si>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</si>
  <si>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</si>
  <si>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</si>
  <si>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</si>
  <si>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</si>
  <si>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</si>
  <si>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</si>
  <si>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</si>
  <si>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</si>
  <si>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</si>
  <si>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</si>
  <si>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</si>
  <si>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</si>
  <si>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</si>
  <si>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</si>
  <si>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</si>
  <si>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</si>
  <si>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</si>
  <si>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</si>
  <si>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</si>
  <si>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</si>
  <si>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</si>
  <si>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</si>
  <si>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</si>
  <si>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</si>
  <si>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</si>
  <si>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</si>
  <si>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</si>
  <si>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</si>
  <si>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</si>
  <si>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</si>
  <si>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</si>
  <si>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</si>
  <si>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</si>
  <si>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</si>
  <si>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</si>
  <si>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</si>
  <si>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</si>
  <si>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</si>
  <si>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</si>
  <si>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</si>
  <si>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</si>
  <si>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</si>
  <si>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</si>
  <si>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</si>
  <si>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</si>
  <si>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</si>
  <si>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</si>
  <si>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</si>
  <si>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</si>
  <si>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</si>
  <si>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</si>
  <si>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</si>
  <si>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</si>
  <si>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</si>
  <si>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</si>
  <si>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</si>
  <si>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</si>
  <si>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</si>
  <si>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</si>
  <si>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</si>
  <si>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</si>
  <si>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</si>
  <si>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</si>
  <si>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</si>
  <si>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</si>
  <si>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</si>
  <si>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</si>
  <si>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</si>
  <si>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</si>
  <si>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</si>
  <si>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</si>
  <si>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</si>
  <si>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</si>
  <si>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</si>
  <si>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</si>
  <si>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</si>
  <si>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</si>
  <si>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</si>
  <si>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</si>
  <si>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</si>
  <si>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</si>
  <si>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</si>
  <si>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</si>
  <si>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</si>
  <si>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</si>
  <si>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</si>
  <si>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</si>
  <si>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</si>
  <si>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</si>
  <si>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</si>
  <si>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</si>
  <si>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</si>
  <si>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</si>
  <si>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</si>
  <si>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</si>
  <si>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</si>
  <si>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</si>
  <si>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</si>
  <si>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</si>
  <si>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</si>
  <si>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</si>
  <si>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</si>
  <si>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</si>
  <si>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</si>
  <si>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</si>
  <si>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</si>
  <si>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</si>
  <si>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</si>
  <si>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</si>
  <si>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</si>
  <si>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</si>
  <si>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</si>
  <si>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</si>
  <si>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</si>
  <si>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</si>
  <si>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</si>
  <si>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</si>
  <si>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</si>
  <si>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</si>
  <si>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</si>
  <si>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</si>
  <si>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</si>
  <si>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</si>
  <si>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</si>
  <si>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</si>
  <si>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</si>
  <si>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</si>
  <si>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</si>
  <si>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</si>
  <si>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</si>
  <si>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</si>
  <si>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</si>
  <si>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</si>
  <si>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</si>
  <si>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</si>
  <si>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</si>
  <si>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</si>
  <si>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</si>
  <si>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</si>
  <si>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</si>
  <si>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</si>
  <si>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</si>
  <si>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</si>
  <si>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</si>
  <si>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</si>
  <si>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</si>
  <si>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</si>
  <si>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</si>
  <si>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</si>
  <si>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</si>
  <si>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</si>
  <si>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</si>
  <si>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</si>
  <si>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</si>
  <si>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</si>
  <si>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</si>
  <si>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</si>
  <si>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</si>
  <si>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</si>
  <si>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</si>
  <si>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</si>
  <si>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</si>
  <si>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</si>
  <si>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</si>
  <si>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</si>
  <si>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</si>
  <si>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</si>
  <si>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</si>
  <si>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</si>
  <si>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</si>
  <si>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</si>
  <si>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</si>
  <si>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</si>
  <si>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</si>
  <si>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</si>
  <si>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</si>
  <si>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</si>
  <si>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</si>
  <si>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</si>
  <si>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</si>
  <si>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</si>
  <si>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</si>
  <si>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</si>
  <si>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</si>
  <si>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</si>
  <si>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</si>
  <si>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</si>
  <si>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</si>
  <si>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</si>
  <si>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</si>
  <si>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</si>
  <si>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</si>
  <si>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</si>
  <si>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</si>
  <si>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</si>
  <si>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</si>
  <si>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</si>
  <si>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</si>
  <si>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</si>
  <si>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</si>
  <si>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</si>
  <si>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</si>
  <si>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</si>
  <si>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</si>
  <si>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</si>
  <si>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</si>
  <si>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</si>
  <si>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</si>
  <si>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</si>
  <si>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</si>
  <si>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</si>
  <si>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</si>
  <si>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</si>
  <si>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</si>
  <si>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</si>
  <si>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</si>
  <si>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</si>
  <si>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</si>
  <si>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</si>
  <si>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</si>
  <si>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</si>
  <si>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</si>
  <si>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</si>
  <si>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</si>
  <si>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</si>
  <si>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</si>
  <si>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</si>
  <si>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</si>
  <si>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</si>
  <si>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</si>
  <si>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</si>
  <si>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</si>
  <si>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</si>
  <si>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</si>
  <si>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</si>
  <si>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</si>
  <si>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</si>
  <si>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</si>
  <si>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</si>
  <si>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</si>
  <si>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</si>
  <si>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</si>
  <si>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</si>
  <si>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</si>
  <si>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</si>
  <si>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</si>
  <si>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</si>
  <si>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</si>
  <si>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</si>
  <si>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</si>
  <si>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</si>
  <si>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</si>
  <si>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</si>
  <si>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</si>
  <si>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</si>
  <si>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</si>
  <si>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</si>
  <si>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</si>
  <si>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</si>
  <si>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</si>
  <si>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</si>
  <si>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</si>
  <si>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</si>
  <si>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</si>
  <si>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</si>
  <si>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</si>
  <si>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</si>
  <si>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</si>
  <si>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</si>
  <si>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</si>
  <si>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</si>
  <si>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</si>
  <si>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</si>
  <si>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</si>
  <si>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</si>
  <si>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</si>
  <si>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</si>
  <si>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</si>
  <si>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</si>
  <si>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</si>
  <si>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</si>
  <si>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</si>
  <si>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</si>
  <si>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</si>
  <si>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</si>
  <si>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</si>
  <si>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</si>
  <si>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</si>
  <si>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</si>
  <si>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</si>
  <si>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</si>
  <si>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</si>
  <si>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</si>
  <si>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</si>
  <si>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</si>
  <si>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</si>
  <si>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</si>
  <si>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</si>
  <si>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</si>
  <si>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</si>
  <si>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</si>
  <si>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</si>
  <si>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</si>
  <si>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</si>
  <si>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</si>
  <si>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</si>
  <si>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</si>
  <si>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</si>
  <si>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</si>
  <si>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</si>
  <si>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</si>
  <si>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</si>
  <si>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</si>
  <si>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</si>
  <si>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</si>
  <si>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</si>
  <si>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</si>
  <si>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</si>
  <si>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</si>
  <si>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</si>
  <si>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</si>
  <si>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</si>
  <si>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</si>
  <si>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</si>
  <si>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</si>
  <si>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</si>
  <si>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</si>
  <si>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</si>
  <si>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</si>
  <si>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</si>
  <si>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</si>
  <si>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</si>
  <si>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</si>
  <si>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</si>
  <si>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</si>
  <si>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</si>
  <si>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</si>
  <si>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</si>
  <si>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</si>
  <si>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</si>
  <si>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</si>
  <si>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</si>
  <si>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</si>
  <si>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</si>
  <si>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</si>
  <si>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</si>
  <si>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</si>
  <si>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</si>
  <si>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</si>
  <si>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</si>
  <si>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</si>
  <si>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</si>
  <si>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</si>
  <si>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</si>
  <si>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</si>
  <si>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</si>
  <si>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</si>
  <si>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</si>
  <si>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</si>
  <si>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</si>
  <si>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</si>
  <si>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</si>
  <si>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</si>
  <si>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</si>
  <si>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</si>
  <si>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</si>
  <si>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</si>
  <si>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</si>
  <si>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</si>
  <si>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</si>
  <si>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</si>
  <si>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</si>
  <si>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</si>
  <si>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</si>
  <si>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</si>
  <si>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</si>
  <si>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</si>
  <si>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</si>
  <si>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</si>
  <si>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</si>
  <si>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</si>
  <si>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</si>
  <si>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</si>
  <si>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</si>
  <si>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</si>
  <si>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</si>
  <si>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</si>
  <si>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</si>
  <si>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</si>
  <si>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</si>
  <si>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</si>
  <si>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</si>
  <si>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</si>
  <si>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</si>
  <si>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</si>
  <si>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</si>
  <si>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</si>
  <si>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</si>
  <si>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</si>
  <si>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</si>
  <si>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</si>
  <si>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</si>
  <si>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</si>
  <si>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</si>
  <si>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</si>
  <si>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</si>
  <si>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</si>
  <si>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</si>
  <si>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</si>
  <si>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</si>
  <si>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</si>
  <si>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</si>
  <si>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</si>
  <si>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</si>
  <si>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</si>
  <si>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</si>
  <si>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</si>
  <si>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</si>
  <si>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</si>
  <si>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</si>
  <si>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</si>
  <si>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</si>
  <si>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</si>
  <si>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</si>
  <si>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</si>
  <si>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</si>
  <si>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</si>
  <si>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</si>
  <si>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</si>
  <si>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</si>
  <si>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</si>
  <si>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</si>
  <si>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</si>
  <si>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</si>
  <si>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</si>
  <si>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</si>
  <si>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</si>
  <si>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</si>
  <si>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</si>
  <si>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</si>
  <si>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</si>
  <si>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</si>
  <si>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</si>
  <si>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</si>
  <si>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</si>
  <si>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</si>
  <si>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</si>
  <si>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</si>
  <si>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</si>
  <si>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</si>
  <si>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</si>
  <si>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</si>
  <si>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</si>
  <si>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</si>
  <si>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</si>
  <si>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</si>
  <si>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</si>
  <si>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</si>
  <si>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</si>
  <si>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</si>
  <si>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</si>
  <si>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</si>
  <si>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</si>
  <si>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</si>
  <si>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</si>
  <si>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</si>
  <si>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</si>
  <si>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</si>
  <si>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</si>
  <si>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</si>
  <si>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</si>
  <si>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</si>
  <si>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</si>
  <si>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</si>
  <si>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</si>
  <si>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</si>
  <si>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</si>
  <si>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</si>
  <si>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</si>
  <si>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</si>
  <si>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</si>
  <si>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</si>
  <si>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</si>
  <si>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</si>
  <si>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</si>
  <si>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</si>
  <si>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</si>
  <si>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</si>
  <si>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</si>
  <si>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</si>
  <si>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</si>
  <si>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</si>
  <si>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</si>
  <si>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</si>
  <si>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</si>
  <si>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</si>
  <si>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</si>
  <si>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</si>
  <si>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</si>
  <si>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</si>
  <si>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</si>
  <si>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</si>
  <si>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</si>
  <si>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</si>
  <si>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</si>
  <si>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</si>
  <si>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</si>
  <si>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</si>
  <si>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</si>
  <si>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</si>
  <si>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</si>
  <si>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</si>
  <si>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</si>
  <si>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</si>
  <si>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</si>
  <si>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</si>
  <si>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</si>
  <si>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</si>
  <si>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</si>
  <si>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</si>
  <si>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</si>
  <si>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</si>
  <si>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</si>
  <si>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</si>
  <si>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</si>
  <si>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</si>
  <si>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</si>
  <si>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</si>
  <si>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</si>
  <si>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</si>
  <si>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</si>
  <si>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</si>
  <si>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</si>
  <si>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</si>
  <si>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</si>
  <si>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</si>
  <si>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</si>
  <si>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</si>
  <si>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</si>
  <si>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</si>
  <si>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</si>
  <si>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</si>
  <si>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</si>
  <si>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</si>
  <si>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</si>
  <si>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</si>
  <si>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</si>
  <si>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</si>
  <si>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</si>
  <si>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</si>
  <si>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</si>
  <si>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</si>
  <si>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</si>
  <si>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</si>
  <si>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</si>
  <si>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</si>
  <si>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</si>
  <si>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</si>
  <si>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</si>
  <si>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</si>
  <si>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</si>
  <si>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</si>
  <si>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</si>
  <si>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</si>
  <si>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</si>
  <si>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</si>
  <si>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</si>
  <si>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</si>
  <si>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</si>
  <si>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</si>
  <si>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</si>
  <si>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</si>
  <si>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</si>
  <si>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</si>
  <si>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</si>
  <si>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</si>
  <si>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</si>
  <si>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</si>
  <si>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</si>
  <si>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</si>
  <si>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</si>
  <si>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</si>
  <si>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</si>
  <si>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</si>
  <si>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</si>
  <si>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</si>
  <si>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</si>
  <si>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</si>
  <si>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</si>
  <si>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</si>
  <si>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</si>
  <si>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</si>
  <si>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</si>
  <si>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</si>
  <si>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</si>
  <si>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</si>
  <si>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</si>
  <si>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</si>
  <si>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</si>
  <si>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</si>
  <si>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</si>
  <si>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</si>
  <si>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</si>
  <si>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</si>
  <si>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</si>
  <si>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</si>
  <si>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</si>
  <si>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</si>
  <si>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</si>
  <si>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</si>
  <si>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</si>
  <si>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</si>
  <si>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</si>
  <si>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</si>
  <si>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</si>
  <si>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</si>
  <si>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</si>
  <si>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</si>
  <si>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</si>
  <si>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</si>
  <si>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</si>
  <si>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</si>
  <si>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</si>
  <si>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</si>
  <si>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</si>
  <si>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</si>
  <si>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</si>
  <si>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</si>
  <si>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</si>
  <si>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</si>
  <si>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</si>
  <si>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</si>
  <si>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</si>
  <si>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</si>
  <si>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</si>
  <si>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</si>
  <si>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</si>
  <si>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</si>
  <si>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</si>
  <si>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</si>
  <si>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</si>
  <si>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</si>
  <si>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</si>
  <si>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</si>
  <si>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</si>
  <si>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</si>
  <si>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</si>
  <si>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</si>
  <si>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</si>
  <si>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</si>
  <si>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</si>
  <si>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</si>
  <si>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</si>
  <si>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</si>
  <si>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</si>
  <si>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</si>
  <si>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</si>
  <si>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</si>
  <si>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</si>
  <si>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</si>
  <si>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</si>
  <si>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</si>
  <si>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</si>
  <si>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</si>
  <si>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</si>
  <si>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</si>
  <si>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</si>
  <si>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</si>
  <si>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</si>
  <si>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</si>
  <si>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</si>
  <si>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</si>
  <si>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</si>
  <si>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</si>
  <si>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</si>
  <si>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</si>
  <si>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</si>
  <si>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</si>
  <si>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</si>
  <si>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</si>
  <si>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</si>
  <si>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</si>
  <si>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</si>
  <si>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</si>
  <si>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</si>
  <si>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</si>
  <si>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</si>
  <si>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</si>
  <si>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</si>
  <si>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</si>
  <si>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</si>
  <si>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</si>
  <si>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</si>
  <si>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</si>
  <si>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</si>
  <si>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</si>
  <si>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</si>
  <si>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</si>
  <si>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</si>
  <si>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</si>
  <si>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</si>
  <si>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</si>
  <si>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</si>
  <si>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</si>
  <si>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</si>
  <si>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</si>
  <si>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</si>
  <si>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</si>
  <si>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</si>
  <si>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</si>
  <si>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</si>
  <si>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</si>
  <si>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</si>
  <si>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</si>
  <si>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</si>
  <si>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</si>
  <si>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</si>
  <si>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</si>
  <si>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</si>
  <si>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</si>
  <si>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</si>
  <si>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</si>
  <si>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</si>
  <si>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</si>
  <si>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</si>
  <si>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</si>
  <si>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</si>
  <si>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</si>
  <si>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</si>
  <si>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</si>
  <si>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</si>
  <si>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</si>
  <si>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</si>
  <si>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</si>
  <si>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</si>
  <si>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</si>
  <si>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</si>
  <si>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</si>
  <si>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</si>
  <si>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</si>
  <si>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</si>
  <si>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</si>
  <si>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</si>
  <si>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</si>
  <si>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</si>
  <si>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</si>
  <si>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</si>
  <si>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</si>
  <si>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</si>
  <si>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</si>
  <si>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</si>
  <si>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</si>
  <si>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</si>
  <si>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</si>
  <si>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</si>
  <si>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</si>
  <si>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</si>
  <si>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</si>
  <si>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</si>
  <si>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</si>
  <si>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</si>
  <si>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</si>
  <si>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</si>
  <si>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</si>
  <si>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</si>
  <si>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</si>
  <si>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</si>
  <si>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</si>
  <si>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</si>
  <si>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</si>
  <si>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</si>
  <si>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</si>
  <si>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</si>
  <si>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</si>
  <si>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</si>
  <si>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</si>
  <si>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</si>
  <si>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</si>
  <si>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</si>
  <si>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</si>
  <si>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</si>
  <si>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</si>
  <si>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</si>
  <si>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</si>
  <si>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</si>
  <si>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</si>
  <si>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</si>
  <si>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</si>
  <si>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</si>
  <si>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</si>
  <si>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</si>
  <si>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</si>
  <si>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</si>
  <si>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</si>
  <si>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</si>
  <si>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</si>
  <si>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</si>
  <si>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</si>
  <si>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</si>
  <si>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</si>
  <si>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</si>
  <si>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</si>
  <si>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</si>
  <si>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</si>
  <si>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</si>
  <si>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</si>
  <si>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</si>
  <si>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</si>
  <si>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</si>
  <si>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</si>
  <si>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</si>
  <si>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</si>
  <si>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</si>
  <si>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</si>
  <si>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</si>
  <si>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</si>
  <si>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</si>
  <si>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</si>
  <si>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</si>
  <si>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</si>
  <si>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</si>
  <si>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</si>
  <si>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</si>
  <si>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</si>
  <si>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</si>
  <si>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</si>
  <si>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</si>
  <si>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</si>
  <si>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</si>
  <si>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</si>
  <si>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</si>
  <si>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</si>
  <si>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</si>
  <si>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</si>
  <si>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</si>
  <si>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</si>
  <si>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</si>
  <si>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</si>
  <si>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</si>
  <si>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</si>
  <si>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</si>
  <si>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</si>
  <si>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</si>
  <si>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</si>
  <si>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</si>
  <si>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</si>
  <si>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</si>
  <si>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</si>
  <si>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</si>
  <si>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</si>
  <si>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</si>
  <si>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</si>
  <si>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</si>
  <si>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</si>
  <si>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</si>
  <si>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</si>
  <si>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</si>
  <si>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</si>
  <si>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</si>
  <si>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</si>
  <si>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</si>
  <si>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</si>
  <si>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</si>
  <si>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</si>
  <si>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</si>
  <si>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</si>
  <si>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</si>
  <si>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</si>
  <si>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</si>
  <si>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</si>
  <si>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</si>
  <si>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</si>
  <si>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</si>
  <si>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</si>
  <si>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</si>
  <si>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</si>
  <si>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</si>
  <si>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</si>
  <si>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</si>
  <si>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</si>
  <si>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</si>
  <si>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</si>
  <si>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</si>
  <si>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</si>
  <si>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</si>
  <si>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</si>
  <si>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</si>
  <si>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</si>
  <si>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</si>
  <si>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</si>
  <si>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</si>
  <si>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</si>
  <si>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</si>
  <si>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</si>
  <si>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</si>
  <si>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</si>
  <si>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</si>
  <si>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</si>
  <si>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</si>
  <si>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</si>
  <si>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</si>
  <si>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</si>
  <si>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</si>
  <si>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</si>
  <si>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</si>
  <si>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</si>
  <si>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</si>
  <si>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</si>
  <si>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</si>
  <si>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</si>
  <si>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</si>
  <si>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</si>
  <si>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</si>
  <si>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</si>
  <si>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</si>
  <si>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</si>
  <si>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</si>
  <si>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</si>
  <si>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</si>
  <si>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</si>
  <si>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</si>
  <si>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</si>
  <si>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</si>
  <si>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</si>
  <si>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</si>
  <si>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</si>
  <si>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</si>
  <si>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</si>
  <si>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</si>
  <si>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</si>
  <si>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</si>
  <si>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</si>
  <si>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</si>
  <si>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</si>
  <si>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</si>
  <si>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</si>
  <si>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</si>
  <si>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</si>
  <si>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</si>
  <si>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</si>
  <si>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</si>
  <si>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</si>
  <si>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</si>
  <si>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</si>
  <si>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</si>
  <si>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</si>
  <si>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</si>
  <si>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</si>
  <si>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</si>
  <si>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</si>
  <si>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</si>
  <si>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</si>
  <si>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</si>
  <si>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</si>
  <si>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</si>
  <si>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</si>
  <si>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</si>
  <si>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</si>
  <si>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</si>
  <si>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</si>
  <si>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</si>
  <si>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</si>
  <si>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</si>
  <si>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</si>
  <si>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</si>
  <si>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</si>
  <si>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</si>
  <si>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</si>
  <si>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</si>
  <si>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</si>
  <si>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</si>
  <si>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</si>
  <si>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</si>
  <si>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</si>
  <si>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</si>
  <si>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</si>
  <si>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</si>
  <si>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</si>
  <si>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</si>
  <si>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</si>
  <si>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</si>
  <si>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</si>
  <si>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</si>
  <si>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</si>
  <si>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</si>
  <si>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</si>
  <si>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</si>
  <si>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</si>
  <si>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</si>
  <si>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</si>
  <si>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</si>
  <si>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</si>
  <si>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</si>
  <si>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</si>
  <si>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</si>
  <si>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</si>
  <si>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</si>
  <si>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</si>
  <si>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</si>
  <si>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</si>
  <si>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</si>
  <si>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</si>
  <si>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</si>
  <si>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</si>
  <si>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</si>
  <si>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</si>
  <si>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</si>
  <si>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</si>
  <si>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</si>
  <si>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</si>
  <si>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</si>
  <si>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</si>
  <si>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</si>
  <si>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</si>
  <si>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</si>
  <si>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</si>
  <si>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</si>
  <si>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</si>
  <si>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</si>
  <si>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</si>
  <si>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</si>
  <si>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</si>
  <si>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</si>
  <si>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</si>
  <si>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</si>
  <si>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</si>
  <si>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</si>
  <si>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</si>
  <si>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</si>
  <si>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</si>
  <si>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</si>
  <si>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</si>
  <si>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</si>
  <si>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</si>
  <si>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</si>
  <si>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</si>
  <si>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</si>
  <si>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</si>
  <si>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</si>
  <si>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</si>
  <si>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</si>
  <si>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</si>
  <si>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</si>
  <si>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</si>
  <si>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</si>
  <si>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</si>
  <si>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</si>
  <si>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</si>
  <si>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</si>
  <si>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</si>
  <si>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</si>
  <si>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</si>
  <si>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</si>
  <si>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</si>
  <si>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</si>
  <si>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</si>
  <si>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</si>
  <si>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</si>
  <si>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</si>
  <si>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</si>
  <si>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</si>
  <si>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</si>
  <si>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</si>
  <si>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</si>
  <si>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</si>
  <si>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</si>
  <si>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</si>
  <si>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</si>
  <si>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</si>
  <si>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</si>
  <si>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</si>
  <si>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</si>
  <si>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</si>
  <si>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</si>
  <si>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</si>
  <si>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</si>
  <si>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</si>
  <si>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</si>
  <si>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</si>
  <si>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</si>
  <si>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</si>
  <si>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</si>
  <si>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</si>
  <si>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</si>
  <si>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</si>
  <si>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</si>
  <si>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</si>
  <si>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</si>
  <si>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</si>
  <si>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</si>
  <si>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</si>
  <si>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</si>
  <si>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</si>
  <si>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</si>
  <si>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</si>
  <si>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</si>
  <si>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</si>
  <si>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</si>
  <si>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</si>
  <si>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</si>
  <si>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</si>
  <si>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</si>
  <si>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</si>
  <si>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</si>
  <si>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</si>
  <si>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</si>
  <si>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</si>
  <si>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</si>
  <si>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</si>
  <si>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</si>
  <si>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</si>
  <si>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</si>
  <si>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</si>
  <si>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</si>
  <si>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</si>
  <si>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</si>
  <si>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</si>
  <si>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</si>
  <si>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</si>
  <si>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</si>
  <si>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</si>
  <si>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</si>
  <si>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</si>
  <si>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</si>
  <si>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</si>
  <si>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</si>
  <si>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</si>
  <si>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</si>
  <si>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</si>
  <si>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</si>
  <si>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</si>
  <si>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</si>
  <si>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</si>
  <si>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</si>
  <si>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</si>
  <si>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</si>
  <si>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</si>
  <si>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</si>
  <si>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</si>
  <si>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</si>
  <si>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</si>
  <si>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</si>
  <si>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</si>
  <si>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</si>
  <si>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</si>
  <si>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</si>
  <si>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</si>
  <si>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</si>
  <si>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</si>
  <si>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</si>
  <si>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</si>
  <si>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</si>
  <si>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</si>
  <si>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</si>
  <si>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</si>
  <si>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</si>
  <si>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</si>
  <si>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</si>
  <si>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</si>
  <si>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</si>
  <si>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</si>
  <si>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</si>
  <si>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</si>
  <si>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</si>
  <si>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</si>
  <si>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</si>
  <si>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</si>
  <si>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</si>
  <si>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</si>
  <si>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</si>
  <si>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</si>
  <si>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</si>
  <si>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</si>
  <si>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</si>
  <si>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</si>
  <si>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</si>
  <si>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</si>
  <si>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</si>
  <si>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</si>
  <si>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</si>
  <si>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</si>
  <si>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</si>
  <si>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</si>
  <si>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</si>
  <si>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</si>
  <si>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</si>
  <si>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</si>
  <si>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</si>
  <si>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</si>
  <si>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</si>
  <si>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</si>
  <si>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</si>
  <si>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</si>
  <si>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</si>
  <si>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</si>
  <si>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</si>
  <si>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</si>
  <si>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</si>
  <si>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</si>
  <si>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</si>
  <si>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</si>
  <si>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</si>
  <si>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</si>
  <si>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</si>
  <si>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</si>
  <si>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</si>
  <si>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</si>
  <si>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</si>
  <si>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</si>
  <si>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</si>
  <si>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</si>
  <si>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</si>
  <si>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</si>
  <si>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</si>
  <si>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</si>
  <si>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</si>
  <si>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</si>
  <si>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</si>
  <si>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</si>
  <si>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</si>
  <si>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</si>
  <si>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</si>
  <si>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</si>
  <si>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</si>
  <si>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</si>
  <si>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</si>
  <si>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</si>
  <si>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</si>
  <si>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</si>
  <si>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</si>
  <si>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</si>
  <si>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</si>
  <si>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</si>
  <si>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</si>
  <si>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</si>
  <si>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</si>
  <si>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</si>
  <si>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</si>
  <si>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</si>
  <si>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</si>
  <si>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</si>
  <si>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</si>
  <si>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</si>
  <si>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</si>
  <si>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</si>
  <si>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</si>
  <si>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</si>
  <si>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</si>
  <si>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</si>
  <si>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</si>
  <si>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</si>
  <si>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</si>
  <si>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</si>
  <si>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</si>
  <si>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</si>
  <si>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</si>
  <si>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</si>
  <si>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</si>
  <si>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</si>
  <si>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</si>
  <si>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</si>
  <si>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</si>
  <si>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</si>
  <si>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</si>
  <si>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</si>
  <si>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</si>
  <si>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</si>
  <si>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</si>
  <si>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</si>
  <si>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</si>
  <si>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</si>
  <si>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</si>
  <si>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</si>
  <si>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</si>
  <si>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</si>
  <si>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</si>
  <si>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</si>
  <si>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</si>
  <si>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</si>
  <si>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</si>
  <si>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</si>
  <si>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</si>
  <si>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</si>
  <si>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</si>
  <si>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</si>
  <si>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</si>
  <si>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</si>
  <si>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</si>
  <si>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</si>
  <si>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</si>
  <si>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</si>
  <si>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</si>
  <si>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</si>
  <si>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</si>
  <si>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</si>
  <si>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</si>
  <si>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</si>
  <si>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</si>
  <si>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</si>
  <si>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</si>
  <si>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</si>
  <si>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</si>
  <si>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</si>
  <si>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</si>
  <si>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</si>
  <si>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</si>
  <si>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</si>
  <si>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</si>
  <si>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</si>
  <si>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</si>
  <si>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</si>
  <si>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</si>
  <si>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</si>
  <si>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</si>
  <si>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</si>
  <si>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</si>
  <si>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</si>
  <si>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</si>
  <si>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</si>
  <si>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</si>
  <si>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</si>
  <si>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</si>
  <si>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</si>
  <si>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</si>
  <si>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</si>
  <si>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</si>
  <si>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</si>
  <si>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</si>
  <si>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</si>
  <si>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</si>
  <si>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</si>
  <si>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</si>
  <si>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</si>
  <si>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</si>
  <si>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</si>
  <si>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</si>
  <si>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</si>
  <si>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</si>
  <si>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</si>
  <si>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</si>
  <si>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</si>
  <si>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</si>
  <si>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</si>
  <si>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</si>
  <si>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</si>
  <si>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</si>
  <si>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</si>
  <si>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</si>
  <si>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</si>
  <si>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</si>
  <si>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</si>
  <si>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</si>
  <si>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</si>
  <si>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</si>
  <si>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</si>
  <si>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</si>
  <si>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</si>
  <si>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</si>
  <si>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</si>
  <si>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</si>
  <si>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</si>
  <si>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</si>
  <si>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</si>
  <si>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</si>
  <si>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</si>
  <si>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</si>
  <si>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</si>
  <si>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</si>
  <si>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</si>
  <si>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</si>
  <si>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</si>
  <si>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</si>
  <si>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</si>
  <si>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</si>
  <si>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</si>
  <si>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</si>
  <si>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</si>
  <si>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</si>
  <si>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</si>
  <si>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</si>
  <si>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</si>
  <si>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</si>
  <si>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</si>
  <si>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</si>
  <si>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</si>
  <si>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</si>
  <si>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</si>
  <si>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</si>
  <si>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</si>
  <si>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</si>
  <si>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</si>
  <si>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</si>
  <si>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</si>
  <si>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</si>
  <si>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</si>
  <si>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</si>
  <si>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</si>
  <si>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</si>
  <si>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</si>
  <si>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</si>
  <si>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</si>
  <si>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</si>
  <si>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</si>
  <si>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</si>
  <si>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</si>
  <si>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</si>
  <si>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</si>
  <si>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</si>
  <si>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</si>
  <si>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</si>
  <si>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</si>
  <si>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</si>
  <si>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</si>
  <si>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</si>
  <si>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</si>
  <si>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</si>
  <si>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</si>
  <si>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</si>
  <si>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</si>
  <si>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</si>
  <si>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</si>
  <si>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</si>
  <si>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</si>
  <si>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</si>
  <si>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</si>
  <si>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</si>
  <si>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</si>
  <si>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</si>
  <si>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</si>
  <si>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</si>
  <si>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</si>
  <si>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</si>
  <si>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</si>
  <si>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</si>
  <si>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</si>
  <si>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</si>
  <si>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</si>
  <si>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</si>
  <si>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</si>
  <si>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</si>
  <si>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</si>
  <si>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</si>
  <si>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</si>
  <si>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</si>
  <si>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</si>
  <si>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</si>
  <si>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</si>
  <si>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</si>
  <si>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</si>
  <si>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</si>
  <si>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</si>
  <si>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</si>
  <si>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</si>
  <si>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</si>
  <si>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</si>
  <si>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</si>
  <si>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</si>
  <si>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</si>
  <si>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</si>
  <si>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</si>
  <si>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</si>
  <si>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</si>
  <si>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</si>
  <si>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</si>
  <si>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</si>
  <si>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</si>
  <si>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</si>
  <si>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</si>
  <si>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</si>
  <si>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</si>
  <si>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</si>
  <si>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</si>
  <si>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</si>
  <si>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</si>
  <si>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</si>
  <si>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</si>
  <si>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</si>
  <si>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</si>
  <si>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</si>
  <si>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</si>
  <si>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</si>
  <si>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</si>
  <si>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</si>
  <si>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</si>
  <si>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</si>
  <si>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</si>
  <si>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</si>
  <si>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</si>
  <si>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</si>
  <si>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</si>
  <si>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</si>
  <si>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</si>
  <si>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</si>
  <si>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</si>
  <si>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</si>
  <si>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</si>
  <si>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</si>
  <si>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</si>
  <si>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</si>
  <si>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</si>
  <si>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</si>
  <si>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</si>
  <si>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</si>
  <si>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</si>
  <si>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</si>
  <si>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</si>
  <si>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</si>
  <si>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</si>
  <si>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</si>
  <si>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</si>
  <si>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</si>
  <si>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</si>
  <si>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</si>
  <si>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</si>
  <si>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</si>
  <si>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</si>
  <si>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</si>
  <si>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</si>
  <si>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</si>
  <si>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</si>
  <si>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</si>
  <si>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</si>
  <si>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</si>
  <si>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</si>
  <si>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</si>
  <si>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</si>
  <si>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</si>
  <si>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</si>
  <si>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</si>
  <si>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</si>
  <si>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</si>
  <si>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</si>
  <si>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</si>
  <si>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</si>
  <si>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</si>
  <si>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</si>
  <si>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</si>
  <si>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</si>
  <si>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</si>
  <si>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</si>
  <si>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</si>
  <si>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</si>
  <si>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</si>
  <si>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</si>
  <si>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</si>
  <si>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</si>
  <si>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</si>
  <si>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</si>
  <si>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</si>
  <si>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</si>
  <si>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</si>
  <si>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</si>
  <si>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</si>
  <si>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</si>
  <si>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</si>
  <si>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</si>
  <si>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</si>
  <si>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</si>
  <si>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</si>
  <si>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</si>
  <si>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</si>
  <si>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</si>
  <si>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</si>
  <si>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</si>
  <si>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</si>
  <si>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</si>
  <si>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</si>
  <si>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</si>
  <si>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</si>
  <si>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</si>
  <si>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</si>
  <si>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</si>
  <si>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</si>
  <si>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</si>
  <si>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</si>
  <si>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</si>
  <si>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</si>
  <si>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</si>
  <si>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</si>
  <si>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</si>
  <si>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</si>
  <si>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</si>
  <si>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</si>
  <si>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</si>
  <si>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</si>
  <si>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</si>
  <si>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</si>
  <si>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</si>
  <si>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</si>
  <si>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</si>
  <si>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</si>
  <si>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</si>
  <si>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</si>
  <si>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</si>
  <si>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</si>
  <si>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</si>
  <si>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</si>
  <si>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</si>
  <si>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</si>
  <si>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</si>
  <si>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</si>
  <si>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</si>
  <si>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</si>
  <si>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</si>
  <si>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</si>
  <si>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</si>
  <si>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</si>
  <si>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</si>
  <si>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</si>
  <si>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</si>
  <si>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</si>
  <si>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</si>
  <si>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</si>
  <si>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</si>
  <si>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</si>
  <si>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</si>
  <si>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</si>
  <si>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</si>
  <si>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</si>
  <si>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</si>
  <si>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</si>
  <si>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</si>
  <si>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</si>
  <si>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</si>
  <si>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</si>
  <si>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</si>
  <si>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</si>
  <si>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</si>
  <si>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</si>
  <si>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</si>
  <si>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</si>
  <si>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</si>
  <si>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</si>
  <si>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</si>
  <si>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</si>
  <si>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</si>
  <si>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</si>
  <si>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</si>
  <si>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</si>
  <si>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</si>
  <si>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</si>
  <si>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</si>
  <si>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</si>
  <si>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</si>
  <si>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</si>
  <si>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</si>
  <si>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</si>
  <si>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</si>
  <si>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</si>
  <si>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</si>
  <si>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</si>
  <si>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</si>
  <si>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</si>
  <si>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</si>
  <si>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</si>
  <si>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</si>
  <si>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</si>
  <si>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</si>
  <si>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</si>
  <si>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</si>
  <si>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</si>
  <si>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</si>
  <si>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</si>
  <si>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</si>
  <si>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</si>
  <si>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</si>
  <si>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</si>
  <si>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</si>
  <si>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</si>
  <si>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</si>
  <si>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</si>
  <si>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</si>
  <si>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</si>
  <si>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</si>
  <si>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</si>
  <si>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</si>
  <si>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</si>
  <si>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</si>
  <si>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</si>
  <si>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</si>
  <si>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</si>
  <si>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</si>
  <si>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</si>
  <si>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</si>
  <si>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</si>
  <si>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</si>
  <si>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</si>
  <si>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</si>
  <si>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</si>
  <si>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</si>
  <si>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</si>
  <si>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</si>
  <si>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</si>
  <si>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</si>
  <si>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</si>
  <si>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</si>
  <si>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</si>
  <si>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</si>
  <si>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</si>
  <si>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</si>
  <si>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</si>
  <si>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</si>
  <si>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</si>
  <si>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</si>
  <si>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</si>
  <si>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</si>
  <si>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</si>
  <si>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</si>
  <si>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</si>
  <si>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</si>
  <si>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</si>
  <si>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</si>
  <si>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</si>
  <si>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</si>
  <si>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</si>
  <si>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</si>
  <si>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</si>
  <si>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</si>
  <si>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</si>
  <si>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</si>
  <si>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</si>
  <si>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</si>
  <si>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</si>
  <si>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</si>
  <si>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</si>
  <si>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</si>
  <si>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</si>
  <si>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</si>
  <si>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</si>
  <si>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</si>
  <si>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</si>
  <si>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</si>
  <si>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</si>
  <si>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</si>
  <si>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</si>
  <si>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</si>
  <si>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</si>
  <si>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</si>
  <si>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</si>
  <si>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</si>
  <si>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</si>
  <si>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</si>
  <si>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</si>
  <si>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</si>
  <si>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</si>
  <si>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</si>
  <si>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</si>
  <si>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</si>
  <si>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</si>
  <si>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</si>
  <si>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</si>
  <si>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</si>
  <si>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</si>
  <si>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</si>
  <si>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</si>
  <si>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</si>
  <si>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</si>
  <si>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</si>
  <si>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</si>
  <si>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</si>
  <si>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</si>
  <si>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</si>
  <si>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</si>
  <si>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</si>
  <si>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</si>
  <si>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</si>
  <si>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</si>
  <si>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</si>
  <si>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</si>
  <si>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</si>
  <si>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</si>
  <si>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</si>
  <si>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</si>
  <si>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</si>
  <si>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</si>
  <si>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</si>
  <si>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</si>
  <si>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</si>
  <si>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</si>
  <si>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</si>
  <si>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</si>
  <si>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</si>
  <si>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</si>
  <si>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</si>
  <si>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</si>
  <si>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</si>
  <si>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</si>
  <si>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</si>
  <si>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</si>
  <si>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</si>
  <si>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</si>
  <si>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</si>
  <si>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</si>
  <si>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</si>
  <si>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</si>
  <si>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</si>
  <si>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</si>
  <si>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</si>
  <si>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</si>
  <si>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</si>
  <si>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</si>
  <si>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</si>
  <si>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</si>
  <si>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</si>
  <si>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</si>
  <si>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</si>
  <si>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</si>
  <si>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</si>
  <si>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</si>
  <si>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</si>
  <si>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</si>
  <si>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</si>
  <si>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</si>
  <si>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</si>
  <si>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</si>
  <si>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</si>
  <si>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</si>
  <si>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</si>
  <si>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</si>
  <si>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</si>
  <si>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</si>
  <si>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</si>
  <si>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</si>
  <si>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</si>
  <si>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</si>
  <si>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</si>
  <si>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</si>
  <si>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</si>
  <si>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</si>
  <si>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</si>
  <si>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</si>
  <si>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</si>
  <si>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</si>
  <si>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</si>
  <si>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</si>
  <si>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</si>
  <si>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</si>
  <si>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</si>
  <si>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</si>
  <si>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</si>
  <si>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</si>
  <si>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</si>
  <si>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</si>
  <si>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</si>
  <si>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</si>
  <si>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</si>
  <si>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</si>
  <si>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</si>
  <si>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</si>
  <si>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</si>
  <si>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</si>
  <si>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</si>
  <si>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</si>
  <si>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</si>
  <si>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</si>
  <si>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</si>
  <si>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</si>
  <si>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</si>
  <si>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</si>
  <si>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</si>
  <si>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</si>
  <si>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</si>
  <si>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</si>
  <si>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</si>
  <si>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</si>
  <si>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</si>
  <si>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</si>
  <si>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</si>
  <si>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</si>
  <si>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</si>
  <si>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</si>
  <si>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</si>
  <si>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</si>
  <si>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</si>
  <si>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</si>
  <si>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</si>
  <si>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</si>
  <si>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</si>
  <si>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</si>
  <si>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</si>
  <si>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</si>
  <si>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</si>
  <si>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</si>
  <si>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</si>
  <si>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</si>
  <si>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</si>
  <si>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</si>
  <si>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</si>
  <si>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</si>
  <si>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</si>
  <si>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</si>
  <si>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</si>
  <si>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</si>
  <si>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</si>
  <si>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</si>
  <si>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</si>
  <si>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</si>
  <si>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</si>
  <si>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</si>
  <si>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</si>
  <si>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</si>
  <si>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</si>
  <si>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</si>
  <si>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</si>
  <si>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</si>
  <si>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</si>
  <si>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</si>
  <si>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</si>
  <si>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</si>
  <si>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</si>
  <si>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</si>
  <si>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</si>
  <si>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</si>
  <si>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</si>
  <si>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</si>
  <si>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</si>
  <si>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</si>
  <si>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</si>
  <si>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</si>
  <si>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</si>
  <si>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</si>
  <si>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</si>
  <si>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</si>
  <si>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</si>
  <si>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</si>
  <si>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</si>
  <si>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</si>
  <si>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</si>
  <si>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</si>
  <si>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</si>
  <si>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</si>
  <si>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</si>
  <si>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</si>
  <si>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</si>
  <si>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</si>
  <si>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</si>
  <si>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</si>
  <si>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</si>
  <si>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</si>
  <si>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</si>
  <si>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</si>
  <si>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</si>
  <si>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</si>
  <si>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</si>
  <si>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</si>
  <si>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</si>
  <si>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</si>
  <si>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</si>
  <si>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</si>
  <si>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</si>
  <si>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</si>
  <si>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</si>
  <si>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</si>
  <si>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</si>
  <si>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</si>
  <si>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</si>
  <si>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</si>
  <si>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</si>
  <si>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</si>
  <si>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</si>
  <si>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</si>
  <si>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</si>
  <si>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</si>
  <si>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</si>
  <si>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</si>
  <si>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</si>
  <si>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</si>
  <si>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</si>
  <si>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</si>
  <si>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</si>
  <si>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</si>
  <si>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</si>
  <si>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</si>
  <si>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</si>
  <si>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</si>
  <si>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</si>
  <si>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</si>
  <si>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</si>
  <si>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</si>
  <si>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</si>
  <si>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</si>
  <si>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</si>
  <si>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</si>
  <si>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</si>
  <si>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</si>
  <si>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</si>
  <si>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</si>
  <si>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</si>
  <si>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</si>
  <si>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</si>
  <si>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</si>
  <si>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</si>
  <si>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</si>
  <si>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</si>
  <si>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</si>
  <si>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</si>
  <si>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</si>
  <si>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</si>
  <si>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</si>
  <si>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</si>
  <si>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</si>
  <si>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</si>
  <si>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</si>
  <si>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</si>
  <si>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</si>
  <si>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</si>
  <si>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</si>
  <si>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</si>
  <si>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</si>
  <si>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</si>
  <si>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</si>
  <si>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</si>
  <si>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</si>
  <si>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</si>
  <si>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</si>
  <si>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</si>
  <si>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</si>
  <si>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</si>
  <si>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</si>
  <si>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</si>
  <si>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</si>
  <si>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</si>
  <si>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</si>
  <si>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</si>
  <si>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</si>
  <si>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</si>
  <si>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</si>
  <si>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</si>
  <si>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</si>
  <si>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</si>
  <si>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</si>
  <si>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</si>
  <si>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</si>
  <si>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</si>
  <si>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</si>
  <si>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</si>
  <si>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</si>
  <si>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</si>
  <si>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</si>
  <si>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</si>
  <si>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</si>
  <si>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</si>
  <si>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</si>
  <si>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</si>
  <si>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</si>
  <si>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</si>
  <si>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</si>
  <si>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</si>
  <si>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</si>
  <si>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</si>
  <si>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</si>
  <si>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</si>
  <si>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</si>
  <si>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</si>
  <si>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</si>
  <si>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</si>
  <si>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</si>
  <si>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</si>
  <si>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</si>
  <si>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</si>
  <si>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</si>
  <si>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</si>
  <si>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</si>
  <si>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</si>
  <si>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</si>
  <si>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</si>
  <si>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</si>
  <si>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</si>
  <si>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</si>
  <si>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</si>
  <si>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</si>
  <si>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</si>
  <si>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</si>
  <si>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</si>
  <si>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</si>
  <si>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</si>
  <si>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</si>
  <si>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</si>
  <si>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</si>
  <si>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</si>
  <si>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</si>
  <si>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</si>
  <si>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</si>
  <si>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</si>
  <si>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</si>
  <si>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</si>
  <si>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</si>
  <si>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</si>
  <si>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</si>
  <si>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</si>
  <si>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</si>
  <si>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</si>
  <si>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</si>
  <si>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</si>
  <si>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</si>
  <si>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</si>
  <si>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</si>
  <si>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</si>
  <si>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</si>
  <si>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</si>
  <si>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</si>
  <si>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</si>
  <si>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</si>
  <si>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</si>
  <si>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</si>
  <si>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</si>
  <si>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</si>
  <si>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</si>
  <si>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</si>
  <si>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</si>
  <si>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</si>
  <si>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</si>
  <si>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</si>
  <si>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</si>
  <si>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</si>
  <si>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</si>
  <si>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</si>
  <si>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</si>
  <si>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</si>
  <si>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</si>
  <si>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</si>
  <si>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</si>
  <si>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</si>
  <si>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</si>
  <si>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</si>
  <si>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</si>
  <si>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</si>
  <si>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</si>
  <si>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</si>
  <si>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</si>
  <si>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</si>
  <si>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</si>
  <si>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</si>
  <si>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</si>
  <si>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</si>
  <si>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</si>
  <si>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</si>
  <si>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</si>
  <si>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</si>
  <si>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</si>
  <si>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</si>
  <si>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</si>
  <si>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</si>
  <si>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</si>
  <si>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</si>
  <si>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</si>
  <si>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</si>
  <si>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</si>
  <si>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</si>
  <si>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</si>
  <si>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</si>
  <si>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</si>
  <si>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</si>
  <si>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</si>
  <si>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</si>
  <si>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</si>
  <si>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</si>
  <si>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</si>
  <si>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</si>
  <si>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</si>
  <si>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</si>
  <si>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</si>
  <si>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</si>
  <si>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</si>
  <si>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</si>
  <si>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</si>
  <si>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</si>
  <si>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</si>
  <si>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</si>
  <si>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</si>
  <si>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</si>
  <si>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</si>
  <si>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</si>
  <si>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</si>
  <si>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</si>
  <si>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</si>
  <si>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</si>
  <si>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</si>
  <si>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</si>
  <si>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</si>
  <si>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</si>
  <si>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</si>
  <si>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</si>
  <si>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</si>
  <si>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</si>
  <si>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</si>
  <si>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</si>
  <si>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</si>
  <si>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</si>
  <si>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</si>
  <si>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</si>
  <si>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</si>
  <si>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</si>
  <si>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</si>
  <si>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</si>
  <si>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</si>
  <si>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</si>
  <si>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</si>
  <si>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</si>
  <si>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</si>
  <si>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</si>
  <si>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</si>
  <si>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</si>
  <si>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</si>
  <si>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</si>
  <si>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</si>
  <si>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</si>
  <si>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</si>
  <si>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</si>
  <si>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</si>
  <si>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</si>
  <si>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</si>
  <si>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</si>
  <si>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</si>
  <si>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</si>
  <si>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</si>
  <si>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</si>
  <si>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</si>
  <si>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</si>
  <si>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</si>
  <si>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</si>
  <si>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</si>
  <si>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</si>
  <si>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</si>
  <si>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</si>
  <si>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</si>
  <si>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</si>
  <si>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</si>
  <si>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</si>
  <si>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</si>
  <si>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</si>
  <si>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</si>
  <si>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</si>
  <si>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</si>
  <si>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</si>
  <si>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</si>
  <si>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</si>
  <si>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</si>
  <si>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</si>
  <si>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</si>
  <si>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</si>
  <si>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</si>
  <si>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</si>
  <si>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</si>
  <si>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</si>
  <si>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</si>
  <si>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</si>
  <si>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</si>
  <si>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</si>
  <si>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</si>
  <si>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</si>
  <si>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</si>
  <si>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</si>
  <si>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</si>
  <si>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</si>
  <si>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</si>
  <si>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</si>
  <si>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</si>
  <si>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</si>
  <si>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</si>
  <si>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</si>
  <si>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</si>
  <si>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</si>
  <si>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</si>
  <si>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</si>
  <si>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</si>
  <si>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</si>
  <si>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</si>
  <si>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</si>
  <si>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</si>
  <si>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</si>
  <si>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</si>
  <si>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</si>
  <si>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</si>
  <si>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</si>
  <si>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</si>
  <si>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</si>
  <si>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</si>
  <si>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</si>
  <si>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</si>
  <si>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</si>
  <si>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</si>
  <si>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</si>
  <si>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</si>
  <si>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</si>
  <si>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</si>
  <si>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</si>
  <si>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</si>
  <si>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</si>
  <si>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</si>
  <si>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</si>
  <si>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</si>
  <si>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</si>
  <si>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</si>
  <si>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</si>
  <si>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</si>
  <si>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</si>
  <si>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</si>
  <si>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</si>
  <si>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</si>
  <si>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</si>
  <si>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</si>
  <si>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</si>
  <si>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</si>
  <si>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</si>
  <si>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</si>
  <si>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</si>
  <si>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</si>
  <si>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</si>
  <si>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</si>
  <si>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</si>
  <si>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</si>
  <si>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</si>
  <si>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</si>
  <si>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</si>
  <si>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</si>
  <si>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</si>
  <si>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</si>
  <si>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</si>
  <si>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</si>
  <si>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</si>
  <si>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</si>
  <si>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</si>
  <si>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</si>
  <si>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</si>
  <si>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</si>
  <si>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</si>
  <si>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</si>
  <si>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</si>
  <si>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</si>
  <si>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</si>
  <si>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</si>
  <si>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</si>
  <si>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</si>
  <si>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</si>
  <si>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</si>
  <si>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</si>
  <si>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</si>
  <si>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</si>
  <si>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</si>
  <si>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</si>
  <si>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</si>
  <si>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</si>
  <si>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</si>
  <si>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</si>
  <si>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</si>
  <si>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</si>
  <si>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</si>
  <si>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</si>
  <si>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</si>
  <si>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</si>
  <si>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</si>
  <si>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</si>
  <si>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</si>
  <si>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</si>
  <si>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</si>
  <si>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</si>
  <si>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</si>
  <si>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</si>
  <si>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</si>
  <si>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</si>
  <si>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</si>
  <si>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</si>
  <si>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</si>
  <si>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</si>
  <si>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</si>
  <si>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</si>
  <si>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</si>
  <si>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</si>
  <si>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</si>
  <si>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</si>
  <si>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</si>
  <si>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</si>
  <si>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</si>
  <si>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</si>
  <si>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</si>
  <si>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</si>
  <si>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</si>
  <si>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</si>
  <si>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</si>
  <si>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</si>
  <si>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</si>
  <si>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</si>
  <si>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</si>
  <si>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</si>
  <si>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</si>
  <si>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</si>
  <si>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</si>
  <si>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</si>
  <si>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</si>
  <si>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</si>
  <si>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</si>
  <si>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</si>
  <si>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</si>
  <si>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</si>
  <si>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</si>
  <si>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</si>
  <si>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</si>
  <si>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</si>
  <si>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</si>
  <si>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</si>
  <si>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</si>
  <si>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</si>
  <si>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</si>
  <si>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</si>
  <si>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</si>
  <si>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</si>
  <si>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</si>
  <si>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</si>
  <si>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</si>
  <si>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</si>
  <si>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</si>
  <si>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</si>
  <si>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</si>
  <si>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</si>
  <si>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</si>
  <si>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</si>
  <si>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</si>
  <si>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</si>
  <si>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</si>
  <si>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</si>
  <si>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</si>
  <si>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</si>
  <si>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</si>
  <si>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</si>
  <si>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</si>
  <si>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</si>
  <si>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</si>
  <si>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</si>
  <si>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</si>
  <si>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</si>
  <si>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</si>
  <si>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</si>
  <si>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</si>
  <si>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</si>
  <si>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</si>
  <si>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</si>
  <si>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</si>
  <si>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</si>
  <si>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</si>
  <si>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</si>
  <si>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</si>
  <si>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</si>
  <si>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</si>
  <si>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</si>
  <si>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</si>
  <si>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</si>
  <si>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</si>
  <si>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</si>
  <si>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</si>
  <si>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</si>
  <si>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</si>
  <si>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</si>
  <si>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</si>
  <si>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</si>
  <si>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</si>
  <si>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</si>
  <si>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</si>
  <si>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</si>
  <si>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</si>
  <si>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</si>
  <si>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</si>
  <si>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</si>
  <si>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</si>
  <si>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</si>
  <si>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</si>
  <si>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</si>
  <si>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</si>
  <si>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</si>
  <si>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</si>
  <si>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</si>
  <si>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</si>
  <si>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</si>
  <si>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</si>
  <si>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</si>
  <si>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</si>
  <si>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</si>
  <si>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</si>
  <si>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</si>
  <si>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</si>
  <si>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</si>
  <si>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</si>
  <si>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</si>
  <si>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</si>
  <si>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</si>
  <si>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</si>
  <si>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</si>
  <si>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</si>
  <si>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</si>
  <si>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</si>
  <si>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</si>
  <si>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</si>
  <si>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</si>
  <si>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</si>
  <si>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</si>
  <si>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</si>
  <si>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</si>
  <si>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</si>
  <si>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</si>
  <si>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</si>
  <si>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</si>
  <si>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</si>
  <si>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</si>
  <si>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</si>
  <si>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</si>
  <si>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</si>
  <si>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</si>
  <si>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</si>
  <si>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</si>
  <si>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</si>
  <si>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</si>
  <si>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</si>
  <si>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</si>
  <si>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</si>
  <si>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</si>
  <si>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</si>
  <si>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</si>
  <si>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</si>
  <si>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</si>
  <si>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</si>
  <si>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</si>
  <si>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</si>
  <si>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</si>
  <si>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</si>
  <si>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</si>
  <si>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</si>
  <si>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</si>
  <si>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</si>
  <si>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</si>
  <si>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</si>
  <si>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</si>
  <si>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</si>
  <si>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</si>
  <si>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</si>
  <si>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</si>
  <si>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</si>
  <si>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</si>
  <si>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</si>
  <si>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</si>
  <si>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</si>
  <si>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</si>
  <si>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</si>
  <si>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</si>
  <si>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</si>
  <si>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</si>
  <si>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</si>
  <si>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</si>
  <si>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</si>
  <si>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</si>
  <si>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</si>
  <si>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</si>
  <si>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</si>
  <si>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</si>
  <si>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</si>
  <si>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</si>
  <si>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</si>
  <si>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</si>
  <si>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</si>
  <si>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</si>
  <si>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</si>
  <si>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</si>
  <si>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</si>
  <si>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</si>
  <si>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</si>
  <si>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</si>
  <si>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</si>
  <si>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</si>
  <si>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</si>
  <si>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</si>
  <si>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</si>
  <si>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</si>
  <si>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</si>
  <si>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</si>
  <si>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</si>
  <si>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</si>
  <si>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</si>
  <si>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</si>
  <si>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</si>
  <si>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</si>
  <si>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</si>
  <si>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</si>
  <si>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</si>
  <si>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</si>
  <si>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</si>
  <si>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</si>
  <si>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</si>
  <si>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</si>
  <si>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</si>
  <si>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</si>
  <si>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</si>
  <si>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</si>
  <si>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</si>
  <si>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</si>
  <si>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</si>
  <si>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</si>
  <si>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</si>
  <si>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</si>
  <si>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</si>
  <si>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</si>
  <si>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</si>
  <si>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</si>
  <si>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</si>
  <si>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</si>
  <si>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</si>
  <si>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</si>
  <si>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</si>
  <si>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</si>
  <si>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</si>
  <si>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</si>
  <si>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</si>
  <si>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</si>
  <si>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</si>
  <si>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</si>
  <si>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</si>
  <si>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</si>
  <si>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</si>
  <si>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</si>
  <si>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</si>
  <si>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</si>
  <si>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</si>
  <si>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</si>
  <si>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</si>
  <si>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</si>
  <si>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</si>
  <si>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</si>
  <si>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</si>
  <si>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</si>
  <si>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</si>
  <si>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</si>
  <si>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</si>
  <si>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</si>
  <si>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</si>
  <si>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</si>
  <si>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</si>
  <si>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</si>
  <si>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</si>
  <si>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</si>
  <si>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</si>
  <si>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</si>
  <si>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</si>
  <si>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</si>
  <si>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</si>
  <si>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</si>
  <si>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</si>
  <si>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</si>
  <si>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</si>
  <si>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</si>
  <si>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</si>
  <si>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</si>
  <si>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</si>
  <si>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</si>
  <si>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</si>
  <si>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</si>
  <si>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</si>
  <si>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</si>
  <si>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</si>
  <si>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</si>
  <si>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</si>
  <si>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</si>
  <si>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</si>
  <si>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</si>
  <si>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</si>
  <si>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</si>
  <si>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</si>
  <si>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</si>
  <si>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</si>
  <si>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</si>
  <si>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</si>
  <si>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</si>
  <si>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</si>
  <si>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</si>
  <si>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</si>
  <si>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</si>
  <si>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</si>
  <si>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</si>
  <si>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</si>
  <si>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</si>
  <si>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</si>
  <si>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</si>
  <si>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</si>
  <si>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</si>
  <si>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</si>
  <si>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</si>
  <si>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</si>
  <si>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</si>
  <si>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</si>
  <si>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</si>
  <si>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</si>
  <si>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</si>
  <si>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</si>
  <si>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</si>
  <si>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</si>
  <si>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</si>
  <si>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</si>
  <si>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</si>
  <si>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</si>
  <si>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</si>
  <si>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</si>
  <si>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</si>
  <si>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</si>
  <si>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</si>
  <si>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</si>
  <si>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</si>
  <si>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</si>
  <si>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</si>
  <si>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</si>
  <si>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</si>
  <si>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</si>
  <si>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</si>
  <si>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</si>
  <si>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</si>
  <si>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</si>
  <si>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</si>
  <si>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</si>
  <si>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</si>
  <si>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</si>
  <si>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</si>
  <si>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</si>
  <si>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</si>
  <si>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</si>
  <si>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</si>
  <si>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</si>
  <si>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</si>
  <si>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</si>
  <si>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</si>
  <si>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</si>
  <si>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</si>
  <si>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</si>
  <si>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</si>
  <si>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</si>
  <si>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</si>
  <si>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</si>
  <si>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</si>
  <si>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</si>
  <si>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</si>
  <si>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</si>
  <si>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</si>
  <si>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</si>
  <si>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</si>
  <si>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</si>
  <si>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</si>
  <si>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</si>
  <si>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</si>
  <si>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</si>
  <si>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</si>
  <si>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</si>
  <si>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</si>
  <si>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</si>
  <si>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</si>
  <si>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</si>
  <si>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</si>
  <si>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</si>
  <si>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</si>
  <si>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</si>
  <si>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</si>
  <si>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</si>
  <si>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</si>
  <si>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</si>
  <si>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</si>
  <si>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</si>
  <si>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</si>
  <si>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</si>
  <si>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</si>
  <si>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</si>
  <si>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</si>
  <si>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</si>
  <si>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</si>
  <si>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</si>
  <si>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</si>
  <si>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</si>
  <si>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</si>
  <si>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</si>
  <si>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</si>
  <si>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</si>
  <si>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</si>
  <si>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</si>
  <si>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</si>
  <si>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</si>
  <si>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</si>
  <si>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</si>
  <si>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</si>
  <si>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</si>
  <si>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</si>
  <si>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</si>
  <si>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</si>
  <si>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</si>
  <si>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</si>
  <si>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</si>
  <si>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</si>
  <si>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</si>
  <si>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</si>
  <si>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</si>
  <si>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</si>
  <si>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</si>
  <si>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</si>
  <si>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</si>
  <si>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</si>
  <si>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</si>
  <si>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</si>
  <si>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</si>
  <si>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</si>
  <si>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</si>
  <si>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</si>
  <si>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</si>
  <si>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</si>
  <si>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</si>
  <si>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</si>
  <si>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</si>
  <si>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</si>
  <si>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</si>
  <si>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</si>
  <si>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</si>
  <si>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</si>
  <si>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</si>
  <si>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</si>
  <si>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</si>
  <si>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</si>
  <si>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</si>
  <si>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</si>
  <si>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</si>
  <si>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</si>
  <si>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</si>
  <si>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</si>
  <si>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</si>
  <si>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</si>
  <si>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</si>
  <si>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</si>
  <si>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</si>
  <si>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</si>
  <si>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</si>
  <si>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</si>
  <si>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</si>
  <si>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</si>
  <si>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</si>
  <si>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</si>
  <si>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</si>
  <si>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</si>
  <si>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</si>
  <si>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</si>
  <si>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</si>
  <si>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</si>
  <si>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</si>
  <si>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</si>
  <si>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</si>
  <si>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</si>
  <si>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</si>
  <si>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</si>
  <si>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</si>
  <si>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</si>
  <si>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</si>
  <si>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</si>
  <si>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</si>
  <si>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</si>
  <si>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</si>
  <si>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</si>
  <si>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</si>
  <si>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</si>
  <si>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</si>
  <si>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</si>
  <si>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</si>
  <si>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</si>
  <si>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</si>
  <si>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</si>
  <si>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</si>
  <si>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</si>
  <si>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</si>
  <si>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</si>
  <si>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</si>
  <si>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</si>
  <si>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</si>
  <si>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</si>
  <si>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</si>
  <si>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</si>
  <si>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</si>
  <si>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</si>
  <si>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</si>
  <si>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</si>
  <si>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</si>
  <si>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</si>
  <si>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</si>
  <si>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</si>
  <si>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</si>
  <si>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</si>
  <si>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</si>
  <si>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</si>
  <si>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</si>
  <si>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</si>
  <si>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</si>
  <si>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</si>
  <si>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</si>
  <si>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</si>
  <si>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</si>
  <si>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</si>
  <si>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</si>
  <si>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</si>
  <si>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</si>
  <si>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</si>
  <si>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</si>
  <si>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</si>
  <si>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</si>
  <si>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</si>
  <si>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</si>
  <si>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</si>
  <si>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</si>
  <si>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</si>
  <si>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</si>
  <si>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</si>
  <si>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</si>
  <si>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</si>
  <si>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</si>
  <si>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</si>
  <si>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</si>
  <si>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</si>
  <si>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</si>
  <si>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</si>
  <si>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</si>
  <si>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</si>
  <si>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</si>
  <si>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</si>
  <si>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</si>
  <si>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</si>
  <si>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</si>
  <si>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</si>
  <si>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</si>
  <si>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</si>
  <si>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</si>
  <si>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</si>
  <si>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</si>
  <si>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</si>
  <si>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</si>
  <si>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</si>
  <si>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</si>
  <si>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</si>
  <si>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</si>
  <si>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</si>
  <si>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</si>
  <si>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</si>
  <si>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</si>
  <si>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</si>
  <si>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</si>
  <si>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</si>
  <si>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</si>
  <si>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</si>
  <si>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</si>
  <si>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</si>
  <si>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</si>
  <si>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</si>
  <si>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</si>
  <si>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</si>
  <si>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</si>
  <si>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</si>
  <si>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</si>
  <si>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</si>
  <si>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</si>
  <si>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</si>
  <si>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</si>
  <si>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</si>
  <si>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</si>
  <si>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</si>
  <si>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</si>
  <si>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</si>
  <si>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</si>
  <si>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</si>
  <si>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</si>
  <si>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</si>
  <si>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</si>
  <si>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</si>
  <si>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</si>
  <si>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</si>
  <si>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</si>
  <si>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</si>
  <si>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</si>
  <si>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</si>
  <si>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</si>
  <si>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</si>
  <si>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</si>
  <si>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</si>
  <si>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</si>
  <si>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</si>
  <si>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</si>
  <si>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</si>
  <si>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</si>
  <si>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</si>
  <si>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</si>
  <si>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</si>
  <si>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</si>
  <si>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</si>
  <si>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UniTCDF: Gestão Pública (Fernanda e Túlio)</t>
  </si>
  <si>
    <t>UniTCDF: Engenharia civil (Seinfra)</t>
  </si>
  <si>
    <t>UniTCDF: Engenharia civil (Adriana)</t>
  </si>
  <si>
    <t>UniTCDF: Gestão Pública (Novos)</t>
  </si>
  <si>
    <t>UniTCDF: Direito (Novos)</t>
  </si>
  <si>
    <t>Visita dos Filhos ao trabalho</t>
  </si>
  <si>
    <t>UniTCDF: Visita da FGV</t>
  </si>
  <si>
    <t>Exibição de filme: Consciência Negra</t>
  </si>
  <si>
    <t>Hackaton</t>
  </si>
  <si>
    <t>2026-074</t>
  </si>
  <si>
    <t>2026-075</t>
  </si>
  <si>
    <t>2026-076</t>
  </si>
  <si>
    <t>2026-077</t>
  </si>
  <si>
    <t>2026-078</t>
  </si>
  <si>
    <t>Painel Felipe</t>
  </si>
  <si>
    <t>Café e Tertúlia: Gincana dos Neurotransmissores</t>
  </si>
  <si>
    <t>220/2026</t>
  </si>
  <si>
    <t>Isac Mendes Caixeta de Pamplona Araújo; Valéria Feitoza; Cinthia Thais de Carvalho Luz Thomazi</t>
  </si>
  <si>
    <t>10/06/2026</t>
  </si>
  <si>
    <t xml:space="preserve">UniTCDF: Gestão Pública </t>
  </si>
  <si>
    <t>8724/2026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</si>
</sst>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 blank="1">
        <filter val="2026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09" activePane="bottomLeft" state="frozen"/>
      <selection pane="bottomLeft" activeCell="E736" sqref="E736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ht="15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ht="15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30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ht="15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ht="15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2860</v>
      </c>
      <c r="B668" s="127">
        <v>2026</v>
      </c>
      <c r="C668" s="216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30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ht="15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ht="15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ht="15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ht="15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ht="15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18" t="s">
        <v>2745</v>
      </c>
      <c r="I675" s="220">
        <v>46120</v>
      </c>
      <c r="J675" s="220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ht="15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ht="15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ht="15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ht="15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ht="15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ht="15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19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ht="15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ht="15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ht="15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ht="15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17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ht="15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ht="15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ht="15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ht="15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ht="15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ht="15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ht="15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2822</v>
      </c>
    </row>
    <row r="702" spans="1:20" ht="15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2908</v>
      </c>
    </row>
    <row r="703" spans="1:20" ht="15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2899</v>
      </c>
    </row>
    <row r="704" spans="1:20" ht="15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2879</v>
      </c>
    </row>
    <row r="705" spans="1:21" ht="15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2963</v>
      </c>
    </row>
    <row r="706" spans="1:21" ht="15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2887</v>
      </c>
    </row>
    <row r="709" spans="1:21" ht="15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2949</v>
      </c>
      <c r="U709" s="106"/>
    </row>
    <row r="710" spans="1:21" ht="15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2959</v>
      </c>
    </row>
    <row r="712" spans="1:21" ht="15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ht="15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ht="15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ht="15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2809</v>
      </c>
      <c r="B724" s="15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2784</v>
      </c>
      <c r="E725" s="184" t="s">
        <v>3183</v>
      </c>
      <c r="F725" s="185"/>
      <c r="G725" s="186" t="s">
        <v>2749</v>
      </c>
      <c r="H725" s="191" t="s">
        <v>3182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2965</v>
      </c>
      <c r="B726" s="183">
        <v>2026</v>
      </c>
      <c r="C726" s="183" t="s">
        <v>2774</v>
      </c>
      <c r="D726" s="212"/>
      <c r="E726" s="184" t="s">
        <v>3165</v>
      </c>
      <c r="F726" s="185"/>
      <c r="G726" s="186" t="s">
        <v>2749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2966</v>
      </c>
      <c r="B727" s="183">
        <v>2026</v>
      </c>
      <c r="C727" s="183" t="s">
        <v>2774</v>
      </c>
      <c r="D727" s="183"/>
      <c r="E727" s="180" t="s">
        <v>3166</v>
      </c>
      <c r="F727" s="185"/>
      <c r="G727" s="186" t="s">
        <v>2749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2967</v>
      </c>
      <c r="B728" s="183">
        <v>2026</v>
      </c>
      <c r="C728" s="183" t="s">
        <v>2774</v>
      </c>
      <c r="D728" s="183"/>
      <c r="E728" s="180" t="s">
        <v>3164</v>
      </c>
      <c r="F728" s="185"/>
      <c r="G728" s="186" t="s">
        <v>2749</v>
      </c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x14ac:dyDescent="0.25">
      <c r="A729" s="191" t="s">
        <v>2968</v>
      </c>
      <c r="B729" s="183">
        <v>2026</v>
      </c>
      <c r="C729" s="183" t="s">
        <v>2774</v>
      </c>
      <c r="D729" s="183"/>
      <c r="E729" s="180" t="s">
        <v>3167</v>
      </c>
      <c r="F729" s="185"/>
      <c r="G729" s="186" t="s">
        <v>2749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3173</v>
      </c>
      <c r="B730" s="183">
        <v>2026</v>
      </c>
      <c r="C730" s="183" t="s">
        <v>2774</v>
      </c>
      <c r="D730" s="183"/>
      <c r="E730" s="203" t="s">
        <v>3168</v>
      </c>
      <c r="F730" s="185"/>
      <c r="G730" s="186" t="s">
        <v>2749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3174</v>
      </c>
      <c r="B731" s="183">
        <v>2026</v>
      </c>
      <c r="C731" s="183" t="s">
        <v>2774</v>
      </c>
      <c r="D731" s="183"/>
      <c r="E731" s="203" t="s">
        <v>3170</v>
      </c>
      <c r="F731" s="185"/>
      <c r="G731" s="186" t="s">
        <v>2749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3175</v>
      </c>
      <c r="B732" s="183">
        <v>2026</v>
      </c>
      <c r="C732" s="183" t="s">
        <v>2774</v>
      </c>
      <c r="D732" s="183"/>
      <c r="E732" s="184" t="s">
        <v>3169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3176</v>
      </c>
      <c r="B733" s="183">
        <v>2026</v>
      </c>
      <c r="C733" s="183" t="s">
        <v>2774</v>
      </c>
      <c r="D733" s="183"/>
      <c r="E733" s="203" t="s">
        <v>3171</v>
      </c>
      <c r="F733" s="185"/>
      <c r="G733" s="186" t="s">
        <v>2749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3177</v>
      </c>
      <c r="B734" s="183">
        <v>2026</v>
      </c>
      <c r="C734" s="183" t="s">
        <v>2774</v>
      </c>
      <c r="D734" s="183"/>
      <c r="E734" s="184" t="s">
        <v>3172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3180</v>
      </c>
      <c r="E735" s="184" t="s">
        <v>3179</v>
      </c>
      <c r="F735" s="185"/>
      <c r="G735" s="186" t="s">
        <v>206</v>
      </c>
      <c r="H735" s="191" t="s">
        <v>3180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3181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2774</v>
      </c>
      <c r="D736" s="183" t="s">
        <v>3184</v>
      </c>
      <c r="E736" s="184" t="s">
        <v>3178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4"/>
      <c r="C2002" s="193"/>
      <c r="D2002" s="193"/>
      <c r="E2002" s="184"/>
      <c r="F2002" s="211"/>
      <c r="G2002" s="194"/>
      <c r="H2002" s="195"/>
      <c r="I2002" s="196"/>
      <c r="J2002" s="196"/>
      <c r="K2002" s="225"/>
      <c r="L2002" s="226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4"/>
      <c r="C2003" s="193"/>
      <c r="D2003" s="193"/>
      <c r="E2003" s="184"/>
      <c r="F2003" s="211"/>
      <c r="G2003" s="194"/>
      <c r="H2003" s="195"/>
      <c r="I2003" s="196"/>
      <c r="J2003" s="196"/>
      <c r="K2003" s="225"/>
      <c r="L2003" s="226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1"/>
      <c r="C2004" s="183"/>
      <c r="D2004" s="183"/>
      <c r="E2004" s="184"/>
      <c r="F2004" s="185"/>
      <c r="G2004" s="186"/>
      <c r="H2004" s="191"/>
      <c r="I2004" s="192"/>
      <c r="J2004" s="192"/>
      <c r="K2004" s="222"/>
      <c r="L2004" s="223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4"/>
      <c r="C2005" s="193"/>
      <c r="D2005" s="193"/>
      <c r="E2005" s="184"/>
      <c r="F2005" s="211"/>
      <c r="G2005" s="194"/>
      <c r="H2005" s="195"/>
      <c r="I2005" s="196"/>
      <c r="J2005" s="196"/>
      <c r="K2005" s="225"/>
      <c r="L2005" s="226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1"/>
      <c r="C2006" s="183"/>
      <c r="D2006" s="183"/>
      <c r="E2006" s="184"/>
      <c r="F2006" s="185"/>
      <c r="G2006" s="186"/>
      <c r="H2006" s="191"/>
      <c r="I2006" s="192"/>
      <c r="J2006" s="192"/>
      <c r="K2006" s="222"/>
      <c r="L2006" s="223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4"/>
      <c r="C2007" s="193"/>
      <c r="D2007" s="193"/>
      <c r="E2007" s="203"/>
      <c r="F2007" s="211"/>
      <c r="G2007" s="194"/>
      <c r="H2007" s="195"/>
      <c r="I2007" s="196"/>
      <c r="J2007" s="196"/>
      <c r="K2007" s="225"/>
      <c r="L2007" s="226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727:C727 E727:T727 A2002:A2006 E2007 A2:T726 A728:T2001">
    <cfRule type="expression" dxfId="52" priority="9">
      <formula>MOD(ROW(),2)=0</formula>
    </cfRule>
  </conditionalFormatting>
  <conditionalFormatting sqref="A727:C727 E727:T727 A2002:A2006 E2007 A2:T726 A728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aca="1" ref="A2:J11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A realizar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A realizar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A realizar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8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A realizar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59" ca="1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A realizar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A realizar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A realizar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A realizar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A realizar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A realizar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A realizar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A realizar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A realizar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A realizar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2026-079</v>
      </c>
      <c r="N58" t="str">
        <f ca="1"/>
        <v>Realizado</v>
      </c>
      <c r="O58" t="str">
        <f ca="1"/>
        <v>Café e Tertúlia: Gincana dos Neurotransmissores</v>
      </c>
      <c r="P58">
        <f ca="1"/>
        <v>2</v>
      </c>
      <c r="Q58" t="str">
        <f ca="1"/>
        <v>Isac Mendes Caixeta de Pamplona Araújo; Valéria Feitoza; Cinthia Thais de Carvalho Luz Thomazi</v>
      </c>
      <c r="R58">
        <f ca="1"/>
        <v>3</v>
      </c>
      <c r="S58">
        <f ca="1"/>
        <v>115</v>
      </c>
      <c r="T58">
        <f ca="1"/>
        <v>112</v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R59" t="str">
        <f ca="1"/>
        <v/>
      </c>
      <c r="S59" t="str">
        <f ca="1"/>
        <v/>
      </c>
      <c r="T59">
        <f ca="1"/>
        <v>115</v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2849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A realizar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2888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2888</v>
      </c>
      <c r="Y77" t="s">
        <v>3009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2896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A realizar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2896</v>
      </c>
      <c r="Y79" t="s">
        <v>3013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A realizar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2900</v>
      </c>
      <c r="Y80" t="s">
        <v>3010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2905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2905</v>
      </c>
      <c r="Y82" t="s">
        <v>3014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A realizar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A realizar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2026-079</v>
      </c>
      <c r="C114" t="str">
        <f ca="1"/>
        <v>Realizado</v>
      </c>
      <c r="D114" t="str">
        <f ca="1"/>
        <v>Café e Tertúlia: Gincana dos Neurotransmissores</v>
      </c>
      <c r="E114">
        <f ca="1"/>
        <v>2</v>
      </c>
      <c r="F114" t="str">
        <f ca="1"/>
        <v>Isac Mendes Caixeta de Pamplona Araújo</v>
      </c>
      <c r="G114">
        <f ca="1"/>
        <v>3</v>
      </c>
      <c r="H114">
        <f ca="1"/>
        <v>2</v>
      </c>
      <c r="I114">
        <f ca="1"/>
        <v>0.6</v>
      </c>
      <c r="J114">
        <f ca="1"/>
        <v>2.6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Valéria Feitoza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Cinthia Thais de Carvalho Luz Thomazi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R117" t="str">
        <f ca="1"/>
        <v/>
      </c>
      <c r="S117" t="str">
        <f ca="1"/>
        <v/>
      </c>
    </row>
    <row r="118" spans="1:19" x14ac:dyDescent="0.25"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3056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3057</v>
      </c>
      <c r="B4" s="231"/>
      <c r="D4" s="232" t="s">
        <v>3058</v>
      </c>
      <c r="E4" s="233"/>
      <c r="G4" s="45" t="s">
        <v>3059</v>
      </c>
    </row>
    <row r="5" spans="1:7" ht="54.95" customHeight="1" thickBot="1" x14ac:dyDescent="0.75">
      <c r="A5" s="35">
        <f>COUNTIF('Ações InCompany'!B:B,2026)</f>
        <v>80</v>
      </c>
      <c r="B5" s="36" t="s">
        <v>3060</v>
      </c>
      <c r="D5" s="43">
        <f>COUNTIFS('Ações InCompany'!B:B,2026,'Ações InCompany'!C:C,"Realizado")</f>
        <v>40</v>
      </c>
      <c r="E5" s="44" t="s">
        <v>3060</v>
      </c>
      <c r="G5" s="46">
        <f>COUNTIFS('Ações InCompany'!B:B,2026,'Ações InCompany'!C:C,"A realizar")</f>
        <v>37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3061</v>
      </c>
      <c r="B8" s="227"/>
      <c r="D8" s="227" t="s">
        <v>3062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1848</v>
      </c>
    </row>
    <row r="30" spans="1:5" ht="17.25" x14ac:dyDescent="0.3">
      <c r="A30" s="227" t="s">
        <v>3071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40</v>
      </c>
      <c r="C45" s="41">
        <f>SUM(C33:C44)</f>
        <v>37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3122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3123</v>
      </c>
    </row>
    <row r="4" spans="1:8" ht="21.95" customHeight="1" x14ac:dyDescent="0.25">
      <c r="A4" s="235" t="s">
        <v>3124</v>
      </c>
      <c r="B4" s="236"/>
      <c r="D4" s="235" t="s">
        <v>3125</v>
      </c>
      <c r="E4" s="236"/>
      <c r="G4" s="235" t="s">
        <v>3126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3132</v>
      </c>
      <c r="B1" s="240"/>
      <c r="C1" s="240"/>
      <c r="D1" s="240"/>
      <c r="E1" s="240"/>
      <c r="F1" s="240"/>
    </row>
    <row r="2" spans="1:7" x14ac:dyDescent="0.25">
      <c r="A2" s="241" t="s">
        <v>3133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18</v>
      </c>
      <c r="C24" s="26">
        <f ca="1">IF($A24="","",SUMIFS('GECC 2026'!I$2:I$200,'GECC 2026'!F$2:F$200,$A24))</f>
        <v>5.4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23.4</v>
      </c>
      <c r="F24" s="24">
        <f ca="1">IF($A24="","",COUNTIFS('GECC 2026'!F$2:F$200,$A24))</f>
        <v>5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6</v>
      </c>
      <c r="C53" s="26">
        <f ca="1">IF($A53="","",SUMIFS('GECC 2026'!I$2:I$200,'GECC 2026'!F$2:F$200,$A53))</f>
        <v>1.7999999999999998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7.8</v>
      </c>
      <c r="F53" s="24">
        <f ca="1">IF($A53="","",COUNTIFS('GECC 2026'!F$2:F$200,$A53))</f>
        <v>2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 ca="1">SUM(B5:B100)</f>
        <v>691</v>
      </c>
      <c r="C105" s="95">
        <f ca="1">SUM(C5:C100)</f>
        <v>378.14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terms/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91ce1707-6d34-452b-b217-9734c03e6729"/>
    <ds:schemaRef ds:uri="http://www.w3.org/XML/1998/namespace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2026-08-05T17:01:30Z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