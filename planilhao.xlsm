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67" documentId="13_ncr:1_{6A2CC3E2-FAFB-4D8F-B284-5E8FB5045DFE}" xr6:coauthVersionLast="47" xr6:coauthVersionMax="47" xr10:uidLastSave="{89114565-3E7D-441A-AB5A-99DC50AB278E}"/>
  <bookViews>
    <workbookView xWindow="-120" yWindow="-120" windowWidth="29040" windowHeight="15720" firstSheet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9" i="28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AE33" i="20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D60" i="23" l="1"/>
  <c r="E59" i="23"/>
  <c r="F60" i="23"/>
  <c r="C60" i="23"/>
  <c r="B60" i="23"/>
  <c r="E60" i="23"/>
  <c r="D59" i="23"/>
  <c r="F59" i="23"/>
  <c r="C59" i="23"/>
  <c r="B59" i="23"/>
  <c r="A2" i="20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<sst xmlns="http://schemas.openxmlformats.org/spreadsheetml/2006/main" count="7309" uniqueCount="3217">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</sst>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59" fillId="0" borderId="0" xfId="0" applyFont="1" applyAlignment="1">
      <alignment wrapText="1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4">
      <filters>
        <filter val="TCendo o Futuro"/>
        <filter val="Tcendo o Futuro - Edição Especial Filhos"/>
        <filter val="Tcendo o Futuro 1"/>
        <filter val="Tcendo o Futuro 2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L714" activePane="bottomLeft" state="frozen"/>
      <selection pane="bottomLeft" activeCell="T714" sqref="T714:T715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29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40" t="s">
        <v>2933</v>
      </c>
    </row>
    <row r="715" spans="1:21" ht="29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40" t="s">
        <v>2933</v>
      </c>
    </row>
    <row r="716" spans="1:21" ht="1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30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30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2957</v>
      </c>
    </row>
    <row r="723" spans="1:20" ht="15" hidden="1">
      <c r="A723" s="137" t="s">
        <v>2961</v>
      </c>
      <c r="B723" s="152">
        <v>2026</v>
      </c>
      <c r="C723" s="183" t="s">
        <v>22</v>
      </c>
      <c r="D723" s="183" t="s">
        <v>2962</v>
      </c>
      <c r="E723" s="184" t="s">
        <v>2963</v>
      </c>
      <c r="F723" s="185" t="s">
        <v>88</v>
      </c>
      <c r="G723" s="186" t="s">
        <v>2719</v>
      </c>
      <c r="H723" s="191" t="s">
        <v>2964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2965</v>
      </c>
      <c r="B724" s="151">
        <v>2026</v>
      </c>
      <c r="C724" s="183" t="s">
        <v>22</v>
      </c>
      <c r="D724" s="183" t="s">
        <v>2966</v>
      </c>
      <c r="E724" s="184" t="s">
        <v>2967</v>
      </c>
      <c r="F724" s="185" t="s">
        <v>88</v>
      </c>
      <c r="G724" s="186" t="s">
        <v>2719</v>
      </c>
      <c r="H724" s="191" t="s">
        <v>2968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2969</v>
      </c>
      <c r="B725" s="183">
        <v>2026</v>
      </c>
      <c r="C725" s="183" t="s">
        <v>22</v>
      </c>
      <c r="D725" s="183" t="s">
        <v>2962</v>
      </c>
      <c r="E725" s="184" t="s">
        <v>2970</v>
      </c>
      <c r="F725" s="185"/>
      <c r="G725" s="186" t="s">
        <v>2719</v>
      </c>
      <c r="H725" s="191" t="s">
        <v>2971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2972</v>
      </c>
      <c r="B726" s="183">
        <v>2026</v>
      </c>
      <c r="C726" s="183" t="s">
        <v>2697</v>
      </c>
      <c r="D726" s="183" t="s">
        <v>2962</v>
      </c>
      <c r="E726" s="184" t="s">
        <v>2973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2974</v>
      </c>
      <c r="B727" s="183">
        <v>2026</v>
      </c>
      <c r="C727" s="183" t="s">
        <v>2697</v>
      </c>
      <c r="D727" s="183" t="s">
        <v>2962</v>
      </c>
      <c r="E727" s="180" t="s">
        <v>2975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2976</v>
      </c>
      <c r="B728" s="183">
        <v>2026</v>
      </c>
      <c r="C728" s="183" t="s">
        <v>2697</v>
      </c>
      <c r="D728" s="183" t="s">
        <v>2962</v>
      </c>
      <c r="E728" s="180" t="s">
        <v>2977</v>
      </c>
      <c r="F728" s="185"/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2979</v>
      </c>
      <c r="B729" s="183">
        <v>2026</v>
      </c>
      <c r="C729" s="183" t="s">
        <v>2697</v>
      </c>
      <c r="D729" s="183" t="s">
        <v>2962</v>
      </c>
      <c r="E729" s="180" t="s">
        <v>2980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2981</v>
      </c>
      <c r="B730" s="183">
        <v>2026</v>
      </c>
      <c r="C730" s="183" t="s">
        <v>2697</v>
      </c>
      <c r="D730" s="183" t="s">
        <v>2962</v>
      </c>
      <c r="E730" s="203" t="s">
        <v>2982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2983</v>
      </c>
      <c r="B731" s="183">
        <v>2026</v>
      </c>
      <c r="C731" s="183" t="s">
        <v>2697</v>
      </c>
      <c r="D731" s="183" t="s">
        <v>2962</v>
      </c>
      <c r="E731" s="203" t="s">
        <v>2984</v>
      </c>
      <c r="F731" s="185"/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2986</v>
      </c>
      <c r="B732" s="183">
        <v>2026</v>
      </c>
      <c r="C732" s="183" t="s">
        <v>2697</v>
      </c>
      <c r="D732" s="183"/>
      <c r="E732" s="184" t="s">
        <v>2987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2990</v>
      </c>
      <c r="B734" s="183">
        <v>2026</v>
      </c>
      <c r="C734" s="183" t="s">
        <v>2697</v>
      </c>
      <c r="D734" s="183"/>
      <c r="E734" s="184" t="s">
        <v>2991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/>
      <c r="G735" s="186" t="s">
        <v>206</v>
      </c>
      <c r="H735" s="191" t="s">
        <v>2992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hidden="1">
      <c r="A739" s="191" t="s">
        <v>3006</v>
      </c>
      <c r="B739" s="183">
        <v>2026</v>
      </c>
      <c r="C739" s="183" t="s">
        <v>2697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75" t="s">
        <v>3009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50" workbookViewId="0">
      <selection activeCell="L44" sqref="L4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3021</v>
      </c>
      <c r="H1" s="213" t="s">
        <v>3022</v>
      </c>
    </row>
    <row r="2" spans="1:8">
      <c r="H2" s="212" t="s">
        <v>3023</v>
      </c>
    </row>
    <row r="3" spans="1:8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3049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3050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3051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3052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3053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3054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3055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3056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3057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3058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3059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3060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3061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3062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3063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3064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3065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3066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3067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3068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3069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3070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3071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3072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3073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3074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3075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3076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3077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108</v>
      </c>
      <c r="B109" t="s">
        <v>3079</v>
      </c>
      <c r="D109" t="s">
        <v>3029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>
      <c r="A2" s="21" cm="1">
        <f t="array" aca="1" ref="A2:J13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109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114</v>
      </c>
      <c r="T54">
        <f ca="1"/>
        <v>109</v>
      </c>
      <c r="X54" t="s">
        <v>2686</v>
      </c>
      <c r="Y54" t="s">
        <v>3076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116</v>
      </c>
      <c r="T55">
        <f ca="1"/>
        <v>114</v>
      </c>
      <c r="X55" t="s">
        <v>2785</v>
      </c>
      <c r="Y55" t="s">
        <v>3063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117</v>
      </c>
      <c r="T56">
        <f ca="1"/>
        <v>116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119</v>
      </c>
      <c r="T57">
        <f ca="1"/>
        <v>117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121</v>
      </c>
      <c r="T58">
        <f ca="1"/>
        <v>119</v>
      </c>
      <c r="X58" t="s">
        <v>2750</v>
      </c>
      <c r="Y58" s="110" t="s">
        <v>3070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124</v>
      </c>
      <c r="T59">
        <f ca="1"/>
        <v>121</v>
      </c>
      <c r="X59" t="s">
        <v>2750</v>
      </c>
      <c r="Y59" t="s">
        <v>3069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125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127</v>
      </c>
      <c r="T61">
        <f ca="1"/>
        <v>125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128</v>
      </c>
      <c r="T62">
        <f ca="1"/>
        <v>127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129</v>
      </c>
      <c r="T63">
        <f ca="1"/>
        <v>128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131</v>
      </c>
      <c r="T64">
        <f ca="1"/>
        <v>129</v>
      </c>
      <c r="X64" t="s">
        <v>2702</v>
      </c>
      <c r="Y64" t="s">
        <v>3060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133</v>
      </c>
      <c r="T65">
        <f ca="1"/>
        <v>131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133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2961</v>
      </c>
      <c r="Y68" t="s">
        <v>3058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Adriana Cuoco Portugal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Denise Duarte Guirra Kuhlmann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2026-023</v>
      </c>
      <c r="C111" t="str">
        <f ca="1"/>
        <v>Realizado</v>
      </c>
      <c r="D111" t="str">
        <f ca="1"/>
        <v>Tcendo o Futuro 2</v>
      </c>
      <c r="E111">
        <f ca="1"/>
        <v>4</v>
      </c>
      <c r="F111" t="str">
        <f ca="1"/>
        <v>Cinthia Thais de Carvalho Luz Thomazi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Fernanda Viana de Souza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Priscila Nolasco de Oliveira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2026-022</v>
      </c>
      <c r="C116" t="str">
        <f ca="1"/>
        <v>Realizado</v>
      </c>
      <c r="D116" t="str">
        <f ca="1"/>
        <v>UniTCDF: Ciências Contábeis</v>
      </c>
      <c r="E116">
        <f ca="1"/>
        <v>3</v>
      </c>
      <c r="F116" t="str">
        <f ca="1"/>
        <v>Fernanda Viana de Souza</v>
      </c>
      <c r="G116">
        <f ca="1"/>
        <v>2</v>
      </c>
      <c r="H116">
        <f ca="1"/>
        <v>3</v>
      </c>
      <c r="I116">
        <f ca="1"/>
        <v>0.9</v>
      </c>
      <c r="J116">
        <f ca="1"/>
        <v>3.9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2026-022</v>
      </c>
      <c r="C117" t="str">
        <f ca="1"/>
        <v>Realizado</v>
      </c>
      <c r="D117" t="str">
        <f ca="1"/>
        <v>UniTCDF: Ciências Contábeis</v>
      </c>
      <c r="E117">
        <f ca="1"/>
        <v>3</v>
      </c>
      <c r="F117" t="str">
        <f ca="1"/>
        <v>Túllio Herbeth Teixeira Moraes</v>
      </c>
      <c r="G117">
        <f ca="1"/>
        <v>2</v>
      </c>
      <c r="H117">
        <f ca="1"/>
        <v>3</v>
      </c>
      <c r="I117">
        <f ca="1"/>
        <v>0.9</v>
      </c>
      <c r="J117">
        <f ca="1"/>
        <v>3.9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2026-029</v>
      </c>
      <c r="C118" t="str">
        <f ca="1"/>
        <v>Realizado</v>
      </c>
      <c r="D118" t="str">
        <f ca="1"/>
        <v>UniTCDF: TCDF e a Fiscalização de Obras</v>
      </c>
      <c r="E118">
        <f ca="1"/>
        <v>4</v>
      </c>
      <c r="F118" t="str">
        <f ca="1"/>
        <v>Adriana Cuoco Portugal</v>
      </c>
      <c r="G118">
        <f ca="1"/>
        <v>1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2026-069</v>
      </c>
      <c r="C119" t="str">
        <f ca="1"/>
        <v>Realizado</v>
      </c>
      <c r="D119" t="str">
        <f ca="1"/>
        <v xml:space="preserve">UniTCDF: Gestão Pública </v>
      </c>
      <c r="E119">
        <f ca="1"/>
        <v>3</v>
      </c>
      <c r="F119" t="str">
        <f ca="1"/>
        <v>Fernanda Viana de Souza</v>
      </c>
      <c r="G119">
        <f ca="1"/>
        <v>2</v>
      </c>
      <c r="H119">
        <f ca="1"/>
        <v>3</v>
      </c>
      <c r="I119">
        <f ca="1"/>
        <v>0.89999999999999991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2026-069</v>
      </c>
      <c r="C120" t="str">
        <f ca="1"/>
        <v>Realizado</v>
      </c>
      <c r="D120" t="str">
        <f ca="1"/>
        <v xml:space="preserve">UniTCDF: Gestão Pública </v>
      </c>
      <c r="E120">
        <f ca="1"/>
        <v>3</v>
      </c>
      <c r="F120" t="str">
        <f ca="1"/>
        <v>Túllio Herbeth Teixeira Moraes</v>
      </c>
      <c r="G120">
        <f ca="1"/>
        <v>2</v>
      </c>
      <c r="H120">
        <f ca="1"/>
        <v>3</v>
      </c>
      <c r="I120">
        <f ca="1"/>
        <v>0.89999999999999991</v>
      </c>
      <c r="J120">
        <f ca="1"/>
        <v>3.9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2026-072</v>
      </c>
      <c r="C121" t="str">
        <f ca="1"/>
        <v>A realizar</v>
      </c>
      <c r="D121" t="str">
        <f ca="1"/>
        <v>UniTCDF: Gestão Pública e Responsabilidade Fiscal (IESB)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2026-072</v>
      </c>
      <c r="C122" t="str">
        <f ca="1"/>
        <v>A realizar</v>
      </c>
      <c r="D122" t="str">
        <f ca="1"/>
        <v>UniTCDF: Gestão Pública e Responsabilidade Fiscal (IESB)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2026-079</v>
      </c>
      <c r="C123" t="str">
        <f ca="1"/>
        <v>Realizado</v>
      </c>
      <c r="D123" t="str">
        <f ca="1"/>
        <v>Café e Tertúlia: Gincana dos Neurotransmissores</v>
      </c>
      <c r="E123">
        <f ca="1"/>
        <v>2</v>
      </c>
      <c r="F123" t="str">
        <f ca="1"/>
        <v>Isac Mendes Caixeta de Pamplona Araújo</v>
      </c>
      <c r="G123">
        <f ca="1"/>
        <v>3</v>
      </c>
      <c r="H123">
        <f ca="1"/>
        <v>2</v>
      </c>
      <c r="I123">
        <f ca="1"/>
        <v>0.6</v>
      </c>
      <c r="J123">
        <f ca="1"/>
        <v>2.6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2026-079</v>
      </c>
      <c r="C124" t="str">
        <f ca="1"/>
        <v>Realizado</v>
      </c>
      <c r="D124" t="str">
        <f ca="1"/>
        <v>Café e Tertúlia: Gincana dos Neurotransmissores</v>
      </c>
      <c r="E124">
        <f ca="1"/>
        <v>2</v>
      </c>
      <c r="F124" t="str">
        <f ca="1"/>
        <v>Valéria Feitoza</v>
      </c>
      <c r="G124">
        <f ca="1"/>
        <v>3</v>
      </c>
      <c r="H124">
        <f ca="1"/>
        <v>2</v>
      </c>
      <c r="I124">
        <f ca="1"/>
        <v>0.6</v>
      </c>
      <c r="J124">
        <f ca="1"/>
        <v>2.6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Cinthia Thais de Carvalho Luz Thomazi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2026-081</v>
      </c>
      <c r="C126" t="str">
        <f ca="1"/>
        <v>A realizar</v>
      </c>
      <c r="D126" t="str">
        <f ca="1"/>
        <v>Contratações de TIC com base na jurisprudência do TCDF - SGDI</v>
      </c>
      <c r="E126">
        <f ca="1"/>
        <v>8</v>
      </c>
      <c r="F126" t="str">
        <f ca="1"/>
        <v>Felipe da Costa Malaquias</v>
      </c>
      <c r="G126">
        <f ca="1"/>
        <v>1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2026-082</v>
      </c>
      <c r="C127" t="str">
        <f ca="1"/>
        <v>A realizar</v>
      </c>
      <c r="D127" t="str">
        <f ca="1"/>
        <v>Curso de formação para gestores e fiscais de contrato nas unidades hospitalares – Turma 4</v>
      </c>
      <c r="E127">
        <f ca="1"/>
        <v>12</v>
      </c>
      <c r="F127" t="str">
        <f ca="1"/>
        <v>Luciana Alvim</v>
      </c>
      <c r="G127">
        <f ca="1"/>
        <v>2</v>
      </c>
      <c r="H127">
        <f ca="1"/>
        <v>12</v>
      </c>
      <c r="I127">
        <f ca="1"/>
        <v>3.5999999999999996</v>
      </c>
      <c r="J127">
        <f ca="1"/>
        <v>15.6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2026-082</v>
      </c>
      <c r="C128" t="str">
        <f ca="1"/>
        <v>A realizar</v>
      </c>
      <c r="D128" t="str">
        <f ca="1"/>
        <v>Curso de formação para gestores e fiscais de contrato nas unidades hospitalares – Turma 4</v>
      </c>
      <c r="E128">
        <f ca="1"/>
        <v>12</v>
      </c>
      <c r="F128" t="str">
        <f ca="1"/>
        <v>Tarsila Firmino Ely</v>
      </c>
      <c r="G128">
        <f ca="1"/>
        <v>2</v>
      </c>
      <c r="H128">
        <f ca="1"/>
        <v>12</v>
      </c>
      <c r="I128">
        <f ca="1"/>
        <v>3.5999999999999996</v>
      </c>
      <c r="J128">
        <f ca="1"/>
        <v>15.6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2026-083</v>
      </c>
      <c r="C129" t="str">
        <f ca="1"/>
        <v>A realizar</v>
      </c>
      <c r="D129" t="str">
        <f ca="1"/>
        <v>Oficina básica de Power Automate</v>
      </c>
      <c r="E129">
        <f ca="1"/>
        <v>9</v>
      </c>
      <c r="F129" t="str">
        <f ca="1"/>
        <v>Josdeyvi Magalhães Russi</v>
      </c>
      <c r="G129">
        <f ca="1"/>
        <v>1</v>
      </c>
      <c r="H129">
        <f ca="1"/>
        <v>9</v>
      </c>
      <c r="I129">
        <f ca="1"/>
        <v>2.6999999999999997</v>
      </c>
      <c r="J129">
        <f ca="1"/>
        <v>11.7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2026-084</v>
      </c>
      <c r="C130" t="str">
        <f ca="1"/>
        <v>A realizar</v>
      </c>
      <c r="D130" t="str">
        <f ca="1"/>
        <v>Oficina EmentAI: o seu assistente de IA na elaboração de ementas jurisprudenciais</v>
      </c>
      <c r="E130">
        <f ca="1"/>
        <v>4</v>
      </c>
      <c r="F130" t="str">
        <f ca="1"/>
        <v>Caio Filipe</v>
      </c>
      <c r="G130">
        <f ca="1"/>
        <v>1</v>
      </c>
      <c r="H130">
        <f ca="1"/>
        <v>4</v>
      </c>
      <c r="I130">
        <f ca="1"/>
        <v>1.2</v>
      </c>
      <c r="J130">
        <f ca="1"/>
        <v>5.2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2026-085</v>
      </c>
      <c r="C131" t="str">
        <f ca="1"/>
        <v>A realizar</v>
      </c>
      <c r="D131" t="str">
        <f ca="1"/>
        <v xml:space="preserve">Introdução à Engenharia de Prompt – T5 </v>
      </c>
      <c r="E131">
        <f ca="1"/>
        <v>8</v>
      </c>
      <c r="F131" t="str">
        <f ca="1"/>
        <v>Arthur Wú</v>
      </c>
      <c r="G131">
        <f ca="1"/>
        <v>2</v>
      </c>
      <c r="H131">
        <f ca="1"/>
        <v>8</v>
      </c>
      <c r="I131">
        <f ca="1"/>
        <v>2.4</v>
      </c>
      <c r="J131">
        <f ca="1"/>
        <v>10.4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2026-085</v>
      </c>
      <c r="C132" t="str">
        <f ca="1"/>
        <v>A realizar</v>
      </c>
      <c r="D132" t="str">
        <f ca="1"/>
        <v xml:space="preserve">Introdução à Engenharia de Prompt – T5 </v>
      </c>
      <c r="E132">
        <f ca="1"/>
        <v>8</v>
      </c>
      <c r="F132" t="str">
        <f ca="1"/>
        <v>Gustavo Takahashi</v>
      </c>
      <c r="G132">
        <f ca="1"/>
        <v>2</v>
      </c>
      <c r="H132">
        <f ca="1"/>
        <v>8</v>
      </c>
      <c r="I132">
        <f ca="1"/>
        <v>2.4</v>
      </c>
      <c r="J132">
        <f ca="1"/>
        <v>10.4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2026-086</v>
      </c>
      <c r="C133" t="str">
        <f ca="1"/>
        <v>A realizar</v>
      </c>
      <c r="D133" t="str">
        <f ca="1"/>
        <v>Introdução à Engenharia de Prompt – T6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2026-086</v>
      </c>
      <c r="C134" t="str">
        <f ca="1"/>
        <v>A realizar</v>
      </c>
      <c r="D134" t="str">
        <f ca="1"/>
        <v>Introdução à Engenharia de Prompt – T6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R135" t="str">
        <f ca="1"/>
        <v/>
      </c>
      <c r="S135" t="str">
        <f ca="1"/>
        <v/>
      </c>
    </row>
    <row r="136" spans="1:19">
      <c r="R136" t="str">
        <f ca="1"/>
        <v/>
      </c>
      <c r="S136" t="str">
        <f ca="1"/>
        <v/>
      </c>
    </row>
    <row r="137" spans="1:19"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3109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3110</v>
      </c>
      <c r="B4" s="231"/>
      <c r="D4" s="232" t="s">
        <v>3111</v>
      </c>
      <c r="E4" s="233"/>
      <c r="G4" s="45" t="s">
        <v>3112</v>
      </c>
    </row>
    <row r="5" spans="1:7" ht="54.95" customHeight="1" thickBot="1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53</v>
      </c>
      <c r="E5" s="44" t="s">
        <v>3113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3114</v>
      </c>
      <c r="B8" s="228"/>
      <c r="D8" s="228" t="s">
        <v>3115</v>
      </c>
      <c r="E8" s="228"/>
    </row>
    <row r="9" spans="1:7" ht="5.0999999999999996" customHeight="1">
      <c r="A9" s="241"/>
      <c r="B9" s="241"/>
      <c r="D9" s="241"/>
      <c r="E9" s="241"/>
    </row>
    <row r="10" spans="1:7" ht="24.95" customHeight="1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3119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3120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3121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3122</v>
      </c>
      <c r="B14" s="34">
        <f>SUM(B11:B13)</f>
        <v>51</v>
      </c>
      <c r="D14" s="33" t="s">
        <v>3123</v>
      </c>
      <c r="E14" s="34">
        <f>SUM(E11:E13)</f>
        <v>2814</v>
      </c>
    </row>
    <row r="30" spans="1:5" ht="17.25">
      <c r="A30" s="228" t="s">
        <v>3124</v>
      </c>
      <c r="B30" s="228"/>
      <c r="C30" s="228"/>
      <c r="D30" s="228"/>
      <c r="E30" s="228"/>
    </row>
    <row r="31" spans="1:5" ht="5.0999999999999996" customHeight="1">
      <c r="A31" s="241"/>
      <c r="B31" s="241"/>
      <c r="C31" s="241"/>
      <c r="D31" s="241"/>
      <c r="E31" s="241"/>
    </row>
    <row r="32" spans="1:5" ht="24.95" customHeight="1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3122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3175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3176</v>
      </c>
    </row>
    <row r="4" spans="1:8" ht="21.95" customHeight="1">
      <c r="A4" s="235" t="s">
        <v>3177</v>
      </c>
      <c r="B4" s="236"/>
      <c r="D4" s="235" t="s">
        <v>3178</v>
      </c>
      <c r="E4" s="236"/>
      <c r="G4" s="235" t="s">
        <v>3179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2" t="s">
        <v>3185</v>
      </c>
      <c r="B1" s="242"/>
      <c r="C1" s="242"/>
      <c r="D1" s="242"/>
      <c r="E1" s="242"/>
      <c r="F1" s="242"/>
    </row>
    <row r="2" spans="1:7">
      <c r="A2" s="243" t="s">
        <v>3186</v>
      </c>
      <c r="B2" s="243"/>
      <c r="C2" s="243"/>
      <c r="D2" s="243"/>
      <c r="E2" s="243"/>
      <c r="F2" s="243"/>
    </row>
    <row r="4" spans="1:7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</v>
      </c>
      <c r="B41" s="26">
        <f ca="1">IF($A41="","",SUMIFS('GECC 2026'!H$2:H$200,'GECC 2026'!F$2:F$200,$A41))</f>
        <v>8</v>
      </c>
      <c r="C41" s="26">
        <f ca="1">IF($A41="","",SUMIFS('GECC 2026'!I$2:I$200,'GECC 2026'!F$2:F$200,$A41))</f>
        <v>2.4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10.4</v>
      </c>
      <c r="F41" s="24">
        <f ca="1">IF($A41="","",COUNTIFS('GECC 2026'!F$2:F$200,$A41))</f>
        <v>2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3123</v>
      </c>
      <c r="B105" s="95">
        <f ca="1">SUM(B5:B100)</f>
        <v>805</v>
      </c>
      <c r="C105" s="95">
        <f ca="1">SUM(C5:C100)</f>
        <v>361.84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2026-08-28T17:23:53Z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