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81" documentId="8_{454372C2-A99E-4E47-A759-72B38925853E}" xr6:coauthVersionLast="47" xr6:coauthVersionMax="47" xr10:uidLastSave="{5F97CC73-A24C-465B-9F73-BE36E514CC9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D47" i="23" l="1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<sst xmlns="http://schemas.openxmlformats.org/spreadsheetml/2006/main" count="6200" uniqueCount="2391">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</sst>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0" totalsRowShown="0">
  <autoFilter ref="A3:D90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706" activePane="bottomLeft" state="frozen"/>
      <selection pane="bottomLeft" activeCell="T723" sqref="T72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>
        <f t="shared" si="14"/>
        <v>0</v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>
        <f t="shared" si="14"/>
        <v>0</v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0"/>
  <sheetViews>
    <sheetView topLeftCell="A57" workbookViewId="0">
      <selection activeCell="D91" sqref="D9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0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1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2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10</v>
      </c>
      <c r="D33" s="117">
        <f t="shared" ref="D33:D44" si="0">B33+C33</f>
        <v>16</v>
      </c>
      <c r="E33" s="118">
        <f t="shared" ref="E33:E44" si="1">D33/$D$45</f>
        <v>0.26666666666666666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3</v>
      </c>
      <c r="D44" s="149">
        <f t="shared" si="0"/>
        <v>3</v>
      </c>
      <c r="E44" s="150">
        <f t="shared" si="1"/>
        <v>0.05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7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5</v>
      </c>
      <c r="C44" s="103">
        <f>IF($A44="","",SUMIFS('GECC 2026'!I$2:I$200,'GECC 2026'!F$2:F$200,$A44))</f>
        <v>1.5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6.5</v>
      </c>
      <c r="F44" s="101">
        <f>IF($A44="","",COUNTIFS('GECC 2026'!F$2:F$200,$A44))</f>
        <v>2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Thiago Magalhães de Oliveira</v>
      </c>
      <c r="B46" s="103">
        <f>IF($A46="","",SUMIFS('GECC 2026'!H$2:H$200,'GECC 2026'!F$2:F$200,$A46))</f>
        <v>4</v>
      </c>
      <c r="C46" s="103">
        <f>IF($A46="","",SUMIFS('GECC 2026'!I$2:I$200,'GECC 2026'!F$2:F$200,$A46))</f>
        <v>1.2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5.2</v>
      </c>
      <c r="F46" s="101">
        <f>IF($A46="","",COUNTIFS('GECC 2026'!F$2:F$200,$A46))</f>
        <v>1</v>
      </c>
    </row>
    <row r="47" spans="1:6" x14ac:dyDescent="0.25">
      <c r="A47" t="str">
        <v>Túllio Herbeth Teixeira Moraes</v>
      </c>
      <c r="B47" s="103">
        <f>IF($A47="","",SUMIFS('GECC 2026'!H$2:H$200,'GECC 2026'!F$2:F$200,$A47))</f>
        <v>3</v>
      </c>
      <c r="C47" s="103">
        <f>IF($A47="","",SUMIFS('GECC 2026'!I$2:I$200,'GECC 2026'!F$2:F$200,$A47))</f>
        <v>0.44999999999999996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3.45</v>
      </c>
      <c r="F47" s="101">
        <f>IF($A47="","",COUNTIFS('GECC 2026'!F$2:F$200,$A47))</f>
        <v>1</v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728</v>
      </c>
      <c r="C105" s="242">
        <f>SUM(C5:C100)</f>
        <v>397.38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2026-07-10T19:15:26Z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