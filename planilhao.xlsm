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99" documentId="13_ncr:1_{6A2CC3E2-FAFB-4D8F-B284-5E8FB5045DFE}" xr6:coauthVersionLast="47" xr6:coauthVersionMax="47" xr10:uidLastSave="{F956E170-B20B-4A0D-97C9-EE3B55FF05B5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R4" i="20" s="1" a="1"/>
  <c r="S4" i="20" s="1" a="1"/>
  <c r="T4" i="20" l="1" a="1"/>
  <c r="A2" i="20" l="1" a="1"/>
  <c r="A5" i="23" l="1" a="1"/>
  <c r="E105" i="23"/>
  <c r="D45" i="23" l="1"/>
  <c r="C39" i="23"/>
  <c r="D44" i="23"/>
  <c r="B33" i="23"/>
  <c r="B37" i="23"/>
  <c r="B10" i="23"/>
  <c r="E34" i="23"/>
  <c r="D31" i="23"/>
  <c r="E15" i="23"/>
  <c r="E13" i="23"/>
  <c r="C18" i="23"/>
  <c r="E22" i="23"/>
  <c r="B36" i="23"/>
  <c r="F38" i="23"/>
  <c r="D26" i="23"/>
  <c r="D22" i="23"/>
  <c r="D38" i="23"/>
  <c r="B25" i="23"/>
  <c r="E25" i="23"/>
  <c r="D52" i="23"/>
  <c r="F16" i="23"/>
  <c r="D21" i="23"/>
  <c r="F11" i="23"/>
  <c r="C46" i="23"/>
  <c r="F35" i="23"/>
  <c r="E6" i="23"/>
  <c r="F30" i="23"/>
  <c r="C13" i="23"/>
  <c r="C24" i="23"/>
  <c r="D10" i="23"/>
  <c r="E43" i="23"/>
  <c r="D28" i="23"/>
  <c r="B16" i="23"/>
  <c r="B13" i="23"/>
  <c r="C54" i="23"/>
  <c r="F29" i="23"/>
  <c r="E28" i="23"/>
  <c r="D18" i="23"/>
  <c r="D55" i="23"/>
  <c r="C30" i="23"/>
  <c r="E32" i="23"/>
  <c r="E48" i="23"/>
  <c r="B24" i="23"/>
  <c r="C40" i="23"/>
  <c r="B47" i="23"/>
  <c r="E52" i="23"/>
  <c r="D35" i="23"/>
  <c r="F37" i="23"/>
  <c r="D34" i="23"/>
  <c r="B11" i="23"/>
  <c r="F41" i="23"/>
  <c r="C8" i="23"/>
  <c r="E33" i="23"/>
  <c r="F24" i="23"/>
  <c r="C52" i="23"/>
  <c r="B50" i="23"/>
  <c r="D7" i="23"/>
  <c r="C50" i="23"/>
  <c r="C21" i="23"/>
  <c r="F51" i="23"/>
  <c r="C44" i="23"/>
  <c r="D40" i="23"/>
  <c r="F39" i="23"/>
  <c r="F28" i="23"/>
  <c r="C16" i="23"/>
  <c r="B27" i="23"/>
  <c r="E24" i="23"/>
  <c r="F25" i="23"/>
  <c r="E7" i="23"/>
  <c r="B45" i="23"/>
  <c r="B51" i="23"/>
  <c r="B46" i="23"/>
  <c r="B31" i="23"/>
  <c r="D23" i="23"/>
  <c r="C55" i="23"/>
  <c r="F44" i="23"/>
  <c r="F27" i="23"/>
  <c r="C41" i="23"/>
  <c r="E39" i="23"/>
  <c r="F40" i="23"/>
  <c r="F10" i="23"/>
  <c r="B30" i="23"/>
  <c r="C27" i="23"/>
  <c r="F7" i="23"/>
  <c r="D16" i="23"/>
  <c r="B38" i="23"/>
  <c r="D47" i="23"/>
  <c r="B32" i="23"/>
  <c r="F36" i="23"/>
  <c r="E18" i="23"/>
  <c r="C49" i="23"/>
  <c r="C47" i="23"/>
  <c r="B26" i="23"/>
  <c r="B14" i="23"/>
  <c r="F55" i="23"/>
  <c r="D12" i="23"/>
  <c r="E19" i="23"/>
  <c r="B49" i="23"/>
  <c r="D11" i="23"/>
  <c r="D42" i="23"/>
  <c r="B35" i="23"/>
  <c r="F6" i="23"/>
  <c r="F45" i="23"/>
  <c r="C29" i="23"/>
  <c r="F21" i="23"/>
  <c r="D6" i="23"/>
  <c r="D9" i="23"/>
  <c r="B12" i="23"/>
  <c r="F52" i="23"/>
  <c r="C28" i="23"/>
  <c r="C45" i="23"/>
  <c r="B40" i="23"/>
  <c r="E21" i="23"/>
  <c r="F34" i="23"/>
  <c r="C48" i="23"/>
  <c r="D43" i="23"/>
  <c r="E45" i="23"/>
  <c r="C20" i="23"/>
  <c r="C23" i="23"/>
  <c r="B52" i="23"/>
  <c r="E41" i="23"/>
  <c r="E20" i="23"/>
  <c r="B19" i="23"/>
  <c r="B48" i="23"/>
  <c r="E10" i="23"/>
  <c r="E36" i="23"/>
  <c r="F8" i="23"/>
  <c r="D13" i="23"/>
  <c r="F20" i="23"/>
  <c r="F17" i="23"/>
  <c r="B23" i="23"/>
  <c r="B39" i="23"/>
  <c r="D49" i="23"/>
  <c r="E30" i="23"/>
  <c r="B29" i="23"/>
  <c r="D46" i="23"/>
  <c r="B8" i="23"/>
  <c r="B9" i="23"/>
  <c r="C31" i="23"/>
  <c r="C14" i="23"/>
  <c r="F14" i="23"/>
  <c r="D27" i="23"/>
  <c r="D30" i="23"/>
  <c r="F54" i="23"/>
  <c r="E12" i="23"/>
  <c r="C35" i="23"/>
  <c r="F22" i="23"/>
  <c r="C34" i="23"/>
  <c r="C19" i="23"/>
  <c r="C7" i="23"/>
  <c r="E16" i="23"/>
  <c r="C12" i="23"/>
  <c r="C11" i="23"/>
  <c r="E42" i="23"/>
  <c r="E26" i="23"/>
  <c r="B21" i="23"/>
  <c r="E31" i="23"/>
  <c r="E50" i="23"/>
  <c r="E9" i="23"/>
  <c r="E29" i="23"/>
  <c r="D41" i="23"/>
  <c r="B44" i="23"/>
  <c r="C22" i="23"/>
  <c r="D24" i="23"/>
  <c r="E27" i="23"/>
  <c r="C51" i="23"/>
  <c r="C9" i="23"/>
  <c r="D19" i="23"/>
  <c r="B28" i="23"/>
  <c r="F43" i="23"/>
  <c r="C26" i="23"/>
  <c r="B54" i="23"/>
  <c r="E49" i="23"/>
  <c r="E54" i="23"/>
  <c r="B17" i="23"/>
  <c r="B34" i="23"/>
  <c r="D29" i="23"/>
  <c r="B18" i="23"/>
  <c r="E11" i="23"/>
  <c r="F9" i="23"/>
  <c r="F12" i="23"/>
  <c r="F50" i="23"/>
  <c r="E40" i="23"/>
  <c r="F49" i="23"/>
  <c r="F42" i="23"/>
  <c r="E55" i="23"/>
  <c r="E8" i="23"/>
  <c r="C42" i="23"/>
  <c r="D20" i="23"/>
  <c r="C15" i="23"/>
  <c r="C25" i="23"/>
  <c r="C10" i="23"/>
  <c r="D36" i="23"/>
  <c r="D8" i="23"/>
  <c r="B42" i="23"/>
  <c r="D15" i="23"/>
  <c r="C6" i="23"/>
  <c r="C37" i="23"/>
  <c r="D53" i="23"/>
  <c r="D32" i="23"/>
  <c r="D50" i="23"/>
  <c r="F15" i="23"/>
  <c r="E47" i="23"/>
  <c r="E46" i="23"/>
  <c r="D14" i="23"/>
  <c r="C43" i="23"/>
  <c r="B22" i="23"/>
  <c r="E53" i="23"/>
  <c r="C32" i="23"/>
  <c r="F33" i="23"/>
  <c r="C17" i="23"/>
  <c r="B7" i="23"/>
  <c r="D51" i="23"/>
  <c r="D37" i="23"/>
  <c r="E38" i="23"/>
  <c r="F13" i="23"/>
  <c r="F23" i="23"/>
  <c r="F18" i="23"/>
  <c r="E14" i="23"/>
  <c r="E17" i="23"/>
  <c r="C53" i="23"/>
  <c r="D48" i="23"/>
  <c r="F46" i="23"/>
  <c r="C33" i="23"/>
  <c r="D17" i="23"/>
  <c r="F32" i="23"/>
  <c r="F53" i="23"/>
  <c r="E37" i="23"/>
  <c r="D25" i="23"/>
  <c r="C36" i="23"/>
  <c r="B20" i="23"/>
  <c r="B55" i="23"/>
  <c r="C38" i="23"/>
  <c r="F48" i="23"/>
  <c r="E35" i="23"/>
  <c r="E44" i="23"/>
  <c r="E51" i="23"/>
  <c r="D39" i="23"/>
  <c r="F31" i="23"/>
  <c r="B41" i="23"/>
  <c r="F26" i="23"/>
  <c r="B15" i="23"/>
  <c r="F19" i="23"/>
  <c r="B53" i="23"/>
  <c r="B6" i="23"/>
  <c r="B43" i="23"/>
  <c r="D54" i="23"/>
  <c r="F47" i="23"/>
  <c r="E23" i="23"/>
  <c r="D33" i="23"/>
  <c r="D5" i="23" l="1"/>
  <c r="C5" i="23"/>
  <c r="C105" i="23" s="1"/>
  <c r="E5" i="23"/>
  <c r="B5" i="23"/>
  <c r="B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<sst xmlns="http://schemas.openxmlformats.org/spreadsheetml/2006/main" count="7259" uniqueCount="3189">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</sst>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3" fontId="48" fillId="0" borderId="1" xfId="0" quotePrefix="1" applyNumberFormat="1" applyFon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772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G1" zoomScaleNormal="100" workbookViewId="0">
      <pane ySplit="1" topLeftCell="A682" activePane="bottomLeft" state="frozen"/>
      <selection pane="bottomLeft" activeCell="P702" sqref="P702"/>
    </sheetView>
  </sheetViews>
  <sheetFormatPr defaultColWidth="9.140625" defaultRowHeight="22.5" customHeight="1" x14ac:dyDescent="0.25"/>
  <cols>
    <col min="1" max="1" width="8.7109375" style="3" bestFit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41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2994</v>
      </c>
      <c r="H1" s="213" t="s">
        <v>2995</v>
      </c>
    </row>
    <row r="2" spans="1:8" x14ac:dyDescent="0.25">
      <c r="H2" s="212" t="s">
        <v>2996</v>
      </c>
    </row>
    <row r="3" spans="1:8" x14ac:dyDescent="0.25">
      <c r="A3" t="s">
        <v>0</v>
      </c>
      <c r="B3" t="s">
        <v>19</v>
      </c>
      <c r="C3" t="s">
        <v>2997</v>
      </c>
      <c r="D3" t="s">
        <v>2998</v>
      </c>
      <c r="E3" t="s">
        <v>2999</v>
      </c>
      <c r="H3" s="212" t="s">
        <v>3000</v>
      </c>
    </row>
    <row r="4" spans="1:8" x14ac:dyDescent="0.25">
      <c r="A4">
        <v>1</v>
      </c>
      <c r="B4" t="s">
        <v>3001</v>
      </c>
      <c r="D4" t="s">
        <v>3002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3003</v>
      </c>
    </row>
    <row r="5" spans="1:8" x14ac:dyDescent="0.25">
      <c r="A5">
        <v>2</v>
      </c>
      <c r="B5" t="s">
        <v>2507</v>
      </c>
      <c r="D5" t="s">
        <v>3002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3004</v>
      </c>
    </row>
    <row r="6" spans="1:8" x14ac:dyDescent="0.25">
      <c r="A6">
        <v>3</v>
      </c>
      <c r="B6" t="s">
        <v>1030</v>
      </c>
      <c r="D6" t="s">
        <v>3002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3005</v>
      </c>
      <c r="D7" t="s">
        <v>3002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3006</v>
      </c>
    </row>
    <row r="8" spans="1:8" x14ac:dyDescent="0.25">
      <c r="A8">
        <v>5</v>
      </c>
      <c r="B8" t="s">
        <v>3007</v>
      </c>
      <c r="D8" t="s">
        <v>3002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3002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3002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3002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3002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3002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3002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3002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3002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3002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3002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3002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3002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3002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3002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3008</v>
      </c>
      <c r="D23" t="s">
        <v>3002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3002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3009</v>
      </c>
      <c r="D25" t="s">
        <v>3002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3010</v>
      </c>
      <c r="D26" t="s">
        <v>3002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3002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3002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3011</v>
      </c>
      <c r="D29" t="s">
        <v>3002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3002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3002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3002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3012</v>
      </c>
      <c r="D33" t="s">
        <v>3002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3013</v>
      </c>
      <c r="D34" t="s">
        <v>3002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3002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3002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3002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3014</v>
      </c>
      <c r="D38" t="s">
        <v>3002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3002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3015</v>
      </c>
      <c r="D40" t="s">
        <v>3002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3002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3016</v>
      </c>
      <c r="D42" t="s">
        <v>3002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3002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3002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3017</v>
      </c>
      <c r="D45" t="s">
        <v>3002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3002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3002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3002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3002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3018</v>
      </c>
      <c r="D50" t="s">
        <v>3002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3002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3019</v>
      </c>
      <c r="D52" t="s">
        <v>3002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3002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3002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3020</v>
      </c>
      <c r="D55" t="s">
        <v>3002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3002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3002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3002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3021</v>
      </c>
      <c r="D59" t="s">
        <v>3002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3002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3002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3002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3022</v>
      </c>
      <c r="D63" t="s">
        <v>3002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3023</v>
      </c>
      <c r="D64" t="s">
        <v>3002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3024</v>
      </c>
      <c r="D65" t="s">
        <v>3002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3025</v>
      </c>
      <c r="D66" t="s">
        <v>3002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3002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3002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3026</v>
      </c>
      <c r="D69" t="s">
        <v>3002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3027</v>
      </c>
      <c r="D70" t="s">
        <v>3002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3002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3028</v>
      </c>
      <c r="D72" t="s">
        <v>3002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3002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3002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3002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3029</v>
      </c>
      <c r="D76" t="s">
        <v>3002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3002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3002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3002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3002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3030</v>
      </c>
      <c r="D81" t="s">
        <v>3002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3031</v>
      </c>
      <c r="D82" t="s">
        <v>3002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3032</v>
      </c>
      <c r="D83" t="s">
        <v>3002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3033</v>
      </c>
      <c r="D84" t="s">
        <v>3002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3002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3034</v>
      </c>
      <c r="D86" t="s">
        <v>3002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3002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3035</v>
      </c>
      <c r="D88" t="s">
        <v>3002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3036</v>
      </c>
      <c r="D89" t="s">
        <v>3002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3037</v>
      </c>
      <c r="D90" t="s">
        <v>3002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3038</v>
      </c>
      <c r="D91" t="s">
        <v>3002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3039</v>
      </c>
      <c r="D92" t="s">
        <v>3002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3040</v>
      </c>
      <c r="D93" t="s">
        <v>3002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3041</v>
      </c>
      <c r="D94" t="s">
        <v>3002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3042</v>
      </c>
      <c r="D95" t="s">
        <v>3002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3043</v>
      </c>
      <c r="D96" t="s">
        <v>3002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3002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3044</v>
      </c>
      <c r="D98" t="s">
        <v>3002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3002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3045</v>
      </c>
      <c r="D100" t="s">
        <v>3002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3046</v>
      </c>
      <c r="D101" t="s">
        <v>3002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3047</v>
      </c>
      <c r="D102" t="s">
        <v>3002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3048</v>
      </c>
      <c r="D103" t="s">
        <v>3002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3002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3049</v>
      </c>
      <c r="D105" t="s">
        <v>3002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3050</v>
      </c>
      <c r="D106" t="s">
        <v>3002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3002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3002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3002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25" activePane="bottomLeft" state="frozen"/>
      <selection pane="bottomLeft" activeCell="I38" sqref="I3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3052</v>
      </c>
      <c r="C1" s="19" t="s">
        <v>3053</v>
      </c>
      <c r="D1" s="19" t="s">
        <v>4</v>
      </c>
      <c r="E1" s="19" t="s">
        <v>3054</v>
      </c>
      <c r="F1" s="19" t="s">
        <v>19</v>
      </c>
      <c r="G1" s="19" t="s">
        <v>3055</v>
      </c>
      <c r="H1" s="19" t="s">
        <v>3056</v>
      </c>
      <c r="I1" s="19" t="s">
        <v>3057</v>
      </c>
      <c r="J1" s="19" t="s">
        <v>3058</v>
      </c>
      <c r="L1" s="112" t="s">
        <v>3059</v>
      </c>
      <c r="M1" s="23">
        <v>2026</v>
      </c>
      <c r="U1" s="80" t="s">
        <v>3060</v>
      </c>
      <c r="V1" s="79"/>
      <c r="X1" s="78" t="s">
        <v>3061</v>
      </c>
      <c r="Y1" s="27"/>
      <c r="Z1" s="27"/>
      <c r="AA1" s="27"/>
      <c r="AC1" s="100" t="s">
        <v>3062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3063</v>
      </c>
      <c r="M2" s="107" t="s">
        <v>2929</v>
      </c>
      <c r="X2" s="114" t="s">
        <v>3052</v>
      </c>
      <c r="Y2" s="114" t="s">
        <v>19</v>
      </c>
      <c r="Z2" s="114" t="s">
        <v>3064</v>
      </c>
      <c r="AA2" s="114" t="s">
        <v>3065</v>
      </c>
      <c r="AC2" s="115" t="s">
        <v>1</v>
      </c>
      <c r="AD2" s="115" t="s">
        <v>3066</v>
      </c>
      <c r="AE2" s="115" t="s">
        <v>3067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3068</v>
      </c>
      <c r="M3" s="113" t="s">
        <v>3069</v>
      </c>
      <c r="N3" s="113" t="s">
        <v>3070</v>
      </c>
      <c r="O3" s="113" t="s">
        <v>3071</v>
      </c>
      <c r="P3" s="113" t="s">
        <v>3072</v>
      </c>
      <c r="Q3" s="113" t="s">
        <v>3073</v>
      </c>
      <c r="R3" s="113" t="s">
        <v>3074</v>
      </c>
      <c r="S3" s="113" t="s">
        <v>3075</v>
      </c>
      <c r="T3" s="113" t="s">
        <v>3076</v>
      </c>
      <c r="X3" t="s">
        <v>2837</v>
      </c>
      <c r="Y3" t="s">
        <v>3015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3077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3015</v>
      </c>
      <c r="Z6">
        <v>1</v>
      </c>
      <c r="AA6">
        <v>0</v>
      </c>
      <c r="AC6" s="97">
        <v>2026</v>
      </c>
      <c r="AD6" s="18" t="s">
        <v>3078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3009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3027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3009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3027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3009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3027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3015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3015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3050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3046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3028</v>
      </c>
      <c r="Z33">
        <v>4</v>
      </c>
      <c r="AA33">
        <v>0.6</v>
      </c>
      <c r="AC33" s="99"/>
      <c r="AD33" s="116" t="s">
        <v>3079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3029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3020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R61" t="str">
        <f ca="1"/>
        <v/>
      </c>
      <c r="S61" t="str">
        <f ca="1"/>
        <v/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3020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3081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3082</v>
      </c>
      <c r="B4" s="230"/>
      <c r="D4" s="231" t="s">
        <v>3083</v>
      </c>
      <c r="E4" s="232"/>
      <c r="G4" s="45" t="s">
        <v>3084</v>
      </c>
    </row>
    <row r="5" spans="1:7" ht="54.95" customHeight="1" thickBot="1" x14ac:dyDescent="0.75">
      <c r="A5" s="35">
        <f>COUNTIF('Ações InCompany'!B:B,2026)</f>
        <v>81</v>
      </c>
      <c r="B5" s="36" t="s">
        <v>3085</v>
      </c>
      <c r="D5" s="43">
        <f>COUNTIFS('Ações InCompany'!B:B,2026,'Ações InCompany'!C:C,"Realizado")</f>
        <v>50</v>
      </c>
      <c r="E5" s="44" t="s">
        <v>3085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3086</v>
      </c>
      <c r="B8" s="226"/>
      <c r="D8" s="226" t="s">
        <v>3087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3088</v>
      </c>
      <c r="D10" s="28" t="s">
        <v>3089</v>
      </c>
      <c r="E10" s="28" t="s">
        <v>3090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3091</v>
      </c>
      <c r="E11" s="30">
        <f>SUMIFS('Ações InCompany'!O:O,'Ações InCompany'!B:B,2026,'Ações InCompany'!C:C,"Realizado")</f>
        <v>772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3092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3093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3094</v>
      </c>
      <c r="B14" s="34">
        <f>SUM(B11:B13)</f>
        <v>48</v>
      </c>
      <c r="D14" s="33" t="s">
        <v>3095</v>
      </c>
      <c r="E14" s="34">
        <f>SUM(E11:E13)</f>
        <v>2768</v>
      </c>
    </row>
    <row r="30" spans="1:5" ht="17.25" x14ac:dyDescent="0.3">
      <c r="A30" s="226" t="s">
        <v>3096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3097</v>
      </c>
      <c r="C32" s="28" t="s">
        <v>3098</v>
      </c>
      <c r="D32" s="28" t="s">
        <v>3099</v>
      </c>
      <c r="E32" s="28" t="s">
        <v>3100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0.28205128205128205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6.4102564102564097E-2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7.6923076923076927E-2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2.564102564102564E-2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7.6923076923076927E-2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0.28205128205128205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5.128205128205128E-2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2.564102564102564E-2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8.9743589743589744E-2</v>
      </c>
    </row>
    <row r="42" spans="1:5" ht="24" customHeight="1" x14ac:dyDescent="0.25">
      <c r="A42" s="75" t="s">
        <v>3101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2.564102564102564E-2</v>
      </c>
    </row>
    <row r="44" spans="1:5" ht="24" customHeight="1" x14ac:dyDescent="0.25">
      <c r="A44" s="67" t="s">
        <v>3102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3094</v>
      </c>
      <c r="B45" s="41">
        <f>SUM(B33:B44)</f>
        <v>50</v>
      </c>
      <c r="C45" s="41">
        <f>SUM(C33:C44)</f>
        <v>28</v>
      </c>
      <c r="D45" s="41">
        <f>SUM(D33:D44)</f>
        <v>78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3108</v>
      </c>
      <c r="B2" s="12" t="s">
        <v>3109</v>
      </c>
      <c r="C2" s="12" t="s">
        <v>1736</v>
      </c>
      <c r="D2" s="12" t="s">
        <v>3110</v>
      </c>
      <c r="E2" s="12" t="s">
        <v>3111</v>
      </c>
    </row>
    <row r="3" spans="1:5" ht="18" customHeight="1" x14ac:dyDescent="0.25">
      <c r="A3" s="12" t="s">
        <v>3108</v>
      </c>
      <c r="B3" s="12" t="s">
        <v>3109</v>
      </c>
      <c r="C3" s="14" t="s">
        <v>25</v>
      </c>
      <c r="D3" s="12" t="s">
        <v>3112</v>
      </c>
      <c r="E3" s="12" t="s">
        <v>3113</v>
      </c>
    </row>
    <row r="4" spans="1:5" ht="18" customHeight="1" x14ac:dyDescent="0.25">
      <c r="A4" s="12" t="s">
        <v>3108</v>
      </c>
      <c r="B4" s="12" t="s">
        <v>3109</v>
      </c>
      <c r="C4" s="12" t="s">
        <v>75</v>
      </c>
      <c r="D4" s="12" t="s">
        <v>3110</v>
      </c>
      <c r="E4" s="12" t="s">
        <v>3114</v>
      </c>
    </row>
    <row r="5" spans="1:5" ht="18" customHeight="1" x14ac:dyDescent="0.25">
      <c r="A5" s="12" t="s">
        <v>3108</v>
      </c>
      <c r="B5" s="12" t="s">
        <v>3109</v>
      </c>
      <c r="C5" s="12" t="s">
        <v>79</v>
      </c>
      <c r="D5" s="12" t="s">
        <v>3115</v>
      </c>
      <c r="E5" s="12" t="s">
        <v>3116</v>
      </c>
    </row>
    <row r="6" spans="1:5" ht="18" customHeight="1" x14ac:dyDescent="0.25">
      <c r="A6" s="12" t="s">
        <v>3108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3108</v>
      </c>
      <c r="B7" s="12" t="s">
        <v>3119</v>
      </c>
      <c r="C7" s="12" t="s">
        <v>36</v>
      </c>
      <c r="D7" s="12" t="s">
        <v>3120</v>
      </c>
      <c r="E7" s="12" t="s">
        <v>3121</v>
      </c>
    </row>
    <row r="8" spans="1:5" ht="18" customHeight="1" x14ac:dyDescent="0.25">
      <c r="A8" s="12" t="s">
        <v>3108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3108</v>
      </c>
      <c r="B9" s="12" t="s">
        <v>3124</v>
      </c>
      <c r="C9" s="12" t="s">
        <v>464</v>
      </c>
      <c r="D9" s="12" t="s">
        <v>3125</v>
      </c>
      <c r="E9" s="12" t="s">
        <v>3126</v>
      </c>
    </row>
    <row r="10" spans="1:5" ht="18" customHeight="1" x14ac:dyDescent="0.25">
      <c r="A10" s="12" t="s">
        <v>3108</v>
      </c>
      <c r="B10" s="12" t="s">
        <v>3124</v>
      </c>
      <c r="C10" s="12" t="s">
        <v>206</v>
      </c>
      <c r="D10" s="12" t="s">
        <v>24</v>
      </c>
      <c r="E10" s="12" t="s">
        <v>3127</v>
      </c>
    </row>
    <row r="11" spans="1:5" ht="18" customHeight="1" x14ac:dyDescent="0.25">
      <c r="A11" s="12" t="s">
        <v>3108</v>
      </c>
      <c r="B11" s="12" t="s">
        <v>3124</v>
      </c>
      <c r="C11" s="12" t="s">
        <v>371</v>
      </c>
      <c r="D11" s="12" t="s">
        <v>24</v>
      </c>
      <c r="E11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3129</v>
      </c>
      <c r="B1" s="5" t="s">
        <v>10</v>
      </c>
      <c r="C1" s="15" t="s">
        <v>3130</v>
      </c>
      <c r="D1" s="15" t="s">
        <v>3053</v>
      </c>
    </row>
    <row r="2" spans="1:4" ht="21" customHeight="1" x14ac:dyDescent="0.25">
      <c r="A2" s="103" t="s">
        <v>24</v>
      </c>
      <c r="B2" s="103" t="s">
        <v>38</v>
      </c>
      <c r="C2" s="12" t="s">
        <v>3131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3132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3134</v>
      </c>
      <c r="B2" s="12" t="s">
        <v>3109</v>
      </c>
      <c r="C2" s="14" t="s">
        <v>25</v>
      </c>
      <c r="D2" s="12" t="s">
        <v>3110</v>
      </c>
      <c r="E2" s="17" t="s">
        <v>3135</v>
      </c>
    </row>
    <row r="3" spans="1:5" ht="18" customHeight="1" x14ac:dyDescent="0.25">
      <c r="A3" s="12" t="s">
        <v>3134</v>
      </c>
      <c r="B3" s="12" t="s">
        <v>3109</v>
      </c>
      <c r="C3" s="12" t="s">
        <v>75</v>
      </c>
      <c r="D3" s="12" t="s">
        <v>3112</v>
      </c>
      <c r="E3" s="12" t="s">
        <v>3136</v>
      </c>
    </row>
    <row r="4" spans="1:5" ht="18" customHeight="1" x14ac:dyDescent="0.25">
      <c r="A4" s="12" t="s">
        <v>3134</v>
      </c>
      <c r="B4" s="12" t="s">
        <v>3109</v>
      </c>
      <c r="C4" s="12" t="s">
        <v>79</v>
      </c>
      <c r="D4" s="12" t="s">
        <v>3115</v>
      </c>
      <c r="E4" s="12" t="s">
        <v>3137</v>
      </c>
    </row>
    <row r="5" spans="1:5" ht="27.75" customHeight="1" x14ac:dyDescent="0.25">
      <c r="A5" s="12" t="s">
        <v>3134</v>
      </c>
      <c r="B5" s="12" t="s">
        <v>3109</v>
      </c>
      <c r="C5" s="12" t="s">
        <v>2694</v>
      </c>
      <c r="D5" s="17" t="s">
        <v>3138</v>
      </c>
      <c r="E5" s="12" t="s">
        <v>3139</v>
      </c>
    </row>
    <row r="6" spans="1:5" ht="18" customHeight="1" x14ac:dyDescent="0.25">
      <c r="A6" s="12" t="s">
        <v>3134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3134</v>
      </c>
      <c r="B7" s="12" t="s">
        <v>3119</v>
      </c>
      <c r="C7" s="12" t="s">
        <v>2700</v>
      </c>
      <c r="D7" s="12" t="s">
        <v>3140</v>
      </c>
      <c r="E7" s="12" t="s">
        <v>3141</v>
      </c>
    </row>
    <row r="8" spans="1:5" ht="18" customHeight="1" x14ac:dyDescent="0.25">
      <c r="A8" s="12" t="s">
        <v>3134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3134</v>
      </c>
      <c r="B9" s="12" t="s">
        <v>3119</v>
      </c>
      <c r="C9" s="12" t="s">
        <v>2794</v>
      </c>
      <c r="D9" s="12" t="s">
        <v>3142</v>
      </c>
      <c r="E9" s="17" t="s">
        <v>3143</v>
      </c>
    </row>
    <row r="10" spans="1:5" ht="18" customHeight="1" x14ac:dyDescent="0.25">
      <c r="A10" s="12" t="s">
        <v>3134</v>
      </c>
      <c r="B10" s="12" t="s">
        <v>3144</v>
      </c>
      <c r="C10" s="12" t="s">
        <v>3101</v>
      </c>
      <c r="D10" s="12" t="s">
        <v>3145</v>
      </c>
      <c r="E10" s="17" t="s">
        <v>3146</v>
      </c>
    </row>
    <row r="11" spans="1:5" ht="18" customHeight="1" x14ac:dyDescent="0.25">
      <c r="A11" s="12" t="s">
        <v>3134</v>
      </c>
      <c r="B11" s="12" t="s">
        <v>3144</v>
      </c>
      <c r="C11" s="12" t="s">
        <v>206</v>
      </c>
      <c r="D11" s="12" t="s">
        <v>24</v>
      </c>
      <c r="E11" s="12" t="s">
        <v>3127</v>
      </c>
    </row>
    <row r="12" spans="1:5" ht="18" customHeight="1" x14ac:dyDescent="0.25">
      <c r="A12" s="12" t="s">
        <v>3134</v>
      </c>
      <c r="B12" s="12" t="s">
        <v>3144</v>
      </c>
      <c r="C12" s="12" t="s">
        <v>371</v>
      </c>
      <c r="D12" s="12" t="s">
        <v>24</v>
      </c>
      <c r="E12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3147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3148</v>
      </c>
    </row>
    <row r="4" spans="1:8" ht="21.95" customHeight="1" x14ac:dyDescent="0.25">
      <c r="A4" s="234" t="s">
        <v>3149</v>
      </c>
      <c r="B4" s="235"/>
      <c r="D4" s="234" t="s">
        <v>3150</v>
      </c>
      <c r="E4" s="235"/>
      <c r="G4" s="234" t="s">
        <v>3151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3152</v>
      </c>
      <c r="B7" s="62" t="s">
        <v>3153</v>
      </c>
      <c r="C7" s="62" t="s">
        <v>1</v>
      </c>
      <c r="D7" s="62" t="s">
        <v>3154</v>
      </c>
      <c r="E7" s="62" t="s">
        <v>3155</v>
      </c>
      <c r="F7" s="62" t="s">
        <v>3053</v>
      </c>
      <c r="G7" s="62" t="s">
        <v>5</v>
      </c>
      <c r="H7" s="62" t="s">
        <v>3156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C56" sqref="C5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3157</v>
      </c>
      <c r="B1" s="239"/>
      <c r="C1" s="239"/>
      <c r="D1" s="239"/>
      <c r="E1" s="239"/>
      <c r="F1" s="239"/>
    </row>
    <row r="2" spans="1:7" x14ac:dyDescent="0.25">
      <c r="A2" s="240" t="s">
        <v>3158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3056</v>
      </c>
      <c r="C4" s="25" t="s">
        <v>3057</v>
      </c>
      <c r="D4" s="25" t="s">
        <v>3159</v>
      </c>
      <c r="E4" s="25" t="s">
        <v>3058</v>
      </c>
      <c r="F4" s="25" t="s">
        <v>3160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3095</v>
      </c>
      <c r="B105" s="95">
        <f ca="1">SUM(B5:B100)</f>
        <v>704</v>
      </c>
      <c r="C105" s="95">
        <f ca="1">SUM(C5:C100)</f>
        <v>331.53999999999991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38" activePane="bottomLeft" state="frozen"/>
      <selection pane="bottomLeft" activeCell="H28" sqref="H28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3161</v>
      </c>
      <c r="B1" s="123" t="s">
        <v>3162</v>
      </c>
      <c r="C1" s="123" t="s">
        <v>3163</v>
      </c>
      <c r="D1" s="123" t="s">
        <v>3164</v>
      </c>
      <c r="E1" s="123" t="s">
        <v>3165</v>
      </c>
      <c r="F1" s="123" t="s">
        <v>3166</v>
      </c>
      <c r="G1" s="123" t="s">
        <v>10</v>
      </c>
      <c r="H1" s="123" t="s">
        <v>3167</v>
      </c>
      <c r="I1" s="123" t="s">
        <v>3168</v>
      </c>
      <c r="J1" s="123" t="s">
        <v>3169</v>
      </c>
      <c r="K1" s="123" t="s">
        <v>3170</v>
      </c>
      <c r="L1" s="123" t="s">
        <v>3171</v>
      </c>
      <c r="N1" s="124" t="s">
        <v>3172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3173</v>
      </c>
      <c r="L2" t="str">
        <f>IF(K2="","",IFERROR(INDEX(Tabela2[Curso],MATCH(K2,Tabela2[ID],0)),""))</f>
        <v/>
      </c>
      <c r="N2" s="123" t="s">
        <v>3052</v>
      </c>
      <c r="O2" s="123" t="s">
        <v>4</v>
      </c>
      <c r="P2" s="123" t="s">
        <v>3174</v>
      </c>
      <c r="Q2" s="123" t="s">
        <v>3175</v>
      </c>
      <c r="R2" s="123" t="s">
        <v>3176</v>
      </c>
      <c r="S2" s="123" t="s">
        <v>3177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3173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3173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3173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3173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3173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3173</v>
      </c>
      <c r="L10" t="str">
        <f>IF(K10="","",IFERROR(INDEX(Tabela2[Curso],MATCH(K10,Tabela2[ID],0)),""))</f>
        <v/>
      </c>
      <c r="N10" s="122" t="s">
        <v>3178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3173</v>
      </c>
      <c r="L11" t="str">
        <f>IF(K11="","",IFERROR(INDEX(Tabela2[Curso],MATCH(K11,Tabela2[ID],0)),""))</f>
        <v/>
      </c>
      <c r="N11" s="125" t="s">
        <v>3179</v>
      </c>
      <c r="O11" s="125" t="s">
        <v>3180</v>
      </c>
      <c r="P11" s="125" t="s">
        <v>3181</v>
      </c>
      <c r="Q11" s="125" t="s">
        <v>3164</v>
      </c>
      <c r="R11" s="125" t="s">
        <v>3165</v>
      </c>
      <c r="S11" s="125" t="s">
        <v>3182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3173</v>
      </c>
      <c r="L12" t="str">
        <f>IF(K12="","",IFERROR(INDEX(Tabela2[Curso],MATCH(K12,Tabela2[ID],0)),""))</f>
        <v/>
      </c>
      <c r="N12" t="s">
        <v>3183</v>
      </c>
      <c r="O12" t="s">
        <v>2755</v>
      </c>
      <c r="P12" t="s">
        <v>3184</v>
      </c>
      <c r="Q12">
        <v>0</v>
      </c>
      <c r="R12">
        <v>0</v>
      </c>
      <c r="S12" t="s">
        <v>3185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3173</v>
      </c>
      <c r="L13" t="str">
        <f>IF(K13="","",IFERROR(INDEX(Tabela2[Curso],MATCH(K13,Tabela2[ID],0)),""))</f>
        <v/>
      </c>
      <c r="N13" t="s">
        <v>3186</v>
      </c>
      <c r="O13" t="s">
        <v>2686</v>
      </c>
      <c r="P13" t="s">
        <v>3187</v>
      </c>
      <c r="Q13">
        <v>0</v>
      </c>
      <c r="R13">
        <v>0</v>
      </c>
      <c r="S13" t="s">
        <v>3188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2026-08-14T18:58:21Z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