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76" documentId="13_ncr:1_{6A2CC3E2-FAFB-4D8F-B284-5E8FB5045DFE}" xr6:coauthVersionLast="47" xr6:coauthVersionMax="47" xr10:uidLastSave="{E629F5E9-4AAC-4E24-BB57-92A40C2F6129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7" i="3" l="1"/>
  <c r="E109" i="28" a="1"/>
  <c r="E108" i="28" a="1"/>
  <c r="A735" i="3"/>
  <c r="A736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s="1" a="1"/>
  <c r="A2" i="20" s="1" a="1"/>
  <c r="E105" i="23" l="1"/>
  <c r="A5" i="23" a="1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<sst xmlns="http://schemas.openxmlformats.org/spreadsheetml/2006/main" count="7374" uniqueCount="3242">
  <si>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</si>
  <si>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</si>
  <si>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</si>
  <si>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</si>
  <si>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</si>
  <si>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</si>
  <si>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</si>
  <si>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</si>
  <si>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</si>
  <si>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</si>
  <si>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</si>
  <si>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</si>
  <si>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</si>
  <si>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</si>
  <si>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</si>
  <si>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</si>
  <si>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</si>
  <si>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</si>
  <si>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</si>
  <si>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</si>
  <si>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</si>
  <si>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</si>
  <si>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</si>
  <si>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</si>
  <si>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</si>
  <si>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</si>
  <si>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</si>
  <si>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</si>
  <si>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</si>
  <si>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</si>
  <si>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</si>
  <si>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</si>
  <si>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</si>
  <si>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</si>
  <si>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</si>
  <si>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</si>
  <si>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</si>
  <si>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</si>
  <si>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</si>
  <si>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</si>
  <si>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</si>
  <si>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</si>
  <si>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</si>
  <si>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</si>
  <si>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</si>
  <si>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</si>
  <si>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</si>
  <si>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</si>
  <si>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</si>
  <si>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</si>
  <si>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</si>
  <si>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</si>
  <si>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</si>
  <si>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</si>
  <si>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</si>
  <si>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</si>
  <si>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</si>
  <si>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</si>
  <si>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</si>
  <si>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</si>
  <si>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</si>
  <si>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</si>
  <si>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</si>
  <si>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</si>
  <si>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</si>
  <si>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</si>
  <si>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</si>
  <si>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</si>
  <si>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</si>
  <si>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</si>
  <si>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</si>
  <si>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</si>
  <si>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</si>
  <si>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</si>
  <si>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</si>
  <si>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</si>
  <si>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</si>
  <si>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</si>
  <si>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</si>
  <si>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</si>
  <si>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</si>
  <si>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</si>
  <si>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</si>
  <si>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</si>
  <si>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</si>
  <si>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</si>
  <si>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</si>
  <si>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</si>
  <si>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</si>
  <si>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</si>
  <si>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</si>
  <si>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</si>
  <si>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</si>
  <si>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</si>
  <si>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</si>
  <si>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</si>
  <si>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</si>
  <si>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</si>
  <si>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</si>
  <si>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</si>
  <si>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</si>
  <si>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</si>
  <si>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</si>
  <si>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</si>
  <si>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</si>
  <si>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</si>
  <si>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</si>
  <si>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</si>
  <si>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</si>
  <si>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</si>
  <si>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</si>
  <si>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</si>
  <si>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</si>
  <si>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</si>
  <si>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</si>
  <si>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</si>
  <si>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</si>
  <si>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</si>
  <si>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</si>
  <si>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</si>
  <si>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</si>
  <si>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</si>
  <si>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</si>
  <si>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</si>
  <si>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</si>
  <si>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</si>
  <si>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</si>
  <si>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</si>
  <si>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</si>
  <si>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</si>
  <si>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</si>
  <si>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</si>
  <si>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</si>
  <si>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</si>
  <si>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</si>
  <si>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</si>
  <si>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</si>
  <si>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</si>
  <si>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</si>
  <si>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</si>
  <si>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</si>
  <si>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</si>
  <si>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</si>
  <si>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</si>
  <si>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</si>
  <si>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</si>
  <si>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</si>
  <si>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</si>
  <si>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</si>
  <si>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</si>
  <si>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</si>
  <si>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</si>
  <si>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</si>
  <si>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</si>
  <si>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</si>
  <si>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</si>
  <si>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</si>
  <si>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</si>
  <si>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</si>
  <si>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</si>
  <si>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</si>
  <si>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</si>
  <si>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</si>
  <si>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</si>
  <si>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</si>
  <si>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</si>
  <si>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</si>
  <si>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</si>
  <si>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</si>
  <si>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</si>
  <si>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</si>
  <si>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</si>
  <si>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</si>
  <si>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</si>
  <si>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</si>
  <si>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</si>
  <si>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</si>
  <si>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</si>
  <si>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</si>
  <si>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</si>
  <si>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</si>
  <si>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</si>
  <si>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</si>
  <si>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</si>
  <si>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</si>
  <si>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</si>
  <si>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</si>
  <si>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</si>
  <si>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</si>
  <si>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</si>
  <si>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</si>
  <si>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</si>
  <si>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</si>
  <si>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</si>
  <si>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</si>
  <si>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</si>
  <si>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</si>
  <si>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</si>
  <si>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</si>
  <si>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</si>
  <si>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</si>
  <si>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</si>
  <si>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</si>
  <si>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</si>
  <si>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</si>
  <si>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</si>
  <si>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</si>
  <si>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</si>
  <si>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</si>
  <si>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</si>
  <si>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</si>
  <si>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</si>
  <si>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</si>
  <si>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</si>
  <si>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</si>
  <si>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</si>
  <si>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</si>
  <si>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</si>
  <si>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</si>
  <si>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</si>
  <si>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</si>
  <si>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</si>
  <si>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</si>
  <si>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</si>
  <si>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</si>
  <si>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</si>
  <si>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</si>
  <si>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</si>
  <si>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</si>
  <si>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</si>
  <si>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</si>
  <si>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</si>
  <si>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</si>
  <si>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</si>
  <si>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</si>
  <si>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</si>
  <si>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</si>
  <si>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</si>
  <si>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</si>
  <si>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</si>
  <si>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</si>
  <si>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</si>
  <si>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</si>
  <si>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</si>
  <si>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</si>
  <si>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</si>
  <si>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</si>
  <si>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</si>
  <si>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</si>
  <si>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</si>
  <si>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</si>
  <si>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</si>
  <si>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</si>
  <si>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</si>
  <si>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</si>
  <si>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</si>
  <si>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</si>
  <si>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</si>
  <si>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</si>
  <si>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</si>
  <si>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</si>
  <si>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</si>
  <si>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</si>
  <si>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</si>
  <si>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</si>
  <si>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</si>
  <si>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</si>
  <si>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</si>
  <si>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</si>
  <si>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</si>
  <si>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</si>
  <si>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</si>
  <si>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</si>
  <si>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</si>
  <si>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</si>
  <si>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</si>
  <si>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</si>
  <si>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</si>
  <si>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</si>
  <si>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</si>
  <si>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</si>
  <si>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</si>
  <si>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</si>
  <si>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</si>
  <si>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</si>
  <si>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</si>
  <si>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</si>
  <si>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</si>
  <si>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</si>
  <si>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</si>
  <si>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</si>
  <si>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</si>
  <si>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</si>
  <si>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</si>
  <si>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</si>
  <si>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</si>
  <si>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</si>
  <si>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</si>
  <si>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</si>
  <si>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</si>
  <si>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</si>
  <si>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</si>
  <si>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</si>
  <si>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</si>
  <si>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</si>
  <si>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</si>
  <si>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</si>
  <si>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</si>
  <si>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</si>
  <si>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</si>
  <si>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</si>
  <si>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</si>
  <si>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</si>
  <si>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</si>
  <si>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</si>
  <si>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</si>
  <si>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</si>
  <si>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</si>
  <si>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</si>
  <si>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</si>
  <si>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</si>
  <si>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</si>
  <si>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</si>
  <si>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</si>
  <si>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</si>
  <si>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</si>
  <si>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</si>
  <si>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</si>
  <si>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</si>
  <si>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</si>
  <si>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</si>
  <si>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</si>
  <si>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</si>
  <si>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</si>
  <si>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</si>
  <si>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</si>
  <si>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</si>
  <si>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</si>
  <si>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</si>
  <si>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</si>
  <si>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</si>
  <si>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</si>
  <si>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</si>
  <si>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</si>
  <si>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</si>
  <si>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</si>
  <si>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</si>
  <si>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</si>
  <si>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</si>
  <si>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</si>
  <si>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</si>
  <si>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</si>
  <si>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</si>
  <si>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</si>
  <si>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</si>
  <si>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</si>
  <si>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</si>
  <si>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</si>
  <si>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</si>
  <si>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</si>
  <si>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</si>
  <si>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</si>
  <si>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</si>
  <si>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</si>
  <si>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</si>
  <si>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</si>
  <si>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</si>
  <si>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</si>
  <si>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</si>
  <si>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</si>
  <si>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</si>
  <si>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</si>
  <si>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</si>
  <si>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</si>
  <si>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</si>
  <si>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</si>
  <si>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</si>
  <si>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</si>
  <si>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</si>
  <si>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</si>
  <si>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</si>
  <si>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</si>
  <si>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</si>
  <si>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</si>
  <si>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</si>
  <si>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</si>
  <si>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</si>
  <si>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</si>
  <si>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</si>
  <si>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</si>
  <si>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</si>
  <si>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</si>
  <si>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</si>
  <si>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</si>
  <si>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</si>
  <si>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</si>
  <si>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</si>
  <si>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</si>
  <si>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</si>
  <si>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</si>
  <si>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</si>
  <si>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</si>
  <si>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</si>
  <si>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</si>
  <si>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</si>
  <si>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</si>
  <si>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</si>
  <si>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</si>
  <si>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</si>
  <si>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</si>
  <si>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</si>
  <si>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</si>
  <si>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</si>
  <si>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</si>
  <si>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</si>
  <si>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</si>
  <si>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</si>
  <si>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</si>
  <si>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</si>
  <si>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</si>
  <si>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</si>
  <si>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</si>
  <si>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</si>
  <si>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</si>
  <si>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</si>
  <si>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</si>
  <si>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</si>
  <si>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</si>
  <si>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</si>
  <si>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</si>
  <si>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</si>
  <si>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</si>
  <si>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</si>
  <si>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</si>
  <si>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</si>
  <si>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</si>
  <si>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</si>
  <si>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</si>
  <si>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</si>
  <si>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</si>
  <si>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</si>
  <si>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</si>
  <si>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</si>
  <si>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</si>
  <si>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</si>
  <si>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</si>
  <si>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</si>
  <si>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</si>
  <si>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</si>
  <si>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</si>
  <si>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</si>
  <si>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</si>
  <si>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</si>
  <si>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</si>
  <si>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</si>
  <si>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</si>
  <si>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</si>
  <si>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</si>
  <si>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</si>
  <si>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</si>
  <si>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</si>
  <si>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</si>
  <si>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</si>
  <si>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</si>
  <si>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</si>
  <si>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</si>
  <si>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</si>
  <si>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</si>
  <si>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</si>
  <si>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</si>
  <si>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</si>
  <si>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</si>
  <si>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</si>
  <si>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</si>
  <si>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</si>
  <si>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</si>
  <si>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</si>
  <si>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</si>
  <si>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</si>
  <si>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</si>
  <si>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</si>
  <si>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</si>
  <si>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</si>
  <si>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</si>
  <si>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</si>
  <si>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</si>
  <si>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</si>
  <si>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</si>
  <si>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</si>
  <si>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</si>
  <si>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</si>
  <si>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</si>
  <si>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</si>
  <si>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</si>
  <si>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</si>
  <si>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</si>
  <si>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</si>
  <si>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</si>
  <si>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</si>
  <si>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</si>
  <si>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</si>
  <si>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</si>
  <si>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</si>
  <si>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</si>
  <si>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</si>
  <si>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</si>
  <si>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</si>
  <si>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</si>
  <si>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</si>
  <si>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</si>
  <si>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</si>
  <si>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</si>
  <si>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</si>
  <si>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</si>
  <si>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</si>
  <si>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</si>
  <si>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</si>
  <si>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</si>
  <si>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</si>
  <si>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</si>
  <si>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</si>
  <si>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</si>
  <si>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</si>
  <si>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</si>
  <si>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</si>
  <si>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</si>
  <si>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</si>
  <si>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</si>
  <si>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</si>
  <si>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</si>
  <si>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</si>
  <si>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</si>
  <si>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</si>
  <si>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</si>
  <si>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</si>
  <si>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</si>
  <si>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</si>
  <si>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</si>
  <si>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</si>
  <si>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</si>
  <si>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</si>
  <si>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</si>
  <si>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</si>
  <si>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</si>
  <si>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</si>
  <si>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</si>
  <si>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</si>
  <si>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</si>
  <si>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</si>
  <si>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</si>
  <si>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</si>
  <si>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</si>
  <si>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</si>
  <si>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</si>
  <si>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</si>
  <si>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</si>
  <si>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</si>
  <si>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</si>
  <si>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</si>
  <si>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</si>
  <si>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</si>
  <si>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</si>
  <si>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</si>
  <si>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</si>
  <si>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</si>
  <si>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</si>
  <si>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</si>
  <si>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</si>
  <si>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</si>
  <si>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</si>
  <si>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</si>
  <si>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</si>
  <si>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</si>
  <si>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</si>
  <si>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</si>
  <si>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</si>
  <si>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</si>
  <si>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</si>
  <si>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</si>
  <si>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</si>
  <si>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</si>
  <si>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</si>
  <si>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</si>
  <si>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</si>
  <si>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</si>
  <si>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</si>
  <si>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</si>
  <si>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</si>
  <si>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</si>
  <si>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</si>
  <si>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</si>
  <si>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</si>
  <si>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</si>
  <si>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</si>
  <si>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</si>
  <si>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</si>
  <si>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</si>
  <si>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</si>
  <si>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</si>
  <si>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</si>
  <si>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</si>
  <si>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</si>
  <si>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</si>
  <si>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</si>
  <si>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</si>
  <si>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</si>
  <si>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</si>
  <si>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</si>
  <si>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</si>
  <si>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</si>
  <si>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</si>
  <si>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</si>
  <si>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</si>
  <si>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</si>
  <si>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</si>
  <si>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</si>
  <si>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</si>
  <si>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</si>
  <si>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</si>
  <si>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</si>
  <si>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</si>
  <si>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</si>
  <si>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</si>
  <si>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</si>
  <si>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</si>
  <si>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</si>
  <si>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</si>
  <si>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</si>
  <si>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</si>
  <si>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</si>
  <si>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</si>
  <si>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</si>
  <si>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</si>
  <si>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</si>
  <si>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</si>
  <si>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</si>
  <si>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</si>
  <si>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</si>
  <si>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</si>
  <si>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</si>
  <si>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</si>
  <si>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</si>
  <si>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</si>
  <si>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</si>
  <si>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</si>
  <si>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</si>
  <si>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</si>
  <si>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</si>
  <si>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</si>
  <si>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</si>
  <si>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</si>
  <si>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</si>
  <si>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</si>
  <si>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</si>
  <si>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</si>
  <si>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</si>
  <si>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</si>
  <si>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</si>
  <si>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</si>
  <si>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</si>
  <si>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</si>
  <si>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</si>
  <si>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</si>
  <si>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</si>
  <si>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</si>
  <si>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</si>
  <si>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</si>
  <si>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</si>
  <si>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</si>
  <si>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</si>
  <si>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</si>
  <si>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</si>
  <si>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</si>
  <si>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</si>
  <si>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</si>
  <si>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</si>
  <si>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</si>
  <si>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</si>
  <si>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</si>
  <si>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</si>
  <si>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</si>
  <si>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</si>
  <si>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</si>
  <si>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</si>
  <si>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</si>
  <si>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</si>
  <si>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</si>
  <si>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</si>
  <si>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</si>
  <si>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</si>
  <si>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</si>
  <si>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</si>
  <si>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</si>
  <si>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</si>
  <si>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</si>
  <si>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</si>
  <si>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</si>
  <si>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</si>
  <si>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</si>
  <si>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</si>
  <si>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</si>
  <si>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</si>
  <si>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</si>
  <si>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</si>
  <si>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</si>
  <si>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</si>
  <si>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</si>
  <si>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</si>
  <si>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</si>
  <si>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</si>
  <si>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</si>
  <si>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</si>
  <si>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</si>
  <si>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</si>
  <si>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</si>
  <si>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</si>
  <si>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</si>
  <si>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</si>
  <si>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</si>
  <si>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</si>
  <si>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</si>
  <si>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</si>
  <si>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</si>
  <si>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</si>
  <si>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</si>
  <si>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</si>
  <si>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</si>
  <si>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</si>
  <si>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</si>
  <si>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</si>
  <si>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</si>
  <si>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</si>
  <si>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</si>
  <si>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</si>
  <si>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</si>
  <si>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</si>
  <si>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</si>
  <si>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</si>
  <si>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</si>
  <si>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</si>
  <si>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</si>
  <si>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</si>
  <si>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</si>
  <si>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</si>
  <si>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</si>
  <si>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</si>
  <si>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</si>
  <si>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</si>
  <si>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</si>
  <si>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</si>
  <si>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</si>
  <si>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</si>
  <si>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</si>
  <si>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</si>
  <si>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</si>
  <si>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</si>
  <si>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</si>
  <si>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</si>
  <si>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</si>
  <si>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</si>
  <si>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</si>
  <si>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</si>
  <si>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</si>
  <si>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</si>
  <si>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</si>
  <si>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</si>
  <si>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</si>
  <si>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</si>
  <si>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</si>
  <si>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</si>
  <si>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</si>
  <si>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</si>
  <si>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</si>
  <si>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</si>
  <si>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</si>
  <si>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</si>
  <si>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</si>
  <si>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</si>
  <si>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</si>
  <si>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</si>
  <si>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</si>
  <si>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</si>
  <si>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</si>
  <si>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</si>
  <si>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</si>
  <si>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</si>
  <si>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</si>
  <si>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</si>
  <si>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</si>
  <si>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</si>
  <si>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</si>
  <si>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</si>
  <si>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</si>
  <si>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</si>
  <si>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</si>
  <si>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</si>
  <si>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</si>
  <si>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</si>
  <si>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</si>
  <si>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</si>
  <si>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</si>
  <si>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</si>
  <si>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</si>
  <si>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</si>
  <si>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</si>
  <si>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</si>
  <si>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</si>
  <si>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</si>
  <si>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</si>
  <si>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</si>
  <si>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</si>
  <si>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</si>
  <si>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</si>
  <si>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</si>
  <si>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</si>
  <si>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</si>
  <si>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</si>
  <si>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</si>
  <si>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</si>
  <si>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</si>
  <si>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</si>
  <si>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</si>
  <si>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</si>
  <si>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</si>
  <si>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</si>
  <si>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</si>
  <si>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</si>
  <si>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</si>
  <si>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</si>
  <si>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</si>
  <si>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</si>
  <si>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</si>
  <si>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</si>
  <si>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</si>
  <si>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</si>
  <si>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</si>
  <si>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</si>
  <si>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</si>
  <si>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</si>
  <si>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</si>
  <si>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</si>
  <si>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</si>
  <si>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</si>
  <si>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</si>
  <si>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</si>
  <si>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</si>
  <si>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</si>
  <si>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</si>
  <si>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</si>
  <si>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</si>
  <si>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</si>
  <si>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</si>
  <si>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</si>
  <si>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</si>
  <si>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</si>
  <si>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</si>
  <si>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</si>
  <si>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</si>
  <si>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</si>
  <si>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</si>
  <si>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</si>
  <si>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</si>
  <si>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</si>
  <si>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</si>
  <si>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</si>
  <si>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</si>
  <si>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</si>
  <si>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</si>
  <si>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</si>
  <si>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</si>
  <si>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</si>
  <si>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</si>
  <si>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</si>
  <si>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</si>
  <si>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</si>
  <si>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</si>
  <si>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</si>
  <si>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</si>
  <si>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</si>
  <si>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</si>
  <si>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</si>
  <si>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</si>
  <si>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</si>
  <si>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</si>
  <si>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</si>
  <si>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</si>
  <si>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</si>
  <si>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</si>
  <si>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</si>
  <si>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</si>
  <si>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</si>
  <si>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</si>
  <si>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</si>
  <si>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</si>
  <si>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</si>
  <si>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</si>
  <si>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</si>
  <si>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</si>
  <si>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</si>
  <si>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</si>
  <si>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</si>
  <si>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</si>
  <si>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</si>
  <si>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</si>
  <si>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</si>
  <si>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</si>
  <si>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</si>
  <si>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</si>
  <si>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</si>
  <si>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</si>
  <si>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</si>
  <si>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</si>
  <si>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</si>
  <si>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</si>
  <si>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</si>
  <si>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</si>
  <si>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</si>
  <si>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</si>
  <si>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</si>
  <si>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</si>
  <si>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</si>
  <si>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</si>
  <si>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</si>
  <si>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</si>
  <si>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</si>
  <si>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</si>
  <si>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</si>
  <si>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</si>
  <si>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</si>
  <si>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</si>
  <si>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</si>
  <si>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</si>
  <si>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</si>
  <si>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</si>
  <si>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</si>
  <si>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</si>
  <si>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</si>
  <si>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</si>
  <si>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</si>
  <si>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</si>
  <si>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</si>
  <si>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</si>
  <si>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</si>
  <si>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</si>
  <si>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</si>
  <si>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</si>
  <si>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</si>
  <si>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</si>
  <si>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</si>
  <si>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</si>
  <si>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</si>
  <si>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</si>
  <si>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</si>
  <si>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</si>
  <si>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</si>
  <si>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</si>
  <si>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</si>
  <si>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</si>
  <si>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</si>
  <si>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</si>
  <si>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</si>
  <si>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</si>
  <si>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</si>
  <si>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</si>
  <si>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</si>
  <si>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</si>
  <si>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</si>
  <si>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</si>
  <si>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</si>
  <si>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</si>
  <si>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</si>
  <si>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</si>
  <si>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</si>
  <si>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</si>
  <si>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</si>
  <si>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</si>
  <si>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</si>
  <si>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</si>
  <si>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</si>
  <si>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</si>
  <si>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</si>
  <si>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</si>
  <si>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</si>
  <si>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</si>
  <si>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</si>
  <si>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</si>
  <si>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</si>
  <si>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</si>
  <si>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</si>
  <si>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</si>
  <si>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</si>
  <si>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</si>
  <si>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</si>
  <si>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</si>
  <si>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</si>
  <si>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</si>
  <si>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</si>
  <si>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</si>
  <si>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</si>
  <si>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</si>
  <si>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</si>
  <si>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</si>
  <si>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</si>
  <si>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</si>
  <si>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</si>
  <si>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</si>
  <si>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</si>
  <si>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</si>
  <si>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</si>
  <si>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</si>
  <si>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</si>
  <si>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</si>
  <si>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</si>
  <si>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</si>
  <si>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</si>
  <si>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</si>
  <si>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</si>
  <si>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</si>
  <si>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</si>
  <si>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</si>
  <si>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</si>
  <si>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</si>
  <si>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</si>
  <si>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</si>
  <si>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</si>
  <si>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</si>
  <si>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</si>
  <si>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</si>
  <si>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</si>
  <si>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</si>
  <si>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</si>
  <si>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</si>
  <si>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</si>
  <si>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</si>
  <si>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</si>
  <si>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</si>
  <si>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</si>
  <si>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</si>
  <si>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</si>
  <si>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</si>
  <si>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</si>
  <si>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</si>
  <si>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</si>
  <si>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</si>
  <si>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</si>
  <si>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</si>
  <si>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</si>
  <si>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</si>
  <si>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</si>
  <si>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</si>
  <si>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</si>
  <si>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</si>
  <si>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</si>
  <si>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</si>
  <si>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</si>
  <si>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</si>
  <si>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</si>
  <si>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</si>
  <si>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</si>
  <si>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</si>
  <si>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</si>
  <si>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</si>
  <si>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</si>
  <si>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</si>
  <si>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</si>
  <si>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</si>
  <si>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</si>
  <si>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</si>
  <si>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</si>
  <si>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</si>
  <si>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</si>
  <si>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</si>
  <si>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</si>
  <si>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</si>
  <si>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</si>
  <si>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</si>
  <si>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</si>
  <si>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</si>
  <si>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</si>
  <si>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</si>
  <si>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</si>
  <si>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</si>
  <si>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</si>
  <si>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</si>
  <si>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</si>
  <si>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</si>
  <si>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</si>
  <si>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</si>
  <si>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</si>
  <si>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</si>
  <si>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</si>
  <si>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</si>
  <si>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</si>
  <si>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</si>
  <si>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</si>
  <si>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</si>
  <si>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</si>
  <si>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</si>
  <si>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</si>
  <si>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</si>
  <si>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</si>
  <si>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</si>
  <si>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</si>
  <si>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</si>
  <si>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</si>
  <si>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</si>
  <si>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</si>
  <si>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</si>
  <si>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</si>
  <si>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</si>
  <si>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</si>
  <si>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</si>
  <si>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</si>
  <si>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</si>
  <si>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</si>
  <si>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</si>
  <si>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</si>
  <si>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</si>
  <si>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</si>
  <si>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</si>
  <si>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</si>
  <si>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</si>
  <si>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</si>
  <si>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</si>
  <si>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</si>
  <si>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</si>
  <si>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</si>
  <si>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</si>
  <si>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</si>
  <si>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</si>
  <si>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</si>
  <si>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</si>
  <si>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</si>
  <si>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</si>
  <si>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</si>
  <si>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</si>
  <si>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</si>
  <si>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</si>
  <si>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</si>
  <si>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</si>
  <si>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</si>
  <si>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</si>
  <si>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</si>
  <si>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</si>
  <si>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</si>
  <si>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</si>
  <si>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</si>
  <si>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</si>
  <si>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</si>
  <si>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</si>
  <si>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</si>
  <si>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</si>
  <si>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</si>
  <si>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</si>
  <si>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</si>
  <si>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</si>
  <si>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</si>
  <si>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</si>
  <si>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</si>
  <si>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</si>
  <si>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</si>
  <si>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</si>
  <si>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</si>
  <si>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</si>
  <si>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</si>
  <si>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</si>
  <si>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</si>
  <si>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</si>
  <si>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</si>
  <si>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</si>
  <si>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</si>
  <si>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</si>
  <si>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</si>
  <si>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</si>
  <si>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</si>
  <si>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</si>
  <si>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</si>
  <si>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</si>
  <si>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</si>
  <si>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</si>
  <si>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</si>
  <si>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</si>
  <si>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</si>
  <si>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</si>
  <si>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</si>
  <si>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</si>
  <si>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</si>
  <si>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</si>
  <si>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</si>
  <si>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</si>
  <si>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</si>
  <si>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</si>
  <si>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</si>
  <si>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</si>
  <si>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</si>
  <si>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</si>
  <si>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</si>
  <si>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</si>
  <si>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</si>
  <si>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</si>
  <si>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</si>
  <si>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</si>
  <si>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</si>
  <si>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</si>
  <si>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</si>
  <si>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</si>
  <si>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</si>
  <si>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</si>
  <si>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</si>
  <si>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</si>
  <si>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</si>
  <si>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</si>
  <si>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</si>
  <si>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</si>
  <si>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</si>
  <si>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</si>
  <si>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</si>
  <si>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</si>
  <si>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</si>
  <si>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</si>
  <si>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</si>
  <si>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</si>
  <si>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</si>
  <si>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</si>
  <si>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</si>
  <si>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</si>
  <si>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</si>
  <si>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</si>
  <si>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</si>
  <si>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</si>
  <si>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</si>
  <si>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</si>
  <si>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</si>
  <si>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</si>
  <si>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</si>
  <si>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</si>
  <si>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</si>
  <si>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</si>
  <si>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</si>
  <si>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</si>
  <si>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</si>
  <si>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</si>
  <si>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</si>
  <si>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</si>
  <si>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</si>
  <si>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</si>
  <si>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</si>
  <si>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</si>
  <si>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</si>
  <si>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</si>
  <si>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</si>
  <si>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</si>
  <si>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</si>
  <si>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</si>
  <si>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</si>
  <si>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</si>
  <si>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</si>
  <si>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</si>
  <si>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</si>
  <si>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</si>
  <si>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</si>
  <si>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</si>
  <si>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</si>
  <si>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</si>
  <si>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</si>
  <si>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</si>
  <si>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</si>
  <si>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</si>
  <si>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</si>
  <si>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</si>
  <si>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</si>
  <si>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</si>
  <si>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</si>
  <si>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</si>
  <si>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</si>
  <si>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</si>
  <si>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</si>
  <si>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</si>
  <si>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</si>
  <si>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</si>
  <si>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</si>
  <si>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</si>
  <si>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</si>
  <si>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</si>
  <si>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</si>
  <si>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</si>
  <si>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</si>
  <si>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</si>
  <si>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</si>
  <si>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</si>
  <si>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</si>
  <si>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</si>
  <si>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</si>
  <si>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</si>
  <si>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</si>
  <si>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</si>
  <si>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</si>
  <si>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</si>
  <si>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</si>
  <si>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</si>
  <si>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</si>
  <si>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</si>
  <si>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</si>
  <si>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</si>
  <si>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</si>
  <si>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</si>
  <si>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</si>
  <si>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</si>
  <si>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</si>
  <si>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</si>
  <si>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</si>
  <si>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</si>
  <si>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</si>
  <si>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</si>
  <si>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</si>
  <si>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</si>
  <si>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</si>
  <si>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</si>
  <si>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</si>
  <si>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</si>
  <si>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</si>
  <si>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</si>
  <si>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</si>
  <si>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</si>
  <si>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</si>
  <si>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</si>
  <si>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</si>
  <si>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</si>
  <si>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</si>
  <si>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</si>
  <si>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</si>
  <si>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</si>
  <si>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</si>
  <si>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</si>
  <si>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</si>
  <si>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</si>
  <si>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</si>
  <si>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</si>
  <si>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</si>
  <si>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</si>
  <si>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</si>
  <si>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</si>
  <si>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</si>
  <si>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</si>
  <si>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</si>
  <si>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</si>
  <si>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</si>
  <si>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</si>
  <si>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</si>
  <si>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</si>
  <si>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</si>
  <si>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</si>
  <si>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</si>
  <si>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</si>
  <si>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</si>
  <si>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</si>
  <si>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</si>
  <si>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</si>
  <si>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</si>
  <si>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</si>
  <si>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</si>
  <si>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</si>
  <si>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</si>
  <si>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</si>
  <si>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</si>
  <si>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</si>
  <si>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</si>
  <si>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</si>
  <si>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</si>
  <si>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</si>
  <si>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</si>
  <si>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</si>
  <si>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</si>
  <si>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</si>
  <si>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</si>
  <si>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</si>
  <si>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</si>
  <si>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</si>
  <si>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</si>
  <si>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</si>
  <si>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</si>
  <si>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</si>
  <si>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</si>
  <si>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</si>
  <si>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</si>
  <si>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</si>
  <si>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</si>
  <si>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</si>
  <si>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</si>
  <si>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</si>
  <si>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</si>
  <si>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</si>
  <si>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</si>
  <si>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</si>
  <si>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</si>
  <si>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</si>
  <si>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</si>
  <si>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</si>
  <si>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</si>
  <si>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</si>
  <si>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</si>
  <si>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</si>
  <si>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</si>
  <si>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</si>
  <si>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</si>
  <si>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</si>
  <si>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</si>
  <si>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</si>
  <si>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</si>
  <si>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</si>
  <si>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</si>
  <si>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</si>
  <si>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</si>
  <si>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</si>
  <si>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</si>
  <si>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</si>
  <si>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</si>
  <si>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</si>
  <si>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</si>
  <si>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</si>
  <si>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</si>
  <si>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</si>
  <si>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</si>
  <si>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</si>
  <si>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</si>
  <si>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</si>
  <si>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</si>
  <si>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</si>
  <si>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</si>
  <si>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</si>
  <si>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</si>
  <si>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</si>
  <si>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</si>
  <si>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</si>
  <si>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</si>
  <si>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</si>
  <si>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</si>
  <si>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</si>
  <si>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</si>
  <si>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</si>
  <si>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</si>
  <si>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</si>
  <si>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</si>
  <si>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</si>
  <si>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</si>
  <si>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</si>
  <si>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</si>
  <si>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</si>
  <si>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</si>
  <si>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</si>
  <si>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</si>
  <si>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</si>
  <si>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</si>
  <si>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</si>
  <si>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</si>
  <si>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</si>
  <si>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</si>
  <si>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</si>
  <si>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</si>
  <si>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</si>
  <si>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</si>
  <si>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</si>
  <si>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</si>
  <si>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</si>
  <si>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</si>
  <si>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</si>
  <si>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</si>
  <si>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</si>
  <si>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</si>
  <si>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</si>
  <si>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</si>
  <si>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</si>
  <si>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</si>
  <si>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</si>
  <si>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</si>
  <si>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</si>
  <si>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</si>
  <si>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</si>
  <si>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</si>
  <si>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</si>
  <si>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</si>
  <si>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</si>
  <si>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</si>
  <si>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</si>
  <si>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</si>
  <si>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</si>
  <si>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</si>
  <si>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</si>
  <si>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</si>
  <si>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</si>
  <si>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</si>
  <si>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</si>
  <si>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</si>
  <si>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</si>
  <si>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</si>
  <si>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</si>
  <si>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</si>
  <si>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</si>
  <si>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</si>
  <si>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</si>
  <si>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</si>
  <si>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</si>
  <si>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</si>
  <si>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</si>
  <si>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</si>
  <si>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</si>
  <si>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</si>
  <si>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</si>
  <si>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</si>
  <si>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</si>
  <si>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</si>
  <si>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</si>
  <si>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</si>
  <si>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</si>
  <si>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</si>
  <si>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</si>
  <si>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</si>
  <si>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</si>
  <si>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</si>
  <si>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</si>
  <si>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</si>
  <si>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</si>
  <si>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</si>
  <si>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</si>
  <si>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</si>
  <si>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</si>
  <si>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</si>
  <si>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</si>
  <si>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</si>
  <si>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</si>
  <si>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</si>
  <si>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</si>
  <si>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</si>
  <si>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</si>
  <si>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</si>
  <si>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</si>
  <si>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</si>
  <si>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</si>
  <si>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</si>
  <si>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</si>
  <si>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</si>
  <si>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</si>
  <si>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</si>
  <si>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</si>
  <si>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</si>
  <si>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</si>
  <si>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</si>
  <si>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</si>
  <si>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</si>
  <si>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</si>
  <si>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</si>
  <si>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</si>
  <si>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</si>
  <si>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</si>
  <si>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</si>
  <si>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</si>
  <si>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</si>
  <si>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</si>
  <si>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</si>
  <si>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</si>
  <si>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</si>
  <si>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</si>
  <si>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</si>
  <si>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</si>
  <si>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</si>
  <si>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</si>
  <si>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</si>
  <si>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</si>
  <si>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</si>
  <si>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</si>
  <si>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</si>
  <si>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</si>
  <si>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</si>
  <si>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</si>
  <si>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</si>
  <si>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</si>
  <si>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</si>
  <si>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</si>
  <si>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</si>
  <si>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</si>
  <si>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</si>
  <si>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</si>
  <si>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</si>
  <si>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</si>
  <si>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</si>
  <si>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</si>
  <si>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</si>
  <si>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</si>
  <si>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</si>
  <si>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</si>
  <si>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</si>
  <si>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</si>
  <si>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</si>
  <si>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</si>
  <si>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</si>
  <si>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</si>
  <si>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</si>
  <si>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</si>
  <si>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</si>
  <si>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</si>
  <si>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</si>
  <si>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</si>
  <si>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</si>
  <si>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</si>
  <si>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</si>
  <si>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</si>
  <si>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</si>
  <si>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</si>
  <si>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</si>
  <si>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</si>
  <si>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</si>
  <si>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</si>
  <si>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</si>
  <si>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</si>
  <si>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</si>
  <si>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</si>
  <si>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</si>
  <si>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</si>
  <si>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</si>
  <si>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</si>
  <si>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</si>
  <si>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</si>
  <si>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</si>
  <si>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</si>
  <si>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</si>
  <si>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</si>
  <si>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</si>
  <si>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</si>
  <si>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</si>
  <si>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</si>
  <si>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</si>
  <si>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</si>
  <si>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</si>
  <si>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</si>
  <si>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</si>
  <si>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</si>
  <si>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</si>
  <si>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</si>
  <si>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</si>
  <si>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</si>
  <si>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</si>
  <si>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</si>
  <si>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</si>
  <si>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</si>
  <si>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</si>
  <si>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</si>
  <si>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</si>
  <si>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</si>
  <si>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</si>
  <si>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</si>
  <si>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</si>
  <si>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</si>
  <si>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</si>
  <si>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</si>
  <si>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</si>
  <si>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</si>
  <si>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</si>
  <si>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</si>
  <si>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</si>
  <si>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</si>
  <si>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</si>
  <si>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</si>
  <si>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</si>
  <si>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</si>
  <si>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</si>
  <si>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</si>
  <si>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</si>
  <si>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</si>
  <si>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</si>
  <si>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</si>
  <si>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</si>
  <si>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</si>
  <si>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</si>
  <si>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</si>
  <si>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</si>
  <si>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</si>
  <si>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</si>
  <si>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</si>
  <si>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</si>
  <si>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</si>
  <si>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</si>
  <si>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</si>
  <si>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</si>
  <si>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</si>
  <si>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</si>
  <si>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</si>
  <si>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</si>
  <si>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</si>
  <si>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</si>
  <si>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</si>
  <si>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</si>
  <si>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</si>
  <si>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</si>
  <si>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</si>
  <si>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</si>
  <si>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</si>
  <si>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</si>
  <si>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</si>
  <si>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</si>
  <si>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</si>
  <si>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</si>
  <si>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</si>
  <si>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</si>
  <si>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</si>
  <si>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</si>
  <si>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</si>
  <si>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</si>
  <si>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</si>
  <si>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</si>
  <si>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</si>
  <si>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</si>
  <si>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</si>
  <si>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</si>
  <si>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</si>
  <si>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</si>
  <si>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</si>
  <si>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</si>
  <si>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</si>
  <si>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</si>
  <si>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</si>
  <si>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</si>
  <si>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</si>
  <si>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</si>
  <si>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</si>
  <si>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</si>
  <si>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</si>
  <si>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</si>
  <si>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</si>
  <si>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</si>
  <si>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</si>
  <si>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</si>
  <si>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</si>
  <si>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</si>
  <si>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</si>
  <si>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</si>
  <si>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</si>
  <si>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</si>
  <si>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</si>
  <si>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</si>
  <si>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</si>
  <si>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</si>
  <si>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</si>
  <si>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</si>
  <si>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</si>
  <si>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</si>
  <si>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</si>
  <si>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</si>
  <si>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</si>
  <si>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</si>
  <si>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</si>
  <si>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</si>
  <si>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</si>
  <si>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</si>
  <si>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</si>
  <si>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</si>
  <si>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</si>
  <si>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</si>
  <si>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</si>
  <si>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</si>
  <si>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</si>
  <si>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</si>
  <si>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</si>
  <si>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</si>
  <si>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</si>
  <si>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</si>
  <si>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</si>
  <si>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</si>
  <si>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</si>
  <si>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</si>
  <si>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</si>
  <si>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</si>
  <si>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</si>
  <si>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</si>
  <si>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</si>
  <si>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</si>
  <si>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</si>
  <si>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</si>
  <si>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</si>
  <si>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</si>
  <si>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</si>
  <si>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</si>
  <si>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</si>
  <si>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</si>
  <si>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</si>
  <si>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</si>
  <si>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</si>
  <si>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</si>
  <si>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</si>
  <si>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</si>
  <si>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</si>
  <si>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</si>
  <si>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</si>
  <si>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</si>
  <si>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</si>
  <si>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</si>
  <si>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</si>
  <si>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</si>
  <si>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</si>
  <si>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</si>
  <si>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</si>
  <si>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</si>
  <si>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</si>
  <si>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</si>
  <si>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</si>
  <si>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</si>
  <si>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</si>
  <si>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</si>
  <si>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</si>
  <si>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</si>
  <si>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</si>
  <si>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</si>
  <si>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</si>
  <si>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</si>
  <si>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</si>
  <si>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</si>
  <si>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</si>
  <si>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</si>
  <si>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</si>
  <si>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</si>
  <si>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</si>
  <si>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</si>
  <si>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</si>
  <si>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</si>
  <si>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</si>
  <si>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</si>
  <si>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</si>
  <si>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</si>
  <si>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</si>
  <si>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</si>
  <si>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</si>
  <si>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</si>
  <si>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</si>
  <si>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</si>
  <si>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</si>
  <si>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</si>
  <si>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</si>
  <si>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</si>
  <si>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</si>
  <si>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</si>
  <si>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</si>
  <si>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</si>
  <si>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</si>
  <si>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</si>
  <si>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</si>
  <si>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</si>
  <si>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</si>
  <si>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</si>
  <si>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</si>
  <si>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</si>
  <si>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</si>
  <si>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</si>
  <si>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</si>
  <si>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</si>
  <si>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</si>
  <si>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</si>
  <si>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</si>
  <si>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</si>
  <si>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</si>
  <si>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</si>
  <si>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</si>
  <si>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</si>
  <si>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</si>
  <si>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</si>
  <si>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</si>
  <si>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</si>
  <si>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</si>
  <si>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</si>
  <si>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</si>
  <si>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</si>
  <si>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</si>
  <si>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</si>
  <si>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</si>
  <si>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</si>
  <si>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</si>
  <si>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</si>
  <si>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</si>
  <si>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</si>
  <si>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</si>
  <si>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</si>
  <si>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</si>
  <si>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</si>
  <si>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</si>
  <si>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</si>
  <si>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</si>
  <si>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</si>
  <si>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</si>
  <si>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</si>
  <si>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</si>
  <si>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</si>
  <si>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</si>
  <si>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</si>
  <si>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</si>
  <si>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</si>
  <si>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</si>
  <si>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</si>
  <si>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</si>
  <si>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</si>
  <si>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</si>
  <si>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</si>
  <si>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</si>
  <si>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</si>
  <si>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</si>
  <si>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</si>
  <si>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</si>
  <si>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</si>
  <si>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</si>
  <si>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</si>
  <si>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</si>
  <si>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</si>
  <si>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</si>
  <si>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</si>
  <si>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</si>
  <si>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</si>
  <si>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</si>
  <si>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</si>
  <si>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</si>
  <si>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</si>
  <si>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</si>
  <si>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</si>
  <si>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</si>
  <si>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</si>
  <si>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</si>
  <si>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</si>
  <si>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</si>
  <si>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</si>
  <si>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</si>
  <si>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</si>
  <si>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</si>
  <si>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</si>
  <si>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</si>
  <si>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</si>
  <si>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</si>
  <si>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</si>
  <si>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</si>
  <si>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</si>
  <si>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</si>
  <si>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</si>
  <si>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</si>
  <si>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</si>
  <si>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</si>
  <si>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</si>
  <si>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</si>
  <si>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</si>
  <si>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</si>
  <si>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</si>
  <si>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</si>
  <si>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</si>
  <si>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</si>
  <si>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</si>
  <si>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</si>
  <si>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</si>
  <si>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</si>
  <si>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</si>
  <si>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</si>
  <si>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</si>
  <si>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</si>
  <si>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</si>
  <si>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</si>
  <si>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</si>
  <si>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</si>
  <si>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</si>
  <si>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</si>
  <si>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</si>
  <si>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</si>
  <si>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</si>
  <si>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</si>
  <si>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</si>
  <si>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</si>
  <si>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</si>
  <si>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</si>
  <si>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</si>
  <si>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</si>
  <si>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</si>
  <si>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</si>
  <si>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</si>
  <si>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</si>
  <si>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</si>
  <si>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</si>
  <si>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</si>
  <si>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</si>
  <si>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</si>
  <si>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</si>
  <si>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</si>
  <si>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</si>
  <si>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</si>
  <si>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</si>
  <si>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</si>
  <si>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</si>
  <si>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</si>
  <si>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</si>
  <si>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</si>
  <si>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</si>
  <si>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</si>
  <si>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</si>
  <si>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</si>
  <si>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</si>
  <si>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</si>
  <si>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</si>
  <si>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</si>
  <si>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</si>
  <si>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</si>
  <si>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</si>
  <si>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</si>
  <si>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</si>
  <si>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</si>
  <si>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</si>
  <si>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</si>
  <si>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</si>
  <si>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</si>
  <si>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</si>
  <si>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</si>
  <si>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</si>
  <si>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</si>
  <si>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</si>
  <si>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</si>
  <si>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</si>
  <si>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</si>
  <si>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</si>
  <si>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</si>
  <si>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</si>
  <si>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</si>
  <si>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</si>
  <si>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</si>
  <si>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</si>
  <si>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</si>
  <si>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</si>
  <si>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</si>
  <si>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</si>
  <si>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</si>
  <si>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</si>
  <si>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</si>
  <si>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</si>
  <si>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</si>
  <si>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</si>
  <si>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</si>
  <si>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</si>
  <si>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</si>
  <si>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</si>
  <si>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</si>
  <si>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</si>
  <si>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</si>
  <si>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</si>
  <si>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</si>
  <si>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</si>
  <si>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</si>
  <si>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</si>
  <si>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</si>
  <si>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</si>
  <si>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</si>
  <si>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</si>
  <si>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</si>
  <si>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</si>
  <si>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</si>
  <si>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</si>
  <si>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</si>
  <si>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</si>
  <si>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</si>
  <si>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</si>
  <si>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</si>
  <si>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</si>
  <si>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</si>
  <si>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</si>
  <si>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</si>
  <si>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</si>
  <si>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</si>
  <si>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</si>
  <si>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</si>
  <si>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</si>
  <si>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</si>
  <si>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</si>
  <si>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</si>
  <si>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</si>
  <si>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</si>
  <si>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</si>
  <si>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</si>
  <si>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</si>
  <si>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</si>
  <si>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</si>
  <si>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</si>
  <si>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</si>
  <si>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</si>
  <si>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</si>
  <si>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</si>
  <si>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</si>
  <si>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</si>
  <si>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</si>
  <si>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</si>
  <si>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</si>
  <si>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</si>
  <si>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</si>
  <si>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</si>
  <si>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</si>
  <si>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</si>
  <si>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</si>
  <si>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</si>
  <si>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</si>
  <si>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</si>
  <si>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</si>
  <si>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</si>
  <si>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</si>
  <si>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</si>
  <si>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</si>
  <si>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</si>
  <si>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</si>
  <si>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</si>
  <si>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</si>
  <si>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</si>
  <si>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</si>
  <si>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</si>
  <si>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</si>
  <si>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</si>
  <si>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</si>
  <si>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</si>
  <si>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</si>
  <si>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</si>
  <si>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</si>
  <si>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</si>
  <si>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</si>
  <si>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</si>
  <si>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</si>
  <si>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</si>
  <si>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</si>
  <si>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</si>
  <si>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</si>
  <si>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</si>
  <si>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</si>
  <si>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</si>
  <si>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</si>
  <si>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</si>
  <si>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</si>
  <si>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</si>
  <si>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</si>
  <si>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</si>
  <si>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</si>
  <si>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</si>
  <si>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</si>
  <si>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</si>
  <si>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</si>
  <si>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</si>
  <si>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</si>
  <si>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</si>
  <si>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</si>
  <si>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</si>
  <si>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</si>
  <si>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</si>
  <si>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</si>
  <si>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</si>
  <si>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</si>
  <si>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</si>
  <si>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</si>
  <si>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</si>
  <si>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</si>
  <si>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</si>
  <si>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</si>
  <si>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</si>
  <si>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</si>
  <si>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</si>
  <si>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</si>
  <si>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</si>
  <si>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</si>
  <si>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</si>
  <si>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</si>
  <si>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</si>
  <si>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</si>
  <si>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</si>
  <si>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</si>
  <si>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</si>
  <si>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</si>
  <si>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</si>
  <si>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</si>
  <si>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</si>
  <si>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</si>
  <si>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</si>
  <si>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</si>
  <si>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</si>
  <si>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</si>
  <si>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</si>
  <si>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</si>
  <si>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</si>
  <si>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</si>
  <si>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</si>
  <si>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</si>
  <si>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</si>
  <si>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</si>
  <si>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</si>
  <si>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</si>
  <si>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</si>
  <si>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</si>
  <si>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</si>
  <si>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</si>
  <si>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</si>
  <si>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</si>
  <si>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</si>
  <si>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</si>
  <si>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</si>
  <si>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</si>
  <si>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</si>
  <si>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</si>
  <si>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</si>
  <si>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</si>
  <si>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</si>
  <si>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</si>
  <si>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</si>
  <si>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</si>
  <si>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</si>
  <si>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</si>
  <si>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</si>
  <si>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</si>
  <si>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</si>
  <si>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</si>
  <si>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</si>
  <si>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</si>
  <si>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</si>
  <si>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</si>
  <si>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</si>
  <si>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</si>
  <si>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</si>
  <si>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</si>
  <si>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</si>
  <si>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</si>
  <si>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</si>
  <si>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</si>
  <si>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</si>
  <si>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</si>
  <si>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</si>
  <si>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</si>
  <si>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</si>
  <si>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</si>
  <si>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</si>
  <si>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</si>
  <si>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</si>
  <si>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</si>
  <si>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</si>
  <si>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</si>
  <si>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</si>
  <si>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</si>
  <si>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</si>
  <si>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</si>
  <si>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</si>
  <si>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</si>
  <si>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</si>
  <si>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</si>
  <si>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</si>
  <si>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</si>
  <si>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</si>
  <si>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</si>
  <si>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</si>
  <si>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</si>
  <si>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</si>
  <si>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</si>
  <si>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</si>
  <si>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</si>
  <si>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</si>
  <si>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</si>
  <si>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</si>
  <si>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</si>
  <si>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</si>
  <si>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</si>
  <si>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</si>
  <si>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</si>
  <si>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</si>
  <si>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</si>
  <si>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</si>
  <si>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</si>
  <si>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</si>
  <si>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</si>
  <si>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</si>
  <si>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</si>
  <si>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</si>
  <si>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</si>
  <si>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</si>
  <si>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</si>
  <si>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</si>
  <si>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</si>
  <si>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</si>
  <si>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</si>
  <si>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</si>
  <si>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</si>
  <si>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</si>
  <si>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</si>
  <si>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</si>
  <si>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</si>
  <si>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</si>
  <si>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</si>
  <si>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</si>
  <si>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</si>
  <si>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</si>
  <si>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</si>
  <si>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</si>
  <si>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</si>
  <si>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</si>
  <si>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</si>
  <si>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</si>
  <si>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</si>
  <si>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</si>
  <si>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</si>
  <si>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</si>
  <si>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</si>
  <si>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</si>
  <si>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</si>
  <si>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</si>
  <si>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</si>
  <si>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</si>
  <si>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</si>
  <si>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</si>
  <si>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</si>
  <si>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</si>
  <si>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</si>
  <si>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</si>
  <si>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</si>
  <si>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</si>
  <si>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</si>
  <si>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</si>
  <si>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</si>
  <si>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</si>
  <si>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</si>
  <si>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</si>
  <si>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</si>
  <si>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</si>
  <si>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</si>
  <si>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</si>
  <si>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</si>
  <si>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</si>
  <si>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</si>
  <si>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</si>
  <si>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</si>
  <si>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</si>
  <si>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</si>
  <si>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</si>
  <si>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</si>
  <si>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</si>
  <si>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</si>
  <si>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</si>
  <si>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</si>
  <si>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</si>
  <si>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</si>
  <si>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</si>
  <si>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</si>
  <si>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</si>
  <si>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</si>
  <si>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</si>
  <si>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</si>
  <si>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</si>
  <si>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</si>
  <si>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</si>
  <si>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</si>
  <si>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</si>
  <si>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</si>
  <si>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</si>
  <si>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</si>
  <si>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</si>
  <si>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</si>
  <si>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</si>
  <si>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</si>
  <si>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</si>
  <si>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</si>
  <si>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</si>
  <si>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</si>
  <si>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</si>
  <si>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</si>
  <si>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</si>
  <si>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</si>
  <si>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</si>
  <si>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</si>
  <si>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</si>
  <si>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</si>
  <si>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</si>
  <si>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</si>
  <si>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</si>
  <si>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</si>
  <si>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</si>
  <si>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</si>
  <si>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</si>
  <si>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</si>
  <si>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</si>
  <si>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</si>
  <si>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</si>
  <si>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</si>
  <si>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</si>
  <si>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</si>
  <si>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</si>
  <si>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</si>
  <si>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</si>
  <si>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</si>
  <si>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</si>
  <si>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</si>
  <si>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</si>
  <si>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</si>
  <si>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</si>
  <si>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</si>
  <si>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</si>
  <si>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</si>
  <si>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</si>
  <si>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</si>
  <si>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</si>
  <si>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</si>
  <si>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</si>
  <si>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</si>
  <si>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</si>
  <si>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</si>
  <si>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</si>
  <si>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</si>
  <si>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</si>
  <si>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</si>
  <si>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</si>
  <si>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</si>
  <si>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</si>
  <si>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</si>
  <si>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</si>
  <si>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</si>
  <si>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</si>
  <si>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</si>
  <si>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</si>
  <si>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</si>
  <si>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</si>
  <si>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</si>
  <si>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</si>
  <si>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</si>
  <si>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</si>
  <si>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</si>
  <si>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</si>
  <si>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</si>
  <si>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</si>
  <si>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</si>
  <si>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</si>
  <si>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</si>
  <si>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</si>
  <si>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</si>
  <si>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</si>
  <si>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</si>
  <si>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</si>
  <si>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</si>
  <si>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</si>
  <si>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</si>
  <si>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</si>
  <si>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</si>
  <si>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</si>
  <si>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</si>
  <si>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</si>
  <si>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</si>
  <si>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</si>
  <si>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</si>
  <si>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</si>
  <si>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</si>
  <si>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</si>
  <si>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</si>
  <si>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</si>
  <si>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</si>
  <si>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</si>
  <si>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</si>
  <si>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</si>
  <si>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</si>
  <si>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</si>
  <si>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</si>
  <si>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</si>
  <si>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</si>
  <si>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</si>
  <si>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</si>
  <si>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</si>
  <si>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</si>
  <si>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</si>
  <si>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</si>
  <si>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</si>
  <si>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</si>
  <si>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</si>
  <si>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</si>
  <si>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</si>
  <si>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</si>
  <si>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</si>
  <si>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</si>
  <si>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</si>
  <si>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</si>
  <si>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</si>
  <si>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</si>
  <si>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</si>
  <si>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</si>
  <si>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</si>
  <si>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</si>
  <si>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</si>
  <si>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</si>
  <si>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</si>
  <si>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</si>
  <si>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</si>
  <si>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</si>
  <si>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</si>
  <si>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</si>
  <si>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</si>
  <si>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</si>
  <si>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</si>
  <si>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</si>
  <si>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</si>
  <si>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</si>
  <si>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</si>
  <si>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</si>
  <si>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</si>
  <si>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</si>
  <si>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</si>
  <si>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</si>
  <si>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</si>
  <si>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</si>
  <si>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</si>
  <si>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</si>
  <si>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</si>
  <si>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</si>
  <si>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</si>
  <si>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</si>
  <si>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</si>
  <si>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</si>
  <si>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</si>
  <si>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</si>
  <si>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</si>
  <si>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</si>
  <si>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</si>
  <si>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</si>
  <si>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</si>
  <si>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</si>
  <si>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</si>
  <si>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</si>
  <si>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</si>
  <si>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</si>
  <si>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</si>
  <si>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</si>
  <si>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</si>
  <si>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</si>
  <si>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</si>
  <si>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</si>
  <si>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</si>
  <si>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</si>
  <si>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</si>
  <si>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</si>
  <si>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</si>
  <si>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</si>
  <si>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</si>
  <si>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</si>
  <si>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</si>
  <si>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</si>
  <si>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</si>
  <si>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</si>
  <si>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</si>
  <si>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</si>
  <si>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</si>
  <si>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</si>
  <si>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</si>
  <si>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</si>
  <si>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</si>
  <si>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</si>
  <si>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</si>
  <si>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</si>
  <si>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</si>
  <si>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</si>
  <si>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</si>
  <si>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</si>
  <si>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</si>
  <si>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</si>
  <si>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</si>
  <si>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</si>
  <si>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</si>
  <si>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</si>
  <si>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</si>
  <si>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</si>
  <si>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</si>
  <si>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</si>
  <si>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</si>
  <si>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</si>
  <si>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</si>
  <si>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</si>
  <si>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</si>
  <si>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</si>
  <si>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</si>
  <si>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</si>
  <si>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</si>
  <si>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</si>
  <si>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</si>
  <si>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</si>
  <si>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</si>
  <si>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</si>
  <si>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</si>
  <si>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</si>
  <si>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</si>
  <si>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</si>
  <si>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</si>
  <si>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</si>
  <si>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</si>
  <si>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</si>
  <si>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</si>
  <si>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</si>
  <si>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</si>
  <si>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</si>
  <si>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</si>
  <si>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</si>
  <si>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</si>
  <si>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</si>
  <si>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</si>
  <si>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</si>
  <si>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</si>
  <si>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</si>
  <si>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</si>
  <si>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</si>
  <si>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</si>
  <si>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</si>
  <si>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</si>
  <si>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</si>
  <si>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</si>
  <si>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</si>
  <si>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</si>
  <si>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</si>
  <si>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</si>
  <si>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</si>
  <si>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</si>
  <si>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</si>
  <si>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</si>
  <si>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</si>
  <si>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</si>
  <si>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</si>
  <si>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</si>
  <si>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</si>
  <si>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</si>
  <si>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</si>
  <si>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</si>
  <si>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</si>
  <si>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</si>
  <si>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</si>
  <si>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</si>
  <si>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</si>
  <si>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</si>
  <si>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</si>
  <si>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</si>
  <si>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</si>
  <si>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</si>
  <si>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</si>
  <si>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</si>
  <si>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</si>
  <si>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</si>
  <si>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</si>
  <si>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</si>
  <si>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</si>
  <si>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</si>
  <si>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</si>
  <si>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</si>
  <si>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</si>
  <si>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</si>
  <si>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</si>
  <si>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</si>
  <si>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</si>
  <si>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</si>
  <si>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</si>
  <si>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</si>
  <si>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</si>
  <si>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</si>
  <si>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</si>
  <si>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</si>
  <si>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</si>
  <si>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</si>
  <si>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</si>
  <si>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</si>
  <si>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</si>
  <si>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</si>
  <si>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</si>
  <si>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</si>
  <si>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</si>
  <si>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</si>
  <si>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</si>
  <si>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</si>
  <si>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</si>
  <si>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</si>
  <si>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</si>
  <si>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</si>
  <si>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</si>
  <si>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</si>
  <si>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</si>
  <si>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</si>
  <si>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</si>
  <si>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</si>
  <si>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</si>
  <si>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</si>
  <si>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</si>
  <si>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</si>
  <si>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</si>
  <si>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</si>
  <si>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</si>
  <si>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</si>
  <si>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</si>
  <si>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</si>
  <si>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</si>
  <si>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</si>
  <si>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</si>
  <si>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</si>
  <si>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</si>
  <si>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</si>
  <si>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</si>
  <si>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</si>
  <si>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</si>
  <si>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</si>
  <si>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</si>
  <si>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</si>
  <si>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</si>
  <si>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</si>
  <si>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</si>
  <si>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</si>
  <si>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</si>
  <si>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</si>
  <si>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</si>
  <si>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</si>
  <si>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</si>
  <si>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</si>
  <si>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</si>
  <si>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</si>
  <si>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</si>
  <si>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</si>
  <si>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</si>
  <si>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</si>
  <si>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</si>
  <si>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</si>
  <si>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</si>
  <si>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</si>
  <si>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</si>
  <si>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</si>
  <si>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</si>
  <si>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</si>
  <si>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</si>
  <si>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</si>
  <si>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</si>
  <si>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</si>
  <si>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</si>
  <si>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</si>
  <si>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</si>
  <si>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</si>
  <si>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</si>
  <si>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</si>
  <si>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</si>
  <si>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</si>
  <si>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</si>
  <si>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</si>
  <si>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</si>
  <si>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</si>
  <si>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</si>
  <si>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</si>
  <si>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</si>
  <si>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</si>
  <si>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</si>
  <si>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</si>
  <si>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</si>
  <si>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</si>
  <si>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</si>
  <si>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</si>
  <si>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</si>
  <si>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</si>
  <si>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</si>
  <si>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</si>
  <si>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</si>
  <si>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</si>
  <si>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</si>
  <si>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</si>
  <si>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</si>
  <si>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</si>
  <si>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</si>
  <si>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</si>
  <si>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</si>
  <si>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</si>
  <si>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</si>
  <si>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</si>
  <si>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</si>
  <si>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</si>
  <si>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</si>
  <si>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</si>
  <si>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</si>
  <si>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</si>
  <si>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</si>
  <si>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</si>
  <si>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</si>
  <si>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</si>
  <si>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</si>
  <si>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</si>
  <si>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</si>
  <si>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</si>
  <si>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</si>
  <si>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</si>
  <si>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</si>
  <si>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</si>
  <si>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</si>
  <si>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</si>
  <si>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</si>
  <si>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</si>
  <si>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</si>
  <si>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</si>
  <si>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</si>
  <si>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</si>
  <si>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</si>
  <si>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</si>
  <si>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</si>
  <si>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</si>
  <si>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</si>
  <si>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</si>
  <si>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</si>
  <si>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</si>
  <si>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</si>
  <si>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</si>
  <si>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</si>
  <si>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</si>
  <si>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</si>
  <si>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</si>
  <si>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</si>
  <si>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</si>
  <si>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</si>
  <si>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</si>
  <si>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</si>
  <si>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</si>
  <si>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</si>
  <si>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</si>
  <si>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</si>
  <si>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</si>
  <si>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</si>
  <si>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</si>
  <si>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</si>
  <si>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</si>
  <si>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</si>
  <si>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</si>
  <si>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</si>
  <si>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</si>
  <si>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</si>
  <si>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</si>
  <si>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</si>
  <si>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</si>
  <si>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</si>
  <si>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</si>
  <si>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</si>
  <si>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</si>
  <si>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</si>
  <si>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</si>
  <si>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</si>
  <si>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</si>
  <si>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</si>
  <si>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</si>
  <si>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</si>
  <si>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</si>
  <si>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</si>
  <si>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</si>
  <si>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</si>
  <si>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</si>
  <si>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</si>
  <si>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</si>
  <si>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</si>
  <si>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</si>
  <si>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</si>
  <si>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</si>
  <si>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</si>
  <si>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</si>
  <si>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</si>
  <si>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</si>
  <si>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</si>
  <si>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</si>
  <si>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</si>
  <si>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</si>
  <si>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</si>
  <si>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</si>
  <si>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</si>
  <si>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</si>
  <si>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</si>
  <si>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</si>
  <si>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</si>
  <si>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</si>
  <si>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</si>
  <si>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</si>
  <si>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</si>
  <si>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</si>
  <si>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</si>
  <si>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</si>
  <si>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</si>
  <si>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</si>
  <si>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</si>
  <si>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</si>
  <si>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</si>
  <si>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</si>
  <si>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</si>
  <si>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</si>
  <si>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</si>
  <si>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</si>
  <si>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</si>
  <si>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</si>
  <si>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</si>
  <si>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</si>
  <si>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</si>
  <si>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</si>
  <si>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</si>
  <si>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</si>
  <si>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</si>
  <si>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</si>
  <si>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</si>
  <si>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</si>
  <si>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</si>
  <si>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</si>
  <si>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</si>
  <si>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</si>
  <si>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</si>
  <si>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</si>
  <si>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</si>
  <si>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</si>
  <si>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</si>
  <si>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</si>
  <si>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</si>
  <si>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</si>
  <si>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</si>
  <si>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</si>
  <si>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</si>
  <si>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</si>
  <si>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</si>
  <si>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</si>
  <si>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</si>
  <si>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</si>
  <si>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</si>
  <si>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</si>
  <si>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</si>
  <si>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</si>
  <si>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</si>
  <si>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</si>
  <si>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</si>
  <si>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</si>
  <si>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</si>
  <si>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</si>
  <si>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</si>
  <si>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</si>
  <si>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</si>
  <si>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</si>
  <si>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</si>
  <si>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</si>
  <si>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</si>
  <si>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</si>
  <si>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</si>
  <si>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</si>
  <si>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</si>
  <si>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</si>
  <si>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</si>
  <si>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</si>
  <si>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</si>
  <si>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</si>
  <si>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</si>
  <si>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</si>
  <si>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</si>
  <si>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</si>
  <si>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</si>
  <si>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</si>
  <si>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</si>
  <si>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</si>
  <si>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</si>
  <si>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</si>
  <si>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</si>
  <si>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</si>
  <si>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</si>
  <si>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</si>
  <si>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</si>
  <si>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</si>
  <si>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</si>
  <si>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</si>
  <si>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</si>
  <si>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</si>
  <si>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</si>
  <si>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</si>
  <si>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</si>
  <si>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</si>
  <si>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</si>
  <si>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</si>
  <si>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</si>
  <si>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</si>
  <si>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</si>
  <si>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</si>
  <si>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</si>
  <si>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</si>
  <si>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</si>
  <si>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</si>
  <si>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</si>
  <si>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</si>
  <si>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</si>
  <si>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</si>
  <si>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</si>
  <si>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</si>
  <si>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</si>
  <si>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</si>
  <si>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</si>
  <si>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</si>
  <si>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</si>
  <si>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</si>
  <si>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</si>
  <si>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</si>
  <si>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</si>
  <si>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</si>
  <si>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</si>
  <si>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</si>
  <si>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</si>
  <si>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</si>
  <si>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</si>
  <si>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</si>
  <si>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</si>
  <si>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</si>
  <si>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</si>
  <si>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</si>
  <si>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</si>
  <si>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</si>
  <si>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</si>
  <si>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</si>
  <si>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</si>
  <si>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</si>
  <si>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</si>
  <si>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</si>
  <si>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</si>
  <si>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</si>
  <si>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</si>
  <si>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</si>
  <si>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</si>
  <si>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</si>
  <si>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</si>
  <si>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</si>
  <si>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</si>
  <si>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</si>
  <si>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</si>
  <si>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</si>
  <si>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</si>
  <si>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</si>
  <si>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</si>
  <si>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</si>
  <si>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</si>
  <si>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</si>
  <si>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</si>
  <si>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</si>
  <si>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</si>
  <si>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</si>
  <si>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</si>
  <si>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</si>
  <si>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</si>
  <si>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</si>
  <si>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</si>
  <si>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</si>
  <si>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</si>
  <si>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</si>
  <si>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</si>
  <si>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</si>
  <si>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</si>
  <si>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</si>
  <si>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</si>
  <si>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</si>
  <si>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</si>
  <si>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</si>
  <si>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</si>
  <si>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</si>
  <si>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</si>
  <si>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</si>
  <si>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</si>
  <si>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</si>
  <si>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</si>
  <si>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</si>
  <si>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</si>
  <si>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</si>
  <si>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</si>
  <si>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</si>
  <si>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</si>
  <si>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</si>
  <si>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</si>
  <si>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</si>
  <si>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</si>
  <si>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</si>
  <si>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</si>
  <si>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</si>
  <si>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</si>
  <si>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</si>
  <si>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</si>
  <si>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</si>
  <si>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</si>
  <si>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</si>
  <si>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</si>
  <si>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</si>
  <si>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</si>
  <si>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</si>
  <si>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</si>
  <si>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</si>
  <si>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</si>
  <si>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</si>
  <si>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</si>
  <si>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</si>
  <si>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</si>
  <si>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</si>
  <si>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</si>
  <si>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</si>
  <si>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</si>
  <si>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</si>
  <si>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</si>
  <si>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</si>
  <si>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</si>
  <si>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</si>
  <si>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</si>
  <si>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</si>
  <si>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</si>
  <si>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</si>
  <si>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</si>
  <si>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</si>
  <si>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</si>
  <si>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</si>
  <si>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</si>
  <si>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</si>
  <si>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</si>
  <si>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</si>
  <si>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</si>
  <si>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</si>
  <si>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</si>
  <si>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</si>
  <si>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</si>
  <si>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</si>
  <si>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</si>
  <si>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</si>
  <si>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</si>
  <si>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</si>
  <si>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</si>
  <si>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</si>
  <si>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</si>
  <si>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</si>
  <si>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</si>
  <si>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</si>
  <si>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</si>
  <si>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</si>
  <si>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</si>
  <si>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</si>
  <si>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</si>
  <si>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</si>
  <si>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</si>
  <si>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</si>
  <si>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</si>
  <si>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</si>
  <si>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</si>
  <si>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</si>
  <si>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</si>
  <si>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</si>
  <si>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</si>
  <si>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</si>
  <si>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</si>
  <si>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</si>
  <si>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</si>
  <si>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</si>
  <si>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</si>
  <si>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</si>
  <si>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</si>
  <si>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</si>
  <si>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</si>
  <si>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</si>
  <si>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</si>
  <si>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</si>
  <si>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</si>
  <si>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</si>
  <si>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</si>
  <si>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</si>
  <si>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</si>
  <si>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</si>
  <si>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</si>
  <si>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</si>
  <si>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</si>
  <si>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</si>
  <si>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</si>
  <si>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</si>
  <si>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</si>
  <si>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</si>
  <si>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</si>
  <si>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</si>
  <si>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</si>
  <si>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</si>
  <si>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</si>
  <si>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</si>
  <si>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</si>
  <si>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</si>
  <si>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</si>
  <si>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</si>
  <si>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</si>
  <si>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</si>
  <si>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</si>
  <si>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</si>
  <si>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</si>
  <si>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</si>
  <si>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</si>
  <si>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</si>
  <si>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</si>
  <si>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</si>
  <si>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</si>
  <si>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</si>
  <si>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</si>
  <si>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</si>
  <si>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</si>
  <si>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</si>
  <si>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</si>
  <si>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</si>
  <si>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</si>
  <si>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</si>
  <si>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</si>
  <si>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</si>
  <si>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</si>
  <si>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</si>
  <si>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</si>
  <si>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</si>
  <si>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</si>
  <si>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</si>
  <si>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</si>
  <si>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</si>
  <si>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</si>
  <si>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</si>
  <si>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</si>
  <si>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</si>
  <si>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</si>
  <si>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</si>
  <si>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</si>
  <si>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</si>
  <si>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</si>
  <si>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</si>
  <si>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</si>
  <si>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</si>
  <si>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</si>
  <si>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</si>
  <si>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</si>
  <si>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</si>
  <si>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</si>
  <si>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</si>
  <si>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</si>
  <si>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</si>
  <si>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</si>
  <si>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</si>
  <si>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</si>
  <si>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</si>
  <si>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</si>
  <si>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</si>
  <si>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</si>
  <si>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</si>
  <si>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</si>
  <si>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</si>
  <si>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</si>
  <si>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</si>
  <si>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</si>
  <si>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</si>
  <si>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</si>
  <si>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</si>
  <si>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</si>
  <si>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</si>
  <si>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</si>
  <si>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</si>
  <si>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</si>
  <si>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</si>
  <si>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</si>
  <si>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</si>
  <si>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Tcendo o Futuro - E.C. 106 Norte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</si>
</sst>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49" fontId="8" fillId="17" borderId="1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/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3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G1" zoomScaleNormal="100" workbookViewId="0">
      <pane ySplit="1" topLeftCell="A721" activePane="bottomLeft" state="frozen"/>
      <selection pane="bottomLeft" activeCell="M746" sqref="M74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2026-092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2639</v>
      </c>
      <c r="E578" s="119" t="s">
        <v>2366</v>
      </c>
      <c r="F578" s="120" t="s">
        <v>88</v>
      </c>
      <c r="G578" s="121" t="s">
        <v>79</v>
      </c>
      <c r="H578" s="122" t="s">
        <v>2367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2368</v>
      </c>
    </row>
    <row r="579" spans="1:20" ht="30" x14ac:dyDescent="0.25">
      <c r="A579" s="122" t="s">
        <v>2369</v>
      </c>
      <c r="B579" s="118">
        <v>2025</v>
      </c>
      <c r="C579" s="118" t="s">
        <v>22</v>
      </c>
      <c r="D579" s="118" t="s">
        <v>2639</v>
      </c>
      <c r="E579" s="119" t="s">
        <v>2370</v>
      </c>
      <c r="F579" s="120" t="s">
        <v>88</v>
      </c>
      <c r="G579" s="121" t="s">
        <v>79</v>
      </c>
      <c r="H579" s="147" t="s">
        <v>2371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2368</v>
      </c>
    </row>
    <row r="580" spans="1:20" ht="15" x14ac:dyDescent="0.25">
      <c r="A580" s="122" t="s">
        <v>2372</v>
      </c>
      <c r="B580" s="118">
        <v>2025</v>
      </c>
      <c r="C580" s="118" t="s">
        <v>22</v>
      </c>
      <c r="D580" s="118" t="s">
        <v>2373</v>
      </c>
      <c r="E580" s="119" t="s">
        <v>2374</v>
      </c>
      <c r="F580" s="120" t="s">
        <v>24</v>
      </c>
      <c r="G580" s="121" t="s">
        <v>42</v>
      </c>
      <c r="H580" s="122" t="s">
        <v>2375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2376</v>
      </c>
    </row>
    <row r="581" spans="1:20" ht="15" x14ac:dyDescent="0.25">
      <c r="A581" s="122" t="s">
        <v>2377</v>
      </c>
      <c r="B581" s="118">
        <v>2025</v>
      </c>
      <c r="C581" s="146" t="s">
        <v>22</v>
      </c>
      <c r="D581" s="118" t="s">
        <v>2378</v>
      </c>
      <c r="E581" s="119" t="s">
        <v>2379</v>
      </c>
      <c r="F581" s="120" t="s">
        <v>24</v>
      </c>
      <c r="G581" s="132" t="s">
        <v>75</v>
      </c>
      <c r="H581" s="122" t="s">
        <v>2380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 x14ac:dyDescent="0.25">
      <c r="A582" s="122" t="s">
        <v>2381</v>
      </c>
      <c r="B582" s="118">
        <v>2025</v>
      </c>
      <c r="C582" s="118" t="s">
        <v>22</v>
      </c>
      <c r="D582" s="118" t="s">
        <v>2382</v>
      </c>
      <c r="E582" s="119" t="s">
        <v>2383</v>
      </c>
      <c r="F582" s="120" t="s">
        <v>24</v>
      </c>
      <c r="G582" s="121" t="s">
        <v>464</v>
      </c>
      <c r="H582" s="122" t="s">
        <v>2384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 x14ac:dyDescent="0.25">
      <c r="A583" s="122" t="s">
        <v>2385</v>
      </c>
      <c r="B583" s="118">
        <v>2025</v>
      </c>
      <c r="C583" s="146" t="s">
        <v>22</v>
      </c>
      <c r="D583" s="118" t="s">
        <v>2230</v>
      </c>
      <c r="E583" s="119" t="s">
        <v>2386</v>
      </c>
      <c r="F583" s="120" t="s">
        <v>24</v>
      </c>
      <c r="G583" s="121" t="s">
        <v>1736</v>
      </c>
      <c r="H583" s="122" t="s">
        <v>2387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 x14ac:dyDescent="0.25">
      <c r="A584" s="122" t="s">
        <v>2388</v>
      </c>
      <c r="B584" s="118">
        <v>2025</v>
      </c>
      <c r="C584" s="118" t="s">
        <v>22</v>
      </c>
      <c r="D584" s="118" t="s">
        <v>2389</v>
      </c>
      <c r="E584" s="119" t="s">
        <v>2390</v>
      </c>
      <c r="F584" s="120" t="s">
        <v>88</v>
      </c>
      <c r="G584" s="121" t="s">
        <v>79</v>
      </c>
      <c r="H584" s="122" t="s">
        <v>2391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 x14ac:dyDescent="0.25">
      <c r="A585" s="122" t="s">
        <v>2392</v>
      </c>
      <c r="B585" s="118">
        <v>2025</v>
      </c>
      <c r="C585" s="146" t="s">
        <v>22</v>
      </c>
      <c r="D585" s="118" t="s">
        <v>2393</v>
      </c>
      <c r="E585" s="119" t="s">
        <v>2394</v>
      </c>
      <c r="F585" s="120" t="s">
        <v>24</v>
      </c>
      <c r="G585" s="132" t="s">
        <v>75</v>
      </c>
      <c r="H585" s="122" t="s">
        <v>2395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 x14ac:dyDescent="0.25">
      <c r="A586" s="122" t="s">
        <v>2396</v>
      </c>
      <c r="B586" s="118">
        <v>2025</v>
      </c>
      <c r="C586" s="118" t="s">
        <v>22</v>
      </c>
      <c r="D586" s="118" t="s">
        <v>2397</v>
      </c>
      <c r="E586" s="119" t="s">
        <v>2053</v>
      </c>
      <c r="F586" s="120" t="s">
        <v>88</v>
      </c>
      <c r="G586" s="121" t="s">
        <v>79</v>
      </c>
      <c r="H586" s="122" t="s">
        <v>2398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 x14ac:dyDescent="0.25">
      <c r="A587" s="122" t="s">
        <v>2399</v>
      </c>
      <c r="B587" s="118">
        <v>2025</v>
      </c>
      <c r="C587" s="146" t="s">
        <v>22</v>
      </c>
      <c r="D587" s="118" t="s">
        <v>2334</v>
      </c>
      <c r="E587" s="119" t="s">
        <v>2400</v>
      </c>
      <c r="F587" s="120" t="s">
        <v>24</v>
      </c>
      <c r="G587" s="121" t="s">
        <v>42</v>
      </c>
      <c r="H587" s="122" t="s">
        <v>2401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2402</v>
      </c>
      <c r="B588" s="118">
        <v>2025</v>
      </c>
      <c r="C588" s="146" t="s">
        <v>22</v>
      </c>
      <c r="D588" s="118" t="s">
        <v>2403</v>
      </c>
      <c r="E588" s="119" t="s">
        <v>2404</v>
      </c>
      <c r="F588" s="120" t="s">
        <v>24</v>
      </c>
      <c r="G588" s="121" t="s">
        <v>371</v>
      </c>
      <c r="H588" s="122" t="s">
        <v>2405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2406</v>
      </c>
    </row>
    <row r="589" spans="1:20" ht="15" x14ac:dyDescent="0.25">
      <c r="A589" s="122" t="s">
        <v>2407</v>
      </c>
      <c r="B589" s="118">
        <v>2025</v>
      </c>
      <c r="C589" s="146" t="s">
        <v>22</v>
      </c>
      <c r="D589" s="118" t="s">
        <v>2408</v>
      </c>
      <c r="E589" s="119" t="s">
        <v>2409</v>
      </c>
      <c r="F589" s="120" t="s">
        <v>24</v>
      </c>
      <c r="G589" s="132" t="s">
        <v>75</v>
      </c>
      <c r="H589" s="122" t="s">
        <v>2410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2411</v>
      </c>
      <c r="B590" s="118">
        <v>2025</v>
      </c>
      <c r="C590" s="146" t="s">
        <v>22</v>
      </c>
      <c r="D590" s="118" t="s">
        <v>2412</v>
      </c>
      <c r="E590" s="119" t="s">
        <v>2413</v>
      </c>
      <c r="F590" s="120" t="s">
        <v>24</v>
      </c>
      <c r="G590" s="132" t="s">
        <v>75</v>
      </c>
      <c r="H590" s="122" t="s">
        <v>2414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2415</v>
      </c>
    </row>
    <row r="591" spans="1:20" ht="15" x14ac:dyDescent="0.25">
      <c r="A591" s="122" t="s">
        <v>2416</v>
      </c>
      <c r="B591" s="118">
        <v>2025</v>
      </c>
      <c r="C591" s="118" t="s">
        <v>22</v>
      </c>
      <c r="D591" s="118" t="s">
        <v>2417</v>
      </c>
      <c r="E591" s="119" t="s">
        <v>2418</v>
      </c>
      <c r="F591" s="120" t="s">
        <v>88</v>
      </c>
      <c r="G591" s="121" t="s">
        <v>79</v>
      </c>
      <c r="H591" s="122" t="s">
        <v>2419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2420</v>
      </c>
      <c r="B592" s="118">
        <v>2025</v>
      </c>
      <c r="C592" s="146" t="s">
        <v>22</v>
      </c>
      <c r="D592" s="118" t="s">
        <v>2421</v>
      </c>
      <c r="E592" s="119" t="s">
        <v>2422</v>
      </c>
      <c r="F592" s="120" t="s">
        <v>24</v>
      </c>
      <c r="G592" s="121" t="s">
        <v>36</v>
      </c>
      <c r="H592" s="122" t="s">
        <v>2423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2424</v>
      </c>
    </row>
    <row r="593" spans="1:20" ht="15" x14ac:dyDescent="0.25">
      <c r="A593" s="122" t="s">
        <v>2425</v>
      </c>
      <c r="B593" s="118">
        <v>2025</v>
      </c>
      <c r="C593" s="118" t="s">
        <v>22</v>
      </c>
      <c r="D593" s="118" t="s">
        <v>2426</v>
      </c>
      <c r="E593" s="119" t="s">
        <v>2427</v>
      </c>
      <c r="F593" s="120" t="s">
        <v>24</v>
      </c>
      <c r="G593" s="121" t="s">
        <v>42</v>
      </c>
      <c r="H593" s="135" t="s">
        <v>2428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2429</v>
      </c>
    </row>
    <row r="594" spans="1:20" ht="15" x14ac:dyDescent="0.25">
      <c r="A594" s="122" t="s">
        <v>2430</v>
      </c>
      <c r="B594" s="118">
        <v>2025</v>
      </c>
      <c r="C594" s="146" t="s">
        <v>22</v>
      </c>
      <c r="D594" s="118" t="s">
        <v>2431</v>
      </c>
      <c r="E594" s="119" t="s">
        <v>2432</v>
      </c>
      <c r="F594" s="120" t="s">
        <v>69</v>
      </c>
      <c r="G594" s="121" t="s">
        <v>79</v>
      </c>
      <c r="H594" s="122" t="s">
        <v>2433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2434</v>
      </c>
    </row>
    <row r="595" spans="1:20" ht="15" x14ac:dyDescent="0.25">
      <c r="A595" s="122" t="s">
        <v>2435</v>
      </c>
      <c r="B595" s="118">
        <v>2025</v>
      </c>
      <c r="C595" s="118" t="s">
        <v>22</v>
      </c>
      <c r="D595" s="118" t="s">
        <v>2436</v>
      </c>
      <c r="E595" s="119" t="s">
        <v>2437</v>
      </c>
      <c r="F595" s="120" t="s">
        <v>88</v>
      </c>
      <c r="G595" s="121" t="s">
        <v>79</v>
      </c>
      <c r="H595" s="122" t="s">
        <v>2438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2439</v>
      </c>
      <c r="B596" s="118">
        <v>2025</v>
      </c>
      <c r="C596" s="137" t="s">
        <v>22</v>
      </c>
      <c r="D596" s="137" t="s">
        <v>2440</v>
      </c>
      <c r="E596" s="138" t="s">
        <v>2193</v>
      </c>
      <c r="F596" s="120" t="s">
        <v>88</v>
      </c>
      <c r="G596" s="139" t="s">
        <v>79</v>
      </c>
      <c r="H596" s="140" t="s">
        <v>2441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2442</v>
      </c>
    </row>
    <row r="597" spans="1:20" ht="15" x14ac:dyDescent="0.25">
      <c r="A597" s="122" t="s">
        <v>2443</v>
      </c>
      <c r="B597" s="118">
        <v>2025</v>
      </c>
      <c r="C597" s="137" t="s">
        <v>22</v>
      </c>
      <c r="D597" s="118" t="s">
        <v>2444</v>
      </c>
      <c r="E597" s="119" t="s">
        <v>2445</v>
      </c>
      <c r="F597" s="120" t="s">
        <v>69</v>
      </c>
      <c r="G597" s="121" t="s">
        <v>79</v>
      </c>
      <c r="H597" s="122" t="s">
        <v>2446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2447</v>
      </c>
      <c r="B598" s="118">
        <v>2025</v>
      </c>
      <c r="C598" s="150" t="s">
        <v>22</v>
      </c>
      <c r="D598" s="137" t="s">
        <v>2448</v>
      </c>
      <c r="E598" s="138" t="s">
        <v>2449</v>
      </c>
      <c r="F598" s="144" t="s">
        <v>88</v>
      </c>
      <c r="G598" s="139" t="s">
        <v>79</v>
      </c>
      <c r="H598" s="140" t="s">
        <v>2450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2451</v>
      </c>
    </row>
    <row r="599" spans="1:20" ht="15" x14ac:dyDescent="0.25">
      <c r="A599" s="122" t="s">
        <v>2452</v>
      </c>
      <c r="B599" s="118">
        <v>2025</v>
      </c>
      <c r="C599" s="137" t="s">
        <v>22</v>
      </c>
      <c r="D599" s="137" t="s">
        <v>2453</v>
      </c>
      <c r="E599" s="138" t="s">
        <v>2454</v>
      </c>
      <c r="F599" s="144" t="s">
        <v>24</v>
      </c>
      <c r="G599" s="149" t="s">
        <v>75</v>
      </c>
      <c r="H599" s="140" t="s">
        <v>2455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2456</v>
      </c>
    </row>
    <row r="600" spans="1:20" ht="15" x14ac:dyDescent="0.25">
      <c r="A600" s="122" t="s">
        <v>2457</v>
      </c>
      <c r="B600" s="118">
        <v>2025</v>
      </c>
      <c r="C600" s="150" t="s">
        <v>22</v>
      </c>
      <c r="D600" s="137" t="s">
        <v>2458</v>
      </c>
      <c r="E600" s="138" t="s">
        <v>2459</v>
      </c>
      <c r="F600" s="144" t="s">
        <v>69</v>
      </c>
      <c r="G600" s="139" t="s">
        <v>79</v>
      </c>
      <c r="H600" s="173" t="s">
        <v>2460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2461</v>
      </c>
    </row>
    <row r="601" spans="1:20" ht="15" x14ac:dyDescent="0.25">
      <c r="A601" s="122" t="s">
        <v>2462</v>
      </c>
      <c r="B601" s="118">
        <v>2025</v>
      </c>
      <c r="C601" s="150" t="s">
        <v>22</v>
      </c>
      <c r="D601" s="137" t="s">
        <v>2421</v>
      </c>
      <c r="E601" s="138" t="s">
        <v>2463</v>
      </c>
      <c r="F601" s="144" t="s">
        <v>24</v>
      </c>
      <c r="G601" s="139" t="s">
        <v>36</v>
      </c>
      <c r="H601" s="140" t="s">
        <v>2464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2424</v>
      </c>
    </row>
    <row r="602" spans="1:20" ht="15" x14ac:dyDescent="0.25">
      <c r="A602" s="122" t="s">
        <v>2465</v>
      </c>
      <c r="B602" s="118">
        <v>2025</v>
      </c>
      <c r="C602" s="150" t="s">
        <v>22</v>
      </c>
      <c r="D602" s="118" t="s">
        <v>2466</v>
      </c>
      <c r="E602" s="119" t="s">
        <v>2467</v>
      </c>
      <c r="F602" s="144" t="s">
        <v>24</v>
      </c>
      <c r="G602" s="149" t="s">
        <v>75</v>
      </c>
      <c r="H602" s="122" t="s">
        <v>2468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 x14ac:dyDescent="0.25">
      <c r="A603" s="122" t="s">
        <v>2469</v>
      </c>
      <c r="B603" s="118">
        <v>2025</v>
      </c>
      <c r="C603" s="150" t="s">
        <v>22</v>
      </c>
      <c r="D603" s="118" t="s">
        <v>2470</v>
      </c>
      <c r="E603" s="119" t="s">
        <v>2471</v>
      </c>
      <c r="F603" s="144" t="s">
        <v>24</v>
      </c>
      <c r="G603" s="139" t="s">
        <v>75</v>
      </c>
      <c r="H603" s="147" t="s">
        <v>2472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 x14ac:dyDescent="0.25">
      <c r="A604" s="122" t="s">
        <v>2473</v>
      </c>
      <c r="B604" s="118">
        <v>2025</v>
      </c>
      <c r="C604" s="150" t="s">
        <v>22</v>
      </c>
      <c r="D604" s="118" t="s">
        <v>2474</v>
      </c>
      <c r="E604" s="119" t="s">
        <v>2475</v>
      </c>
      <c r="F604" s="144" t="s">
        <v>24</v>
      </c>
      <c r="G604" s="139" t="s">
        <v>42</v>
      </c>
      <c r="H604" s="147" t="s">
        <v>2476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2477</v>
      </c>
    </row>
    <row r="605" spans="1:20" ht="15" x14ac:dyDescent="0.25">
      <c r="A605" s="122" t="s">
        <v>2478</v>
      </c>
      <c r="B605" s="118">
        <v>2025</v>
      </c>
      <c r="C605" s="146" t="s">
        <v>22</v>
      </c>
      <c r="D605" s="118" t="s">
        <v>2431</v>
      </c>
      <c r="E605" s="119" t="s">
        <v>2479</v>
      </c>
      <c r="F605" s="120" t="s">
        <v>69</v>
      </c>
      <c r="G605" s="121" t="s">
        <v>79</v>
      </c>
      <c r="H605" s="122" t="s">
        <v>2480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2481</v>
      </c>
    </row>
    <row r="606" spans="1:20" ht="30" x14ac:dyDescent="0.25">
      <c r="A606" s="122" t="s">
        <v>2482</v>
      </c>
      <c r="B606" s="118">
        <v>2025</v>
      </c>
      <c r="C606" s="146" t="s">
        <v>22</v>
      </c>
      <c r="D606" s="118" t="s">
        <v>2483</v>
      </c>
      <c r="E606" s="119" t="s">
        <v>2484</v>
      </c>
      <c r="F606" s="120" t="s">
        <v>24</v>
      </c>
      <c r="G606" s="132" t="s">
        <v>206</v>
      </c>
      <c r="H606" s="122" t="s">
        <v>2485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2486</v>
      </c>
    </row>
    <row r="607" spans="1:20" ht="30" x14ac:dyDescent="0.25">
      <c r="A607" s="122" t="s">
        <v>2487</v>
      </c>
      <c r="B607" s="118">
        <v>2025</v>
      </c>
      <c r="C607" s="146" t="s">
        <v>22</v>
      </c>
      <c r="D607" s="118" t="s">
        <v>2483</v>
      </c>
      <c r="E607" s="119" t="s">
        <v>2488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2489</v>
      </c>
    </row>
    <row r="608" spans="1:20" ht="30" x14ac:dyDescent="0.25">
      <c r="A608" s="122" t="s">
        <v>2490</v>
      </c>
      <c r="B608" s="118">
        <v>2025</v>
      </c>
      <c r="C608" s="146" t="s">
        <v>22</v>
      </c>
      <c r="D608" s="118" t="s">
        <v>2491</v>
      </c>
      <c r="E608" s="119" t="s">
        <v>2492</v>
      </c>
      <c r="F608" s="120" t="s">
        <v>24</v>
      </c>
      <c r="G608" s="132" t="s">
        <v>206</v>
      </c>
      <c r="H608" s="122" t="s">
        <v>2493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 x14ac:dyDescent="0.25">
      <c r="A609" s="122" t="s">
        <v>2494</v>
      </c>
      <c r="B609" s="118">
        <v>2025</v>
      </c>
      <c r="C609" s="146" t="s">
        <v>22</v>
      </c>
      <c r="D609" s="118" t="s">
        <v>2495</v>
      </c>
      <c r="E609" s="119" t="s">
        <v>2496</v>
      </c>
      <c r="F609" s="120" t="s">
        <v>24</v>
      </c>
      <c r="G609" s="121" t="s">
        <v>25</v>
      </c>
      <c r="H609" s="122" t="s">
        <v>2497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2498</v>
      </c>
    </row>
    <row r="610" spans="1:20" ht="30" x14ac:dyDescent="0.25">
      <c r="A610" s="122" t="s">
        <v>2499</v>
      </c>
      <c r="B610" s="118">
        <v>2025</v>
      </c>
      <c r="C610" s="118" t="s">
        <v>22</v>
      </c>
      <c r="D610" s="118" t="s">
        <v>2397</v>
      </c>
      <c r="E610" s="145" t="s">
        <v>2500</v>
      </c>
      <c r="F610" s="120" t="s">
        <v>88</v>
      </c>
      <c r="G610" s="121" t="s">
        <v>79</v>
      </c>
      <c r="H610" s="122" t="s">
        <v>2501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 x14ac:dyDescent="0.25">
      <c r="A611" s="122" t="s">
        <v>2502</v>
      </c>
      <c r="B611" s="118">
        <v>2025</v>
      </c>
      <c r="C611" s="118" t="s">
        <v>22</v>
      </c>
      <c r="D611" s="118" t="s">
        <v>2503</v>
      </c>
      <c r="E611" s="119" t="s">
        <v>2504</v>
      </c>
      <c r="F611" s="144" t="s">
        <v>24</v>
      </c>
      <c r="G611" s="139" t="s">
        <v>42</v>
      </c>
      <c r="H611" s="122" t="s">
        <v>2505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2506</v>
      </c>
    </row>
    <row r="612" spans="1:20" ht="30" x14ac:dyDescent="0.25">
      <c r="A612" s="122" t="s">
        <v>2507</v>
      </c>
      <c r="B612" s="118">
        <v>2025</v>
      </c>
      <c r="C612" s="146" t="s">
        <v>22</v>
      </c>
      <c r="D612" s="118" t="s">
        <v>2508</v>
      </c>
      <c r="E612" s="119" t="s">
        <v>2509</v>
      </c>
      <c r="F612" s="151" t="s">
        <v>24</v>
      </c>
      <c r="G612" s="132" t="s">
        <v>206</v>
      </c>
      <c r="H612" s="122" t="s">
        <v>2510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2511</v>
      </c>
    </row>
    <row r="613" spans="1:20" ht="15" x14ac:dyDescent="0.25">
      <c r="A613" s="122" t="s">
        <v>2512</v>
      </c>
      <c r="B613" s="118">
        <v>2025</v>
      </c>
      <c r="C613" s="146" t="s">
        <v>22</v>
      </c>
      <c r="D613" s="118" t="s">
        <v>2508</v>
      </c>
      <c r="E613" s="119" t="s">
        <v>2513</v>
      </c>
      <c r="F613" s="120" t="s">
        <v>24</v>
      </c>
      <c r="G613" s="121" t="s">
        <v>206</v>
      </c>
      <c r="H613" s="118" t="s">
        <v>2510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2514</v>
      </c>
    </row>
    <row r="614" spans="1:20" ht="15" x14ac:dyDescent="0.25">
      <c r="A614" s="122" t="s">
        <v>2515</v>
      </c>
      <c r="B614" s="118">
        <v>2025</v>
      </c>
      <c r="C614" s="146" t="s">
        <v>22</v>
      </c>
      <c r="D614" s="118" t="s">
        <v>2516</v>
      </c>
      <c r="E614" s="119" t="s">
        <v>2517</v>
      </c>
      <c r="F614" s="120" t="s">
        <v>69</v>
      </c>
      <c r="G614" s="121" t="s">
        <v>79</v>
      </c>
      <c r="H614" s="122" t="s">
        <v>2518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 x14ac:dyDescent="0.25">
      <c r="A615" s="122" t="s">
        <v>2519</v>
      </c>
      <c r="B615" s="118">
        <v>2025</v>
      </c>
      <c r="C615" s="146" t="s">
        <v>22</v>
      </c>
      <c r="D615" s="118" t="s">
        <v>2520</v>
      </c>
      <c r="E615" s="145" t="s">
        <v>2521</v>
      </c>
      <c r="F615" s="120" t="s">
        <v>69</v>
      </c>
      <c r="G615" s="121" t="s">
        <v>79</v>
      </c>
      <c r="H615" s="122" t="s">
        <v>2522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 x14ac:dyDescent="0.25">
      <c r="A616" s="122" t="s">
        <v>2523</v>
      </c>
      <c r="B616" s="118">
        <v>2025</v>
      </c>
      <c r="C616" s="146" t="s">
        <v>22</v>
      </c>
      <c r="D616" s="118" t="s">
        <v>2458</v>
      </c>
      <c r="E616" s="145" t="s">
        <v>2524</v>
      </c>
      <c r="F616" s="120" t="s">
        <v>69</v>
      </c>
      <c r="G616" s="121" t="s">
        <v>79</v>
      </c>
      <c r="H616" s="122" t="s">
        <v>2525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2461</v>
      </c>
    </row>
    <row r="617" spans="1:20" ht="15" x14ac:dyDescent="0.25">
      <c r="A617" s="122" t="s">
        <v>2526</v>
      </c>
      <c r="B617" s="118">
        <v>2025</v>
      </c>
      <c r="C617" s="146" t="s">
        <v>22</v>
      </c>
      <c r="D617" s="118" t="s">
        <v>2527</v>
      </c>
      <c r="E617" s="119" t="s">
        <v>2528</v>
      </c>
      <c r="F617" s="120" t="s">
        <v>69</v>
      </c>
      <c r="G617" s="121" t="s">
        <v>79</v>
      </c>
      <c r="H617" s="122" t="s">
        <v>2529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2530</v>
      </c>
    </row>
    <row r="618" spans="1:20" ht="15" x14ac:dyDescent="0.25">
      <c r="A618" s="122" t="s">
        <v>2531</v>
      </c>
      <c r="B618" s="118">
        <v>2025</v>
      </c>
      <c r="C618" s="118" t="s">
        <v>22</v>
      </c>
      <c r="D618" s="118" t="s">
        <v>2532</v>
      </c>
      <c r="E618" s="119" t="s">
        <v>2533</v>
      </c>
      <c r="F618" s="120" t="s">
        <v>69</v>
      </c>
      <c r="G618" s="121" t="s">
        <v>79</v>
      </c>
      <c r="H618" s="122" t="s">
        <v>2534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2535</v>
      </c>
    </row>
    <row r="619" spans="1:20" ht="15" x14ac:dyDescent="0.25">
      <c r="A619" s="122" t="s">
        <v>2536</v>
      </c>
      <c r="B619" s="118">
        <v>2025</v>
      </c>
      <c r="C619" s="146" t="s">
        <v>22</v>
      </c>
      <c r="D619" s="118" t="s">
        <v>2537</v>
      </c>
      <c r="E619" s="119" t="s">
        <v>2538</v>
      </c>
      <c r="F619" s="120" t="s">
        <v>69</v>
      </c>
      <c r="G619" s="121" t="s">
        <v>79</v>
      </c>
      <c r="H619" s="122" t="s">
        <v>2534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 x14ac:dyDescent="0.25">
      <c r="A620" s="122" t="s">
        <v>2539</v>
      </c>
      <c r="B620" s="118">
        <v>2025</v>
      </c>
      <c r="C620" s="146" t="s">
        <v>22</v>
      </c>
      <c r="D620" s="118" t="s">
        <v>2540</v>
      </c>
      <c r="E620" s="119" t="s">
        <v>2541</v>
      </c>
      <c r="F620" s="120" t="s">
        <v>69</v>
      </c>
      <c r="G620" s="121" t="s">
        <v>79</v>
      </c>
      <c r="H620" s="122" t="s">
        <v>2542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 x14ac:dyDescent="0.25">
      <c r="A621" s="122" t="s">
        <v>2543</v>
      </c>
      <c r="B621" s="118">
        <v>2025</v>
      </c>
      <c r="C621" s="118" t="s">
        <v>22</v>
      </c>
      <c r="D621" s="118" t="s">
        <v>2544</v>
      </c>
      <c r="E621" s="119" t="s">
        <v>2545</v>
      </c>
      <c r="F621" s="120" t="s">
        <v>24</v>
      </c>
      <c r="G621" s="132" t="s">
        <v>206</v>
      </c>
      <c r="H621" s="122" t="s">
        <v>2546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2547</v>
      </c>
    </row>
    <row r="622" spans="1:20" ht="15" x14ac:dyDescent="0.25">
      <c r="A622" s="122" t="s">
        <v>2548</v>
      </c>
      <c r="B622" s="118">
        <v>2025</v>
      </c>
      <c r="C622" s="146" t="s">
        <v>22</v>
      </c>
      <c r="D622" s="118" t="s">
        <v>2403</v>
      </c>
      <c r="E622" s="119" t="s">
        <v>2549</v>
      </c>
      <c r="F622" s="120" t="s">
        <v>24</v>
      </c>
      <c r="G622" s="121" t="s">
        <v>371</v>
      </c>
      <c r="H622" s="122" t="s">
        <v>2550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2406</v>
      </c>
    </row>
    <row r="623" spans="1:20" ht="15" x14ac:dyDescent="0.25">
      <c r="A623" s="122" t="s">
        <v>2551</v>
      </c>
      <c r="B623" s="118">
        <v>2025</v>
      </c>
      <c r="C623" s="146" t="s">
        <v>22</v>
      </c>
      <c r="D623" s="118" t="s">
        <v>2552</v>
      </c>
      <c r="E623" s="119" t="s">
        <v>2553</v>
      </c>
      <c r="F623" s="120" t="s">
        <v>24</v>
      </c>
      <c r="G623" s="121" t="s">
        <v>42</v>
      </c>
      <c r="H623" s="122" t="s">
        <v>2554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2555</v>
      </c>
    </row>
    <row r="624" spans="1:20" ht="30" x14ac:dyDescent="0.25">
      <c r="A624" s="122" t="s">
        <v>2556</v>
      </c>
      <c r="B624" s="118">
        <v>2025</v>
      </c>
      <c r="C624" s="146" t="s">
        <v>22</v>
      </c>
      <c r="D624" s="118" t="s">
        <v>2639</v>
      </c>
      <c r="E624" s="119" t="s">
        <v>2557</v>
      </c>
      <c r="F624" s="151" t="s">
        <v>88</v>
      </c>
      <c r="G624" s="132" t="s">
        <v>79</v>
      </c>
      <c r="H624" s="122" t="s">
        <v>2558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2368</v>
      </c>
    </row>
    <row r="625" spans="1:20" ht="15" x14ac:dyDescent="0.25">
      <c r="A625" s="122" t="s">
        <v>2559</v>
      </c>
      <c r="B625" s="118">
        <v>2025</v>
      </c>
      <c r="C625" s="118" t="s">
        <v>22</v>
      </c>
      <c r="D625" s="118" t="s">
        <v>2440</v>
      </c>
      <c r="E625" s="119" t="s">
        <v>2560</v>
      </c>
      <c r="F625" s="120" t="s">
        <v>88</v>
      </c>
      <c r="G625" s="121" t="s">
        <v>79</v>
      </c>
      <c r="H625" s="122" t="s">
        <v>2561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2442</v>
      </c>
    </row>
    <row r="626" spans="1:20" ht="30" x14ac:dyDescent="0.25">
      <c r="A626" s="122" t="s">
        <v>2562</v>
      </c>
      <c r="B626" s="118">
        <v>2025</v>
      </c>
      <c r="C626" s="146" t="s">
        <v>22</v>
      </c>
      <c r="D626" s="118" t="s">
        <v>2639</v>
      </c>
      <c r="E626" s="119" t="s">
        <v>2563</v>
      </c>
      <c r="F626" s="120" t="s">
        <v>88</v>
      </c>
      <c r="G626" s="132" t="s">
        <v>79</v>
      </c>
      <c r="H626" s="122" t="s">
        <v>2561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2368</v>
      </c>
    </row>
    <row r="627" spans="1:20" ht="15" x14ac:dyDescent="0.25">
      <c r="A627" s="122" t="s">
        <v>2564</v>
      </c>
      <c r="B627" s="118">
        <v>2025</v>
      </c>
      <c r="C627" s="146" t="s">
        <v>2565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2466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2451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2437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 x14ac:dyDescent="0.25">
      <c r="A644" s="226" t="s">
        <v>2635</v>
      </c>
      <c r="B644" s="118">
        <v>2025</v>
      </c>
      <c r="C644" s="146" t="s">
        <v>22</v>
      </c>
      <c r="D644" s="118" t="s">
        <v>2639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2368</v>
      </c>
    </row>
    <row r="645" spans="1:20" ht="30" x14ac:dyDescent="0.25">
      <c r="A645" s="226" t="s">
        <v>2638</v>
      </c>
      <c r="B645" s="118">
        <v>2025</v>
      </c>
      <c r="C645" s="118" t="s">
        <v>22</v>
      </c>
      <c r="D645" s="118" t="s">
        <v>2639</v>
      </c>
      <c r="E645" s="119" t="s">
        <v>3241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2491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2461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2565</v>
      </c>
      <c r="D659" s="154" t="s">
        <v>2696</v>
      </c>
      <c r="E659" s="159" t="s">
        <v>2697</v>
      </c>
      <c r="F659" s="170" t="s">
        <v>24</v>
      </c>
      <c r="G659" s="155" t="s">
        <v>2698</v>
      </c>
      <c r="H659" s="156" t="s">
        <v>2699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2700</v>
      </c>
      <c r="B660" s="118">
        <v>2026</v>
      </c>
      <c r="C660" s="154" t="s">
        <v>22</v>
      </c>
      <c r="D660" s="154" t="s">
        <v>2701</v>
      </c>
      <c r="E660" s="159" t="s">
        <v>2702</v>
      </c>
      <c r="F660" s="170" t="s">
        <v>24</v>
      </c>
      <c r="G660" s="155" t="s">
        <v>206</v>
      </c>
      <c r="H660" s="156" t="s">
        <v>2703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2704</v>
      </c>
    </row>
    <row r="661" spans="1:20" ht="15" x14ac:dyDescent="0.25">
      <c r="A661" s="122" t="s">
        <v>2705</v>
      </c>
      <c r="B661" s="118">
        <v>2026</v>
      </c>
      <c r="C661" s="118" t="s">
        <v>22</v>
      </c>
      <c r="D661" s="118" t="s">
        <v>2706</v>
      </c>
      <c r="E661" s="119" t="s">
        <v>2138</v>
      </c>
      <c r="F661" s="120" t="s">
        <v>69</v>
      </c>
      <c r="G661" s="121" t="s">
        <v>79</v>
      </c>
      <c r="H661" s="122" t="s">
        <v>2707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2708</v>
      </c>
      <c r="B662" s="118">
        <v>2026</v>
      </c>
      <c r="C662" s="154" t="s">
        <v>2709</v>
      </c>
      <c r="D662" s="154" t="s">
        <v>2710</v>
      </c>
      <c r="E662" s="159" t="s">
        <v>2711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2712</v>
      </c>
    </row>
    <row r="663" spans="1:20" ht="30" x14ac:dyDescent="0.25">
      <c r="A663" s="156" t="s">
        <v>2713</v>
      </c>
      <c r="B663" s="118">
        <v>2026</v>
      </c>
      <c r="C663" s="146" t="s">
        <v>2565</v>
      </c>
      <c r="D663" s="118" t="s">
        <v>2714</v>
      </c>
      <c r="E663" s="145" t="s">
        <v>2715</v>
      </c>
      <c r="F663" s="120" t="s">
        <v>88</v>
      </c>
      <c r="G663" s="121" t="s">
        <v>2716</v>
      </c>
      <c r="H663" s="122" t="s">
        <v>2717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2718</v>
      </c>
    </row>
    <row r="664" spans="1:20" ht="15" x14ac:dyDescent="0.25">
      <c r="A664" s="156" t="s">
        <v>2719</v>
      </c>
      <c r="B664" s="118">
        <v>2026</v>
      </c>
      <c r="C664" s="154" t="s">
        <v>22</v>
      </c>
      <c r="D664" s="154" t="s">
        <v>2720</v>
      </c>
      <c r="E664" s="159" t="s">
        <v>2721</v>
      </c>
      <c r="F664" s="170" t="s">
        <v>24</v>
      </c>
      <c r="G664" s="155" t="s">
        <v>25</v>
      </c>
      <c r="H664" s="156" t="s">
        <v>2722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2723</v>
      </c>
    </row>
    <row r="665" spans="1:20" ht="15" x14ac:dyDescent="0.25">
      <c r="A665" s="122" t="s">
        <v>2724</v>
      </c>
      <c r="B665" s="118">
        <v>2026</v>
      </c>
      <c r="C665" s="154" t="s">
        <v>22</v>
      </c>
      <c r="D665" s="154" t="s">
        <v>2725</v>
      </c>
      <c r="E665" s="159" t="s">
        <v>2675</v>
      </c>
      <c r="F665" s="170" t="s">
        <v>24</v>
      </c>
      <c r="G665" s="155" t="s">
        <v>42</v>
      </c>
      <c r="H665" s="156" t="s">
        <v>2726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2727</v>
      </c>
      <c r="B666" s="118">
        <v>2026</v>
      </c>
      <c r="C666" s="154" t="s">
        <v>22</v>
      </c>
      <c r="D666" s="154" t="s">
        <v>2728</v>
      </c>
      <c r="E666" s="159" t="s">
        <v>2729</v>
      </c>
      <c r="F666" s="170" t="s">
        <v>24</v>
      </c>
      <c r="G666" s="155" t="s">
        <v>371</v>
      </c>
      <c r="H666" s="156" t="s">
        <v>2730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2731</v>
      </c>
      <c r="B667" s="118">
        <v>2026</v>
      </c>
      <c r="C667" s="118" t="s">
        <v>22</v>
      </c>
      <c r="D667" s="154" t="s">
        <v>2732</v>
      </c>
      <c r="E667" s="159" t="s">
        <v>2733</v>
      </c>
      <c r="F667" s="120" t="s">
        <v>88</v>
      </c>
      <c r="G667" s="121" t="s">
        <v>2716</v>
      </c>
      <c r="H667" s="156" t="s">
        <v>2734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2735</v>
      </c>
      <c r="B668" s="118">
        <v>2026</v>
      </c>
      <c r="C668" s="193" t="s">
        <v>22</v>
      </c>
      <c r="D668" s="154" t="s">
        <v>2736</v>
      </c>
      <c r="E668" s="159" t="s">
        <v>2737</v>
      </c>
      <c r="F668" s="170" t="s">
        <v>88</v>
      </c>
      <c r="G668" s="155" t="s">
        <v>2716</v>
      </c>
      <c r="H668" s="156" t="s">
        <v>2738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2739</v>
      </c>
      <c r="B669" s="118">
        <v>2026</v>
      </c>
      <c r="C669" s="118" t="s">
        <v>22</v>
      </c>
      <c r="D669" s="154" t="s">
        <v>2740</v>
      </c>
      <c r="E669" s="159" t="s">
        <v>2741</v>
      </c>
      <c r="F669" s="120" t="s">
        <v>69</v>
      </c>
      <c r="G669" s="155" t="s">
        <v>2693</v>
      </c>
      <c r="H669" s="156" t="s">
        <v>2742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2743</v>
      </c>
    </row>
    <row r="670" spans="1:20" ht="30" x14ac:dyDescent="0.25">
      <c r="A670" s="156" t="s">
        <v>2744</v>
      </c>
      <c r="B670" s="118">
        <v>2026</v>
      </c>
      <c r="C670" s="118" t="s">
        <v>22</v>
      </c>
      <c r="D670" s="154" t="s">
        <v>2740</v>
      </c>
      <c r="E670" s="166" t="s">
        <v>2745</v>
      </c>
      <c r="F670" s="120" t="s">
        <v>69</v>
      </c>
      <c r="G670" s="155" t="s">
        <v>2693</v>
      </c>
      <c r="H670" s="156" t="s">
        <v>2746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2743</v>
      </c>
    </row>
    <row r="671" spans="1:20" ht="15" x14ac:dyDescent="0.25">
      <c r="A671" s="156" t="s">
        <v>2747</v>
      </c>
      <c r="B671" s="118">
        <v>2026</v>
      </c>
      <c r="C671" s="154" t="s">
        <v>22</v>
      </c>
      <c r="D671" s="154" t="s">
        <v>2748</v>
      </c>
      <c r="E671" s="159" t="s">
        <v>2749</v>
      </c>
      <c r="F671" s="170" t="s">
        <v>69</v>
      </c>
      <c r="G671" s="155" t="s">
        <v>79</v>
      </c>
      <c r="H671" s="194" t="s">
        <v>2750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2751</v>
      </c>
    </row>
    <row r="672" spans="1:20" ht="15" x14ac:dyDescent="0.25">
      <c r="A672" s="122" t="s">
        <v>2752</v>
      </c>
      <c r="B672" s="118">
        <v>2026</v>
      </c>
      <c r="C672" s="154" t="s">
        <v>22</v>
      </c>
      <c r="D672" s="154" t="s">
        <v>2753</v>
      </c>
      <c r="E672" s="159" t="s">
        <v>2754</v>
      </c>
      <c r="F672" s="170" t="s">
        <v>24</v>
      </c>
      <c r="G672" s="155" t="s">
        <v>25</v>
      </c>
      <c r="H672" s="156" t="s">
        <v>2755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2756</v>
      </c>
    </row>
    <row r="673" spans="1:20" ht="15" x14ac:dyDescent="0.25">
      <c r="A673" s="122" t="s">
        <v>2757</v>
      </c>
      <c r="B673" s="118">
        <v>2026</v>
      </c>
      <c r="C673" s="118" t="s">
        <v>22</v>
      </c>
      <c r="D673" s="118" t="s">
        <v>2758</v>
      </c>
      <c r="E673" s="119" t="s">
        <v>2759</v>
      </c>
      <c r="F673" s="120" t="s">
        <v>24</v>
      </c>
      <c r="G673" s="132" t="s">
        <v>371</v>
      </c>
      <c r="H673" s="140" t="s">
        <v>2760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2761</v>
      </c>
    </row>
    <row r="674" spans="1:20" ht="15" x14ac:dyDescent="0.25">
      <c r="A674" s="122" t="s">
        <v>2762</v>
      </c>
      <c r="B674" s="118">
        <v>2026</v>
      </c>
      <c r="C674" s="118" t="s">
        <v>22</v>
      </c>
      <c r="D674" s="118" t="s">
        <v>2763</v>
      </c>
      <c r="E674" s="119" t="s">
        <v>2764</v>
      </c>
      <c r="F674" s="120" t="s">
        <v>69</v>
      </c>
      <c r="G674" s="121" t="s">
        <v>2693</v>
      </c>
      <c r="H674" s="153" t="s">
        <v>2765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2766</v>
      </c>
    </row>
    <row r="675" spans="1:20" ht="15" x14ac:dyDescent="0.25">
      <c r="A675" s="122" t="s">
        <v>2767</v>
      </c>
      <c r="B675" s="118">
        <v>2026</v>
      </c>
      <c r="C675" s="118" t="s">
        <v>22</v>
      </c>
      <c r="D675" s="154" t="s">
        <v>2768</v>
      </c>
      <c r="E675" s="119" t="s">
        <v>2769</v>
      </c>
      <c r="F675" s="120" t="s">
        <v>69</v>
      </c>
      <c r="G675" s="155" t="s">
        <v>2693</v>
      </c>
      <c r="H675" s="176" t="s">
        <v>2770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2766</v>
      </c>
    </row>
    <row r="676" spans="1:20" ht="15" x14ac:dyDescent="0.25">
      <c r="A676" s="122" t="s">
        <v>2771</v>
      </c>
      <c r="B676" s="118">
        <v>2026</v>
      </c>
      <c r="C676" s="118" t="s">
        <v>22</v>
      </c>
      <c r="D676" s="118" t="s">
        <v>2772</v>
      </c>
      <c r="E676" s="119" t="s">
        <v>2773</v>
      </c>
      <c r="F676" s="120" t="s">
        <v>69</v>
      </c>
      <c r="G676" s="121" t="s">
        <v>79</v>
      </c>
      <c r="H676" s="118" t="s">
        <v>2774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2775</v>
      </c>
      <c r="B677" s="118">
        <v>2026</v>
      </c>
      <c r="C677" s="195" t="s">
        <v>2565</v>
      </c>
      <c r="D677" s="195" t="s">
        <v>2776</v>
      </c>
      <c r="E677" s="159" t="s">
        <v>2777</v>
      </c>
      <c r="F677" s="170" t="s">
        <v>69</v>
      </c>
      <c r="G677" s="196" t="s">
        <v>2693</v>
      </c>
      <c r="H677" s="165" t="s">
        <v>2699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2743</v>
      </c>
    </row>
    <row r="678" spans="1:20" ht="15" x14ac:dyDescent="0.25">
      <c r="A678" s="156" t="s">
        <v>2778</v>
      </c>
      <c r="B678" s="118">
        <v>2026</v>
      </c>
      <c r="C678" s="195" t="s">
        <v>22</v>
      </c>
      <c r="D678" s="195" t="s">
        <v>2779</v>
      </c>
      <c r="E678" s="159" t="s">
        <v>2780</v>
      </c>
      <c r="F678" s="170" t="s">
        <v>69</v>
      </c>
      <c r="G678" s="196" t="s">
        <v>79</v>
      </c>
      <c r="H678" s="165" t="s">
        <v>2781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2782</v>
      </c>
      <c r="B679" s="118">
        <v>2026</v>
      </c>
      <c r="C679" s="195" t="s">
        <v>22</v>
      </c>
      <c r="D679" s="195" t="s">
        <v>2783</v>
      </c>
      <c r="E679" s="201" t="s">
        <v>2784</v>
      </c>
      <c r="F679" s="170" t="s">
        <v>69</v>
      </c>
      <c r="G679" s="155" t="s">
        <v>79</v>
      </c>
      <c r="H679" s="165" t="s">
        <v>2785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2786</v>
      </c>
    </row>
    <row r="680" spans="1:20" ht="15" x14ac:dyDescent="0.25">
      <c r="A680" s="122" t="s">
        <v>2787</v>
      </c>
      <c r="B680" s="118">
        <v>2026</v>
      </c>
      <c r="C680" s="150" t="s">
        <v>2788</v>
      </c>
      <c r="D680" s="137" t="s">
        <v>2789</v>
      </c>
      <c r="E680" s="138" t="s">
        <v>2790</v>
      </c>
      <c r="F680" s="120" t="s">
        <v>24</v>
      </c>
      <c r="G680" s="121" t="s">
        <v>2791</v>
      </c>
      <c r="H680" s="140" t="s">
        <v>2792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2793</v>
      </c>
    </row>
    <row r="681" spans="1:20" ht="15" x14ac:dyDescent="0.25">
      <c r="A681" s="156" t="s">
        <v>2794</v>
      </c>
      <c r="B681" s="118">
        <v>2026</v>
      </c>
      <c r="C681" s="150" t="s">
        <v>22</v>
      </c>
      <c r="D681" s="137" t="s">
        <v>2789</v>
      </c>
      <c r="E681" s="138" t="s">
        <v>2795</v>
      </c>
      <c r="F681" s="120" t="s">
        <v>24</v>
      </c>
      <c r="G681" s="139" t="s">
        <v>2791</v>
      </c>
      <c r="H681" s="140" t="s">
        <v>2796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2793</v>
      </c>
    </row>
    <row r="682" spans="1:20" ht="15" x14ac:dyDescent="0.25">
      <c r="A682" s="156" t="s">
        <v>2797</v>
      </c>
      <c r="B682" s="118">
        <v>2026</v>
      </c>
      <c r="C682" s="195" t="s">
        <v>2788</v>
      </c>
      <c r="D682" s="137" t="s">
        <v>2789</v>
      </c>
      <c r="E682" s="138" t="s">
        <v>2795</v>
      </c>
      <c r="F682" s="170" t="s">
        <v>24</v>
      </c>
      <c r="G682" s="196" t="s">
        <v>2791</v>
      </c>
      <c r="H682" s="165" t="s">
        <v>2798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2793</v>
      </c>
    </row>
    <row r="683" spans="1:20" ht="15" x14ac:dyDescent="0.25">
      <c r="A683" s="122" t="s">
        <v>2799</v>
      </c>
      <c r="B683" s="118">
        <v>2026</v>
      </c>
      <c r="C683" s="137" t="s">
        <v>22</v>
      </c>
      <c r="D683" s="137" t="s">
        <v>2800</v>
      </c>
      <c r="E683" s="138" t="s">
        <v>2801</v>
      </c>
      <c r="F683" s="120" t="s">
        <v>24</v>
      </c>
      <c r="G683" s="121" t="s">
        <v>42</v>
      </c>
      <c r="H683" s="171" t="s">
        <v>2802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2803</v>
      </c>
    </row>
    <row r="684" spans="1:20" ht="15" x14ac:dyDescent="0.25">
      <c r="A684" s="156" t="s">
        <v>2804</v>
      </c>
      <c r="B684" s="137">
        <v>2026</v>
      </c>
      <c r="C684" s="150" t="s">
        <v>22</v>
      </c>
      <c r="D684" s="137" t="s">
        <v>2805</v>
      </c>
      <c r="E684" s="138" t="s">
        <v>2806</v>
      </c>
      <c r="F684" s="144" t="s">
        <v>24</v>
      </c>
      <c r="G684" s="139" t="s">
        <v>25</v>
      </c>
      <c r="H684" s="165" t="s">
        <v>2807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2808</v>
      </c>
    </row>
    <row r="685" spans="1:20" ht="15" x14ac:dyDescent="0.25">
      <c r="A685" s="122" t="s">
        <v>2809</v>
      </c>
      <c r="B685" s="137">
        <v>2026</v>
      </c>
      <c r="C685" s="118" t="s">
        <v>22</v>
      </c>
      <c r="D685" s="122" t="s">
        <v>2810</v>
      </c>
      <c r="E685" s="119" t="s">
        <v>2811</v>
      </c>
      <c r="F685" s="120" t="s">
        <v>24</v>
      </c>
      <c r="G685" s="132" t="s">
        <v>2791</v>
      </c>
      <c r="H685" s="122" t="s">
        <v>2812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2793</v>
      </c>
    </row>
    <row r="686" spans="1:20" ht="15" x14ac:dyDescent="0.25">
      <c r="A686" s="122" t="s">
        <v>2813</v>
      </c>
      <c r="B686" s="137">
        <v>2026</v>
      </c>
      <c r="C686" s="118" t="s">
        <v>22</v>
      </c>
      <c r="D686" s="118" t="s">
        <v>2814</v>
      </c>
      <c r="E686" s="119" t="s">
        <v>2815</v>
      </c>
      <c r="F686" s="120" t="s">
        <v>69</v>
      </c>
      <c r="G686" s="121" t="s">
        <v>2693</v>
      </c>
      <c r="H686" s="122" t="s">
        <v>2816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2743</v>
      </c>
    </row>
    <row r="687" spans="1:20" ht="15" x14ac:dyDescent="0.25">
      <c r="A687" s="156" t="s">
        <v>2817</v>
      </c>
      <c r="B687" s="137">
        <v>2026</v>
      </c>
      <c r="C687" s="118" t="s">
        <v>22</v>
      </c>
      <c r="D687" s="154" t="s">
        <v>2818</v>
      </c>
      <c r="E687" s="159" t="s">
        <v>2819</v>
      </c>
      <c r="F687" s="170" t="s">
        <v>24</v>
      </c>
      <c r="G687" s="155" t="s">
        <v>42</v>
      </c>
      <c r="H687" s="156" t="s">
        <v>2820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2821</v>
      </c>
      <c r="B688" s="137">
        <v>2026</v>
      </c>
      <c r="C688" s="154" t="s">
        <v>22</v>
      </c>
      <c r="D688" s="154" t="s">
        <v>2822</v>
      </c>
      <c r="E688" s="159" t="s">
        <v>2823</v>
      </c>
      <c r="F688" s="170" t="s">
        <v>69</v>
      </c>
      <c r="G688" s="155" t="s">
        <v>79</v>
      </c>
      <c r="H688" s="156" t="s">
        <v>2824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2825</v>
      </c>
    </row>
    <row r="689" spans="1:20" ht="15" x14ac:dyDescent="0.25">
      <c r="A689" s="122" t="s">
        <v>2826</v>
      </c>
      <c r="B689" s="137">
        <v>2026</v>
      </c>
      <c r="C689" s="118" t="s">
        <v>22</v>
      </c>
      <c r="D689" s="118" t="s">
        <v>2827</v>
      </c>
      <c r="E689" s="119" t="s">
        <v>2828</v>
      </c>
      <c r="F689" s="120" t="s">
        <v>24</v>
      </c>
      <c r="G689" s="132" t="s">
        <v>2698</v>
      </c>
      <c r="H689" s="122" t="s">
        <v>2829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2830</v>
      </c>
    </row>
    <row r="690" spans="1:20" ht="15" x14ac:dyDescent="0.25">
      <c r="A690" s="122" t="s">
        <v>2831</v>
      </c>
      <c r="B690" s="137">
        <v>2026</v>
      </c>
      <c r="C690" s="118" t="s">
        <v>22</v>
      </c>
      <c r="D690" s="118" t="s">
        <v>2827</v>
      </c>
      <c r="E690" s="119" t="s">
        <v>2832</v>
      </c>
      <c r="F690" s="120" t="s">
        <v>24</v>
      </c>
      <c r="G690" s="132" t="s">
        <v>2698</v>
      </c>
      <c r="H690" s="122" t="s">
        <v>2833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2825</v>
      </c>
    </row>
    <row r="691" spans="1:20" ht="15" x14ac:dyDescent="0.25">
      <c r="A691" s="122" t="s">
        <v>2834</v>
      </c>
      <c r="B691" s="137">
        <v>2026</v>
      </c>
      <c r="C691" s="154" t="s">
        <v>22</v>
      </c>
      <c r="D691" s="154" t="s">
        <v>2835</v>
      </c>
      <c r="E691" s="159" t="s">
        <v>2836</v>
      </c>
      <c r="F691" s="170" t="s">
        <v>24</v>
      </c>
      <c r="G691" s="155" t="s">
        <v>2698</v>
      </c>
      <c r="H691" s="156" t="s">
        <v>2837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2825</v>
      </c>
    </row>
    <row r="692" spans="1:20" ht="15" x14ac:dyDescent="0.25">
      <c r="A692" s="156" t="s">
        <v>2838</v>
      </c>
      <c r="B692" s="137">
        <v>2026</v>
      </c>
      <c r="C692" s="154" t="s">
        <v>22</v>
      </c>
      <c r="D692" s="154" t="s">
        <v>2835</v>
      </c>
      <c r="E692" s="159" t="s">
        <v>2839</v>
      </c>
      <c r="F692" s="170" t="s">
        <v>24</v>
      </c>
      <c r="G692" s="155" t="s">
        <v>2698</v>
      </c>
      <c r="H692" s="156" t="s">
        <v>2840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2825</v>
      </c>
    </row>
    <row r="693" spans="1:20" ht="15" x14ac:dyDescent="0.25">
      <c r="A693" s="156" t="s">
        <v>2841</v>
      </c>
      <c r="B693" s="137">
        <v>2026</v>
      </c>
      <c r="C693" s="154" t="s">
        <v>2709</v>
      </c>
      <c r="D693" s="154" t="s">
        <v>2842</v>
      </c>
      <c r="E693" s="159" t="s">
        <v>2843</v>
      </c>
      <c r="F693" s="170" t="s">
        <v>24</v>
      </c>
      <c r="G693" s="155" t="s">
        <v>25</v>
      </c>
      <c r="H693" s="156" t="s">
        <v>2699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 x14ac:dyDescent="0.25">
      <c r="A694" s="156" t="s">
        <v>2844</v>
      </c>
      <c r="B694" s="137">
        <v>2026</v>
      </c>
      <c r="C694" s="118" t="s">
        <v>2845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2709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2698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2825</v>
      </c>
    </row>
    <row r="698" spans="1:20" ht="15" x14ac:dyDescent="0.25">
      <c r="A698" s="156" t="s">
        <v>2861</v>
      </c>
      <c r="B698" s="137">
        <v>2026</v>
      </c>
      <c r="C698" s="154" t="s">
        <v>2788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2716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2451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2808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2785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2781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2712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2703</v>
      </c>
      <c r="I705" s="156" t="s">
        <v>2703</v>
      </c>
      <c r="J705" s="156" t="s">
        <v>2703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2451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2461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2709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2716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2716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2709</v>
      </c>
      <c r="D716" s="154" t="s">
        <v>2928</v>
      </c>
      <c r="E716" s="159" t="s">
        <v>2936</v>
      </c>
      <c r="F716" s="170" t="s">
        <v>88</v>
      </c>
      <c r="G716" s="155" t="s">
        <v>2716</v>
      </c>
      <c r="H716" s="156" t="s">
        <v>2937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 x14ac:dyDescent="0.25">
      <c r="A717" s="156" t="s">
        <v>2938</v>
      </c>
      <c r="B717" s="137">
        <v>2026</v>
      </c>
      <c r="C717" s="154" t="s">
        <v>2709</v>
      </c>
      <c r="D717" s="154" t="s">
        <v>2928</v>
      </c>
      <c r="E717" s="159" t="s">
        <v>2939</v>
      </c>
      <c r="F717" s="170" t="s">
        <v>88</v>
      </c>
      <c r="G717" s="155" t="s">
        <v>2716</v>
      </c>
      <c r="H717" s="156" t="s">
        <v>2940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 x14ac:dyDescent="0.25">
      <c r="A718" s="156" t="s">
        <v>2941</v>
      </c>
      <c r="B718" s="137">
        <v>2026</v>
      </c>
      <c r="C718" s="154" t="s">
        <v>2709</v>
      </c>
      <c r="D718" s="154" t="s">
        <v>2928</v>
      </c>
      <c r="E718" s="159" t="s">
        <v>2942</v>
      </c>
      <c r="F718" s="170" t="s">
        <v>88</v>
      </c>
      <c r="G718" s="155" t="s">
        <v>2716</v>
      </c>
      <c r="H718" s="156" t="s">
        <v>2943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 x14ac:dyDescent="0.25">
      <c r="A719" s="156" t="s">
        <v>2944</v>
      </c>
      <c r="B719" s="137">
        <v>2026</v>
      </c>
      <c r="C719" s="154" t="s">
        <v>2709</v>
      </c>
      <c r="D719" s="154" t="s">
        <v>2928</v>
      </c>
      <c r="E719" s="159" t="s">
        <v>2945</v>
      </c>
      <c r="F719" s="170" t="s">
        <v>88</v>
      </c>
      <c r="G719" s="155" t="s">
        <v>2716</v>
      </c>
      <c r="H719" s="156" t="s">
        <v>2946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 x14ac:dyDescent="0.25">
      <c r="A720" s="122" t="s">
        <v>2947</v>
      </c>
      <c r="B720" s="137">
        <v>2026</v>
      </c>
      <c r="C720" s="118" t="s">
        <v>22</v>
      </c>
      <c r="D720" s="118" t="s">
        <v>2948</v>
      </c>
      <c r="E720" s="119" t="s">
        <v>2949</v>
      </c>
      <c r="F720" s="120" t="s">
        <v>24</v>
      </c>
      <c r="G720" s="121" t="s">
        <v>206</v>
      </c>
      <c r="H720" s="122" t="s">
        <v>2950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2951</v>
      </c>
    </row>
    <row r="721" spans="1:20" ht="45" x14ac:dyDescent="0.25">
      <c r="A721" s="122" t="s">
        <v>2952</v>
      </c>
      <c r="B721" s="137">
        <v>2026</v>
      </c>
      <c r="C721" s="137" t="s">
        <v>22</v>
      </c>
      <c r="D721" s="137" t="s">
        <v>2928</v>
      </c>
      <c r="E721" s="138" t="s">
        <v>2953</v>
      </c>
      <c r="F721" s="144" t="s">
        <v>88</v>
      </c>
      <c r="G721" s="150" t="s">
        <v>2716</v>
      </c>
      <c r="H721" s="140" t="s">
        <v>2954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80</v>
      </c>
      <c r="O721" s="143">
        <v>0</v>
      </c>
      <c r="P721" s="185">
        <v>0</v>
      </c>
      <c r="Q721" s="143">
        <v>80</v>
      </c>
      <c r="R721" s="143">
        <f>SUM(O721:Q721)</f>
        <v>80</v>
      </c>
      <c r="S721" s="137">
        <v>4</v>
      </c>
      <c r="T721" s="163" t="s">
        <v>2955</v>
      </c>
    </row>
    <row r="722" spans="1:20" ht="45" x14ac:dyDescent="0.25">
      <c r="A722" s="122" t="s">
        <v>2956</v>
      </c>
      <c r="B722" s="118">
        <v>2026</v>
      </c>
      <c r="C722" s="118" t="s">
        <v>22</v>
      </c>
      <c r="D722" s="118" t="s">
        <v>2928</v>
      </c>
      <c r="E722" s="119" t="s">
        <v>2957</v>
      </c>
      <c r="F722" s="120" t="s">
        <v>88</v>
      </c>
      <c r="G722" s="146" t="s">
        <v>2716</v>
      </c>
      <c r="H722" s="122" t="s">
        <v>2958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80</v>
      </c>
      <c r="O722" s="125">
        <v>0</v>
      </c>
      <c r="P722" s="186">
        <v>0</v>
      </c>
      <c r="Q722" s="125">
        <v>80</v>
      </c>
      <c r="R722" s="125">
        <f>SUM(O722:Q722)</f>
        <v>80</v>
      </c>
      <c r="S722" s="118">
        <v>4</v>
      </c>
      <c r="T722" s="148" t="s">
        <v>2959</v>
      </c>
    </row>
    <row r="723" spans="1:20" ht="15" x14ac:dyDescent="0.25">
      <c r="A723" s="122" t="s">
        <v>2960</v>
      </c>
      <c r="B723" s="137">
        <v>2026</v>
      </c>
      <c r="C723" s="154" t="s">
        <v>22</v>
      </c>
      <c r="D723" s="154" t="s">
        <v>2961</v>
      </c>
      <c r="E723" s="159" t="s">
        <v>2962</v>
      </c>
      <c r="F723" s="170" t="s">
        <v>88</v>
      </c>
      <c r="G723" s="155" t="s">
        <v>2716</v>
      </c>
      <c r="H723" s="156" t="s">
        <v>2963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 x14ac:dyDescent="0.25">
      <c r="A724" s="156" t="s">
        <v>2964</v>
      </c>
      <c r="B724" s="172">
        <v>2026</v>
      </c>
      <c r="C724" s="154" t="s">
        <v>22</v>
      </c>
      <c r="D724" s="154" t="s">
        <v>2965</v>
      </c>
      <c r="E724" s="159" t="s">
        <v>2966</v>
      </c>
      <c r="F724" s="170" t="s">
        <v>88</v>
      </c>
      <c r="G724" s="155" t="s">
        <v>2716</v>
      </c>
      <c r="H724" s="156" t="s">
        <v>2967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2968</v>
      </c>
      <c r="B725" s="154">
        <v>2026</v>
      </c>
      <c r="C725" s="154" t="s">
        <v>22</v>
      </c>
      <c r="D725" s="154" t="s">
        <v>2961</v>
      </c>
      <c r="E725" s="159" t="s">
        <v>2969</v>
      </c>
      <c r="F725" s="170" t="s">
        <v>88</v>
      </c>
      <c r="G725" s="155" t="s">
        <v>2716</v>
      </c>
      <c r="H725" s="156" t="s">
        <v>2970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2971</v>
      </c>
      <c r="B726" s="154">
        <v>2026</v>
      </c>
      <c r="C726" s="154" t="s">
        <v>2709</v>
      </c>
      <c r="D726" s="154" t="s">
        <v>2961</v>
      </c>
      <c r="E726" s="159" t="s">
        <v>2972</v>
      </c>
      <c r="F726" s="170" t="s">
        <v>88</v>
      </c>
      <c r="G726" s="155" t="s">
        <v>2716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 x14ac:dyDescent="0.25">
      <c r="A727" s="156" t="s">
        <v>2973</v>
      </c>
      <c r="B727" s="154">
        <v>2026</v>
      </c>
      <c r="C727" s="154" t="s">
        <v>2709</v>
      </c>
      <c r="D727" s="154" t="s">
        <v>2961</v>
      </c>
      <c r="E727" s="159" t="s">
        <v>2974</v>
      </c>
      <c r="F727" s="170" t="s">
        <v>88</v>
      </c>
      <c r="G727" s="155" t="s">
        <v>2716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 x14ac:dyDescent="0.25">
      <c r="A728" s="156" t="s">
        <v>2975</v>
      </c>
      <c r="B728" s="154">
        <v>2026</v>
      </c>
      <c r="C728" s="154" t="s">
        <v>22</v>
      </c>
      <c r="D728" s="154" t="s">
        <v>2961</v>
      </c>
      <c r="E728" s="159" t="s">
        <v>2976</v>
      </c>
      <c r="F728" s="170" t="s">
        <v>88</v>
      </c>
      <c r="G728" s="155" t="s">
        <v>2716</v>
      </c>
      <c r="H728" s="156" t="s">
        <v>2977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 x14ac:dyDescent="0.25">
      <c r="A729" s="156" t="s">
        <v>2978</v>
      </c>
      <c r="B729" s="154">
        <v>2026</v>
      </c>
      <c r="C729" s="154" t="s">
        <v>2709</v>
      </c>
      <c r="D729" s="154" t="s">
        <v>2961</v>
      </c>
      <c r="E729" s="159" t="s">
        <v>2979</v>
      </c>
      <c r="F729" s="170" t="s">
        <v>88</v>
      </c>
      <c r="G729" s="155" t="s">
        <v>2716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 x14ac:dyDescent="0.25">
      <c r="A730" s="156" t="s">
        <v>2980</v>
      </c>
      <c r="B730" s="154">
        <v>2026</v>
      </c>
      <c r="C730" s="154" t="s">
        <v>2709</v>
      </c>
      <c r="D730" s="154" t="s">
        <v>2961</v>
      </c>
      <c r="E730" s="201" t="s">
        <v>2981</v>
      </c>
      <c r="F730" s="170" t="s">
        <v>88</v>
      </c>
      <c r="G730" s="155" t="s">
        <v>2716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 x14ac:dyDescent="0.25">
      <c r="A731" s="156" t="s">
        <v>2982</v>
      </c>
      <c r="B731" s="154">
        <v>2026</v>
      </c>
      <c r="C731" s="154" t="s">
        <v>2709</v>
      </c>
      <c r="D731" s="154" t="s">
        <v>2961</v>
      </c>
      <c r="E731" s="201" t="s">
        <v>2983</v>
      </c>
      <c r="F731" s="170" t="s">
        <v>88</v>
      </c>
      <c r="G731" s="155" t="s">
        <v>2716</v>
      </c>
      <c r="H731" s="156" t="s">
        <v>2984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 x14ac:dyDescent="0.25">
      <c r="A732" s="156" t="s">
        <v>2985</v>
      </c>
      <c r="B732" s="154">
        <v>2026</v>
      </c>
      <c r="C732" s="154" t="s">
        <v>2709</v>
      </c>
      <c r="D732" s="154" t="s">
        <v>2986</v>
      </c>
      <c r="E732" s="159" t="s">
        <v>2987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 x14ac:dyDescent="0.25">
      <c r="A733" s="156" t="s">
        <v>2988</v>
      </c>
      <c r="B733" s="154">
        <v>2026</v>
      </c>
      <c r="C733" s="154" t="s">
        <v>2709</v>
      </c>
      <c r="D733" s="154"/>
      <c r="E733" s="201" t="s">
        <v>2989</v>
      </c>
      <c r="F733" s="170" t="s">
        <v>24</v>
      </c>
      <c r="G733" s="155" t="s">
        <v>2716</v>
      </c>
      <c r="H733" s="156" t="s">
        <v>2990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 x14ac:dyDescent="0.25">
      <c r="A734" s="156" t="s">
        <v>2991</v>
      </c>
      <c r="B734" s="154">
        <v>2026</v>
      </c>
      <c r="C734" s="154" t="s">
        <v>2709</v>
      </c>
      <c r="D734" s="154" t="s">
        <v>2992</v>
      </c>
      <c r="E734" s="159" t="s">
        <v>2993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2994</v>
      </c>
      <c r="E735" s="159" t="s">
        <v>2995</v>
      </c>
      <c r="F735" s="170" t="s">
        <v>24</v>
      </c>
      <c r="G735" s="155" t="s">
        <v>206</v>
      </c>
      <c r="H735" s="156" t="s">
        <v>2996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2997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2788</v>
      </c>
      <c r="D736" s="154" t="s">
        <v>2998</v>
      </c>
      <c r="E736" s="159" t="s">
        <v>2999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 x14ac:dyDescent="0.25">
      <c r="A737" s="156" t="s">
        <v>3000</v>
      </c>
      <c r="B737" s="154">
        <v>2026</v>
      </c>
      <c r="C737" s="154" t="s">
        <v>22</v>
      </c>
      <c r="D737" s="154" t="s">
        <v>3001</v>
      </c>
      <c r="E737" s="159" t="s">
        <v>3002</v>
      </c>
      <c r="F737" s="170" t="s">
        <v>69</v>
      </c>
      <c r="G737" s="155" t="s">
        <v>79</v>
      </c>
      <c r="H737" s="156" t="s">
        <v>3003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2712</v>
      </c>
    </row>
    <row r="738" spans="1:20" ht="15" x14ac:dyDescent="0.25">
      <c r="A738" s="156" t="s">
        <v>3004</v>
      </c>
      <c r="B738" s="154">
        <v>2026</v>
      </c>
      <c r="C738" s="154" t="s">
        <v>22</v>
      </c>
      <c r="D738" s="154" t="s">
        <v>3005</v>
      </c>
      <c r="E738" s="159" t="s">
        <v>3006</v>
      </c>
      <c r="F738" s="170" t="s">
        <v>69</v>
      </c>
      <c r="G738" s="155" t="s">
        <v>2693</v>
      </c>
      <c r="H738" s="156" t="s">
        <v>3007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3008</v>
      </c>
    </row>
    <row r="739" spans="1:20" ht="15" x14ac:dyDescent="0.25">
      <c r="A739" s="156" t="s">
        <v>3009</v>
      </c>
      <c r="B739" s="154">
        <v>2026</v>
      </c>
      <c r="C739" s="154" t="s">
        <v>22</v>
      </c>
      <c r="D739" s="154" t="s">
        <v>3010</v>
      </c>
      <c r="E739" s="159" t="s">
        <v>3011</v>
      </c>
      <c r="F739" s="170" t="s">
        <v>24</v>
      </c>
      <c r="G739" s="155" t="s">
        <v>2698</v>
      </c>
      <c r="H739" s="156" t="s">
        <v>3012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 x14ac:dyDescent="0.25">
      <c r="A740" s="156" t="s">
        <v>3013</v>
      </c>
      <c r="B740" s="154">
        <v>2026</v>
      </c>
      <c r="C740" s="154" t="s">
        <v>2709</v>
      </c>
      <c r="D740" s="154" t="s">
        <v>3014</v>
      </c>
      <c r="E740" s="159" t="s">
        <v>3015</v>
      </c>
      <c r="F740" s="170" t="s">
        <v>24</v>
      </c>
      <c r="G740" s="155" t="s">
        <v>2698</v>
      </c>
      <c r="H740" s="156" t="s">
        <v>3016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 x14ac:dyDescent="0.25">
      <c r="A741" s="156" t="s">
        <v>3017</v>
      </c>
      <c r="B741" s="154">
        <v>2026</v>
      </c>
      <c r="C741" s="154" t="s">
        <v>2709</v>
      </c>
      <c r="D741" s="154" t="s">
        <v>3018</v>
      </c>
      <c r="E741" s="159" t="s">
        <v>3019</v>
      </c>
      <c r="F741" s="170" t="s">
        <v>24</v>
      </c>
      <c r="G741" s="155" t="s">
        <v>2698</v>
      </c>
      <c r="H741" s="156" t="s">
        <v>3020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2825</v>
      </c>
    </row>
    <row r="742" spans="1:20" ht="15" x14ac:dyDescent="0.25">
      <c r="A742" s="156" t="s">
        <v>3021</v>
      </c>
      <c r="B742" s="154">
        <v>2026</v>
      </c>
      <c r="C742" s="154" t="s">
        <v>2709</v>
      </c>
      <c r="D742" s="154" t="s">
        <v>3018</v>
      </c>
      <c r="E742" s="159" t="s">
        <v>3022</v>
      </c>
      <c r="F742" s="170" t="s">
        <v>24</v>
      </c>
      <c r="G742" s="155" t="s">
        <v>2698</v>
      </c>
      <c r="H742" s="156" t="s">
        <v>3023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2825</v>
      </c>
    </row>
    <row r="743" spans="1:20" ht="15" x14ac:dyDescent="0.25">
      <c r="A743" s="156" t="s">
        <v>3024</v>
      </c>
      <c r="B743" s="154">
        <v>2027</v>
      </c>
      <c r="C743" s="154" t="s">
        <v>2709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2997</v>
      </c>
    </row>
    <row r="744" spans="1:20" ht="15" x14ac:dyDescent="0.25">
      <c r="A744" s="156" t="s">
        <v>3028</v>
      </c>
      <c r="B744" s="154">
        <v>2026</v>
      </c>
      <c r="C744" s="154" t="s">
        <v>2709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 x14ac:dyDescent="0.25">
      <c r="A745" s="156" t="s">
        <v>3032</v>
      </c>
      <c r="B745" s="154">
        <v>2026</v>
      </c>
      <c r="C745" s="154" t="s">
        <v>2709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 x14ac:dyDescent="0.25">
      <c r="A746" s="156" t="s">
        <v>3035</v>
      </c>
      <c r="B746" s="154">
        <v>2026</v>
      </c>
      <c r="C746" s="154" t="s">
        <v>2709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3039</v>
      </c>
    </row>
    <row r="747" spans="1:20" ht="15" x14ac:dyDescent="0.25">
      <c r="A747" s="156" t="s">
        <v>3040</v>
      </c>
      <c r="B747" s="154">
        <v>2026</v>
      </c>
      <c r="C747" s="154" t="s">
        <v>2709</v>
      </c>
      <c r="D747" s="154" t="s">
        <v>3041</v>
      </c>
      <c r="E747" s="166" t="s">
        <v>3042</v>
      </c>
      <c r="F747" s="170" t="s">
        <v>24</v>
      </c>
      <c r="G747" s="155" t="s">
        <v>206</v>
      </c>
      <c r="H747" s="156" t="s">
        <v>3043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5">IF(B747="","",SUM(O747:Q747))</f>
        <v>80</v>
      </c>
      <c r="S747" s="154">
        <v>2</v>
      </c>
      <c r="T747" s="155"/>
    </row>
    <row r="748" spans="1:20" ht="15" x14ac:dyDescent="0.2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 x14ac:dyDescent="0.2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2002:A2006 E2007 A714:S715 A716:T2001 A2:T713">
    <cfRule type="expression" dxfId="1" priority="9">
      <formula>MOD(ROW(),2)=0</formula>
    </cfRule>
  </conditionalFormatting>
  <conditionalFormatting sqref="A2002:A2006 E2007 A714:S715 A716:T2001 A2:T713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12:J720 I704:J704 I744:J2001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3044</v>
      </c>
      <c r="H1" s="168" t="s">
        <v>3045</v>
      </c>
    </row>
    <row r="2" spans="1:8" x14ac:dyDescent="0.25">
      <c r="H2" s="167" t="s">
        <v>3046</v>
      </c>
    </row>
    <row r="3" spans="1:8" x14ac:dyDescent="0.25">
      <c r="A3" t="s">
        <v>0</v>
      </c>
      <c r="B3" t="s">
        <v>19</v>
      </c>
      <c r="C3" t="s">
        <v>3047</v>
      </c>
      <c r="D3" t="s">
        <v>3048</v>
      </c>
      <c r="E3" t="s">
        <v>3049</v>
      </c>
      <c r="H3" s="167" t="s">
        <v>3050</v>
      </c>
    </row>
    <row r="4" spans="1:8" x14ac:dyDescent="0.25">
      <c r="A4">
        <v>1</v>
      </c>
      <c r="B4" t="s">
        <v>3051</v>
      </c>
      <c r="D4" t="s">
        <v>3052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3053</v>
      </c>
    </row>
    <row r="5" spans="1:8" x14ac:dyDescent="0.25">
      <c r="A5">
        <v>2</v>
      </c>
      <c r="B5" t="s">
        <v>2506</v>
      </c>
      <c r="D5" t="s">
        <v>3052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3054</v>
      </c>
    </row>
    <row r="6" spans="1:8" x14ac:dyDescent="0.25">
      <c r="A6">
        <v>3</v>
      </c>
      <c r="B6" t="s">
        <v>1030</v>
      </c>
      <c r="D6" t="s">
        <v>3052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3055</v>
      </c>
      <c r="D7" t="s">
        <v>3052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3056</v>
      </c>
    </row>
    <row r="8" spans="1:8" x14ac:dyDescent="0.25">
      <c r="A8">
        <v>5</v>
      </c>
      <c r="B8" t="s">
        <v>3057</v>
      </c>
      <c r="D8" t="s">
        <v>3052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3052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3052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3052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2830</v>
      </c>
      <c r="D12" t="s">
        <v>3052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3052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3052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2803</v>
      </c>
      <c r="D15" t="s">
        <v>3052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3052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3052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3052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3052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3052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3052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3052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3058</v>
      </c>
      <c r="D23" t="s">
        <v>3052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3052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3059</v>
      </c>
      <c r="D25" t="s">
        <v>3052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3060</v>
      </c>
      <c r="D26" t="s">
        <v>3052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3052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3052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3061</v>
      </c>
      <c r="D29" t="s">
        <v>3052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3052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3052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3052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3062</v>
      </c>
      <c r="D33" t="s">
        <v>3052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3063</v>
      </c>
      <c r="D34" t="s">
        <v>3052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3052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3052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3052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3064</v>
      </c>
      <c r="D38" t="s">
        <v>3052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3065</v>
      </c>
      <c r="D39" t="s">
        <v>3052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3052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3066</v>
      </c>
      <c r="D41" t="s">
        <v>3052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3052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3052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3067</v>
      </c>
      <c r="D44" t="s">
        <v>3052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3052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3052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3052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3052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3068</v>
      </c>
      <c r="D49" t="s">
        <v>3052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2718</v>
      </c>
      <c r="D50" t="s">
        <v>3052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3069</v>
      </c>
      <c r="D51" t="s">
        <v>3052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3052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3052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3070</v>
      </c>
      <c r="D54" t="s">
        <v>3052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3052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3052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3052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3071</v>
      </c>
      <c r="D58" t="s">
        <v>3052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3052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3052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3072</v>
      </c>
      <c r="D61" t="s">
        <v>3052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3073</v>
      </c>
      <c r="D62" t="s">
        <v>3052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3074</v>
      </c>
      <c r="D63" t="s">
        <v>3052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3075</v>
      </c>
      <c r="D64" t="s">
        <v>3052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2793</v>
      </c>
      <c r="D65" t="s">
        <v>3052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2555</v>
      </c>
      <c r="D66" t="s">
        <v>3052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3076</v>
      </c>
      <c r="D67" t="s">
        <v>3052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3077</v>
      </c>
      <c r="D68" t="s">
        <v>3052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2456</v>
      </c>
      <c r="D69" t="s">
        <v>3052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3078</v>
      </c>
      <c r="D70" t="s">
        <v>3052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3052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3052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3052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3079</v>
      </c>
      <c r="D74" t="s">
        <v>3052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3052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3052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3052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3052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3080</v>
      </c>
      <c r="D79" t="s">
        <v>3052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3081</v>
      </c>
      <c r="D80" t="s">
        <v>3052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3082</v>
      </c>
      <c r="D81" t="s">
        <v>3052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3083</v>
      </c>
      <c r="D82" t="s">
        <v>3052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2481</v>
      </c>
      <c r="D83" t="s">
        <v>3052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3084</v>
      </c>
      <c r="D84" t="s">
        <v>3052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3052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3085</v>
      </c>
      <c r="D86" t="s">
        <v>3052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3086</v>
      </c>
      <c r="D87" t="s">
        <v>3052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3087</v>
      </c>
      <c r="D88" t="s">
        <v>3052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3088</v>
      </c>
      <c r="D89" t="s">
        <v>3052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3089</v>
      </c>
      <c r="D90" t="s">
        <v>3052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3090</v>
      </c>
      <c r="D91" t="s">
        <v>3052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3091</v>
      </c>
      <c r="D92" t="s">
        <v>3052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3092</v>
      </c>
      <c r="D93" t="s">
        <v>3052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3093</v>
      </c>
      <c r="D94" t="s">
        <v>3052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3052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3094</v>
      </c>
      <c r="D96" t="s">
        <v>3052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3052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3095</v>
      </c>
      <c r="D98" t="s">
        <v>3052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3096</v>
      </c>
      <c r="D99" t="s">
        <v>3052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3097</v>
      </c>
      <c r="D100" t="s">
        <v>3052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3098</v>
      </c>
      <c r="D101" t="s">
        <v>3052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2712</v>
      </c>
      <c r="D102" t="s">
        <v>3052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3099</v>
      </c>
      <c r="D103" t="s">
        <v>3052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3100</v>
      </c>
      <c r="D104" t="s">
        <v>3052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3101</v>
      </c>
      <c r="D105" t="s">
        <v>3052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3052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3052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3102</v>
      </c>
      <c r="D108" t="s">
        <v>3052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3103</v>
      </c>
      <c r="D109" t="s">
        <v>3052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14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3104</v>
      </c>
      <c r="C1" s="18" t="s">
        <v>3105</v>
      </c>
      <c r="D1" s="18" t="s">
        <v>4</v>
      </c>
      <c r="E1" s="18" t="s">
        <v>3106</v>
      </c>
      <c r="F1" s="18" t="s">
        <v>19</v>
      </c>
      <c r="G1" s="18" t="s">
        <v>3107</v>
      </c>
      <c r="H1" s="18" t="s">
        <v>3108</v>
      </c>
      <c r="I1" s="18" t="s">
        <v>3109</v>
      </c>
      <c r="J1" s="18" t="s">
        <v>3110</v>
      </c>
      <c r="L1" s="110" t="s">
        <v>3111</v>
      </c>
      <c r="M1" s="22">
        <v>2026</v>
      </c>
      <c r="U1" s="79" t="s">
        <v>3112</v>
      </c>
      <c r="V1" s="78"/>
      <c r="X1" s="77" t="s">
        <v>3113</v>
      </c>
      <c r="Y1" s="26"/>
      <c r="Z1" s="26"/>
      <c r="AA1" s="26"/>
      <c r="AC1" s="99" t="s">
        <v>3114</v>
      </c>
    </row>
    <row r="2" spans="1:31" x14ac:dyDescent="0.25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3115</v>
      </c>
      <c r="M2" s="106" t="s">
        <v>2927</v>
      </c>
      <c r="X2" s="112" t="s">
        <v>3104</v>
      </c>
      <c r="Y2" s="112" t="s">
        <v>19</v>
      </c>
      <c r="Z2" s="112" t="s">
        <v>3116</v>
      </c>
      <c r="AA2" s="112" t="s">
        <v>3117</v>
      </c>
      <c r="AC2" s="113" t="s">
        <v>1</v>
      </c>
      <c r="AD2" s="113" t="s">
        <v>3118</v>
      </c>
      <c r="AE2" s="113" t="s">
        <v>3119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3120</v>
      </c>
      <c r="M3" s="111" t="s">
        <v>3121</v>
      </c>
      <c r="N3" s="111" t="s">
        <v>3122</v>
      </c>
      <c r="O3" s="111" t="s">
        <v>3123</v>
      </c>
      <c r="P3" s="111" t="s">
        <v>3124</v>
      </c>
      <c r="Q3" s="111" t="s">
        <v>3125</v>
      </c>
      <c r="R3" s="111" t="s">
        <v>3126</v>
      </c>
      <c r="S3" s="111" t="s">
        <v>3127</v>
      </c>
      <c r="T3" s="111" t="s">
        <v>3128</v>
      </c>
      <c r="X3" t="s">
        <v>2834</v>
      </c>
      <c r="Y3" t="s">
        <v>3065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2834</v>
      </c>
      <c r="Y4" t="s">
        <v>2830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2830</v>
      </c>
      <c r="Z5">
        <v>1</v>
      </c>
      <c r="AA5">
        <v>0.6</v>
      </c>
      <c r="AC5" s="96">
        <v>2026</v>
      </c>
      <c r="AD5" s="17" t="s">
        <v>3129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3065</v>
      </c>
      <c r="Z6">
        <v>1</v>
      </c>
      <c r="AA6">
        <v>0</v>
      </c>
      <c r="AC6" s="96">
        <v>2026</v>
      </c>
      <c r="AD6" s="17" t="s">
        <v>3130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2809</v>
      </c>
      <c r="Y7" t="s">
        <v>2793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7" t="s">
        <v>3059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7" t="s">
        <v>3077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7" t="s">
        <v>3059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7" t="s">
        <v>3077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7" t="s">
        <v>3059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7" t="s">
        <v>3077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2831</v>
      </c>
      <c r="Y23" s="17" t="s">
        <v>2830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2831</v>
      </c>
      <c r="Y24" s="17" t="s">
        <v>3065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2838</v>
      </c>
      <c r="Y25" s="17" t="s">
        <v>2830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2838</v>
      </c>
      <c r="Y26" s="17" t="s">
        <v>3065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2794</v>
      </c>
      <c r="Y27" s="17" t="s">
        <v>2793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2719</v>
      </c>
      <c r="Y28" s="17" t="s">
        <v>3100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2719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2719</v>
      </c>
      <c r="Y30" s="17" t="s">
        <v>3096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2838</v>
      </c>
      <c r="Y31" s="17" t="s">
        <v>2830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2752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2752</v>
      </c>
      <c r="Y33" t="s">
        <v>3078</v>
      </c>
      <c r="Z33">
        <v>4</v>
      </c>
      <c r="AA33">
        <v>0.6</v>
      </c>
      <c r="AC33" s="98"/>
      <c r="AD33" s="114" t="s">
        <v>3131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2752</v>
      </c>
      <c r="Y34" t="s">
        <v>3079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2752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2752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2775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2775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2841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2727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3070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3087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3086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3098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3095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2685</v>
      </c>
      <c r="Y48" t="s">
        <v>3097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2685</v>
      </c>
      <c r="Y49" t="s">
        <v>3094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2685</v>
      </c>
      <c r="Y51" t="s">
        <v>3132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2685</v>
      </c>
      <c r="Y53" t="s">
        <v>3101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2685</v>
      </c>
      <c r="Y54" t="s">
        <v>3099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2782</v>
      </c>
      <c r="Y55" t="s">
        <v>3086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2747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2747</v>
      </c>
      <c r="Y58" s="109" t="s">
        <v>3093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2747</v>
      </c>
      <c r="Y59" t="s">
        <v>3092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2747</v>
      </c>
      <c r="Y60" t="s">
        <v>3091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2700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2700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2700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2700</v>
      </c>
      <c r="Y64" t="s">
        <v>3083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2708</v>
      </c>
      <c r="Y65" t="s">
        <v>2712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2708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2960</v>
      </c>
      <c r="Y68" t="s">
        <v>3081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2787</v>
      </c>
      <c r="Y69" t="s">
        <v>2793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2821</v>
      </c>
      <c r="Y70" s="17" t="s">
        <v>2830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2821</v>
      </c>
      <c r="Y71" s="17" t="s">
        <v>3065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3070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2797</v>
      </c>
      <c r="Y75" t="s">
        <v>2793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3084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3088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2782</v>
      </c>
      <c r="Y80" t="s">
        <v>3085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3089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3071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3071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3071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3133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3133</v>
      </c>
      <c r="Y87" t="s">
        <v>3083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3133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3" t="s">
        <v>3134</v>
      </c>
      <c r="B1" s="213"/>
      <c r="C1" s="213"/>
      <c r="D1" s="213"/>
      <c r="E1" s="213"/>
      <c r="F1" s="213"/>
      <c r="G1" s="213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4" t="s">
        <v>3135</v>
      </c>
      <c r="B4" s="215"/>
      <c r="D4" s="216" t="s">
        <v>3136</v>
      </c>
      <c r="E4" s="217"/>
      <c r="G4" s="44" t="s">
        <v>3137</v>
      </c>
    </row>
    <row r="5" spans="1:7" ht="54.95" customHeight="1" thickBot="1" x14ac:dyDescent="0.75">
      <c r="A5" s="34">
        <f>COUNTIF('Ações InCompany'!B:B,2026)</f>
        <v>90</v>
      </c>
      <c r="B5" s="35" t="s">
        <v>3138</v>
      </c>
      <c r="D5" s="42">
        <f>COUNTIFS('Ações InCompany'!B:B,2026,'Ações InCompany'!C:C,"Realizado")</f>
        <v>59</v>
      </c>
      <c r="E5" s="43" t="s">
        <v>3138</v>
      </c>
      <c r="G5" s="45">
        <f>COUNTIFS('Ações InCompany'!B:B,2026,'Ações InCompany'!C:C,"A realizar")</f>
        <v>23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1" t="s">
        <v>3139</v>
      </c>
      <c r="B8" s="211"/>
      <c r="D8" s="211" t="s">
        <v>3140</v>
      </c>
      <c r="E8" s="211"/>
    </row>
    <row r="9" spans="1:7" ht="5.0999999999999996" customHeight="1" x14ac:dyDescent="0.25">
      <c r="A9" s="212"/>
      <c r="B9" s="212"/>
      <c r="D9" s="212"/>
      <c r="E9" s="212"/>
    </row>
    <row r="10" spans="1:7" ht="24.95" customHeight="1" x14ac:dyDescent="0.25">
      <c r="A10" s="27" t="s">
        <v>5</v>
      </c>
      <c r="B10" s="27" t="s">
        <v>3141</v>
      </c>
      <c r="D10" s="27" t="s">
        <v>3142</v>
      </c>
      <c r="E10" s="27" t="s">
        <v>3143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3144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3145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3146</v>
      </c>
      <c r="E13" s="29">
        <f>SUMIFS('Ações InCompany'!Q:Q,'Ações InCompany'!B:B,2026,'Ações InCompany'!C:C,"Realizado")</f>
        <v>750</v>
      </c>
    </row>
    <row r="14" spans="1:7" ht="27.95" customHeight="1" x14ac:dyDescent="0.3">
      <c r="A14" s="32" t="s">
        <v>3147</v>
      </c>
      <c r="B14" s="33">
        <f>SUM(B11:B13)</f>
        <v>59</v>
      </c>
      <c r="D14" s="32" t="s">
        <v>3148</v>
      </c>
      <c r="E14" s="33">
        <f>SUM(E11:E13)</f>
        <v>3263</v>
      </c>
    </row>
    <row r="30" spans="1:5" ht="17.25" x14ac:dyDescent="0.3">
      <c r="A30" s="211" t="s">
        <v>3149</v>
      </c>
      <c r="B30" s="211"/>
      <c r="C30" s="211"/>
      <c r="D30" s="211"/>
      <c r="E30" s="211"/>
    </row>
    <row r="31" spans="1:5" ht="5.0999999999999996" customHeight="1" x14ac:dyDescent="0.25">
      <c r="A31" s="212"/>
      <c r="B31" s="212"/>
      <c r="C31" s="212"/>
      <c r="D31" s="212"/>
      <c r="E31" s="212"/>
    </row>
    <row r="32" spans="1:5" ht="24.95" customHeight="1" x14ac:dyDescent="0.25">
      <c r="A32" s="27" t="s">
        <v>6</v>
      </c>
      <c r="B32" s="27" t="s">
        <v>3150</v>
      </c>
      <c r="C32" s="27" t="s">
        <v>3151</v>
      </c>
      <c r="D32" s="27" t="s">
        <v>3152</v>
      </c>
      <c r="E32" s="27" t="s">
        <v>3153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0.25609756097560976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 x14ac:dyDescent="0.25">
      <c r="A35" s="28" t="s">
        <v>2698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0.10975609756097561</v>
      </c>
    </row>
    <row r="36" spans="1:5" ht="24" customHeight="1" x14ac:dyDescent="0.25">
      <c r="A36" s="30" t="s">
        <v>2791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0.12195121951219512</v>
      </c>
    </row>
    <row r="38" spans="1:5" ht="24" customHeight="1" x14ac:dyDescent="0.25">
      <c r="A38" s="30" t="s">
        <v>2716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 x14ac:dyDescent="0.25">
      <c r="A42" s="74" t="s">
        <v>3154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 x14ac:dyDescent="0.25">
      <c r="A44" s="66" t="s">
        <v>3155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3147</v>
      </c>
      <c r="B45" s="40">
        <f>SUM(B33:B44)</f>
        <v>59</v>
      </c>
      <c r="C45" s="40">
        <f>SUM(C33:C44)</f>
        <v>23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3156</v>
      </c>
      <c r="B1" s="11" t="s">
        <v>3157</v>
      </c>
      <c r="C1" s="12" t="s">
        <v>3158</v>
      </c>
      <c r="D1" s="12" t="s">
        <v>3159</v>
      </c>
      <c r="E1" s="12" t="s">
        <v>3160</v>
      </c>
    </row>
    <row r="2" spans="1:5" ht="18" customHeight="1" x14ac:dyDescent="0.25">
      <c r="A2" s="11" t="s">
        <v>3161</v>
      </c>
      <c r="B2" s="11" t="s">
        <v>3162</v>
      </c>
      <c r="C2" s="11" t="s">
        <v>1736</v>
      </c>
      <c r="D2" s="11" t="s">
        <v>3163</v>
      </c>
      <c r="E2" s="11" t="s">
        <v>3164</v>
      </c>
    </row>
    <row r="3" spans="1:5" ht="18" customHeight="1" x14ac:dyDescent="0.25">
      <c r="A3" s="11" t="s">
        <v>3161</v>
      </c>
      <c r="B3" s="11" t="s">
        <v>3162</v>
      </c>
      <c r="C3" s="13" t="s">
        <v>25</v>
      </c>
      <c r="D3" s="11" t="s">
        <v>3165</v>
      </c>
      <c r="E3" s="11" t="s">
        <v>3166</v>
      </c>
    </row>
    <row r="4" spans="1:5" ht="18" customHeight="1" x14ac:dyDescent="0.25">
      <c r="A4" s="11" t="s">
        <v>3161</v>
      </c>
      <c r="B4" s="11" t="s">
        <v>3162</v>
      </c>
      <c r="C4" s="11" t="s">
        <v>75</v>
      </c>
      <c r="D4" s="11" t="s">
        <v>3163</v>
      </c>
      <c r="E4" s="11" t="s">
        <v>3167</v>
      </c>
    </row>
    <row r="5" spans="1:5" ht="18" customHeight="1" x14ac:dyDescent="0.25">
      <c r="A5" s="11" t="s">
        <v>3161</v>
      </c>
      <c r="B5" s="11" t="s">
        <v>3162</v>
      </c>
      <c r="C5" s="11" t="s">
        <v>79</v>
      </c>
      <c r="D5" s="11" t="s">
        <v>3168</v>
      </c>
      <c r="E5" s="11" t="s">
        <v>3169</v>
      </c>
    </row>
    <row r="6" spans="1:5" ht="18" customHeight="1" x14ac:dyDescent="0.25">
      <c r="A6" s="11" t="s">
        <v>3161</v>
      </c>
      <c r="B6" s="11" t="s">
        <v>3162</v>
      </c>
      <c r="C6" s="11" t="s">
        <v>2716</v>
      </c>
      <c r="D6" s="11" t="s">
        <v>3170</v>
      </c>
      <c r="E6" s="11" t="s">
        <v>3171</v>
      </c>
    </row>
    <row r="7" spans="1:5" ht="18" customHeight="1" x14ac:dyDescent="0.25">
      <c r="A7" s="11" t="s">
        <v>3161</v>
      </c>
      <c r="B7" s="11" t="s">
        <v>3172</v>
      </c>
      <c r="C7" s="11" t="s">
        <v>36</v>
      </c>
      <c r="D7" s="11" t="s">
        <v>3173</v>
      </c>
      <c r="E7" s="11" t="s">
        <v>3174</v>
      </c>
    </row>
    <row r="8" spans="1:5" ht="18" customHeight="1" x14ac:dyDescent="0.25">
      <c r="A8" s="11" t="s">
        <v>3161</v>
      </c>
      <c r="B8" s="11" t="s">
        <v>3172</v>
      </c>
      <c r="C8" s="11" t="s">
        <v>42</v>
      </c>
      <c r="D8" s="11" t="s">
        <v>3175</v>
      </c>
      <c r="E8" s="11" t="s">
        <v>3176</v>
      </c>
    </row>
    <row r="9" spans="1:5" ht="18" customHeight="1" x14ac:dyDescent="0.25">
      <c r="A9" s="11" t="s">
        <v>3161</v>
      </c>
      <c r="B9" s="11" t="s">
        <v>3177</v>
      </c>
      <c r="C9" s="11" t="s">
        <v>464</v>
      </c>
      <c r="D9" s="11" t="s">
        <v>3178</v>
      </c>
      <c r="E9" s="11" t="s">
        <v>3179</v>
      </c>
    </row>
    <row r="10" spans="1:5" ht="18" customHeight="1" x14ac:dyDescent="0.25">
      <c r="A10" s="11" t="s">
        <v>3161</v>
      </c>
      <c r="B10" s="11" t="s">
        <v>3177</v>
      </c>
      <c r="C10" s="11" t="s">
        <v>206</v>
      </c>
      <c r="D10" s="11" t="s">
        <v>24</v>
      </c>
      <c r="E10" s="11" t="s">
        <v>3180</v>
      </c>
    </row>
    <row r="11" spans="1:5" ht="18" customHeight="1" x14ac:dyDescent="0.25">
      <c r="A11" s="11" t="s">
        <v>3161</v>
      </c>
      <c r="B11" s="11" t="s">
        <v>3177</v>
      </c>
      <c r="C11" s="11" t="s">
        <v>371</v>
      </c>
      <c r="D11" s="11" t="s">
        <v>24</v>
      </c>
      <c r="E11" s="11" t="s">
        <v>3181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3182</v>
      </c>
      <c r="B1" s="5" t="s">
        <v>10</v>
      </c>
      <c r="C1" s="14" t="s">
        <v>3183</v>
      </c>
      <c r="D1" s="14" t="s">
        <v>3105</v>
      </c>
    </row>
    <row r="2" spans="1:4" ht="21" customHeight="1" x14ac:dyDescent="0.25">
      <c r="A2" s="102" t="s">
        <v>24</v>
      </c>
      <c r="B2" s="102" t="s">
        <v>38</v>
      </c>
      <c r="C2" s="11" t="s">
        <v>3184</v>
      </c>
      <c r="D2" s="11" t="s">
        <v>2709</v>
      </c>
    </row>
    <row r="3" spans="1:4" ht="21" customHeight="1" x14ac:dyDescent="0.25">
      <c r="A3" s="11" t="s">
        <v>69</v>
      </c>
      <c r="B3" s="102" t="s">
        <v>27</v>
      </c>
      <c r="C3" s="11" t="s">
        <v>3185</v>
      </c>
      <c r="D3" s="11" t="s">
        <v>2565</v>
      </c>
    </row>
    <row r="4" spans="1:4" ht="21" customHeight="1" x14ac:dyDescent="0.25">
      <c r="A4" s="13" t="s">
        <v>88</v>
      </c>
      <c r="B4" s="102" t="s">
        <v>227</v>
      </c>
      <c r="D4" s="11" t="s">
        <v>2788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2845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3156</v>
      </c>
      <c r="B1" s="11" t="s">
        <v>3157</v>
      </c>
      <c r="C1" s="12" t="s">
        <v>3158</v>
      </c>
      <c r="D1" s="12" t="s">
        <v>3159</v>
      </c>
      <c r="E1" s="12" t="s">
        <v>3160</v>
      </c>
    </row>
    <row r="2" spans="1:5" ht="18" customHeight="1" x14ac:dyDescent="0.25">
      <c r="A2" s="11" t="s">
        <v>3186</v>
      </c>
      <c r="B2" s="11" t="s">
        <v>3162</v>
      </c>
      <c r="C2" s="13" t="s">
        <v>25</v>
      </c>
      <c r="D2" s="11" t="s">
        <v>3163</v>
      </c>
      <c r="E2" s="16" t="s">
        <v>3187</v>
      </c>
    </row>
    <row r="3" spans="1:5" ht="18" customHeight="1" x14ac:dyDescent="0.25">
      <c r="A3" s="11" t="s">
        <v>3186</v>
      </c>
      <c r="B3" s="11" t="s">
        <v>3162</v>
      </c>
      <c r="C3" s="11" t="s">
        <v>75</v>
      </c>
      <c r="D3" s="11" t="s">
        <v>3165</v>
      </c>
      <c r="E3" s="11" t="s">
        <v>3188</v>
      </c>
    </row>
    <row r="4" spans="1:5" ht="18" customHeight="1" x14ac:dyDescent="0.25">
      <c r="A4" s="11" t="s">
        <v>3186</v>
      </c>
      <c r="B4" s="11" t="s">
        <v>3162</v>
      </c>
      <c r="C4" s="11" t="s">
        <v>79</v>
      </c>
      <c r="D4" s="11" t="s">
        <v>3168</v>
      </c>
      <c r="E4" s="11" t="s">
        <v>3189</v>
      </c>
    </row>
    <row r="5" spans="1:5" ht="27.75" customHeight="1" x14ac:dyDescent="0.25">
      <c r="A5" s="11" t="s">
        <v>3186</v>
      </c>
      <c r="B5" s="11" t="s">
        <v>3162</v>
      </c>
      <c r="C5" s="11" t="s">
        <v>2693</v>
      </c>
      <c r="D5" s="16" t="s">
        <v>3190</v>
      </c>
      <c r="E5" s="11" t="s">
        <v>3191</v>
      </c>
    </row>
    <row r="6" spans="1:5" ht="18" customHeight="1" x14ac:dyDescent="0.25">
      <c r="A6" s="11" t="s">
        <v>3186</v>
      </c>
      <c r="B6" s="11" t="s">
        <v>3162</v>
      </c>
      <c r="C6" s="11" t="s">
        <v>2716</v>
      </c>
      <c r="D6" s="11" t="s">
        <v>3170</v>
      </c>
      <c r="E6" s="11" t="s">
        <v>3171</v>
      </c>
    </row>
    <row r="7" spans="1:5" ht="18" customHeight="1" x14ac:dyDescent="0.25">
      <c r="A7" s="11" t="s">
        <v>3186</v>
      </c>
      <c r="B7" s="11" t="s">
        <v>3172</v>
      </c>
      <c r="C7" s="11" t="s">
        <v>2698</v>
      </c>
      <c r="D7" s="11" t="s">
        <v>3192</v>
      </c>
      <c r="E7" s="11" t="s">
        <v>3193</v>
      </c>
    </row>
    <row r="8" spans="1:5" ht="18" customHeight="1" x14ac:dyDescent="0.25">
      <c r="A8" s="11" t="s">
        <v>3186</v>
      </c>
      <c r="B8" s="11" t="s">
        <v>3172</v>
      </c>
      <c r="C8" s="11" t="s">
        <v>42</v>
      </c>
      <c r="D8" s="11" t="s">
        <v>3175</v>
      </c>
      <c r="E8" s="11" t="s">
        <v>3176</v>
      </c>
    </row>
    <row r="9" spans="1:5" ht="18" customHeight="1" x14ac:dyDescent="0.25">
      <c r="A9" s="11" t="s">
        <v>3186</v>
      </c>
      <c r="B9" s="11" t="s">
        <v>3172</v>
      </c>
      <c r="C9" s="11" t="s">
        <v>2791</v>
      </c>
      <c r="D9" s="11" t="s">
        <v>3194</v>
      </c>
      <c r="E9" s="16" t="s">
        <v>3195</v>
      </c>
    </row>
    <row r="10" spans="1:5" ht="18" customHeight="1" x14ac:dyDescent="0.25">
      <c r="A10" s="11" t="s">
        <v>3186</v>
      </c>
      <c r="B10" s="11" t="s">
        <v>3196</v>
      </c>
      <c r="C10" s="11" t="s">
        <v>3154</v>
      </c>
      <c r="D10" s="11" t="s">
        <v>3197</v>
      </c>
      <c r="E10" s="16" t="s">
        <v>3198</v>
      </c>
    </row>
    <row r="11" spans="1:5" ht="18" customHeight="1" x14ac:dyDescent="0.25">
      <c r="A11" s="11" t="s">
        <v>3186</v>
      </c>
      <c r="B11" s="11" t="s">
        <v>3196</v>
      </c>
      <c r="C11" s="11" t="s">
        <v>206</v>
      </c>
      <c r="D11" s="11" t="s">
        <v>24</v>
      </c>
      <c r="E11" s="11" t="s">
        <v>3180</v>
      </c>
    </row>
    <row r="12" spans="1:5" ht="18" customHeight="1" x14ac:dyDescent="0.25">
      <c r="A12" s="11" t="s">
        <v>3186</v>
      </c>
      <c r="B12" s="11" t="s">
        <v>3196</v>
      </c>
      <c r="C12" s="11" t="s">
        <v>371</v>
      </c>
      <c r="D12" s="11" t="s">
        <v>24</v>
      </c>
      <c r="E12" s="11" t="s">
        <v>3181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8" t="s">
        <v>3199</v>
      </c>
      <c r="B1" s="218"/>
      <c r="C1" s="218"/>
      <c r="D1" s="218"/>
      <c r="E1" s="218"/>
      <c r="F1" s="218"/>
      <c r="G1" s="218"/>
      <c r="H1" s="218"/>
    </row>
    <row r="2" spans="1:8" x14ac:dyDescent="0.25">
      <c r="A2" s="48" t="s">
        <v>3200</v>
      </c>
    </row>
    <row r="4" spans="1:8" ht="21.95" customHeight="1" x14ac:dyDescent="0.25">
      <c r="A4" s="219" t="s">
        <v>3201</v>
      </c>
      <c r="B4" s="220"/>
      <c r="D4" s="219" t="s">
        <v>3202</v>
      </c>
      <c r="E4" s="220"/>
      <c r="G4" s="219" t="s">
        <v>3203</v>
      </c>
      <c r="H4" s="220"/>
    </row>
    <row r="5" spans="1:8" ht="35.1" customHeight="1" x14ac:dyDescent="0.25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 x14ac:dyDescent="0.25"/>
    <row r="7" spans="1:8" ht="24.95" customHeight="1" thickBot="1" x14ac:dyDescent="0.3">
      <c r="A7" s="61" t="s">
        <v>3204</v>
      </c>
      <c r="B7" s="61" t="s">
        <v>3205</v>
      </c>
      <c r="C7" s="61" t="s">
        <v>1</v>
      </c>
      <c r="D7" s="61" t="s">
        <v>3206</v>
      </c>
      <c r="E7" s="61" t="s">
        <v>3207</v>
      </c>
      <c r="F7" s="61" t="s">
        <v>3105</v>
      </c>
      <c r="G7" s="61" t="s">
        <v>5</v>
      </c>
      <c r="H7" s="61" t="s">
        <v>3208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>Adiado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4" t="s">
        <v>3209</v>
      </c>
      <c r="B1" s="224"/>
      <c r="C1" s="224"/>
      <c r="D1" s="224"/>
      <c r="E1" s="224"/>
      <c r="F1" s="224"/>
    </row>
    <row r="2" spans="1:7" x14ac:dyDescent="0.25">
      <c r="A2" s="225" t="s">
        <v>3210</v>
      </c>
      <c r="B2" s="225"/>
      <c r="C2" s="225"/>
      <c r="D2" s="225"/>
      <c r="E2" s="225"/>
      <c r="F2" s="225"/>
    </row>
    <row r="4" spans="1:7" x14ac:dyDescent="0.25">
      <c r="A4" s="24" t="s">
        <v>19</v>
      </c>
      <c r="B4" s="24" t="s">
        <v>3108</v>
      </c>
      <c r="C4" s="24" t="s">
        <v>3109</v>
      </c>
      <c r="D4" s="24" t="s">
        <v>3211</v>
      </c>
      <c r="E4" s="24" t="s">
        <v>3110</v>
      </c>
      <c r="F4" s="24" t="s">
        <v>3212</v>
      </c>
    </row>
    <row r="5" spans="1:7" x14ac:dyDescent="0.25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 x14ac:dyDescent="0.25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 x14ac:dyDescent="0.25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 x14ac:dyDescent="0.25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 x14ac:dyDescent="0.25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 x14ac:dyDescent="0.25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 x14ac:dyDescent="0.25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 x14ac:dyDescent="0.25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 x14ac:dyDescent="0.25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 x14ac:dyDescent="0.25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 x14ac:dyDescent="0.25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 x14ac:dyDescent="0.25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 x14ac:dyDescent="0.25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 x14ac:dyDescent="0.25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 x14ac:dyDescent="0.25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 x14ac:dyDescent="0.25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 x14ac:dyDescent="0.25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 x14ac:dyDescent="0.25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3148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3213</v>
      </c>
      <c r="B1" s="117" t="s">
        <v>3214</v>
      </c>
      <c r="C1" s="117" t="s">
        <v>3215</v>
      </c>
      <c r="D1" s="117" t="s">
        <v>3216</v>
      </c>
      <c r="E1" s="117" t="s">
        <v>3217</v>
      </c>
      <c r="F1" s="117" t="s">
        <v>3218</v>
      </c>
      <c r="G1" s="117" t="s">
        <v>10</v>
      </c>
      <c r="H1" s="117" t="s">
        <v>3219</v>
      </c>
      <c r="I1" s="117" t="s">
        <v>3220</v>
      </c>
      <c r="J1" s="117" t="s">
        <v>3221</v>
      </c>
      <c r="K1" s="117" t="s">
        <v>3222</v>
      </c>
      <c r="L1" s="117" t="s">
        <v>3223</v>
      </c>
      <c r="N1" s="117" t="s">
        <v>3224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3225</v>
      </c>
      <c r="L2" t="str">
        <f>IF(K2="","",IFERROR(INDEX(Tabela2[Curso],MATCH(K2,Tabela2[ID],0)),""))</f>
        <v/>
      </c>
      <c r="N2" s="117" t="s">
        <v>3104</v>
      </c>
      <c r="O2" s="117" t="s">
        <v>4</v>
      </c>
      <c r="P2" s="117" t="s">
        <v>3226</v>
      </c>
      <c r="Q2" s="117" t="s">
        <v>3227</v>
      </c>
      <c r="R2" s="117" t="s">
        <v>3228</v>
      </c>
      <c r="S2" s="117" t="s">
        <v>3229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3225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3225</v>
      </c>
      <c r="L4" t="str">
        <f>IF(K4="","",IFERROR(INDEX(Tabela2[Curso],MATCH(K4,Tabela2[ID],0)),""))</f>
        <v/>
      </c>
      <c r="N4" t="s">
        <v>2752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3225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3225</v>
      </c>
      <c r="L6" t="str">
        <f>IF(K6="","",IFERROR(INDEX(Tabela2[Curso],MATCH(K6,Tabela2[ID],0)),""))</f>
        <v/>
      </c>
      <c r="N6" t="s">
        <v>2834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3225</v>
      </c>
      <c r="L7" t="str">
        <f>IF(K7="","",IFERROR(INDEX(Tabela2[Curso],MATCH(K7,Tabela2[ID],0)),""))</f>
        <v/>
      </c>
      <c r="N7" t="s">
        <v>2838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3225</v>
      </c>
      <c r="L8" t="str">
        <f>IF(K8="","",IFERROR(INDEX(Tabela2[Curso],MATCH(K8,Tabela2[ID],0)),""))</f>
        <v/>
      </c>
      <c r="N8" t="s">
        <v>2719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3225</v>
      </c>
      <c r="L10" t="str">
        <f>IF(K10="","",IFERROR(INDEX(Tabela2[Curso],MATCH(K10,Tabela2[ID],0)),""))</f>
        <v/>
      </c>
      <c r="N10" s="111" t="s">
        <v>3230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3225</v>
      </c>
      <c r="L11" t="str">
        <f>IF(K11="","",IFERROR(INDEX(Tabela2[Curso],MATCH(K11,Tabela2[ID],0)),""))</f>
        <v/>
      </c>
      <c r="N11" s="210" t="s">
        <v>3231</v>
      </c>
      <c r="O11" s="210" t="s">
        <v>3232</v>
      </c>
      <c r="P11" s="210" t="s">
        <v>3233</v>
      </c>
      <c r="Q11" s="210" t="s">
        <v>3216</v>
      </c>
      <c r="R11" s="210" t="s">
        <v>3217</v>
      </c>
      <c r="S11" s="210" t="s">
        <v>3234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3225</v>
      </c>
      <c r="L12" t="str">
        <f>IF(K12="","",IFERROR(INDEX(Tabela2[Curso],MATCH(K12,Tabela2[ID],0)),""))</f>
        <v/>
      </c>
      <c r="N12" t="s">
        <v>3235</v>
      </c>
      <c r="O12" t="s">
        <v>2752</v>
      </c>
      <c r="P12" t="s">
        <v>3236</v>
      </c>
      <c r="Q12">
        <v>0</v>
      </c>
      <c r="R12">
        <v>0</v>
      </c>
      <c r="S12" t="s">
        <v>3237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3225</v>
      </c>
      <c r="L13" t="str">
        <f>IF(K13="","",IFERROR(INDEX(Tabela2[Curso],MATCH(K13,Tabela2[ID],0)),""))</f>
        <v/>
      </c>
      <c r="N13" t="s">
        <v>3238</v>
      </c>
      <c r="O13" t="s">
        <v>2685</v>
      </c>
      <c r="P13" t="s">
        <v>3239</v>
      </c>
      <c r="Q13">
        <v>0</v>
      </c>
      <c r="R13">
        <v>0</v>
      </c>
      <c r="S13" t="s">
        <v>3240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3225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2026-09-14T17:27:13Z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