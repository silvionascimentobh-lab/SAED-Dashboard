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7" documentId="13_ncr:1_{6A2CC3E2-FAFB-4D8F-B284-5E8FB5045DFE}" xr6:coauthVersionLast="47" xr6:coauthVersionMax="47" xr10:uidLastSave="{FEA01608-8EA6-4BB6-BF61-06E24359A02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<sst xmlns="http://schemas.openxmlformats.org/spreadsheetml/2006/main" count="7202" uniqueCount="3172">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</sst>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horizontal="center" vertical="center"/>
    </xf>
    <xf numFmtId="170" fontId="31" fillId="0" borderId="1" xfId="0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Fill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170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94"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alignment horizontal="left"/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93"/>
      <tableStyleElement type="firstRowStripe" dxfId="92"/>
      <tableStyleElement type="secondRowStripe" dxfId="91"/>
    </tableStyle>
    <tableStyle name="Ações InCompany-style" pivot="0" count="3" xr9:uid="{00000000-0011-0000-FFFF-FFFF01000000}">
      <tableStyleElement type="headerRow" dxfId="90"/>
      <tableStyleElement type="firstRowStripe" dxfId="89"/>
      <tableStyleElement type="secondRowStripe" dxfId="88"/>
    </tableStyle>
    <tableStyle name="Coffee Break-style" pivot="0" count="3" xr9:uid="{00000000-0011-0000-FFFF-FFFF02000000}">
      <tableStyleElement type="headerRow" dxfId="87"/>
      <tableStyleElement type="firstRowStripe" dxfId="86"/>
      <tableStyleElement type="secondRowStripe" dxfId="85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67" dataDxfId="66" totalsRowDxfId="65" totalsRowBorderDxfId="64">
  <autoFilter ref="A1:T2007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62" totalsRowDxfId="63"/>
    <tableColumn id="2" xr3:uid="{19532738-24D5-4BD5-BE04-C19DCC5894A1}" name="Ano" dataDxfId="60" totalsRowDxfId="61"/>
    <tableColumn id="3" xr3:uid="{8DE0B36A-F0DC-47A1-A74E-F4BE63A4FB1D}" name="Status Evento" dataDxfId="58" totalsRowDxfId="59"/>
    <tableColumn id="4" xr3:uid="{C1159FBD-CCD0-4CA2-BB8C-598E3AB5DDD8}" name="Processo" dataDxfId="56" totalsRowDxfId="57"/>
    <tableColumn id="5" xr3:uid="{A32670A4-BE4F-480D-8DE9-8FF18024C829}" name="Curso" dataDxfId="54" totalsRowDxfId="55"/>
    <tableColumn id="8" xr3:uid="{905DEA0A-D099-47EA-972D-1012D71C7792}" name="Público-Alvo" dataDxfId="52" totalsRowDxfId="53"/>
    <tableColumn id="9" xr3:uid="{7DC0A0BE-8030-47CA-AF56-2C13C9FF7AE5}" name="Programa" dataDxfId="50" totalsRowDxfId="51"/>
    <tableColumn id="11" xr3:uid="{2B799ACD-69E4-46A5-9A4F-F7E3D7A47CE9}" name="Data TXT" dataDxfId="48" totalsRowDxfId="49"/>
    <tableColumn id="12" xr3:uid="{62016C67-3729-4C41-B72D-09D6616B7474}" name="Início" dataDxfId="46" totalsRowDxfId="47"/>
    <tableColumn id="13" xr3:uid="{E4F20518-0042-40C0-B590-B7616F2843A5}" name="Término" dataDxfId="44" totalsRowDxfId="45"/>
    <tableColumn id="14" xr3:uid="{4D6C4412-CFEE-4506-830E-F79FD008371B}" name="Modalidade" dataDxfId="42" totalsRowDxfId="43"/>
    <tableColumn id="15" xr3:uid="{12EC931A-E71B-4AEB-B20B-0F9EA63D0C71}" name="Valor instrutoria" dataDxfId="40" totalsRowDxfId="41" dataCellStyle="Moeda"/>
    <tableColumn id="17" xr3:uid="{8FCDFADA-4FA3-41E0-86FF-E623116BAFEB}" name="Nota Av. Reação" dataDxfId="38" totalsRowDxfId="39"/>
    <tableColumn id="19" xr3:uid="{316EB379-BB97-4F60-9566-576B25A26B0E}" name="Qtd Vagas" dataDxfId="36" totalsRowDxfId="37"/>
    <tableColumn id="20" xr3:uid="{59A9FB16-6726-411C-88B5-8165DD520DA3}" name="P. Servidores" dataDxfId="34" totalsRowDxfId="35"/>
    <tableColumn id="21" xr3:uid="{0246E091-ADCD-4F62-8F95-84B21E8A7BE1}" name="P. Jurisdicionados" dataDxfId="32" totalsRowDxfId="33"/>
    <tableColumn id="22" xr3:uid="{1B6DBD6D-C072-4600-81C1-69D6F4422D7D}" name="P. Sociedade" dataDxfId="30" totalsRowDxfId="31"/>
    <tableColumn id="23" xr3:uid="{109F7E4E-776C-4249-88BE-FEC3A375D7D9}" name="Total Part." dataDxfId="28" totalsRowDxfId="29"/>
    <tableColumn id="24" xr3:uid="{C67AA4C6-834C-4EBB-839B-EF0CDD50F649}" name="C.H." dataDxfId="26" totalsRowDxfId="27"/>
    <tableColumn id="26" xr3:uid="{973608F6-3E97-493C-AC61-980F73C13CD6}" name="Instrutor" dataDxfId="24" totalsRowDxfId="2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8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D1" zoomScale="120" zoomScaleNormal="120" workbookViewId="0">
      <pane ySplit="1" topLeftCell="A722" activePane="bottomLeft" state="frozen"/>
      <selection pane="bottomLeft" activeCell="E2005" sqref="E200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249"/>
      <c r="B2002" s="250"/>
      <c r="C2002" s="251"/>
      <c r="D2002" s="251"/>
      <c r="E2002" s="252" t="s">
        <v>3169</v>
      </c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x14ac:dyDescent="0.25">
      <c r="A2003" s="249"/>
      <c r="B2003" s="250"/>
      <c r="C2003" s="251"/>
      <c r="D2003" s="251"/>
      <c r="E2003" s="252" t="s">
        <v>3171</v>
      </c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customHeight="1" x14ac:dyDescent="0.25">
      <c r="A2004" s="238"/>
      <c r="B2004" s="239"/>
      <c r="C2004" s="240"/>
      <c r="D2004" s="240"/>
      <c r="E2004" s="237" t="s">
        <v>3170</v>
      </c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customHeight="1" x14ac:dyDescent="0.25">
      <c r="A2005" s="249"/>
      <c r="B2005" s="250"/>
      <c r="C2005" s="251"/>
      <c r="D2005" s="251"/>
      <c r="E2005" s="252" t="s">
        <v>3169</v>
      </c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customHeight="1" x14ac:dyDescent="0.25">
      <c r="A2006" s="238"/>
      <c r="B2006" s="239"/>
      <c r="C2006" s="240"/>
      <c r="D2006" s="240"/>
      <c r="E2006" s="237" t="s">
        <v>3169</v>
      </c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customHeight="1" x14ac:dyDescent="0.25">
      <c r="A2007" s="249"/>
      <c r="B2007" s="250"/>
      <c r="C2007" s="251"/>
      <c r="D2007" s="251"/>
      <c r="E2007" s="252" t="s">
        <v>3169</v>
      </c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23" priority="3">
      <formula>TRIM(C2)="Realizado"</formula>
    </cfRule>
  </conditionalFormatting>
  <conditionalFormatting sqref="C2:C2007">
    <cfRule type="expression" dxfId="22" priority="4">
      <formula>TRIM(C2)="Cancelado"</formula>
    </cfRule>
  </conditionalFormatting>
  <conditionalFormatting sqref="C2:C2007">
    <cfRule type="expression" dxfId="21" priority="5">
      <formula>TRIM(C2)="Em andamento"</formula>
    </cfRule>
  </conditionalFormatting>
  <conditionalFormatting sqref="C2:C2007">
    <cfRule type="expression" dxfId="20" priority="6">
      <formula>TRIM(C2)="Adiado"</formula>
    </cfRule>
  </conditionalFormatting>
  <conditionalFormatting sqref="A2:A2007">
    <cfRule type="expression" dxfId="19" priority="7">
      <formula>AND($B2&lt;&gt;"",$A2="")</formula>
    </cfRule>
  </conditionalFormatting>
  <conditionalFormatting sqref="L2:M2007">
    <cfRule type="expression" dxfId="18" priority="8">
      <formula>L2=""</formula>
    </cfRule>
  </conditionalFormatting>
  <conditionalFormatting sqref="A2:T726 A727:C727 E727:T727 A728:T2001">
    <cfRule type="expression" dxfId="83" priority="9">
      <formula>MOD(ROW(),2)=0</formula>
    </cfRule>
  </conditionalFormatting>
  <conditionalFormatting sqref="A2:T726 A727:C727 E727:T727 A728:T2001">
    <cfRule type="expression" dxfId="82" priority="10">
      <formula>MOD(ROW(),2)=1</formula>
    </cfRule>
  </conditionalFormatting>
  <conditionalFormatting sqref="E2002:E2007">
    <cfRule type="expression" dxfId="75" priority="1">
      <formula>MOD(ROW(),2)=0</formula>
    </cfRule>
  </conditionalFormatting>
  <conditionalFormatting sqref="E2002:E2007">
    <cfRule type="expression" dxfId="74" priority="2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81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8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79" priority="1">
      <formula>$J2="CORRIGIR"</formula>
    </cfRule>
  </conditionalFormatting>
  <conditionalFormatting sqref="A2:L65">
    <cfRule type="expression" dxfId="78" priority="2">
      <formula>$J2="REVISAR"</formula>
    </cfRule>
  </conditionalFormatting>
  <conditionalFormatting sqref="A2:L65">
    <cfRule type="expression" dxfId="77" priority="3">
      <formula>$J2="OK"</formula>
    </cfRule>
  </conditionalFormatting>
  <conditionalFormatting sqref="I2:I65">
    <cfRule type="containsText" dxfId="76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2026-08-04T21:00:17Z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