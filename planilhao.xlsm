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53" documentId="8_{454372C2-A99E-4E47-A759-72B38925853E}" xr6:coauthVersionLast="47" xr6:coauthVersionMax="47" xr10:uidLastSave="{1196F813-CC6E-4647-8657-1382FCDC561D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I17" i="29" l="1"/>
  <c r="S8" i="29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<sst xmlns="http://schemas.openxmlformats.org/spreadsheetml/2006/main" count="7137" uniqueCount="3165">
  <si>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</si>
  <si>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</si>
  <si>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</si>
  <si>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</si>
  <si>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</si>
  <si>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</si>
  <si>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</si>
  <si>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</si>
  <si>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</si>
  <si>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</si>
  <si>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</si>
  <si>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</si>
  <si>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</si>
  <si>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</si>
  <si>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</si>
  <si>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</si>
  <si>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</si>
  <si>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</si>
  <si>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</si>
  <si>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</si>
  <si>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</si>
  <si>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</si>
  <si>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</si>
  <si>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</si>
  <si>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</si>
  <si>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</si>
  <si>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</si>
  <si>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</si>
  <si>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</si>
  <si>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</si>
  <si>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</si>
  <si>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</si>
  <si>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</si>
  <si>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</si>
  <si>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</si>
  <si>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</si>
  <si>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</si>
  <si>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</si>
  <si>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</si>
  <si>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</si>
  <si>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</si>
  <si>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</si>
  <si>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</si>
  <si>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</si>
  <si>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</si>
  <si>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</si>
  <si>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</si>
  <si>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</si>
  <si>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</si>
  <si>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</si>
  <si>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</si>
  <si>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</si>
  <si>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</si>
  <si>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</si>
  <si>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</si>
  <si>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</si>
  <si>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</si>
  <si>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</si>
  <si>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</si>
  <si>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</si>
  <si>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</si>
  <si>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</si>
  <si>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</si>
  <si>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</si>
  <si>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</si>
  <si>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</si>
  <si>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</si>
  <si>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</si>
  <si>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</si>
  <si>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</si>
  <si>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</si>
  <si>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</si>
  <si>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</si>
  <si>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</si>
  <si>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</si>
  <si>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</si>
  <si>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</si>
  <si>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</si>
  <si>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</si>
  <si>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</si>
  <si>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</si>
  <si>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</si>
  <si>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</si>
  <si>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</si>
  <si>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</si>
  <si>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</si>
  <si>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</si>
  <si>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</si>
  <si>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</si>
  <si>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</si>
  <si>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</si>
  <si>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</si>
  <si>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</si>
  <si>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</si>
  <si>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</si>
  <si>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</si>
  <si>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</si>
  <si>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</si>
  <si>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</si>
  <si>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</si>
  <si>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</si>
  <si>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</si>
  <si>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</si>
  <si>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</si>
  <si>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</si>
  <si>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</si>
  <si>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</si>
  <si>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</si>
  <si>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</si>
  <si>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</si>
  <si>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</si>
  <si>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</si>
  <si>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</si>
  <si>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</si>
  <si>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</si>
  <si>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</si>
  <si>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</si>
  <si>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</si>
  <si>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</si>
  <si>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</si>
  <si>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</si>
  <si>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</si>
  <si>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</si>
  <si>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</si>
  <si>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</si>
  <si>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</si>
  <si>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</si>
  <si>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</si>
  <si>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</si>
  <si>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</si>
  <si>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</si>
  <si>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</si>
  <si>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</si>
  <si>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</si>
  <si>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</si>
  <si>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</si>
  <si>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</si>
  <si>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</si>
  <si>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</si>
  <si>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</si>
  <si>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</si>
  <si>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</si>
  <si>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</si>
  <si>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</si>
  <si>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</si>
  <si>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</si>
  <si>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</si>
  <si>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</si>
  <si>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</si>
  <si>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</si>
  <si>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</si>
  <si>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</si>
  <si>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</si>
  <si>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</si>
  <si>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</si>
  <si>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</si>
  <si>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</si>
  <si>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</si>
  <si>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</si>
  <si>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</si>
  <si>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</si>
  <si>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</si>
  <si>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</si>
  <si>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</si>
  <si>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</si>
  <si>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</si>
  <si>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</si>
  <si>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</si>
  <si>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</si>
  <si>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</si>
  <si>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</si>
  <si>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</si>
  <si>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</si>
  <si>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</si>
  <si>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</si>
  <si>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</si>
  <si>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</si>
  <si>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</si>
  <si>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</si>
  <si>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</si>
  <si>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</si>
  <si>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</si>
  <si>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</si>
  <si>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</si>
  <si>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</si>
  <si>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</si>
  <si>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</si>
  <si>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</si>
  <si>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</si>
  <si>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</si>
  <si>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</si>
  <si>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</si>
  <si>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</si>
  <si>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</si>
  <si>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</si>
  <si>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</si>
  <si>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</si>
  <si>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</si>
  <si>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</si>
  <si>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</si>
  <si>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</si>
  <si>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</si>
  <si>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</si>
  <si>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</si>
  <si>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</si>
  <si>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</si>
  <si>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</si>
  <si>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</si>
  <si>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</si>
  <si>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</si>
  <si>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</si>
  <si>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</si>
  <si>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</si>
  <si>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</si>
  <si>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</si>
  <si>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</si>
  <si>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</si>
  <si>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</si>
  <si>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</si>
  <si>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</si>
  <si>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</si>
  <si>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</si>
  <si>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</si>
  <si>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</si>
  <si>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</si>
  <si>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</si>
  <si>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</si>
  <si>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</si>
  <si>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</si>
  <si>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</si>
  <si>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</si>
  <si>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</si>
  <si>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</si>
  <si>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</si>
  <si>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</si>
  <si>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</si>
  <si>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</si>
  <si>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</si>
  <si>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</si>
  <si>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</si>
  <si>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</si>
  <si>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</si>
  <si>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</si>
  <si>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</si>
  <si>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</si>
  <si>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</si>
  <si>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</si>
  <si>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</si>
  <si>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</si>
  <si>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</si>
  <si>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</si>
  <si>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</si>
  <si>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</si>
  <si>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</si>
  <si>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</si>
  <si>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</si>
  <si>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</si>
  <si>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</si>
  <si>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</si>
  <si>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</si>
  <si>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</si>
  <si>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</si>
  <si>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</si>
  <si>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</si>
  <si>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</si>
  <si>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</si>
  <si>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</si>
  <si>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</si>
  <si>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</si>
  <si>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</si>
  <si>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</si>
  <si>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</si>
  <si>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</si>
  <si>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</si>
  <si>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</si>
  <si>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</si>
  <si>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</si>
  <si>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</si>
  <si>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</si>
  <si>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</si>
  <si>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</si>
  <si>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</si>
  <si>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</si>
  <si>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</si>
  <si>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</si>
  <si>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</si>
  <si>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</si>
  <si>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</si>
  <si>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</si>
  <si>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</si>
  <si>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</si>
  <si>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</si>
  <si>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</si>
  <si>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</si>
  <si>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</si>
  <si>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</si>
  <si>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</si>
  <si>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</si>
  <si>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</si>
  <si>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</si>
  <si>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</si>
  <si>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</si>
  <si>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</si>
  <si>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</si>
  <si>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</si>
  <si>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</si>
  <si>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</si>
  <si>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</si>
  <si>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</si>
  <si>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</si>
  <si>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</si>
  <si>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</si>
  <si>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</si>
  <si>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</si>
  <si>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</si>
  <si>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</si>
  <si>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</si>
  <si>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</si>
  <si>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</si>
  <si>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</si>
  <si>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</si>
  <si>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</si>
  <si>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</si>
  <si>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</si>
  <si>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</si>
  <si>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</si>
  <si>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</si>
  <si>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</si>
  <si>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</si>
  <si>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</si>
  <si>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</si>
  <si>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</si>
  <si>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</si>
  <si>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</si>
  <si>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</si>
  <si>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</si>
  <si>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</si>
  <si>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</si>
  <si>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</si>
  <si>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</si>
  <si>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</si>
  <si>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</si>
  <si>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</si>
  <si>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</si>
  <si>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</si>
  <si>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</si>
  <si>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</si>
  <si>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</si>
  <si>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</si>
  <si>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</si>
  <si>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</si>
  <si>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</si>
  <si>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</si>
  <si>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</si>
  <si>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</si>
  <si>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</si>
  <si>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</si>
  <si>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</si>
  <si>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</si>
  <si>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</si>
  <si>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</si>
  <si>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</si>
  <si>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</si>
  <si>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</si>
  <si>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</si>
  <si>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</si>
  <si>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</si>
  <si>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</si>
  <si>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</si>
  <si>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</si>
  <si>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</si>
  <si>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</si>
  <si>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</si>
  <si>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</si>
  <si>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</si>
  <si>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</si>
  <si>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</si>
  <si>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</si>
  <si>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</si>
  <si>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</si>
  <si>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</si>
  <si>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</si>
  <si>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</si>
  <si>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</si>
  <si>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</si>
  <si>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</si>
  <si>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</si>
  <si>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</si>
  <si>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</si>
  <si>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</si>
  <si>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</si>
  <si>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</si>
  <si>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</si>
  <si>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</si>
  <si>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</si>
  <si>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</si>
  <si>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</si>
  <si>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</si>
  <si>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</si>
  <si>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</si>
  <si>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</si>
  <si>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</si>
  <si>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</si>
  <si>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</si>
  <si>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</si>
  <si>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</si>
  <si>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</si>
  <si>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</si>
  <si>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</si>
  <si>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</si>
  <si>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</si>
  <si>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</si>
  <si>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</si>
  <si>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</si>
  <si>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</si>
  <si>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</si>
  <si>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</si>
  <si>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</si>
  <si>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</si>
  <si>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</si>
  <si>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</si>
  <si>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</si>
  <si>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</si>
  <si>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</si>
  <si>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</si>
  <si>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</si>
  <si>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</si>
  <si>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</si>
  <si>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</si>
  <si>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</si>
  <si>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</si>
  <si>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</si>
  <si>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</si>
  <si>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</si>
  <si>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</si>
  <si>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</si>
  <si>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</si>
  <si>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</si>
  <si>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</si>
  <si>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</si>
  <si>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</si>
  <si>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</si>
  <si>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</si>
  <si>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</si>
  <si>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</si>
  <si>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</si>
  <si>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</si>
  <si>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</si>
  <si>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</si>
  <si>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</si>
  <si>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</si>
  <si>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</si>
  <si>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</si>
  <si>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</si>
  <si>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</si>
  <si>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</si>
  <si>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</si>
  <si>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</si>
  <si>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</si>
  <si>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</si>
  <si>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</si>
  <si>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</si>
  <si>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</si>
  <si>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</si>
  <si>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</si>
  <si>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</si>
  <si>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</si>
  <si>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</si>
  <si>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</si>
  <si>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</si>
  <si>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</si>
  <si>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</si>
  <si>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</si>
  <si>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</si>
  <si>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</si>
  <si>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</si>
  <si>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</si>
  <si>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</si>
  <si>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</si>
  <si>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</si>
  <si>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</si>
  <si>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</si>
  <si>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</si>
  <si>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</si>
  <si>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</si>
  <si>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</si>
  <si>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</si>
  <si>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</si>
  <si>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</si>
  <si>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</si>
  <si>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</si>
  <si>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</si>
  <si>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</si>
  <si>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</si>
  <si>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</si>
  <si>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</si>
  <si>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</si>
  <si>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</si>
  <si>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</si>
  <si>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</si>
  <si>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</si>
  <si>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</si>
  <si>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</si>
  <si>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</si>
  <si>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</si>
  <si>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</si>
  <si>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</si>
  <si>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</si>
  <si>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</si>
  <si>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</si>
  <si>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</si>
  <si>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</si>
  <si>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</si>
  <si>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</si>
  <si>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</si>
  <si>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</si>
  <si>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</si>
  <si>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</si>
  <si>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</si>
  <si>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</si>
  <si>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</si>
  <si>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</si>
  <si>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</si>
  <si>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</si>
  <si>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</si>
  <si>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</si>
  <si>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</si>
  <si>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</si>
  <si>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</si>
  <si>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</si>
  <si>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</si>
  <si>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</si>
  <si>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</si>
  <si>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</si>
  <si>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</si>
  <si>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</si>
  <si>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</si>
  <si>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</si>
  <si>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</si>
  <si>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</si>
  <si>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</si>
  <si>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</si>
  <si>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</si>
  <si>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</si>
  <si>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</si>
  <si>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</si>
  <si>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</si>
  <si>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</si>
  <si>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</si>
  <si>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</si>
  <si>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</si>
  <si>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</si>
  <si>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</si>
  <si>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</si>
  <si>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</si>
  <si>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</si>
  <si>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</si>
  <si>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</si>
  <si>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</si>
  <si>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</si>
  <si>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</si>
  <si>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</si>
  <si>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</si>
  <si>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</si>
  <si>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</si>
  <si>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</si>
  <si>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</si>
  <si>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</si>
  <si>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</si>
  <si>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</si>
  <si>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</si>
  <si>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</si>
  <si>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</si>
  <si>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</si>
  <si>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</si>
  <si>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</si>
  <si>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</si>
  <si>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</si>
  <si>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</si>
  <si>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</si>
  <si>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</si>
  <si>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</si>
  <si>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</si>
  <si>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</si>
  <si>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</si>
  <si>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</si>
  <si>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</si>
  <si>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</si>
  <si>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</si>
  <si>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</si>
  <si>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</si>
  <si>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</si>
  <si>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</si>
  <si>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</si>
  <si>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</si>
  <si>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</si>
  <si>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</si>
  <si>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</si>
  <si>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</si>
  <si>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</si>
  <si>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</si>
  <si>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</si>
  <si>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</si>
  <si>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</si>
  <si>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</si>
  <si>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</si>
  <si>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</si>
  <si>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</si>
  <si>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</si>
  <si>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</si>
  <si>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</si>
  <si>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</si>
  <si>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</si>
  <si>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</si>
  <si>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</si>
  <si>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</si>
  <si>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</si>
  <si>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</si>
  <si>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</si>
  <si>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</si>
  <si>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</si>
  <si>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</si>
  <si>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</si>
  <si>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</si>
  <si>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</si>
  <si>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</si>
  <si>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</si>
  <si>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</si>
  <si>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</si>
  <si>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</si>
  <si>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</si>
  <si>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</si>
  <si>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</si>
  <si>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</si>
  <si>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</si>
  <si>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</si>
  <si>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</si>
  <si>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</si>
  <si>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</si>
  <si>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</si>
  <si>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</si>
  <si>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</si>
  <si>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</si>
  <si>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</si>
  <si>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</si>
  <si>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</si>
  <si>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</si>
  <si>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</si>
  <si>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</si>
  <si>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</si>
  <si>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</si>
  <si>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</si>
  <si>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</si>
  <si>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</si>
  <si>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</si>
  <si>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</si>
  <si>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</si>
  <si>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</si>
  <si>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</si>
  <si>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</si>
  <si>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</si>
  <si>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</si>
  <si>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</si>
  <si>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</si>
  <si>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</si>
  <si>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</si>
  <si>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</si>
  <si>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</si>
  <si>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</si>
  <si>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</si>
  <si>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</si>
  <si>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</si>
  <si>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</si>
  <si>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</si>
  <si>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</si>
  <si>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</si>
  <si>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</si>
  <si>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</si>
  <si>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</si>
  <si>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</si>
  <si>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</si>
  <si>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</si>
  <si>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</si>
  <si>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</si>
  <si>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</si>
  <si>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</si>
  <si>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</si>
  <si>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</si>
  <si>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</si>
  <si>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</si>
  <si>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</si>
  <si>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</si>
  <si>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</si>
  <si>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</si>
  <si>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</si>
  <si>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</si>
  <si>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</si>
  <si>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</si>
  <si>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</si>
  <si>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</si>
  <si>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</si>
  <si>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</si>
  <si>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</si>
  <si>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</si>
  <si>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</si>
  <si>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</si>
  <si>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</si>
  <si>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</si>
  <si>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</si>
  <si>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</si>
  <si>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</si>
  <si>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</si>
  <si>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</si>
  <si>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</si>
  <si>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</si>
  <si>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</si>
  <si>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</si>
  <si>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</si>
  <si>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</si>
  <si>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</si>
  <si>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</si>
  <si>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</si>
  <si>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</si>
  <si>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</si>
  <si>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</si>
  <si>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</si>
  <si>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</si>
  <si>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</si>
  <si>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</si>
  <si>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</si>
  <si>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</si>
  <si>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</si>
  <si>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</si>
  <si>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</si>
  <si>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</si>
  <si>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</si>
  <si>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</si>
  <si>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</si>
  <si>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</si>
  <si>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</si>
  <si>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</si>
  <si>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</si>
  <si>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</si>
  <si>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</si>
  <si>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</si>
  <si>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</si>
  <si>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</si>
  <si>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</si>
  <si>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</si>
  <si>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</si>
  <si>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</si>
  <si>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</si>
  <si>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</si>
  <si>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</si>
  <si>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</si>
  <si>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</si>
  <si>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</si>
  <si>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</si>
  <si>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</si>
  <si>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</si>
  <si>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</si>
  <si>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</si>
  <si>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</si>
  <si>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</si>
  <si>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</si>
  <si>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</si>
  <si>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</si>
  <si>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</si>
  <si>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</si>
  <si>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</si>
  <si>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</si>
  <si>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</si>
  <si>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</si>
  <si>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</si>
  <si>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</si>
  <si>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</si>
  <si>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</si>
  <si>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</si>
  <si>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</si>
  <si>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</si>
  <si>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</si>
  <si>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</si>
  <si>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</si>
  <si>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</si>
  <si>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</si>
  <si>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</si>
  <si>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</si>
  <si>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</si>
  <si>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</si>
  <si>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</si>
  <si>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</si>
  <si>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</si>
  <si>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</si>
  <si>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</si>
  <si>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</si>
  <si>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</si>
  <si>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</si>
  <si>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</si>
  <si>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</si>
  <si>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</si>
  <si>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</si>
  <si>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</si>
  <si>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</si>
  <si>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</si>
  <si>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</si>
  <si>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</si>
  <si>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</si>
  <si>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</si>
  <si>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</si>
  <si>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</si>
  <si>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</si>
  <si>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</si>
  <si>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</si>
  <si>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</si>
  <si>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</si>
  <si>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</si>
  <si>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</si>
  <si>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</si>
  <si>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</si>
  <si>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</si>
  <si>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</si>
  <si>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</si>
  <si>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</si>
  <si>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</si>
  <si>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</si>
  <si>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</si>
  <si>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</si>
  <si>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</si>
  <si>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</si>
  <si>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</si>
  <si>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</si>
  <si>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</si>
  <si>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</si>
  <si>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</si>
  <si>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</si>
  <si>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</si>
  <si>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</si>
  <si>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</si>
  <si>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</si>
  <si>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</si>
  <si>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</si>
  <si>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</si>
  <si>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</si>
  <si>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</si>
  <si>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</si>
  <si>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</si>
  <si>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</si>
  <si>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</si>
  <si>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</si>
  <si>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</si>
  <si>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</si>
  <si>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</si>
  <si>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</si>
  <si>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</si>
  <si>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</si>
  <si>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</si>
  <si>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</si>
  <si>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</si>
  <si>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</si>
  <si>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</si>
  <si>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</si>
  <si>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</si>
  <si>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</si>
  <si>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</si>
  <si>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</si>
  <si>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</si>
  <si>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</si>
  <si>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</si>
  <si>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</si>
  <si>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</si>
  <si>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</si>
  <si>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</si>
  <si>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</si>
  <si>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</si>
  <si>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</si>
  <si>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</si>
  <si>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</si>
  <si>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</si>
  <si>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</si>
  <si>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</si>
  <si>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</si>
  <si>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</si>
  <si>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</si>
  <si>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</si>
  <si>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</si>
  <si>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</si>
  <si>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</si>
  <si>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</si>
  <si>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</si>
  <si>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</si>
  <si>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</si>
  <si>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</si>
  <si>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</si>
  <si>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</si>
  <si>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</si>
  <si>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</si>
  <si>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</si>
  <si>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</si>
  <si>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</si>
  <si>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</si>
  <si>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</si>
  <si>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</si>
  <si>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</si>
  <si>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</si>
  <si>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</si>
  <si>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</si>
  <si>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</si>
  <si>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</si>
  <si>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</si>
  <si>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</si>
  <si>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</si>
  <si>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</si>
  <si>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</si>
  <si>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</si>
  <si>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</si>
  <si>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</si>
  <si>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</si>
  <si>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</si>
  <si>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</si>
  <si>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</si>
  <si>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</si>
  <si>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</si>
  <si>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</si>
  <si>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</si>
  <si>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</si>
  <si>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</si>
  <si>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</si>
  <si>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</si>
  <si>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</si>
  <si>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</si>
  <si>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</si>
  <si>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</si>
  <si>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</si>
  <si>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</si>
  <si>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</si>
  <si>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</si>
  <si>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</si>
  <si>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</si>
  <si>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</si>
  <si>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</si>
  <si>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</si>
  <si>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</si>
  <si>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</si>
  <si>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</si>
  <si>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</si>
  <si>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</si>
  <si>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</si>
  <si>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</si>
  <si>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</si>
  <si>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</si>
  <si>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</si>
  <si>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</si>
  <si>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</si>
  <si>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</si>
  <si>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</si>
  <si>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</si>
  <si>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</si>
  <si>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</si>
  <si>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</si>
  <si>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</si>
  <si>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</si>
  <si>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</si>
  <si>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</si>
  <si>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</si>
  <si>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</si>
  <si>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</si>
  <si>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</si>
  <si>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</si>
  <si>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</si>
  <si>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</si>
  <si>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</si>
  <si>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</si>
  <si>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</si>
  <si>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</si>
  <si>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</si>
  <si>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</si>
  <si>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</si>
  <si>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</si>
  <si>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</si>
  <si>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</si>
  <si>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</si>
  <si>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</si>
  <si>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</si>
  <si>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</si>
  <si>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</si>
  <si>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</si>
  <si>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</si>
  <si>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</si>
  <si>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</si>
  <si>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</si>
  <si>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</si>
  <si>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</si>
  <si>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</si>
  <si>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</si>
  <si>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</si>
  <si>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</si>
  <si>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</si>
  <si>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</si>
  <si>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</si>
  <si>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</si>
  <si>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</si>
  <si>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</si>
  <si>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</si>
  <si>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</si>
  <si>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</si>
  <si>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</si>
  <si>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</si>
  <si>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</si>
  <si>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</si>
  <si>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</si>
  <si>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</si>
  <si>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</si>
  <si>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</si>
  <si>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</si>
  <si>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</si>
  <si>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</si>
  <si>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</si>
  <si>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</si>
  <si>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</si>
  <si>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</si>
  <si>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</si>
  <si>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</si>
  <si>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</si>
  <si>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</si>
  <si>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</si>
  <si>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</si>
  <si>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</si>
  <si>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</si>
  <si>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</si>
  <si>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</si>
  <si>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</si>
  <si>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</si>
  <si>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</si>
  <si>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</si>
  <si>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</si>
  <si>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</si>
  <si>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</si>
  <si>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</si>
  <si>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</si>
  <si>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</si>
  <si>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</si>
  <si>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</si>
  <si>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</si>
  <si>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</si>
  <si>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</si>
  <si>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</si>
  <si>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</si>
  <si>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</si>
  <si>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</si>
  <si>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</si>
  <si>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</si>
  <si>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</si>
  <si>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</si>
  <si>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</si>
  <si>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</si>
  <si>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</si>
  <si>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</si>
  <si>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</si>
  <si>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</si>
  <si>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</si>
  <si>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</si>
  <si>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</si>
  <si>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</si>
  <si>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</si>
  <si>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</si>
  <si>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</si>
  <si>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</si>
  <si>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</si>
  <si>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</si>
  <si>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</si>
  <si>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</si>
  <si>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</si>
  <si>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</si>
  <si>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</si>
  <si>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</si>
  <si>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</si>
  <si>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</si>
  <si>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</si>
  <si>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</si>
  <si>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</si>
  <si>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</si>
  <si>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</si>
  <si>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</si>
  <si>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</si>
  <si>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</si>
  <si>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</si>
  <si>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</si>
  <si>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</si>
  <si>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</si>
  <si>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</si>
  <si>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</si>
  <si>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</si>
  <si>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</si>
  <si>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</si>
  <si>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</si>
  <si>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</si>
  <si>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</si>
  <si>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</si>
  <si>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</si>
  <si>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</si>
  <si>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</si>
  <si>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</si>
  <si>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</si>
  <si>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</si>
  <si>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</si>
  <si>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</si>
  <si>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</si>
  <si>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</si>
  <si>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</si>
  <si>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</si>
  <si>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</si>
  <si>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</si>
  <si>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</si>
  <si>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</si>
  <si>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</si>
  <si>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</si>
  <si>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</si>
  <si>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</si>
  <si>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</si>
  <si>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</si>
  <si>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</si>
  <si>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</si>
  <si>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</si>
  <si>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</si>
  <si>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</si>
  <si>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</si>
  <si>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</si>
  <si>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</si>
  <si>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</si>
  <si>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</si>
  <si>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</si>
  <si>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</si>
  <si>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</si>
  <si>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</si>
  <si>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</si>
  <si>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</si>
  <si>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</si>
  <si>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</si>
  <si>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</si>
  <si>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</si>
  <si>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</si>
  <si>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</si>
  <si>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</si>
  <si>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</si>
  <si>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</si>
  <si>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</si>
  <si>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</si>
  <si>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</si>
  <si>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</si>
  <si>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</si>
  <si>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</si>
  <si>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</si>
  <si>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</si>
  <si>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</si>
  <si>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</si>
  <si>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</si>
  <si>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</si>
  <si>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</si>
  <si>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</si>
  <si>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</si>
  <si>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</si>
  <si>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</si>
  <si>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</si>
  <si>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</si>
  <si>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</si>
  <si>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</si>
  <si>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</si>
  <si>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</si>
  <si>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</si>
  <si>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</si>
  <si>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</si>
  <si>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</si>
  <si>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</si>
  <si>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</si>
  <si>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</si>
  <si>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</si>
  <si>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</si>
  <si>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</si>
  <si>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</si>
  <si>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</si>
  <si>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</si>
  <si>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</si>
  <si>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</si>
  <si>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</si>
  <si>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</si>
  <si>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</si>
  <si>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</si>
  <si>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</si>
  <si>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</si>
  <si>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</si>
  <si>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</si>
  <si>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</si>
  <si>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</si>
  <si>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</si>
  <si>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</si>
  <si>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</si>
  <si>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</si>
  <si>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</si>
  <si>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</si>
  <si>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</si>
  <si>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</si>
  <si>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</si>
  <si>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</si>
  <si>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</si>
  <si>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</si>
  <si>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</si>
  <si>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</si>
  <si>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</si>
  <si>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</si>
  <si>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</si>
  <si>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</si>
  <si>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</si>
  <si>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</si>
  <si>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</si>
  <si>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</si>
  <si>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</si>
  <si>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</si>
  <si>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</si>
  <si>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</si>
  <si>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</si>
  <si>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</si>
  <si>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</si>
  <si>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</si>
  <si>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</si>
  <si>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</si>
  <si>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</si>
  <si>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</si>
  <si>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</si>
  <si>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</si>
  <si>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</si>
  <si>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</si>
  <si>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</si>
  <si>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</si>
  <si>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</si>
  <si>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</si>
  <si>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</si>
  <si>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</si>
  <si>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</si>
  <si>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</si>
  <si>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</si>
  <si>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</si>
  <si>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</si>
  <si>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</si>
  <si>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</si>
  <si>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</si>
  <si>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</si>
  <si>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</si>
  <si>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</si>
  <si>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</si>
  <si>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</si>
  <si>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</si>
  <si>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</si>
  <si>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</si>
  <si>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</si>
  <si>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</si>
  <si>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</si>
  <si>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</si>
  <si>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</si>
  <si>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</si>
  <si>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</si>
  <si>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</si>
  <si>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</si>
  <si>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</si>
  <si>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</si>
  <si>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</si>
  <si>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</si>
  <si>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</si>
  <si>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</si>
  <si>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</si>
  <si>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</si>
  <si>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</si>
  <si>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</si>
  <si>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</si>
  <si>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</si>
  <si>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</si>
  <si>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</si>
  <si>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</si>
  <si>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</si>
  <si>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</si>
  <si>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</si>
  <si>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</si>
  <si>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</si>
  <si>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</si>
  <si>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</si>
  <si>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</si>
  <si>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</si>
  <si>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</si>
  <si>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</si>
  <si>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</si>
  <si>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</si>
  <si>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</si>
  <si>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</si>
  <si>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</si>
  <si>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</si>
  <si>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</si>
  <si>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</si>
  <si>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</si>
  <si>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</si>
  <si>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</si>
  <si>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</si>
  <si>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</si>
  <si>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</si>
  <si>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</si>
  <si>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</si>
  <si>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</si>
  <si>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</si>
  <si>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</si>
  <si>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</si>
  <si>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</si>
  <si>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</si>
  <si>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</si>
  <si>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</si>
  <si>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</si>
  <si>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</si>
  <si>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</si>
  <si>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</si>
  <si>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</si>
  <si>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</si>
  <si>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</si>
  <si>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</si>
  <si>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</si>
  <si>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</si>
  <si>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</si>
  <si>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</si>
  <si>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</si>
  <si>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</si>
  <si>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</si>
  <si>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</si>
  <si>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</si>
  <si>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</si>
  <si>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</si>
  <si>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</si>
  <si>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</si>
  <si>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</si>
  <si>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</si>
  <si>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</si>
  <si>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</si>
  <si>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</si>
  <si>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</si>
  <si>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</si>
  <si>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</si>
  <si>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</si>
  <si>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</si>
  <si>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</si>
  <si>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</si>
  <si>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</si>
  <si>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</si>
  <si>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</si>
  <si>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</si>
  <si>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</si>
  <si>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</si>
  <si>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</si>
  <si>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</si>
  <si>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</si>
  <si>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</si>
  <si>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</si>
  <si>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</si>
  <si>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</si>
  <si>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</si>
  <si>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</si>
  <si>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</si>
  <si>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</si>
  <si>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</si>
  <si>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</si>
  <si>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</si>
  <si>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</si>
  <si>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</si>
  <si>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</si>
  <si>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</si>
  <si>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</si>
  <si>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</si>
  <si>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</si>
  <si>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</si>
  <si>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</si>
  <si>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</si>
  <si>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</si>
  <si>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</si>
  <si>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</si>
  <si>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</si>
  <si>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</si>
  <si>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</si>
  <si>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</si>
  <si>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</si>
  <si>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</si>
  <si>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</si>
  <si>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</si>
  <si>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</si>
  <si>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</si>
  <si>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</si>
  <si>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</si>
  <si>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</si>
  <si>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</si>
  <si>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</si>
  <si>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</si>
  <si>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</si>
  <si>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</si>
  <si>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</si>
  <si>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</si>
  <si>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</si>
  <si>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</si>
  <si>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</si>
  <si>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</si>
  <si>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</si>
  <si>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</si>
  <si>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</si>
  <si>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</si>
  <si>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</si>
  <si>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</si>
  <si>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</si>
  <si>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</si>
  <si>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</si>
  <si>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</si>
  <si>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</si>
  <si>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</si>
  <si>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</si>
  <si>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</si>
  <si>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</si>
  <si>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</si>
  <si>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</si>
  <si>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</si>
  <si>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</si>
  <si>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</si>
  <si>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</si>
  <si>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</si>
  <si>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</si>
  <si>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</si>
  <si>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</si>
  <si>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</si>
  <si>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</si>
  <si>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</si>
  <si>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</si>
  <si>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</si>
  <si>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</si>
  <si>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</si>
  <si>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</si>
  <si>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</si>
  <si>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</si>
  <si>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</si>
  <si>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</si>
  <si>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</si>
  <si>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</si>
  <si>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</si>
  <si>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</si>
  <si>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</si>
  <si>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</si>
  <si>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</si>
  <si>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</si>
  <si>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</si>
  <si>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</si>
  <si>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</si>
  <si>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</si>
  <si>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</si>
  <si>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</si>
  <si>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</si>
  <si>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</si>
  <si>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</si>
  <si>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</si>
  <si>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</si>
  <si>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</si>
  <si>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</si>
  <si>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</si>
  <si>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</si>
  <si>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</si>
  <si>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</si>
  <si>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</si>
  <si>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</si>
  <si>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</si>
  <si>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</si>
  <si>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</si>
  <si>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</si>
  <si>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</si>
  <si>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</si>
  <si>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</si>
  <si>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</si>
  <si>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</si>
  <si>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</si>
  <si>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</si>
  <si>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</si>
  <si>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</si>
  <si>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</si>
  <si>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</si>
  <si>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</si>
  <si>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</si>
  <si>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</si>
  <si>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</si>
  <si>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</si>
  <si>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</si>
  <si>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</si>
  <si>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</si>
  <si>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</si>
  <si>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</si>
  <si>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</si>
  <si>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</si>
  <si>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</si>
  <si>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</si>
  <si>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</si>
  <si>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</si>
  <si>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</si>
  <si>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</si>
  <si>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</si>
  <si>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</si>
  <si>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</si>
  <si>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</si>
  <si>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</si>
  <si>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</si>
  <si>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</si>
  <si>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</si>
  <si>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</si>
  <si>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</si>
  <si>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</si>
  <si>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</si>
  <si>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</si>
  <si>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</si>
  <si>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</si>
  <si>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</si>
  <si>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</si>
  <si>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</si>
  <si>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</si>
  <si>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</si>
  <si>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</si>
  <si>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</si>
  <si>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</si>
  <si>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</si>
  <si>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</si>
  <si>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</si>
  <si>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</si>
  <si>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</si>
  <si>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</si>
  <si>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</si>
  <si>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</si>
  <si>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</si>
  <si>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</si>
  <si>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</si>
  <si>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</si>
  <si>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</si>
  <si>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</si>
  <si>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</si>
  <si>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</si>
  <si>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</si>
  <si>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</si>
  <si>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</si>
  <si>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</si>
  <si>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</si>
  <si>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</si>
  <si>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</si>
  <si>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</si>
  <si>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</si>
  <si>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</si>
  <si>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</si>
  <si>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</si>
  <si>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</si>
  <si>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</si>
  <si>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</si>
  <si>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</si>
  <si>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</si>
  <si>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</si>
  <si>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</si>
  <si>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</si>
  <si>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</si>
  <si>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</si>
  <si>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</si>
  <si>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</si>
  <si>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</si>
  <si>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</si>
  <si>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</si>
  <si>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</si>
  <si>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</si>
  <si>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</si>
  <si>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</si>
  <si>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</si>
  <si>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</si>
  <si>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</si>
  <si>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</si>
  <si>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</si>
  <si>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</si>
  <si>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</si>
  <si>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</si>
  <si>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</si>
  <si>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</si>
  <si>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</si>
  <si>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</si>
  <si>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</si>
  <si>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</si>
  <si>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</si>
  <si>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</si>
  <si>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</si>
  <si>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</si>
  <si>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</si>
  <si>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</si>
  <si>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</si>
  <si>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</si>
  <si>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</si>
  <si>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</si>
  <si>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</si>
  <si>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</si>
  <si>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</si>
  <si>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</si>
  <si>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</si>
  <si>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</si>
  <si>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</si>
  <si>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</si>
  <si>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</si>
  <si>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</si>
  <si>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</si>
  <si>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</si>
  <si>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</si>
  <si>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</si>
  <si>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</si>
  <si>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</si>
  <si>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</si>
  <si>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</si>
  <si>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</si>
  <si>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</si>
  <si>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</si>
  <si>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</si>
  <si>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</si>
  <si>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</si>
  <si>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</si>
  <si>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</si>
  <si>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</si>
  <si>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</si>
  <si>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</si>
  <si>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</si>
  <si>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</si>
  <si>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</si>
  <si>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</si>
  <si>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</si>
  <si>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</si>
  <si>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</si>
  <si>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</si>
  <si>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</si>
  <si>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</si>
  <si>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</si>
  <si>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</si>
  <si>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</si>
  <si>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</si>
  <si>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</si>
  <si>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</si>
  <si>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</si>
  <si>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</si>
  <si>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</si>
  <si>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</si>
  <si>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</si>
  <si>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</si>
  <si>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</si>
  <si>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</si>
  <si>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</si>
  <si>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</si>
  <si>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</si>
  <si>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</si>
  <si>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</si>
  <si>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</si>
  <si>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</si>
  <si>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</si>
  <si>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</si>
  <si>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</si>
  <si>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</si>
  <si>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</si>
  <si>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</si>
  <si>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</si>
  <si>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</si>
  <si>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</si>
  <si>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</si>
  <si>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</si>
  <si>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</si>
  <si>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</si>
  <si>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</si>
  <si>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</si>
  <si>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</si>
  <si>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</si>
  <si>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</si>
  <si>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</si>
  <si>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</si>
  <si>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</si>
  <si>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</si>
  <si>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</si>
  <si>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</si>
  <si>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</si>
  <si>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</si>
  <si>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</si>
  <si>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</si>
  <si>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</si>
  <si>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</si>
  <si>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</si>
  <si>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</si>
  <si>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</si>
  <si>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</si>
  <si>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</si>
  <si>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</si>
  <si>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</si>
  <si>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</si>
  <si>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</si>
  <si>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</si>
  <si>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</si>
  <si>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</si>
  <si>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</si>
  <si>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</si>
  <si>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</si>
  <si>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</si>
  <si>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</si>
  <si>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</si>
  <si>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</si>
  <si>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</si>
  <si>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</si>
  <si>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</si>
  <si>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</si>
  <si>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</si>
  <si>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</si>
  <si>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</si>
  <si>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</si>
  <si>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</si>
  <si>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</si>
  <si>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</si>
  <si>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</si>
  <si>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</si>
  <si>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</si>
  <si>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</si>
  <si>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</si>
  <si>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</si>
  <si>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</si>
  <si>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</si>
  <si>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</si>
  <si>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</si>
  <si>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</si>
  <si>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</si>
  <si>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</si>
  <si>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</si>
  <si>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</si>
  <si>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</si>
  <si>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</si>
  <si>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</si>
  <si>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</si>
  <si>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</si>
  <si>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</si>
  <si>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</si>
  <si>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</si>
  <si>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</si>
  <si>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</si>
  <si>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</si>
  <si>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</si>
  <si>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</si>
  <si>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</si>
  <si>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</si>
  <si>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</si>
  <si>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</si>
  <si>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</si>
  <si>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</si>
  <si>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</si>
  <si>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</si>
  <si>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</si>
  <si>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</si>
  <si>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</si>
  <si>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</si>
  <si>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</si>
  <si>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</si>
  <si>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</si>
  <si>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</si>
  <si>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</si>
  <si>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</si>
  <si>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</si>
  <si>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</si>
  <si>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</si>
  <si>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</si>
  <si>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</si>
  <si>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</si>
  <si>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</si>
  <si>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</si>
  <si>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</si>
  <si>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</si>
  <si>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</si>
  <si>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</si>
  <si>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</si>
  <si>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</si>
  <si>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</si>
  <si>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</si>
  <si>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</si>
  <si>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</si>
  <si>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</si>
  <si>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</si>
  <si>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</si>
  <si>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</si>
  <si>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</si>
  <si>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</si>
  <si>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</si>
  <si>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</si>
  <si>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</si>
  <si>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</si>
  <si>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</si>
  <si>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</si>
  <si>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</si>
  <si>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</si>
  <si>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</si>
  <si>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</si>
  <si>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</si>
  <si>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</si>
  <si>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</si>
  <si>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</si>
  <si>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</si>
  <si>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</si>
  <si>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</si>
  <si>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</si>
  <si>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</si>
  <si>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</si>
  <si>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</si>
  <si>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</si>
  <si>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</si>
  <si>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</si>
  <si>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</si>
  <si>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</si>
  <si>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</si>
  <si>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</si>
  <si>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</si>
  <si>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</si>
  <si>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</si>
  <si>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</si>
  <si>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</si>
  <si>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</si>
  <si>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</si>
  <si>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</si>
  <si>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</si>
  <si>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</si>
  <si>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</si>
  <si>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</si>
  <si>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</si>
  <si>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</si>
  <si>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</si>
  <si>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</si>
  <si>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</si>
  <si>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</si>
  <si>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</si>
  <si>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</si>
  <si>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</si>
  <si>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</si>
  <si>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</si>
  <si>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</si>
  <si>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</si>
  <si>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</si>
  <si>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</si>
  <si>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</si>
  <si>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</si>
  <si>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</si>
  <si>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</si>
  <si>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</si>
  <si>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</si>
  <si>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</si>
  <si>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</si>
  <si>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</si>
  <si>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</si>
  <si>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</si>
  <si>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</si>
  <si>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</si>
  <si>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</si>
  <si>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</si>
  <si>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</si>
  <si>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</si>
  <si>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</si>
  <si>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</si>
  <si>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</si>
  <si>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</si>
  <si>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</si>
  <si>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</si>
  <si>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</si>
  <si>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</si>
  <si>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</si>
  <si>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</si>
  <si>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</si>
  <si>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</si>
  <si>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</si>
  <si>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</si>
  <si>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</si>
  <si>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</si>
  <si>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</si>
  <si>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</si>
  <si>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</si>
  <si>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</si>
  <si>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</si>
  <si>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</si>
  <si>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</si>
  <si>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</si>
  <si>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</si>
  <si>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</si>
  <si>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</si>
  <si>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</si>
  <si>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</si>
  <si>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</si>
  <si>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</si>
  <si>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</si>
  <si>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</si>
  <si>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</si>
  <si>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</si>
  <si>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</si>
  <si>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</si>
  <si>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</si>
  <si>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</si>
  <si>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</si>
  <si>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</si>
  <si>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</si>
  <si>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</si>
  <si>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</si>
  <si>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</si>
  <si>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</si>
  <si>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</si>
  <si>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</si>
  <si>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</si>
  <si>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</si>
  <si>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</si>
  <si>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</si>
  <si>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</si>
  <si>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</si>
  <si>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</si>
  <si>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</si>
  <si>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</si>
  <si>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</si>
  <si>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</si>
  <si>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</si>
  <si>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</si>
  <si>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</si>
  <si>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</si>
  <si>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</si>
  <si>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</si>
  <si>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</si>
  <si>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</si>
  <si>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</si>
  <si>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</si>
  <si>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</si>
  <si>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</si>
  <si>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</si>
  <si>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</si>
  <si>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</si>
  <si>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</si>
  <si>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</si>
  <si>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</si>
  <si>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</si>
  <si>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</si>
  <si>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</si>
  <si>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</si>
  <si>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</si>
  <si>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</si>
  <si>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</si>
  <si>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</si>
  <si>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</si>
  <si>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</si>
  <si>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</si>
  <si>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</si>
  <si>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</si>
  <si>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</si>
  <si>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</si>
  <si>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</si>
  <si>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</si>
  <si>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</si>
  <si>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</si>
  <si>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</si>
  <si>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</si>
  <si>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</si>
  <si>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</si>
  <si>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</si>
  <si>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</si>
  <si>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</si>
  <si>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</si>
  <si>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</si>
  <si>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</si>
  <si>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</si>
  <si>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</si>
  <si>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</si>
  <si>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</si>
  <si>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</si>
  <si>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</si>
  <si>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</si>
  <si>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</si>
  <si>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</si>
  <si>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</si>
  <si>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</si>
  <si>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</si>
  <si>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</si>
  <si>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</si>
  <si>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</si>
  <si>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</si>
  <si>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</si>
  <si>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</si>
  <si>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</si>
  <si>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</si>
  <si>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</si>
  <si>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</si>
  <si>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</si>
  <si>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</si>
  <si>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</si>
  <si>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</si>
  <si>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</si>
  <si>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</si>
  <si>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</si>
  <si>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</si>
  <si>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</si>
  <si>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</si>
  <si>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</si>
  <si>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</si>
  <si>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</si>
  <si>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</si>
  <si>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</si>
  <si>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</si>
  <si>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</si>
  <si>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</si>
  <si>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</si>
  <si>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</si>
  <si>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</si>
  <si>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</si>
  <si>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</si>
  <si>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</si>
  <si>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</si>
  <si>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</si>
  <si>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</si>
  <si>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</si>
  <si>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</si>
  <si>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</si>
  <si>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</si>
  <si>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</si>
  <si>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</si>
  <si>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</si>
  <si>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</si>
  <si>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</si>
  <si>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</si>
  <si>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</si>
  <si>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</si>
  <si>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</si>
  <si>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</si>
  <si>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</si>
  <si>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</si>
  <si>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</si>
  <si>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</si>
  <si>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</si>
  <si>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</si>
  <si>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</si>
  <si>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</si>
  <si>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</si>
  <si>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</si>
  <si>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</si>
  <si>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</si>
  <si>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</si>
  <si>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</si>
  <si>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</si>
  <si>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</si>
  <si>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</si>
  <si>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</si>
  <si>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</si>
  <si>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</si>
  <si>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</si>
  <si>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</si>
  <si>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</si>
  <si>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</si>
  <si>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</si>
  <si>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</si>
  <si>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</si>
  <si>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</si>
  <si>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</si>
  <si>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</si>
  <si>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</si>
  <si>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</si>
  <si>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</si>
  <si>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</si>
  <si>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</si>
  <si>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</si>
  <si>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</si>
  <si>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</si>
  <si>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</si>
  <si>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</si>
  <si>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</si>
  <si>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</si>
  <si>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</si>
  <si>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</si>
  <si>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</si>
  <si>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</si>
  <si>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</si>
  <si>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</si>
  <si>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</si>
  <si>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</si>
  <si>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</si>
  <si>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</si>
  <si>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</si>
  <si>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</si>
  <si>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</si>
  <si>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</si>
  <si>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</si>
  <si>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</si>
  <si>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</si>
  <si>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</si>
  <si>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</si>
  <si>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</si>
  <si>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</si>
  <si>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</si>
  <si>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</si>
  <si>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</si>
  <si>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</si>
  <si>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</si>
  <si>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</si>
  <si>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</si>
  <si>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</si>
  <si>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</si>
  <si>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</si>
  <si>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</si>
  <si>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</si>
  <si>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</si>
  <si>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</si>
  <si>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</si>
  <si>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</si>
  <si>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</si>
  <si>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</si>
  <si>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</si>
  <si>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</si>
  <si>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</si>
  <si>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</si>
  <si>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</si>
  <si>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</si>
  <si>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</si>
  <si>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</si>
  <si>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</si>
  <si>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</si>
  <si>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</si>
  <si>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</si>
  <si>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</si>
  <si>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</si>
  <si>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</si>
  <si>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</si>
  <si>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</si>
  <si>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</si>
  <si>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</si>
  <si>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</si>
  <si>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</si>
  <si>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</si>
  <si>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</si>
  <si>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</si>
  <si>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</si>
  <si>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</si>
  <si>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</si>
  <si>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</si>
  <si>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</si>
  <si>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</si>
  <si>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</si>
  <si>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</si>
  <si>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</si>
  <si>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</si>
  <si>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</si>
  <si>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</si>
  <si>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</si>
  <si>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</si>
  <si>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</si>
  <si>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</si>
  <si>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</si>
  <si>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</si>
  <si>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</si>
  <si>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</si>
  <si>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</si>
  <si>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</si>
  <si>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</si>
  <si>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</si>
  <si>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</si>
  <si>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</si>
  <si>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</si>
  <si>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</si>
  <si>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</si>
  <si>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</si>
  <si>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</si>
  <si>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</si>
  <si>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</si>
  <si>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</si>
  <si>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</si>
  <si>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</si>
  <si>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</si>
  <si>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</si>
  <si>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</si>
  <si>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</si>
  <si>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</si>
  <si>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</si>
  <si>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</si>
  <si>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</si>
  <si>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</si>
  <si>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</si>
  <si>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</si>
  <si>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</si>
  <si>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</si>
  <si>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</si>
  <si>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</si>
  <si>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</si>
  <si>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</si>
  <si>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</si>
  <si>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</si>
  <si>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</si>
  <si>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</si>
  <si>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</si>
  <si>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</si>
  <si>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</si>
  <si>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</si>
  <si>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</si>
  <si>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</si>
  <si>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</si>
  <si>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</si>
  <si>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</si>
  <si>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</si>
  <si>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</si>
  <si>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</si>
  <si>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</si>
  <si>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</si>
  <si>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</si>
  <si>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</si>
  <si>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</si>
  <si>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</si>
  <si>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</si>
  <si>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</si>
  <si>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</si>
  <si>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</si>
  <si>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</si>
  <si>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</si>
  <si>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</si>
  <si>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</si>
  <si>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</si>
  <si>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</si>
  <si>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</si>
  <si>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</si>
  <si>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</si>
  <si>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</si>
  <si>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</si>
  <si>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</si>
  <si>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</si>
  <si>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</si>
  <si>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</si>
  <si>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</si>
  <si>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</si>
  <si>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</si>
  <si>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</si>
  <si>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</si>
  <si>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</si>
  <si>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</si>
  <si>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</si>
  <si>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</si>
  <si>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</si>
  <si>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</si>
  <si>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</si>
  <si>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</si>
  <si>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</si>
  <si>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</si>
  <si>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</si>
  <si>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</si>
  <si>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</si>
  <si>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</si>
  <si>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</si>
  <si>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</si>
  <si>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</si>
  <si>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</si>
  <si>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</si>
  <si>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</si>
  <si>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</si>
  <si>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</si>
  <si>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</si>
  <si>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</si>
  <si>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</si>
  <si>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</si>
  <si>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</si>
  <si>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</si>
  <si>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</si>
  <si>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</si>
  <si>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</si>
  <si>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</si>
  <si>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</si>
  <si>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</si>
  <si>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</si>
  <si>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</si>
  <si>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</si>
  <si>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</si>
  <si>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</si>
  <si>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</si>
  <si>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</si>
  <si>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</si>
  <si>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</si>
  <si>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</si>
  <si>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</si>
  <si>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</si>
  <si>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</si>
  <si>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</si>
  <si>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</si>
  <si>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</si>
  <si>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</si>
  <si>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</si>
  <si>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</si>
  <si>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</si>
  <si>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</si>
  <si>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</si>
  <si>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</si>
  <si>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</si>
  <si>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</si>
  <si>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</si>
  <si>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</si>
  <si>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</si>
  <si>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</si>
  <si>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</si>
  <si>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</si>
  <si>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</si>
  <si>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</si>
  <si>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</si>
  <si>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</si>
  <si>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</si>
  <si>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</si>
  <si>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</si>
  <si>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</si>
  <si>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</si>
  <si>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</si>
  <si>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</si>
  <si>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</si>
  <si>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</si>
  <si>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</si>
  <si>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</si>
  <si>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</si>
  <si>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</si>
  <si>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</si>
  <si>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</si>
  <si>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</si>
  <si>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</si>
  <si>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</si>
  <si>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</si>
  <si>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</si>
  <si>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</si>
  <si>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</si>
  <si>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</si>
  <si>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</si>
  <si>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</si>
  <si>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</si>
  <si>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</si>
  <si>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</si>
  <si>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</si>
  <si>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</si>
  <si>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</si>
  <si>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</si>
  <si>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</si>
  <si>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</si>
  <si>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</si>
  <si>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</si>
  <si>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</si>
  <si>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</si>
  <si>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</si>
  <si>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</si>
  <si>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</si>
  <si>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</si>
  <si>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</si>
  <si>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</si>
  <si>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</si>
  <si>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</si>
  <si>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</si>
  <si>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</si>
  <si>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</si>
  <si>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</si>
  <si>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</si>
  <si>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</si>
  <si>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</si>
  <si>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</si>
  <si>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</si>
  <si>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</si>
  <si>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</si>
  <si>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</si>
  <si>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</si>
  <si>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</si>
  <si>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</si>
  <si>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</si>
  <si>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</si>
  <si>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</si>
  <si>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</si>
  <si>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</si>
  <si>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</si>
  <si>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</si>
  <si>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</si>
  <si>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</si>
  <si>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</si>
  <si>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</si>
  <si>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</si>
  <si>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</si>
  <si>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</si>
  <si>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</si>
  <si>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</si>
  <si>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</si>
  <si>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</si>
  <si>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</si>
  <si>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</si>
  <si>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</si>
  <si>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</si>
  <si>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</si>
  <si>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</si>
  <si>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</si>
  <si>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</si>
  <si>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</si>
  <si>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</si>
  <si>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</si>
  <si>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</si>
  <si>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</si>
  <si>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</si>
  <si>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</si>
  <si>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</si>
  <si>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</si>
  <si>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</si>
  <si>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</si>
  <si>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</si>
  <si>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</si>
  <si>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</si>
  <si>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</si>
  <si>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</si>
  <si>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</si>
  <si>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</si>
  <si>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</si>
  <si>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</si>
  <si>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</si>
  <si>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</si>
  <si>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</si>
  <si>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</si>
  <si>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</si>
  <si>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</si>
  <si>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</si>
  <si>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</si>
  <si>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</si>
  <si>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</si>
  <si>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</si>
  <si>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</si>
  <si>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</si>
  <si>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</si>
  <si>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</si>
  <si>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</si>
  <si>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</si>
  <si>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</si>
  <si>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</si>
  <si>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</si>
  <si>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</si>
  <si>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</si>
  <si>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</si>
  <si>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</si>
  <si>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</si>
  <si>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</si>
  <si>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</si>
  <si>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</si>
  <si>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</si>
  <si>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</si>
  <si>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</si>
  <si>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</si>
  <si>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</si>
  <si>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</si>
  <si>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</si>
  <si>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</si>
  <si>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</si>
  <si>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</si>
  <si>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</si>
  <si>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</si>
  <si>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</si>
  <si>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</si>
  <si>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</si>
  <si>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</si>
  <si>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</si>
  <si>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</si>
  <si>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</si>
  <si>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</si>
  <si>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</si>
  <si>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</si>
  <si>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</si>
  <si>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</si>
  <si>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</si>
  <si>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</si>
  <si>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</si>
  <si>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</si>
  <si>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</si>
  <si>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</si>
  <si>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</si>
  <si>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</si>
  <si>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</si>
  <si>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</si>
  <si>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</si>
  <si>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</si>
  <si>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</si>
  <si>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</si>
  <si>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</si>
  <si>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</si>
  <si>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</si>
  <si>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</si>
  <si>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</si>
  <si>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</si>
  <si>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</si>
  <si>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</si>
  <si>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</si>
  <si>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</si>
  <si>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</si>
  <si>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</si>
  <si>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</si>
  <si>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</si>
  <si>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</si>
  <si>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</si>
  <si>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</si>
  <si>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</si>
  <si>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</si>
  <si>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</si>
  <si>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</si>
  <si>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</si>
  <si>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</si>
  <si>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</si>
  <si>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</si>
  <si>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</si>
  <si>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</si>
  <si>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</si>
  <si>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</si>
  <si>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</si>
  <si>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</si>
  <si>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</si>
  <si>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</si>
  <si>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</si>
  <si>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</si>
  <si>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</si>
  <si>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</si>
  <si>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</si>
  <si>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</si>
  <si>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</si>
  <si>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</si>
  <si>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</si>
  <si>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</si>
  <si>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</si>
  <si>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</si>
  <si>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</si>
  <si>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</si>
  <si>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</si>
  <si>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</si>
  <si>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</si>
  <si>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</si>
  <si>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</si>
  <si>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</si>
  <si>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</si>
  <si>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</si>
  <si>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</si>
  <si>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</si>
  <si>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</si>
  <si>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</si>
  <si>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</si>
  <si>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</si>
  <si>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</si>
  <si>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</si>
  <si>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</si>
  <si>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</si>
  <si>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</si>
  <si>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</si>
  <si>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</si>
  <si>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</si>
  <si>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</si>
  <si>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</si>
  <si>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</si>
  <si>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</si>
  <si>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</si>
  <si>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</si>
  <si>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</si>
  <si>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</si>
  <si>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</si>
  <si>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</si>
  <si>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</si>
  <si>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</si>
  <si>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</si>
  <si>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</si>
  <si>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</si>
  <si>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</si>
  <si>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</si>
  <si>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</si>
  <si>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</si>
  <si>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</si>
  <si>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</si>
  <si>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</si>
  <si>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</si>
  <si>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</si>
  <si>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</si>
  <si>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</si>
  <si>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</si>
  <si>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</si>
  <si>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</si>
  <si>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</si>
  <si>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</si>
  <si>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</si>
  <si>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</si>
  <si>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</si>
  <si>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</si>
  <si>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</si>
  <si>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</si>
  <si>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</si>
  <si>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</si>
  <si>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</si>
  <si>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</si>
  <si>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</si>
  <si>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</si>
  <si>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</si>
  <si>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</si>
  <si>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</si>
  <si>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</si>
  <si>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</si>
  <si>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</si>
  <si>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</si>
  <si>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</si>
  <si>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</si>
  <si>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</si>
  <si>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</si>
  <si>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</si>
  <si>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</si>
  <si>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</si>
  <si>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</si>
  <si>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</si>
  <si>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</si>
  <si>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</si>
  <si>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</si>
  <si>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</si>
  <si>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</si>
  <si>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</si>
  <si>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</si>
  <si>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</si>
  <si>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</si>
  <si>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</si>
  <si>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</si>
  <si>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</si>
  <si>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</si>
  <si>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</si>
  <si>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</si>
  <si>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</si>
  <si>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</si>
  <si>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</si>
  <si>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</si>
  <si>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</si>
  <si>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</si>
  <si>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</si>
  <si>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</si>
  <si>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</si>
  <si>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</si>
  <si>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</si>
  <si>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</si>
  <si>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</si>
  <si>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</si>
  <si>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</si>
  <si>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</si>
  <si>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</si>
  <si>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</si>
  <si>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</si>
  <si>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</si>
  <si>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</si>
  <si>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</si>
  <si>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</si>
  <si>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</si>
  <si>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</si>
  <si>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</si>
  <si>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</si>
  <si>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</si>
  <si>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</si>
  <si>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</si>
  <si>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</si>
  <si>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</si>
  <si>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</si>
  <si>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</si>
  <si>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</si>
  <si>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</si>
  <si>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</si>
  <si>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</si>
  <si>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</si>
  <si>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</si>
  <si>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</si>
  <si>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</si>
  <si>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</si>
  <si>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</si>
  <si>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</si>
  <si>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</si>
  <si>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</si>
  <si>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</si>
  <si>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</si>
  <si>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</si>
  <si>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</si>
  <si>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</si>
  <si>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</si>
  <si>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</si>
  <si>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</si>
  <si>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</si>
  <si>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</si>
  <si>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</si>
  <si>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</si>
  <si>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</si>
  <si>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</si>
  <si>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</si>
  <si>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</si>
  <si>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</si>
  <si>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</si>
  <si>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</si>
  <si>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</si>
  <si>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</si>
  <si>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</si>
  <si>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</si>
  <si>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</si>
  <si>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</si>
  <si>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</si>
  <si>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</si>
  <si>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</si>
  <si>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</si>
  <si>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</si>
  <si>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</si>
  <si>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</si>
  <si>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</si>
  <si>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</si>
  <si>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</si>
  <si>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</si>
  <si>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</si>
  <si>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</si>
  <si>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</si>
  <si>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</si>
  <si>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</si>
  <si>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</si>
  <si>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</si>
  <si>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</si>
  <si>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</si>
  <si>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</si>
  <si>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</si>
  <si>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</si>
  <si>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</si>
  <si>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</si>
  <si>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</si>
  <si>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</si>
  <si>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</si>
  <si>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</si>
  <si>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</si>
  <si>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</si>
  <si>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</si>
  <si>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</si>
  <si>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</si>
  <si>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</si>
  <si>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</si>
  <si>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</si>
  <si>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</si>
  <si>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</si>
  <si>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</si>
  <si>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</si>
  <si>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</si>
  <si>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</si>
  <si>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</si>
  <si>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</si>
  <si>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</si>
  <si>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</si>
  <si>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</si>
  <si>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</si>
  <si>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</si>
  <si>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</si>
  <si>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</si>
  <si>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</si>
  <si>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</si>
  <si>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</si>
  <si>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</si>
  <si>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</si>
  <si>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</si>
  <si>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</si>
  <si>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</si>
  <si>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</si>
  <si>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</si>
  <si>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</si>
  <si>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</si>
  <si>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</si>
  <si>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</si>
  <si>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</si>
  <si>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</si>
  <si>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</si>
  <si>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</si>
  <si>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</si>
  <si>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</si>
  <si>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</si>
  <si>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</si>
  <si>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</si>
  <si>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</si>
  <si>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</si>
  <si>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</si>
  <si>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</si>
  <si>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</si>
  <si>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</si>
  <si>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</si>
  <si>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</si>
  <si>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</si>
  <si>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</si>
  <si>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</si>
  <si>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</si>
  <si>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</si>
  <si>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</si>
  <si>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</si>
  <si>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</si>
  <si>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</si>
  <si>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</si>
  <si>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</si>
  <si>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</si>
  <si>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</si>
  <si>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</si>
  <si>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</si>
  <si>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</si>
  <si>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</si>
  <si>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</si>
  <si>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</si>
  <si>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</si>
  <si>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</si>
  <si>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</si>
  <si>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</si>
  <si>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</si>
  <si>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</si>
  <si>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</si>
  <si>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</si>
  <si>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</si>
  <si>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</si>
  <si>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</si>
  <si>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</si>
  <si>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</si>
  <si>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</si>
  <si>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</si>
  <si>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</si>
  <si>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</si>
  <si>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</si>
  <si>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</si>
  <si>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</si>
  <si>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</si>
  <si>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</si>
  <si>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</si>
  <si>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</si>
  <si>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</si>
  <si>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</si>
  <si>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</si>
  <si>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</si>
  <si>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</si>
  <si>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</si>
  <si>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</si>
  <si>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</si>
  <si>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</si>
  <si>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</si>
  <si>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</si>
  <si>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</si>
  <si>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</si>
  <si>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</si>
  <si>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</si>
  <si>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</si>
  <si>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</si>
  <si>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</si>
  <si>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</si>
  <si>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</si>
  <si>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</si>
  <si>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</si>
  <si>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</si>
  <si>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</si>
  <si>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</si>
  <si>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</si>
  <si>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</si>
  <si>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</si>
  <si>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</si>
  <si>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</si>
  <si>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</si>
  <si>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</si>
  <si>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</si>
  <si>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</si>
  <si>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</si>
  <si>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</si>
  <si>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</si>
  <si>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</si>
  <si>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</si>
  <si>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</si>
  <si>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</si>
  <si>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</si>
  <si>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</si>
  <si>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</si>
  <si>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</si>
  <si>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</si>
  <si>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</si>
  <si>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</si>
  <si>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</si>
  <si>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</si>
  <si>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</si>
  <si>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</si>
  <si>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</si>
  <si>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</si>
  <si>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</si>
  <si>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</si>
  <si>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</si>
  <si>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</si>
  <si>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</si>
  <si>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</si>
  <si>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</si>
  <si>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</si>
  <si>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</si>
  <si>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</si>
  <si>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</si>
  <si>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</si>
  <si>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</si>
  <si>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</si>
  <si>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</si>
  <si>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</si>
  <si>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</si>
  <si>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</si>
  <si>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</si>
  <si>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</si>
  <si>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</si>
  <si>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</si>
  <si>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</si>
  <si>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</si>
  <si>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</si>
  <si>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</si>
  <si>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</si>
  <si>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</si>
  <si>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</si>
  <si>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</si>
  <si>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</si>
  <si>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</si>
  <si>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</si>
  <si>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</si>
  <si>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</si>
  <si>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</si>
  <si>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</si>
  <si>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</si>
  <si>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</si>
  <si>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</si>
  <si>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</si>
  <si>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</si>
  <si>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</si>
  <si>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</si>
  <si>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</si>
  <si>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</si>
  <si>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</si>
  <si>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</si>
  <si>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</si>
  <si>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</si>
  <si>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</si>
  <si>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</si>
  <si>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</si>
  <si>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</si>
  <si>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</si>
  <si>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</si>
  <si>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</si>
  <si>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</si>
  <si>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</si>
  <si>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</si>
  <si>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</si>
  <si>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</si>
  <si>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</si>
  <si>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</si>
  <si>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</si>
  <si>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</si>
  <si>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</si>
  <si>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</si>
  <si>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</si>
  <si>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</si>
  <si>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</si>
  <si>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</si>
  <si>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</si>
  <si>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</si>
  <si>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</si>
  <si>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</si>
  <si>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</si>
  <si>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</si>
  <si>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</si>
  <si>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</si>
  <si>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</si>
  <si>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</si>
  <si>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</si>
  <si>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</si>
  <si>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</si>
  <si>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</si>
  <si>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</si>
  <si>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</si>
  <si>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</si>
  <si>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</si>
  <si>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</si>
  <si>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</si>
  <si>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</si>
  <si>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</si>
  <si>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</si>
  <si>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</si>
  <si>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</si>
  <si>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</si>
  <si>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</si>
  <si>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</si>
  <si>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</si>
  <si>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</si>
  <si>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</si>
  <si>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</si>
  <si>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</si>
  <si>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</si>
  <si>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</si>
  <si>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</si>
  <si>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</si>
  <si>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</si>
  <si>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</si>
  <si>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</si>
  <si>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</si>
  <si>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</si>
  <si>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</si>
  <si>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</si>
  <si>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</si>
  <si>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</si>
  <si>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</si>
  <si>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</si>
  <si>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</si>
  <si>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</si>
  <si>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</si>
  <si>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</si>
  <si>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</si>
  <si>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</si>
  <si>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</si>
  <si>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</si>
  <si>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</si>
  <si>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</si>
  <si>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</si>
  <si>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</si>
  <si>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</si>
  <si>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</si>
  <si>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</si>
  <si>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</si>
  <si>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</si>
  <si>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</si>
  <si>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</si>
  <si>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</si>
  <si>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</si>
  <si>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</si>
  <si>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</si>
  <si>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</si>
  <si>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</si>
  <si>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</si>
  <si>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</si>
  <si>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</si>
  <si>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</si>
  <si>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</si>
  <si>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</si>
  <si>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</si>
  <si>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</si>
  <si>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</si>
  <si>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</si>
  <si>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</si>
  <si>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</si>
  <si>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</si>
  <si>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</si>
  <si>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</si>
  <si>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</si>
  <si>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</si>
  <si>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</si>
  <si>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</si>
  <si>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</si>
  <si>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</si>
  <si>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</si>
  <si>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</si>
  <si>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</si>
  <si>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</si>
  <si>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</si>
  <si>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</si>
  <si>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</si>
  <si>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</si>
  <si>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</si>
  <si>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</si>
  <si>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</si>
  <si>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</si>
  <si>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</si>
  <si>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</si>
  <si>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</si>
  <si>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</si>
  <si>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</si>
  <si>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</si>
  <si>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</si>
  <si>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</si>
  <si>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</si>
  <si>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</si>
  <si>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</si>
  <si>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</si>
  <si>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</si>
  <si>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</si>
  <si>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</si>
  <si>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</si>
  <si>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</si>
  <si>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</si>
  <si>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</si>
  <si>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</si>
  <si>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</si>
  <si>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</si>
  <si>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</si>
  <si>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</si>
  <si>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</si>
  <si>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</si>
  <si>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</si>
  <si>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</si>
  <si>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</si>
  <si>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</si>
  <si>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</si>
  <si>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</si>
  <si>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</si>
  <si>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</si>
  <si>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</si>
  <si>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</si>
  <si>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</si>
  <si>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</si>
  <si>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</si>
  <si>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</si>
  <si>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</si>
  <si>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</si>
  <si>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</si>
  <si>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</si>
  <si>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</si>
  <si>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</si>
  <si>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</si>
  <si>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</si>
  <si>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</si>
  <si>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</si>
  <si>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</si>
  <si>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</si>
  <si>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</si>
  <si>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</si>
  <si>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</si>
  <si>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</si>
  <si>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</si>
  <si>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</si>
  <si>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</si>
  <si>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</si>
  <si>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</si>
  <si>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</si>
  <si>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</si>
  <si>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</si>
  <si>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</si>
  <si>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</si>
  <si>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</si>
  <si>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</si>
  <si>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</si>
  <si>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</si>
  <si>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</si>
  <si>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</si>
  <si>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</si>
  <si>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</si>
  <si>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</si>
  <si>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</si>
  <si>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</si>
  <si>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</si>
  <si>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</si>
  <si>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</si>
  <si>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</si>
  <si>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</si>
  <si>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</si>
  <si>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</si>
  <si>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</si>
  <si>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</si>
  <si>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</si>
  <si>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</si>
  <si>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</si>
  <si>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</si>
  <si>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</si>
  <si>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</si>
  <si>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</si>
  <si>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</si>
  <si>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</si>
  <si>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</si>
  <si>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</si>
  <si>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</si>
  <si>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</si>
  <si>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</si>
  <si>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</si>
  <si>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</si>
  <si>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</si>
  <si>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</si>
  <si>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</si>
  <si>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</si>
  <si>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</si>
  <si>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</si>
  <si>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</si>
  <si>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</si>
  <si>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</si>
  <si>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</si>
  <si>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</si>
  <si>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</si>
  <si>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</si>
  <si>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</si>
  <si>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</si>
  <si>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</si>
  <si>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</si>
  <si>
    <t>2026-071</t>
  </si>
  <si>
    <t>2026-072</t>
  </si>
  <si>
    <t>2026-073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</si>
</sst>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87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AEEED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86"/>
      <tableStyleElement type="firstRowStripe" dxfId="85"/>
      <tableStyleElement type="secondRowStripe" dxfId="84"/>
    </tableStyle>
    <tableStyle name="Ações InCompany-style" pivot="0" count="3" xr9:uid="{00000000-0011-0000-FFFF-FFFF01000000}">
      <tableStyleElement type="headerRow" dxfId="83"/>
      <tableStyleElement type="firstRowStripe" dxfId="82"/>
      <tableStyleElement type="secondRowStripe" dxfId="81"/>
    </tableStyle>
    <tableStyle name="Coffee Break-style" pivot="0" count="3" xr9:uid="{00000000-0011-0000-FFFF-FFFF02000000}">
      <tableStyleElement type="headerRow" dxfId="80"/>
      <tableStyleElement type="firstRowStripe" dxfId="79"/>
      <tableStyleElement type="secondRowStripe" dxfId="78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73" dataDxfId="25" totalsRowDxfId="72" totalsRowBorderDxfId="71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5" totalsRowDxfId="70"/>
    <tableColumn id="2" xr3:uid="{19532738-24D5-4BD5-BE04-C19DCC5894A1}" name="Ano" dataDxfId="44" totalsRowDxfId="69"/>
    <tableColumn id="3" xr3:uid="{8DE0B36A-F0DC-47A1-A74E-F4BE63A4FB1D}" name="Status Evento" dataDxfId="43" totalsRowDxfId="68"/>
    <tableColumn id="4" xr3:uid="{C1159FBD-CCD0-4CA2-BB8C-598E3AB5DDD8}" name="Processo" dataDxfId="42" totalsRowDxfId="67"/>
    <tableColumn id="5" xr3:uid="{A32670A4-BE4F-480D-8DE9-8FF18024C829}" name="Curso" dataDxfId="41" totalsRowDxfId="66"/>
    <tableColumn id="8" xr3:uid="{905DEA0A-D099-47EA-972D-1012D71C7792}" name="Público-Alvo" dataDxfId="40" totalsRowDxfId="65"/>
    <tableColumn id="9" xr3:uid="{7DC0A0BE-8030-47CA-AF56-2C13C9FF7AE5}" name="Programa" dataDxfId="39" totalsRowDxfId="64"/>
    <tableColumn id="11" xr3:uid="{2B799ACD-69E4-46A5-9A4F-F7E3D7A47CE9}" name="Data TXT" dataDxfId="38" totalsRowDxfId="63"/>
    <tableColumn id="12" xr3:uid="{62016C67-3729-4C41-B72D-09D6616B7474}" name="Início" dataDxfId="37" totalsRowDxfId="62"/>
    <tableColumn id="13" xr3:uid="{E4F20518-0042-40C0-B590-B7616F2843A5}" name="Término" dataDxfId="36" totalsRowDxfId="61"/>
    <tableColumn id="14" xr3:uid="{4D6C4412-CFEE-4506-830E-F79FD008371B}" name="Modalidade" dataDxfId="35" totalsRowDxfId="60"/>
    <tableColumn id="15" xr3:uid="{12EC931A-E71B-4AEB-B20B-0F9EA63D0C71}" name="Valor instrutoria" dataDxfId="34" totalsRowDxfId="59" dataCellStyle="Moeda"/>
    <tableColumn id="17" xr3:uid="{8FCDFADA-4FA3-41E0-86FF-E623116BAFEB}" name="Nota Av. Reação" dataDxfId="33" totalsRowDxfId="58"/>
    <tableColumn id="19" xr3:uid="{316EB379-BB97-4F60-9566-576B25A26B0E}" name="Qtd Vagas" dataDxfId="32" totalsRowDxfId="57"/>
    <tableColumn id="20" xr3:uid="{59A9FB16-6726-411C-88B5-8165DD520DA3}" name="P. Servidores" dataDxfId="31" totalsRowDxfId="56"/>
    <tableColumn id="21" xr3:uid="{0246E091-ADCD-4F62-8F95-84B21E8A7BE1}" name="P. Jurisdicionados" dataDxfId="30" totalsRowDxfId="55"/>
    <tableColumn id="22" xr3:uid="{1B6DBD6D-C072-4600-81C1-69D6F4422D7D}" name="P. Sociedade" dataDxfId="29" totalsRowDxfId="54"/>
    <tableColumn id="23" xr3:uid="{109F7E4E-776C-4249-88BE-FEC3A375D7D9}" name="Total Part." dataDxfId="28" totalsRowDxfId="53"/>
    <tableColumn id="24" xr3:uid="{C67AA4C6-834C-4EBB-839B-EF0CDD50F649}" name="C.H." dataDxfId="27" totalsRowDxfId="52"/>
    <tableColumn id="26" xr3:uid="{973608F6-3E97-493C-AC61-980F73C13CD6}" name="Instrutor" dataDxfId="26" totalsRowDxfId="51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672" activePane="bottomLeft" state="frozen"/>
      <selection pane="bottomLeft" activeCell="E675" sqref="E675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9.140625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hidden="1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hidden="1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728</v>
      </c>
    </row>
    <row r="5" spans="1:23" ht="22.5" hidden="1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hidden="1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hidden="1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hidden="1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hidden="1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hidden="1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hidden="1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hidden="1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hidden="1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hidden="1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hidden="1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hidden="1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hidden="1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hidden="1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hidden="1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hidden="1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hidden="1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hidden="1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hidden="1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hidden="1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hidden="1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hidden="1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hidden="1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hidden="1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hidden="1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hidden="1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hidden="1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hidden="1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hidden="1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hidden="1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hidden="1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hidden="1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hidden="1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hidden="1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hidden="1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hidden="1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hidden="1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hidden="1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hidden="1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hidden="1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hidden="1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hidden="1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hidden="1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hidden="1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hidden="1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hidden="1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hidden="1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hidden="1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hidden="1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hidden="1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hidden="1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hidden="1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hidden="1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hidden="1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hidden="1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hidden="1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hidden="1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hidden="1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hidden="1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hidden="1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hidden="1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hidden="1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hidden="1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hidden="1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hidden="1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hidden="1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hidden="1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hidden="1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hidden="1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hidden="1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hidden="1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hidden="1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hidden="1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hidden="1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hidden="1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hidden="1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hidden="1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hidden="1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hidden="1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hidden="1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hidden="1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hidden="1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hidden="1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hidden="1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hidden="1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hidden="1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hidden="1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hidden="1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hidden="1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hidden="1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hidden="1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hidden="1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hidden="1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hidden="1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hidden="1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hidden="1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hidden="1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hidden="1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hidden="1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hidden="1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hidden="1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hidden="1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hidden="1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hidden="1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hidden="1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hidden="1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hidden="1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hidden="1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hidden="1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hidden="1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hidden="1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hidden="1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hidden="1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hidden="1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hidden="1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hidden="1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hidden="1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hidden="1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hidden="1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hidden="1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hidden="1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hidden="1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hidden="1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hidden="1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hidden="1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hidden="1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hidden="1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hidden="1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hidden="1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hidden="1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hidden="1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hidden="1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hidden="1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hidden="1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hidden="1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hidden="1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hidden="1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hidden="1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hidden="1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hidden="1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hidden="1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hidden="1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hidden="1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hidden="1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hidden="1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hidden="1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hidden="1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hidden="1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hidden="1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hidden="1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hidden="1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hidden="1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hidden="1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hidden="1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hidden="1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hidden="1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hidden="1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hidden="1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hidden="1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hidden="1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hidden="1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hidden="1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hidden="1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hidden="1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hidden="1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hidden="1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hidden="1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hidden="1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hidden="1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hidden="1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hidden="1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hidden="1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hidden="1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hidden="1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hidden="1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hidden="1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hidden="1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hidden="1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hidden="1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hidden="1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hidden="1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hidden="1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hidden="1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hidden="1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hidden="1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hidden="1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hidden="1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hidden="1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hidden="1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hidden="1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hidden="1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hidden="1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hidden="1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hidden="1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hidden="1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hidden="1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hidden="1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hidden="1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hidden="1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hidden="1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hidden="1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hidden="1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hidden="1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hidden="1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hidden="1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hidden="1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hidden="1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hidden="1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hidden="1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hidden="1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hidden="1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hidden="1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hidden="1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hidden="1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hidden="1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hidden="1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hidden="1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hidden="1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hidden="1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hidden="1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hidden="1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hidden="1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hidden="1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hidden="1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hidden="1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hidden="1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hidden="1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hidden="1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hidden="1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hidden="1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hidden="1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hidden="1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hidden="1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hidden="1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hidden="1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hidden="1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hidden="1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hidden="1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hidden="1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hidden="1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hidden="1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hidden="1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hidden="1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hidden="1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hidden="1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hidden="1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hidden="1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hidden="1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hidden="1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hidden="1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hidden="1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hidden="1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hidden="1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hidden="1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hidden="1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hidden="1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hidden="1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hidden="1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hidden="1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hidden="1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hidden="1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hidden="1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hidden="1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hidden="1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hidden="1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hidden="1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hidden="1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hidden="1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hidden="1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hidden="1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hidden="1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hidden="1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hidden="1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hidden="1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hidden="1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hidden="1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hidden="1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hidden="1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hidden="1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hidden="1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hidden="1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hidden="1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hidden="1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hidden="1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hidden="1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hidden="1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hidden="1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hidden="1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hidden="1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hidden="1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hidden="1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hidden="1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hidden="1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hidden="1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hidden="1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hidden="1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hidden="1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hidden="1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hidden="1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hidden="1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hidden="1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hidden="1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hidden="1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hidden="1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hidden="1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hidden="1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hidden="1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hidden="1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hidden="1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hidden="1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hidden="1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hidden="1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hidden="1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hidden="1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hidden="1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hidden="1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hidden="1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hidden="1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hidden="1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hidden="1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hidden="1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hidden="1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hidden="1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hidden="1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hidden="1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hidden="1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hidden="1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hidden="1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hidden="1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hidden="1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hidden="1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hidden="1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hidden="1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hidden="1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hidden="1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hidden="1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hidden="1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hidden="1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hidden="1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hidden="1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hidden="1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hidden="1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hidden="1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hidden="1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hidden="1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hidden="1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hidden="1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hidden="1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hidden="1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hidden="1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hidden="1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hidden="1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hidden="1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hidden="1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hidden="1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hidden="1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hidden="1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hidden="1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hidden="1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hidden="1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hidden="1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hidden="1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hidden="1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hidden="1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hidden="1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hidden="1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hidden="1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hidden="1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hidden="1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hidden="1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hidden="1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hidden="1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hidden="1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hidden="1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hidden="1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hidden="1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hidden="1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hidden="1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hidden="1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hidden="1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hidden="1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hidden="1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hidden="1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hidden="1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hidden="1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hidden="1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hidden="1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hidden="1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hidden="1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hidden="1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hidden="1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hidden="1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hidden="1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hidden="1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hidden="1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hidden="1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hidden="1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hidden="1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hidden="1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hidden="1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hidden="1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hidden="1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hidden="1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hidden="1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hidden="1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hidden="1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hidden="1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hidden="1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hidden="1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hidden="1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hidden="1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hidden="1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hidden="1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hidden="1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hidden="1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hidden="1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hidden="1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hidden="1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hidden="1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hidden="1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hidden="1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hidden="1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hidden="1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hidden="1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hidden="1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hidden="1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hidden="1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hidden="1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hidden="1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hidden="1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hidden="1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hidden="1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hidden="1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hidden="1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hidden="1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hidden="1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hidden="1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hidden="1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hidden="1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hidden="1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hidden="1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hidden="1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hidden="1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hidden="1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hidden="1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hidden="1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hidden="1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hidden="1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hidden="1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hidden="1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hidden="1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hidden="1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hidden="1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hidden="1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hidden="1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hidden="1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hidden="1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hidden="1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hidden="1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hidden="1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hidden="1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hidden="1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hidden="1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hidden="1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hidden="1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hidden="1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hidden="1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hidden="1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hidden="1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hidden="1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hidden="1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hidden="1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hidden="1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hidden="1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hidden="1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hidden="1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hidden="1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hidden="1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hidden="1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hidden="1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hidden="1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hidden="1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hidden="1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hidden="1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hidden="1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hidden="1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hidden="1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hidden="1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hidden="1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hidden="1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hidden="1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hidden="1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hidden="1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hidden="1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hidden="1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hidden="1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hidden="1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hidden="1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hidden="1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hidden="1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hidden="1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hidden="1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hidden="1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hidden="1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hidden="1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hidden="1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hidden="1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hidden="1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hidden="1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hidden="1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hidden="1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hidden="1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hidden="1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hidden="1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hidden="1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hidden="1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hidden="1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hidden="1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hidden="1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hidden="1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hidden="1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hidden="1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hidden="1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hidden="1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hidden="1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hidden="1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hidden="1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hidden="1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hidden="1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hidden="1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hidden="1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hidden="1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hidden="1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hidden="1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hidden="1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hidden="1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hidden="1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hidden="1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hidden="1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hidden="1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hidden="1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hidden="1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hidden="1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hidden="1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hidden="1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hidden="1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hidden="1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hidden="1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hidden="1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hidden="1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hidden="1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hidden="1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hidden="1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hidden="1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hidden="1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hidden="1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hidden="1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hidden="1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hidden="1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hidden="1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hidden="1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hidden="1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hidden="1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hidden="1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hidden="1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hidden="1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hidden="1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hidden="1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hidden="1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hidden="1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hidden="1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hidden="1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hidden="1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hidden="1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hidden="1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hidden="1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hidden="1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hidden="1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hidden="1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hidden="1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hidden="1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hidden="1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hidden="1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hidden="1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hidden="1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hidden="1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hidden="1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hidden="1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hidden="1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hidden="1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hidden="1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hidden="1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hidden="1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hidden="1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hidden="1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hidden="1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hidden="1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hidden="1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hidden="1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hidden="1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hidden="1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hidden="1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hidden="1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hidden="1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hidden="1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hidden="1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hidden="1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hidden="1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hidden="1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hidden="1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hidden="1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hidden="1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hidden="1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hidden="1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hidden="1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hidden="1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hidden="1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hidden="1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hidden="1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hidden="1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hidden="1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hidden="1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hidden="1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hidden="1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hidden="1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hidden="1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hidden="1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hidden="1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hidden="1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hidden="1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hidden="1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hidden="1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hidden="1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hidden="1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hidden="1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hidden="1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hidden="1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hidden="1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hidden="1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hidden="1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hidden="1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hidden="1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hidden="1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hidden="1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hidden="1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hidden="1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hidden="1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hidden="1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hidden="1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 t="s">
        <v>3161</v>
      </c>
      <c r="B726" s="238">
        <v>2026</v>
      </c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>
        <f>IF(B726="","",SUM(O726:Q726))</f>
        <v>0</v>
      </c>
      <c r="S726" s="198"/>
      <c r="T726" s="201"/>
    </row>
    <row r="727" spans="1:20" ht="22.5" customHeight="1" x14ac:dyDescent="0.25">
      <c r="A727" s="208" t="s">
        <v>3162</v>
      </c>
      <c r="B727" s="238">
        <v>2026</v>
      </c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>
        <f>IF(B727="","",SUM(O727:Q727))</f>
        <v>0</v>
      </c>
      <c r="S727" s="198"/>
      <c r="T727" s="201"/>
    </row>
    <row r="728" spans="1:20" ht="22.5" customHeight="1" x14ac:dyDescent="0.25">
      <c r="A728" s="208" t="s">
        <v>3163</v>
      </c>
      <c r="B728" s="238">
        <v>2026</v>
      </c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>
        <f>IF(B728="","",SUM(O728:Q728))</f>
        <v>0</v>
      </c>
      <c r="S728" s="198"/>
      <c r="T728" s="201"/>
    </row>
    <row r="729" spans="1:20" ht="22.5" customHeight="1" x14ac:dyDescent="0.25">
      <c r="A729" s="208" t="s">
        <v>3164</v>
      </c>
      <c r="B729" s="238">
        <v>2026</v>
      </c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>
        <f>IF(B729="","",SUM(O729:Q729))</f>
        <v>0</v>
      </c>
      <c r="S729" s="198"/>
      <c r="T729" s="201"/>
    </row>
    <row r="730" spans="1:20" ht="22.5" hidden="1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hidden="1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hidden="1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hidden="1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hidden="1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hidden="1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hidden="1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hidden="1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hidden="1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hidden="1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hidden="1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hidden="1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hidden="1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hidden="1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hidden="1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hidden="1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hidden="1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hidden="1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hidden="1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hidden="1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hidden="1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hidden="1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hidden="1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hidden="1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hidden="1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hidden="1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hidden="1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hidden="1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hidden="1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hidden="1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hidden="1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hidden="1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hidden="1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hidden="1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hidden="1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hidden="1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hidden="1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hidden="1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hidden="1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hidden="1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hidden="1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hidden="1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hidden="1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hidden="1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hidden="1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hidden="1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hidden="1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hidden="1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hidden="1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hidden="1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hidden="1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hidden="1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hidden="1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hidden="1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hidden="1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hidden="1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hidden="1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hidden="1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hidden="1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hidden="1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hidden="1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hidden="1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hidden="1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hidden="1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hidden="1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hidden="1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hidden="1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hidden="1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hidden="1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hidden="1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hidden="1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hidden="1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hidden="1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hidden="1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hidden="1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hidden="1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hidden="1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hidden="1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hidden="1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hidden="1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hidden="1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hidden="1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hidden="1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hidden="1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hidden="1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hidden="1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hidden="1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hidden="1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hidden="1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hidden="1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hidden="1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hidden="1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hidden="1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hidden="1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hidden="1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hidden="1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hidden="1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hidden="1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hidden="1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hidden="1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hidden="1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hidden="1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hidden="1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hidden="1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hidden="1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hidden="1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hidden="1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hidden="1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hidden="1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hidden="1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hidden="1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hidden="1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hidden="1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hidden="1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hidden="1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hidden="1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hidden="1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hidden="1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hidden="1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hidden="1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hidden="1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hidden="1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hidden="1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hidden="1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hidden="1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hidden="1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hidden="1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hidden="1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hidden="1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hidden="1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hidden="1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hidden="1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hidden="1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hidden="1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hidden="1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hidden="1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hidden="1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hidden="1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hidden="1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hidden="1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hidden="1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hidden="1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hidden="1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hidden="1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hidden="1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hidden="1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hidden="1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hidden="1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hidden="1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hidden="1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hidden="1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hidden="1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hidden="1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hidden="1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hidden="1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hidden="1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hidden="1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hidden="1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hidden="1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hidden="1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hidden="1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hidden="1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hidden="1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hidden="1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hidden="1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hidden="1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hidden="1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hidden="1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hidden="1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hidden="1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hidden="1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hidden="1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hidden="1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hidden="1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hidden="1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hidden="1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hidden="1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hidden="1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hidden="1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hidden="1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hidden="1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hidden="1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hidden="1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hidden="1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hidden="1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hidden="1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hidden="1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hidden="1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hidden="1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hidden="1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hidden="1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hidden="1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hidden="1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hidden="1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hidden="1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hidden="1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hidden="1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hidden="1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hidden="1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hidden="1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hidden="1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hidden="1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hidden="1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hidden="1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hidden="1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hidden="1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hidden="1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hidden="1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hidden="1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hidden="1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hidden="1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hidden="1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hidden="1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hidden="1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hidden="1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hidden="1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hidden="1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hidden="1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hidden="1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hidden="1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hidden="1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hidden="1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hidden="1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hidden="1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hidden="1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hidden="1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hidden="1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hidden="1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hidden="1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hidden="1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hidden="1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hidden="1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hidden="1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hidden="1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hidden="1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hidden="1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hidden="1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hidden="1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hidden="1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hidden="1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hidden="1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hidden="1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hidden="1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hidden="1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hidden="1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hidden="1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hidden="1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hidden="1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hidden="1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hidden="1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hidden="1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hidden="1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hidden="1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hidden="1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hidden="1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hidden="1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hidden="1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hidden="1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hidden="1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hidden="1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hidden="1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hidden="1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hidden="1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hidden="1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hidden="1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hidden="1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hidden="1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hidden="1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hidden="1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hidden="1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hidden="1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hidden="1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hidden="1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hidden="1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hidden="1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hidden="1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hidden="1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hidden="1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hidden="1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hidden="1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hidden="1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hidden="1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hidden="1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hidden="1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hidden="1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hidden="1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hidden="1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hidden="1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hidden="1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hidden="1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hidden="1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hidden="1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hidden="1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hidden="1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hidden="1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hidden="1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hidden="1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hidden="1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hidden="1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hidden="1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hidden="1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hidden="1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hidden="1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hidden="1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hidden="1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hidden="1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hidden="1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hidden="1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hidden="1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hidden="1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hidden="1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hidden="1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hidden="1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hidden="1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hidden="1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hidden="1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hidden="1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hidden="1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hidden="1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hidden="1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hidden="1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hidden="1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hidden="1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hidden="1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hidden="1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hidden="1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hidden="1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hidden="1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hidden="1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hidden="1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hidden="1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hidden="1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hidden="1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hidden="1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hidden="1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hidden="1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hidden="1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hidden="1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hidden="1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hidden="1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hidden="1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hidden="1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hidden="1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hidden="1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hidden="1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hidden="1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hidden="1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hidden="1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hidden="1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hidden="1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hidden="1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hidden="1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hidden="1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hidden="1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hidden="1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hidden="1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hidden="1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hidden="1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hidden="1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hidden="1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hidden="1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hidden="1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hidden="1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hidden="1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hidden="1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hidden="1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hidden="1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hidden="1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hidden="1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hidden="1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hidden="1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hidden="1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hidden="1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hidden="1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hidden="1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hidden="1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hidden="1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hidden="1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hidden="1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hidden="1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hidden="1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hidden="1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hidden="1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hidden="1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hidden="1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hidden="1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hidden="1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hidden="1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hidden="1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hidden="1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hidden="1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hidden="1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hidden="1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hidden="1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hidden="1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hidden="1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hidden="1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hidden="1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hidden="1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hidden="1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hidden="1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hidden="1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hidden="1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hidden="1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hidden="1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hidden="1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hidden="1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hidden="1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hidden="1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hidden="1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hidden="1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hidden="1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hidden="1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hidden="1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hidden="1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hidden="1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hidden="1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hidden="1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hidden="1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hidden="1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hidden="1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hidden="1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hidden="1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hidden="1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hidden="1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hidden="1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hidden="1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hidden="1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hidden="1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hidden="1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hidden="1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hidden="1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hidden="1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hidden="1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hidden="1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hidden="1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hidden="1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hidden="1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hidden="1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hidden="1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hidden="1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hidden="1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hidden="1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hidden="1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hidden="1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hidden="1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hidden="1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hidden="1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hidden="1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hidden="1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hidden="1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hidden="1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hidden="1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hidden="1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hidden="1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hidden="1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hidden="1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hidden="1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hidden="1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hidden="1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hidden="1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hidden="1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hidden="1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hidden="1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hidden="1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hidden="1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hidden="1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hidden="1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hidden="1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hidden="1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hidden="1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hidden="1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hidden="1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hidden="1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hidden="1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hidden="1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hidden="1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hidden="1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hidden="1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hidden="1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hidden="1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hidden="1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hidden="1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hidden="1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hidden="1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hidden="1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hidden="1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hidden="1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hidden="1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hidden="1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hidden="1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hidden="1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hidden="1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hidden="1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hidden="1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hidden="1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hidden="1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hidden="1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hidden="1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hidden="1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hidden="1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hidden="1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hidden="1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hidden="1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hidden="1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hidden="1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hidden="1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hidden="1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hidden="1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hidden="1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hidden="1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hidden="1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hidden="1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hidden="1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hidden="1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hidden="1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hidden="1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hidden="1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hidden="1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hidden="1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hidden="1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hidden="1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hidden="1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hidden="1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hidden="1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hidden="1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hidden="1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hidden="1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hidden="1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hidden="1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hidden="1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hidden="1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hidden="1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hidden="1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hidden="1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hidden="1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hidden="1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hidden="1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hidden="1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hidden="1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hidden="1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hidden="1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hidden="1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hidden="1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hidden="1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hidden="1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hidden="1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hidden="1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hidden="1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hidden="1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hidden="1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hidden="1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hidden="1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hidden="1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hidden="1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hidden="1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hidden="1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hidden="1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hidden="1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hidden="1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hidden="1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hidden="1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hidden="1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hidden="1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hidden="1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hidden="1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hidden="1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hidden="1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hidden="1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hidden="1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hidden="1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hidden="1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hidden="1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hidden="1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hidden="1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hidden="1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hidden="1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hidden="1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hidden="1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hidden="1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hidden="1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hidden="1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hidden="1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hidden="1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hidden="1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hidden="1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hidden="1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hidden="1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hidden="1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hidden="1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hidden="1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hidden="1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hidden="1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hidden="1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hidden="1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hidden="1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hidden="1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hidden="1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hidden="1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hidden="1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hidden="1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hidden="1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hidden="1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hidden="1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hidden="1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hidden="1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hidden="1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hidden="1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hidden="1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hidden="1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hidden="1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hidden="1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hidden="1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hidden="1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hidden="1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hidden="1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hidden="1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hidden="1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hidden="1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hidden="1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hidden="1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hidden="1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hidden="1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hidden="1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hidden="1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hidden="1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hidden="1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hidden="1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hidden="1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hidden="1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hidden="1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hidden="1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hidden="1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hidden="1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hidden="1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hidden="1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hidden="1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hidden="1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hidden="1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hidden="1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hidden="1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hidden="1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hidden="1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hidden="1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hidden="1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hidden="1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hidden="1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hidden="1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hidden="1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hidden="1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hidden="1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hidden="1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hidden="1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hidden="1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hidden="1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hidden="1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hidden="1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hidden="1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hidden="1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hidden="1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hidden="1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hidden="1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hidden="1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hidden="1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hidden="1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hidden="1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hidden="1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hidden="1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hidden="1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hidden="1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hidden="1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hidden="1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hidden="1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hidden="1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hidden="1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hidden="1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hidden="1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hidden="1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hidden="1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hidden="1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hidden="1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hidden="1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hidden="1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hidden="1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hidden="1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hidden="1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hidden="1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hidden="1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hidden="1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hidden="1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hidden="1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hidden="1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hidden="1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hidden="1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hidden="1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hidden="1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hidden="1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hidden="1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hidden="1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hidden="1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hidden="1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hidden="1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hidden="1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hidden="1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hidden="1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hidden="1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hidden="1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hidden="1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hidden="1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hidden="1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hidden="1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hidden="1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hidden="1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hidden="1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hidden="1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hidden="1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hidden="1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hidden="1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hidden="1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hidden="1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hidden="1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hidden="1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hidden="1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hidden="1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hidden="1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hidden="1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hidden="1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hidden="1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hidden="1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hidden="1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hidden="1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hidden="1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hidden="1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hidden="1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hidden="1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hidden="1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hidden="1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hidden="1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hidden="1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hidden="1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hidden="1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hidden="1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hidden="1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hidden="1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hidden="1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hidden="1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hidden="1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hidden="1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hidden="1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hidden="1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hidden="1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hidden="1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hidden="1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hidden="1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hidden="1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hidden="1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hidden="1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hidden="1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hidden="1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hidden="1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hidden="1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hidden="1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hidden="1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hidden="1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hidden="1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hidden="1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hidden="1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hidden="1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hidden="1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hidden="1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hidden="1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hidden="1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hidden="1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hidden="1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hidden="1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hidden="1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hidden="1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hidden="1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hidden="1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hidden="1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hidden="1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hidden="1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hidden="1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hidden="1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hidden="1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hidden="1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hidden="1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hidden="1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hidden="1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hidden="1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hidden="1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hidden="1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hidden="1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hidden="1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hidden="1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hidden="1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hidden="1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hidden="1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hidden="1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hidden="1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hidden="1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hidden="1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hidden="1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hidden="1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hidden="1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hidden="1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hidden="1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hidden="1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hidden="1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hidden="1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hidden="1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hidden="1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hidden="1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hidden="1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hidden="1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hidden="1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hidden="1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hidden="1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hidden="1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hidden="1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hidden="1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hidden="1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hidden="1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hidden="1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hidden="1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hidden="1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hidden="1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hidden="1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hidden="1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hidden="1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hidden="1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hidden="1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hidden="1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hidden="1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hidden="1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hidden="1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hidden="1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hidden="1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hidden="1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hidden="1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hidden="1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hidden="1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hidden="1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hidden="1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hidden="1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hidden="1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hidden="1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hidden="1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hidden="1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hidden="1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hidden="1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hidden="1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hidden="1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hidden="1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hidden="1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hidden="1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hidden="1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hidden="1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hidden="1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hidden="1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hidden="1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hidden="1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hidden="1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hidden="1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hidden="1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hidden="1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hidden="1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hidden="1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hidden="1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hidden="1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hidden="1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hidden="1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hidden="1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hidden="1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hidden="1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hidden="1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hidden="1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hidden="1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hidden="1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hidden="1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hidden="1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hidden="1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hidden="1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hidden="1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hidden="1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hidden="1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hidden="1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hidden="1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hidden="1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hidden="1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hidden="1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hidden="1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hidden="1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hidden="1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hidden="1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hidden="1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hidden="1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hidden="1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hidden="1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hidden="1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hidden="1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hidden="1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hidden="1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hidden="1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hidden="1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hidden="1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hidden="1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hidden="1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hidden="1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hidden="1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hidden="1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hidden="1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hidden="1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hidden="1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hidden="1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hidden="1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hidden="1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hidden="1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hidden="1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hidden="1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hidden="1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hidden="1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hidden="1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hidden="1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hidden="1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hidden="1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hidden="1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hidden="1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hidden="1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hidden="1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hidden="1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hidden="1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hidden="1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hidden="1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hidden="1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hidden="1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hidden="1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hidden="1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hidden="1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hidden="1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hidden="1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hidden="1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hidden="1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hidden="1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hidden="1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hidden="1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hidden="1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hidden="1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hidden="1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hidden="1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hidden="1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hidden="1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hidden="1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hidden="1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hidden="1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hidden="1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hidden="1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hidden="1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hidden="1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hidden="1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hidden="1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hidden="1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hidden="1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hidden="1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hidden="1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hidden="1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hidden="1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hidden="1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hidden="1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hidden="1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hidden="1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hidden="1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hidden="1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hidden="1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hidden="1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hidden="1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hidden="1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hidden="1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hidden="1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hidden="1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hidden="1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hidden="1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hidden="1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hidden="1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hidden="1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hidden="1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hidden="1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hidden="1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hidden="1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hidden="1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hidden="1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hidden="1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hidden="1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hidden="1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hidden="1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hidden="1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hidden="1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hidden="1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hidden="1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hidden="1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hidden="1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hidden="1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hidden="1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hidden="1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hidden="1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hidden="1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hidden="1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hidden="1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hidden="1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hidden="1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hidden="1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hidden="1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hidden="1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hidden="1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hidden="1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hidden="1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hidden="1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hidden="1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hidden="1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hidden="1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hidden="1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hidden="1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hidden="1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hidden="1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hidden="1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hidden="1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hidden="1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hidden="1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hidden="1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hidden="1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hidden="1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hidden="1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hidden="1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hidden="1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hidden="1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hidden="1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hidden="1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hidden="1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hidden="1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hidden="1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hidden="1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hidden="1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hidden="1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hidden="1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hidden="1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hidden="1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hidden="1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hidden="1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hidden="1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hidden="1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hidden="1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hidden="1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hidden="1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hidden="1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hidden="1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hidden="1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hidden="1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hidden="1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hidden="1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hidden="1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hidden="1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hidden="1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hidden="1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hidden="1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hidden="1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hidden="1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hidden="1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hidden="1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hidden="1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hidden="1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hidden="1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hidden="1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hidden="1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hidden="1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hidden="1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hidden="1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hidden="1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hidden="1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hidden="1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hidden="1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hidden="1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hidden="1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hidden="1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hidden="1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hidden="1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hidden="1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hidden="1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hidden="1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hidden="1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hidden="1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hidden="1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hidden="1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hidden="1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hidden="1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hidden="1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hidden="1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hidden="1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hidden="1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hidden="1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hidden="1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hidden="1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hidden="1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hidden="1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hidden="1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hidden="1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hidden="1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hidden="1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hidden="1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hidden="1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hidden="1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hidden="1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hidden="1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hidden="1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hidden="1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hidden="1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hidden="1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hidden="1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hidden="1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hidden="1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hidden="1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hidden="1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hidden="1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hidden="1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hidden="1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hidden="1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hidden="1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hidden="1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hidden="1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hidden="1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hidden="1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hidden="1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hidden="1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hidden="1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hidden="1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hidden="1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hidden="1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hidden="1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hidden="1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hidden="1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hidden="1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hidden="1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hidden="1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hidden="1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hidden="1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hidden="1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hidden="1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hidden="1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hidden="1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hidden="1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hidden="1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hidden="1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hidden="1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hidden="1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hidden="1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hidden="1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hidden="1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hidden="1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hidden="1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hidden="1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hidden="1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hidden="1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hidden="1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hidden="1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hidden="1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hidden="1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hidden="1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hidden="1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hidden="1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hidden="1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hidden="1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hidden="1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hidden="1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hidden="1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hidden="1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hidden="1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hidden="1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hidden="1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hidden="1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hidden="1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hidden="1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hidden="1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hidden="1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hidden="1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hidden="1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hidden="1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hidden="1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hidden="1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hidden="1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hidden="1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hidden="1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hidden="1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hidden="1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hidden="1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hidden="1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hidden="1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hidden="1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hidden="1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hidden="1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hidden="1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hidden="1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hidden="1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hidden="1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hidden="1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hidden="1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hidden="1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hidden="1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hidden="1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hidden="1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hidden="1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hidden="1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hidden="1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hidden="1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hidden="1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hidden="1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hidden="1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hidden="1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hidden="1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hidden="1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hidden="1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hidden="1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hidden="1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hidden="1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hidden="1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hidden="1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hidden="1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hidden="1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hidden="1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hidden="1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hidden="1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hidden="1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hidden="1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hidden="1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hidden="1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hidden="1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hidden="1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hidden="1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hidden="1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hidden="1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hidden="1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hidden="1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hidden="1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hidden="1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hidden="1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hidden="1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hidden="1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hidden="1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hidden="1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hidden="1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hidden="1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hidden="1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hidden="1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hidden="1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hidden="1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hidden="1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hidden="1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hidden="1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hidden="1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hidden="1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hidden="1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hidden="1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hidden="1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hidden="1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hidden="1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hidden="1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hidden="1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hidden="1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hidden="1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hidden="1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hidden="1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hidden="1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hidden="1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hidden="1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7" priority="1">
      <formula>TRIM(C2)="Realizado"</formula>
    </cfRule>
  </conditionalFormatting>
  <conditionalFormatting sqref="C2:C2001">
    <cfRule type="expression" dxfId="6" priority="2">
      <formula>TRIM(C2)="Cancelado"</formula>
    </cfRule>
  </conditionalFormatting>
  <conditionalFormatting sqref="C2:C2001">
    <cfRule type="expression" dxfId="5" priority="3">
      <formula>TRIM(C2)="Em andamento"</formula>
    </cfRule>
  </conditionalFormatting>
  <conditionalFormatting sqref="C2:C2001">
    <cfRule type="expression" dxfId="4" priority="4">
      <formula>TRIM(C2)="Adiado"</formula>
    </cfRule>
  </conditionalFormatting>
  <conditionalFormatting sqref="A2:A2001">
    <cfRule type="expression" dxfId="3" priority="5">
      <formula>AND($B2&lt;&gt;"",$A2="")</formula>
    </cfRule>
  </conditionalFormatting>
  <conditionalFormatting sqref="L2:M2001">
    <cfRule type="expression" dxfId="2" priority="6">
      <formula>L2=""</formula>
    </cfRule>
  </conditionalFormatting>
  <conditionalFormatting sqref="A2:T2001">
    <cfRule type="expression" dxfId="1" priority="7">
      <formula>MOD(ROW(),2)=0</formula>
    </cfRule>
  </conditionalFormatting>
  <conditionalFormatting sqref="A2:T2001">
    <cfRule type="expression" dxfId="0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18" t="s">
        <v>324</v>
      </c>
      <c r="AA25">
        <v>3.6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18" t="s">
        <v>840</v>
      </c>
      <c r="Z26">
        <v>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2323</v>
      </c>
      <c r="Y27" s="18" t="s">
        <v>324</v>
      </c>
      <c r="AA27">
        <v>2.4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2323</v>
      </c>
      <c r="Y28" s="18" t="s">
        <v>840</v>
      </c>
      <c r="AA28">
        <v>0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2.4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20</v>
      </c>
      <c r="I30" s="22">
        <v>6</v>
      </c>
      <c r="J30" s="22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0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0.44999999999999996</v>
      </c>
      <c r="J36" s="22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0.44999999999999996</v>
      </c>
      <c r="J37" s="8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3093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73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24</v>
      </c>
      <c r="C17" s="26">
        <f>IF($A17="","",SUMIFS('GECC 2026'!I$2:I$200,'GECC 2026'!F$2:F$200,$A17))</f>
        <v>7.2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31.2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9.33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48.330000000000013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0.44999999999999996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3.45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811</v>
      </c>
      <c r="C105" s="95">
        <f>SUM(C5:C100)</f>
        <v>472.59999999999991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>IF(C2="","",IF(ISNUMBER(SEARCH(C2,H2)),"sim","NÃO"))</f>
        <v>NÃO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1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>
        <f>'GECC 2026'!Y40</f>
        <v>0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>IF(C39="","",IF(ISNUMBER(SEARCH(C39,H39)),"sim","NÃO"))</f>
        <v>NÃO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49" priority="1">
      <formula>$J2="CORRIGIR"</formula>
    </cfRule>
  </conditionalFormatting>
  <conditionalFormatting sqref="A2:L65">
    <cfRule type="expression" dxfId="48" priority="2">
      <formula>$J2="REVISAR"</formula>
    </cfRule>
  </conditionalFormatting>
  <conditionalFormatting sqref="A2:L65">
    <cfRule type="expression" dxfId="47" priority="3">
      <formula>$J2="OK"</formula>
    </cfRule>
  </conditionalFormatting>
  <conditionalFormatting sqref="I2:I65">
    <cfRule type="containsText" dxfId="46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2026-07-30T17:41:21Z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