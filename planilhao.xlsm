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87" documentId="8_{454372C2-A99E-4E47-A759-72B38925853E}" xr6:coauthVersionLast="47" xr6:coauthVersionMax="47" xr10:uidLastSave="{9F700DB7-55F7-4133-9206-BECBA6BEC03F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29" l="1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F54" i="29" l="1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<sst xmlns="http://schemas.openxmlformats.org/spreadsheetml/2006/main" count="7123" uniqueCount="3150">
  <si>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</si>
  <si>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</si>
  <si>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</si>
  <si>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</si>
  <si>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</si>
  <si>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</si>
  <si>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</si>
  <si>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</si>
  <si>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</si>
  <si>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</si>
  <si>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</si>
  <si>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</si>
  <si>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</si>
  <si>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</si>
  <si>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</si>
  <si>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</si>
  <si>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</si>
  <si>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</si>
  <si>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</si>
  <si>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</si>
  <si>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</si>
  <si>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</si>
  <si>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</si>
  <si>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</si>
  <si>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</si>
  <si>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</si>
  <si>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</si>
  <si>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</si>
  <si>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</si>
  <si>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</si>
  <si>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</si>
  <si>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</si>
  <si>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</si>
  <si>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</si>
  <si>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</si>
  <si>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</si>
  <si>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</si>
  <si>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</si>
  <si>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</si>
  <si>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</si>
  <si>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</si>
  <si>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</si>
  <si>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</si>
  <si>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</si>
  <si>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</si>
  <si>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</si>
  <si>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</si>
  <si>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</si>
  <si>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</si>
  <si>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</si>
  <si>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</si>
  <si>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</si>
  <si>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</si>
  <si>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</si>
  <si>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</si>
  <si>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</si>
  <si>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</si>
  <si>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</si>
  <si>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</si>
  <si>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</si>
  <si>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</si>
  <si>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</si>
  <si>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</si>
  <si>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</si>
  <si>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</si>
  <si>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</si>
  <si>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</si>
  <si>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</si>
  <si>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</si>
  <si>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</si>
  <si>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</si>
  <si>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</si>
  <si>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</si>
  <si>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</si>
  <si>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</si>
  <si>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</si>
  <si>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</si>
  <si>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</si>
  <si>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</si>
  <si>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</si>
  <si>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</si>
  <si>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</si>
  <si>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</si>
  <si>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</si>
  <si>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</si>
  <si>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</si>
  <si>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</si>
  <si>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</si>
  <si>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</si>
  <si>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</si>
  <si>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</si>
  <si>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</si>
  <si>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</si>
  <si>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</si>
  <si>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</si>
  <si>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</si>
  <si>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</si>
  <si>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</si>
  <si>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</si>
  <si>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</si>
  <si>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</si>
  <si>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</si>
  <si>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</si>
  <si>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</si>
  <si>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</si>
  <si>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</si>
  <si>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</si>
  <si>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</si>
  <si>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</si>
  <si>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</si>
  <si>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</si>
  <si>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</si>
  <si>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</si>
  <si>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</si>
  <si>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</si>
  <si>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</si>
  <si>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</si>
  <si>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</si>
  <si>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</si>
  <si>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</si>
  <si>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</si>
  <si>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</si>
  <si>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</si>
  <si>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</si>
  <si>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</si>
  <si>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</si>
  <si>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</si>
  <si>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</si>
  <si>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</si>
  <si>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</si>
  <si>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</si>
  <si>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</si>
  <si>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</si>
  <si>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</si>
  <si>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</si>
  <si>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</si>
  <si>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</si>
  <si>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</si>
  <si>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</si>
  <si>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</si>
  <si>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</si>
  <si>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</si>
  <si>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</si>
  <si>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</si>
  <si>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</si>
  <si>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</si>
  <si>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</si>
  <si>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</si>
  <si>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</si>
  <si>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</si>
  <si>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</si>
  <si>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</si>
  <si>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</si>
  <si>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</si>
  <si>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</si>
  <si>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</si>
  <si>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</si>
  <si>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</si>
  <si>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</si>
  <si>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</si>
  <si>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</si>
  <si>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</si>
  <si>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</si>
  <si>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</si>
  <si>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</si>
  <si>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</si>
  <si>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</si>
  <si>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</si>
  <si>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</si>
  <si>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</si>
  <si>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</si>
  <si>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</si>
  <si>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</si>
  <si>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</si>
  <si>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</si>
  <si>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</si>
  <si>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</si>
  <si>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</si>
  <si>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</si>
  <si>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</si>
  <si>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</si>
  <si>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</si>
  <si>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</si>
  <si>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</si>
  <si>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</si>
  <si>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</si>
  <si>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</si>
  <si>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</si>
  <si>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</si>
  <si>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</si>
  <si>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</si>
  <si>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</si>
  <si>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</si>
  <si>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</si>
  <si>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</si>
  <si>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</si>
  <si>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</si>
  <si>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</si>
  <si>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</si>
  <si>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</si>
  <si>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</si>
  <si>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</si>
  <si>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</si>
  <si>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</si>
  <si>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</si>
  <si>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</si>
  <si>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</si>
  <si>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</si>
  <si>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</si>
  <si>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</si>
  <si>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</si>
  <si>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</si>
  <si>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</si>
  <si>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</si>
  <si>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</si>
  <si>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</si>
  <si>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</si>
  <si>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</si>
  <si>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</si>
  <si>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</si>
  <si>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</si>
  <si>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</si>
  <si>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</si>
  <si>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</si>
  <si>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</si>
  <si>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</si>
  <si>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</si>
  <si>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</si>
  <si>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</si>
  <si>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</si>
  <si>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</si>
  <si>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</si>
  <si>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</si>
  <si>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</si>
  <si>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</si>
  <si>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</si>
  <si>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</si>
  <si>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</si>
  <si>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</si>
  <si>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</si>
  <si>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</si>
  <si>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</si>
  <si>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</si>
  <si>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</si>
  <si>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</si>
  <si>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</si>
  <si>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</si>
  <si>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</si>
  <si>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</si>
  <si>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</si>
  <si>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</si>
  <si>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</si>
  <si>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</si>
  <si>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</si>
  <si>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</si>
  <si>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</si>
  <si>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</si>
  <si>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</si>
  <si>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</si>
  <si>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</si>
  <si>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</si>
  <si>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</si>
  <si>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</si>
  <si>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</si>
  <si>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</si>
  <si>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</si>
  <si>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</si>
  <si>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</si>
  <si>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</si>
  <si>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</si>
  <si>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</si>
  <si>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</si>
  <si>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</si>
  <si>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</si>
  <si>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</si>
  <si>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</si>
  <si>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</si>
  <si>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</si>
  <si>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</si>
  <si>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</si>
  <si>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</si>
  <si>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</si>
  <si>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</si>
  <si>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</si>
  <si>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</si>
  <si>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</si>
  <si>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</si>
  <si>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</si>
  <si>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</si>
  <si>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</si>
  <si>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</si>
  <si>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</si>
  <si>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</si>
  <si>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</si>
  <si>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</si>
  <si>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</si>
  <si>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</si>
  <si>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</si>
  <si>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</si>
  <si>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</si>
  <si>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</si>
  <si>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</si>
  <si>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</si>
  <si>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</si>
  <si>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</si>
  <si>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</si>
  <si>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</si>
  <si>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</si>
  <si>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</si>
  <si>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</si>
  <si>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</si>
  <si>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</si>
  <si>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</si>
  <si>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</si>
  <si>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</si>
  <si>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</si>
  <si>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</si>
  <si>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</si>
  <si>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</si>
  <si>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</si>
  <si>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</si>
  <si>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</si>
  <si>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</si>
  <si>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</si>
  <si>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</si>
  <si>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</si>
  <si>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</si>
  <si>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</si>
  <si>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</si>
  <si>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</si>
  <si>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</si>
  <si>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</si>
  <si>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</si>
  <si>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</si>
  <si>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</si>
  <si>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</si>
  <si>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</si>
  <si>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</si>
  <si>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</si>
  <si>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</si>
  <si>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</si>
  <si>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</si>
  <si>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</si>
  <si>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</si>
  <si>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</si>
  <si>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</si>
  <si>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</si>
  <si>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</si>
  <si>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</si>
  <si>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</si>
  <si>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</si>
  <si>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</si>
  <si>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</si>
  <si>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</si>
  <si>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</si>
  <si>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</si>
  <si>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</si>
  <si>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</si>
  <si>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</si>
  <si>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</si>
  <si>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</si>
  <si>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</si>
  <si>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</si>
  <si>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</si>
  <si>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</si>
  <si>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</si>
  <si>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</si>
  <si>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</si>
  <si>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</si>
  <si>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</si>
  <si>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</si>
  <si>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</si>
  <si>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</si>
  <si>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</si>
  <si>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</si>
  <si>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</si>
  <si>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</si>
  <si>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</si>
  <si>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</si>
  <si>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</si>
  <si>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</si>
  <si>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</si>
  <si>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</si>
  <si>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</si>
  <si>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</si>
  <si>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</si>
  <si>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</si>
  <si>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</si>
  <si>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</si>
  <si>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</si>
  <si>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</si>
  <si>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</si>
  <si>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</si>
  <si>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</si>
  <si>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</si>
  <si>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</si>
  <si>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</si>
  <si>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</si>
  <si>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</si>
  <si>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</si>
  <si>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</si>
  <si>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</si>
  <si>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</si>
  <si>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</si>
  <si>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</si>
  <si>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</si>
  <si>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</si>
  <si>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</si>
  <si>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</si>
  <si>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</si>
  <si>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</si>
  <si>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</si>
  <si>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</si>
  <si>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</si>
  <si>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</si>
  <si>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</si>
  <si>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</si>
  <si>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</si>
  <si>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</si>
  <si>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</si>
  <si>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</si>
  <si>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</si>
  <si>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</si>
  <si>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</si>
  <si>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</si>
  <si>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</si>
  <si>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</si>
  <si>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</si>
  <si>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</si>
  <si>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</si>
  <si>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</si>
  <si>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</si>
  <si>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</si>
  <si>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</si>
  <si>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</si>
  <si>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</si>
  <si>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</si>
  <si>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</si>
  <si>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</si>
  <si>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</si>
  <si>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</si>
  <si>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</si>
  <si>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</si>
  <si>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</si>
  <si>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</si>
  <si>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</si>
  <si>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</si>
  <si>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</si>
  <si>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</si>
  <si>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</si>
  <si>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</si>
  <si>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</si>
  <si>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</si>
  <si>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</si>
  <si>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</si>
  <si>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</si>
  <si>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</si>
  <si>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</si>
  <si>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</si>
  <si>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</si>
  <si>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</si>
  <si>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</si>
  <si>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</si>
  <si>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</si>
  <si>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</si>
  <si>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</si>
  <si>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</si>
  <si>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</si>
  <si>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</si>
  <si>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</si>
  <si>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</si>
  <si>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</si>
  <si>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</si>
  <si>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</si>
  <si>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</si>
  <si>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</si>
  <si>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</si>
  <si>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</si>
  <si>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</si>
  <si>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</si>
  <si>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</si>
  <si>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</si>
  <si>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</si>
  <si>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</si>
  <si>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</si>
  <si>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</si>
  <si>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</si>
  <si>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</si>
  <si>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</si>
  <si>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</si>
  <si>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</si>
  <si>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</si>
  <si>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</si>
  <si>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</si>
  <si>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</si>
  <si>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</si>
  <si>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</si>
  <si>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</si>
  <si>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</si>
  <si>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</si>
  <si>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</si>
  <si>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</si>
  <si>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</si>
  <si>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</si>
  <si>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</si>
  <si>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</si>
  <si>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</si>
  <si>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</si>
  <si>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</si>
  <si>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</si>
  <si>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</si>
  <si>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</si>
  <si>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</si>
  <si>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</si>
  <si>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</si>
  <si>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</si>
  <si>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</si>
  <si>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</si>
  <si>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</si>
  <si>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</si>
  <si>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</si>
  <si>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</si>
  <si>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</si>
  <si>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</si>
  <si>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</si>
  <si>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</si>
  <si>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</si>
  <si>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</si>
  <si>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</si>
  <si>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</si>
  <si>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</si>
  <si>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</si>
  <si>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</si>
  <si>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</si>
  <si>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</si>
  <si>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</si>
  <si>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</si>
  <si>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</si>
  <si>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</si>
  <si>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</si>
  <si>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</si>
  <si>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</si>
  <si>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</si>
  <si>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</si>
  <si>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</si>
  <si>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</si>
  <si>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</si>
  <si>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</si>
  <si>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</si>
  <si>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</si>
  <si>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</si>
  <si>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</si>
  <si>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</si>
  <si>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</si>
  <si>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</si>
  <si>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</si>
  <si>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</si>
  <si>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</si>
  <si>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</si>
  <si>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</si>
  <si>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</si>
  <si>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</si>
  <si>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</si>
  <si>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</si>
  <si>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</si>
  <si>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</si>
  <si>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</si>
  <si>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</si>
  <si>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</si>
  <si>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</si>
  <si>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</si>
  <si>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</si>
  <si>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</si>
  <si>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</si>
  <si>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</si>
  <si>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</si>
  <si>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</si>
  <si>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</si>
  <si>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</si>
  <si>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</si>
  <si>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</si>
  <si>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</si>
  <si>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</si>
  <si>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</si>
  <si>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</si>
  <si>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</si>
  <si>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</si>
  <si>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</si>
  <si>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</si>
  <si>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</si>
  <si>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</si>
  <si>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</si>
  <si>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</si>
  <si>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</si>
  <si>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</si>
  <si>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</si>
  <si>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</si>
  <si>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</si>
  <si>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</si>
  <si>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</si>
  <si>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</si>
  <si>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</si>
  <si>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</si>
  <si>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</si>
  <si>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</si>
  <si>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</si>
  <si>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</si>
  <si>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</si>
  <si>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</si>
  <si>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</si>
  <si>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</si>
  <si>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</si>
  <si>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</si>
  <si>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</si>
  <si>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</si>
  <si>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</si>
  <si>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</si>
  <si>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</si>
  <si>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</si>
  <si>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</si>
  <si>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</si>
  <si>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</si>
  <si>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</si>
  <si>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</si>
  <si>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</si>
  <si>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</si>
  <si>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</si>
  <si>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</si>
  <si>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</si>
  <si>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</si>
  <si>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</si>
  <si>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</si>
  <si>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</si>
  <si>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</si>
  <si>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</si>
  <si>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</si>
  <si>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</si>
  <si>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</si>
  <si>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</si>
  <si>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</si>
  <si>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</si>
  <si>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</si>
  <si>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</si>
  <si>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</si>
  <si>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</si>
  <si>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</si>
  <si>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</si>
  <si>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</si>
  <si>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</si>
  <si>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</si>
  <si>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</si>
  <si>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</si>
  <si>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</si>
  <si>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</si>
  <si>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</si>
  <si>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</si>
  <si>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</si>
  <si>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</si>
  <si>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</si>
  <si>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</si>
  <si>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</si>
  <si>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</si>
  <si>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</si>
  <si>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</si>
  <si>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</si>
  <si>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</si>
  <si>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</si>
  <si>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</si>
  <si>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</si>
  <si>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</si>
  <si>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</si>
  <si>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</si>
  <si>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</si>
  <si>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</si>
  <si>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</si>
  <si>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</si>
  <si>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</si>
  <si>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</si>
  <si>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</si>
  <si>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</si>
  <si>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</si>
  <si>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</si>
  <si>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</si>
  <si>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</si>
  <si>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</si>
  <si>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</si>
  <si>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</si>
  <si>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</si>
  <si>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</si>
  <si>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</si>
  <si>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</si>
  <si>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</si>
  <si>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</si>
  <si>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</si>
  <si>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</si>
  <si>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</si>
  <si>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</si>
  <si>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</si>
  <si>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</si>
  <si>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</si>
  <si>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</si>
  <si>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</si>
  <si>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</si>
  <si>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</si>
  <si>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</si>
  <si>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</si>
  <si>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</si>
  <si>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</si>
  <si>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</si>
  <si>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</si>
  <si>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</si>
  <si>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</si>
  <si>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</si>
  <si>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</si>
  <si>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</si>
  <si>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</si>
  <si>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</si>
  <si>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</si>
  <si>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</si>
  <si>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</si>
  <si>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</si>
  <si>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</si>
  <si>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</si>
  <si>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</si>
  <si>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</si>
  <si>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</si>
  <si>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</si>
  <si>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</si>
  <si>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</si>
  <si>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</si>
  <si>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</si>
  <si>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</si>
  <si>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</si>
  <si>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</si>
  <si>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</si>
  <si>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</si>
  <si>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</si>
  <si>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</si>
  <si>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</si>
  <si>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</si>
  <si>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</si>
  <si>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</si>
  <si>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</si>
  <si>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</si>
  <si>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</si>
  <si>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</si>
  <si>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</si>
  <si>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</si>
  <si>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</si>
  <si>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</si>
  <si>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</si>
  <si>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</si>
  <si>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</si>
  <si>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</si>
  <si>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</si>
  <si>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</si>
  <si>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</si>
  <si>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</si>
  <si>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</si>
  <si>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</si>
  <si>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</si>
  <si>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</si>
  <si>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</si>
  <si>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</si>
  <si>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</si>
  <si>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</si>
  <si>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</si>
  <si>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</si>
  <si>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</si>
  <si>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</si>
  <si>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</si>
  <si>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</si>
  <si>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</si>
  <si>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</si>
  <si>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</si>
  <si>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</si>
  <si>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</si>
  <si>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</si>
  <si>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</si>
  <si>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</si>
  <si>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</si>
  <si>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</si>
  <si>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</si>
  <si>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</si>
  <si>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</si>
  <si>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</si>
  <si>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</si>
  <si>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</si>
  <si>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</si>
  <si>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</si>
  <si>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</si>
  <si>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</si>
  <si>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</si>
  <si>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</si>
  <si>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</si>
  <si>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</si>
  <si>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</si>
  <si>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</si>
  <si>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</si>
  <si>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</si>
  <si>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</si>
  <si>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</si>
  <si>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</si>
  <si>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</si>
  <si>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</si>
  <si>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</si>
  <si>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</si>
  <si>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</si>
  <si>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</si>
  <si>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</si>
  <si>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</si>
  <si>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</si>
  <si>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</si>
  <si>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</si>
  <si>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</si>
  <si>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</si>
  <si>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</si>
  <si>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</si>
  <si>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</si>
  <si>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</si>
  <si>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</si>
  <si>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</si>
  <si>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</si>
  <si>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</si>
  <si>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</si>
  <si>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</si>
  <si>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</si>
  <si>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</si>
  <si>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</si>
  <si>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</si>
  <si>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</si>
  <si>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</si>
  <si>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</si>
  <si>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</si>
  <si>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</si>
  <si>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</si>
  <si>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</si>
  <si>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</si>
  <si>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</si>
  <si>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</si>
  <si>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</si>
  <si>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</si>
  <si>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</si>
  <si>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</si>
  <si>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</si>
  <si>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</si>
  <si>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</si>
  <si>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</si>
  <si>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</si>
  <si>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</si>
  <si>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</si>
  <si>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</si>
  <si>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</si>
  <si>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</si>
  <si>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</si>
  <si>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</si>
  <si>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</si>
  <si>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</si>
  <si>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</si>
  <si>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</si>
  <si>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</si>
  <si>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</si>
  <si>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</si>
  <si>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</si>
  <si>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</si>
  <si>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</si>
  <si>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</si>
  <si>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</si>
  <si>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</si>
  <si>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</si>
  <si>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</si>
  <si>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</si>
  <si>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</si>
  <si>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</si>
  <si>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</si>
  <si>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</si>
  <si>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</si>
  <si>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</si>
  <si>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</si>
  <si>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</si>
  <si>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</si>
  <si>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</si>
  <si>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</si>
  <si>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</si>
  <si>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</si>
  <si>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</si>
  <si>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</si>
  <si>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</si>
  <si>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</si>
  <si>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</si>
  <si>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</si>
  <si>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</si>
  <si>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</si>
  <si>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</si>
  <si>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</si>
  <si>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</si>
  <si>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</si>
  <si>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</si>
  <si>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</si>
  <si>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</si>
  <si>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</si>
  <si>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</si>
  <si>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</si>
  <si>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</si>
  <si>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</si>
  <si>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</si>
  <si>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</si>
  <si>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</si>
  <si>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</si>
  <si>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</si>
  <si>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</si>
  <si>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</si>
  <si>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</si>
  <si>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</si>
  <si>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</si>
  <si>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</si>
  <si>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</si>
  <si>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</si>
  <si>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</si>
  <si>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</si>
  <si>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</si>
  <si>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</si>
  <si>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</si>
  <si>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</si>
  <si>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</si>
  <si>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</si>
  <si>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</si>
  <si>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</si>
  <si>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</si>
  <si>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</si>
  <si>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</si>
  <si>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</si>
  <si>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</si>
  <si>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</si>
  <si>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</si>
  <si>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</si>
  <si>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</si>
  <si>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</si>
  <si>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</si>
  <si>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</si>
  <si>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</si>
  <si>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</si>
  <si>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</si>
  <si>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</si>
  <si>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</si>
  <si>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</si>
  <si>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</si>
  <si>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</si>
  <si>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</si>
  <si>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</si>
  <si>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</si>
  <si>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</si>
  <si>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</si>
  <si>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</si>
  <si>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</si>
  <si>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</si>
  <si>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</si>
  <si>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</si>
  <si>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</si>
  <si>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</si>
  <si>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</si>
  <si>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</si>
  <si>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</si>
  <si>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</si>
  <si>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</si>
  <si>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</si>
  <si>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</si>
  <si>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</si>
  <si>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</si>
  <si>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</si>
  <si>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</si>
  <si>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</si>
  <si>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</si>
  <si>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</si>
  <si>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</si>
  <si>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</si>
  <si>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</si>
  <si>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</si>
  <si>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</si>
  <si>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</si>
  <si>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</si>
  <si>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</si>
  <si>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</si>
  <si>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</si>
  <si>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</si>
  <si>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</si>
  <si>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</si>
  <si>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</si>
  <si>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</si>
  <si>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</si>
  <si>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</si>
  <si>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</si>
  <si>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</si>
  <si>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</si>
  <si>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</si>
  <si>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</si>
  <si>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</si>
  <si>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</si>
  <si>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</si>
  <si>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</si>
  <si>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</si>
  <si>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</si>
  <si>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</si>
  <si>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</si>
  <si>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</si>
  <si>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</si>
  <si>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</si>
  <si>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</si>
  <si>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</si>
  <si>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</si>
  <si>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</si>
  <si>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</si>
  <si>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</si>
  <si>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</si>
  <si>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</si>
  <si>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</si>
  <si>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</si>
  <si>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</si>
  <si>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</si>
  <si>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</si>
  <si>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</si>
  <si>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</si>
  <si>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</si>
  <si>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</si>
  <si>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</si>
  <si>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</si>
  <si>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</si>
  <si>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</si>
  <si>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</si>
  <si>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</si>
  <si>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</si>
  <si>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</si>
  <si>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</si>
  <si>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</si>
  <si>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</si>
  <si>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</si>
  <si>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</si>
  <si>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</si>
  <si>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</si>
  <si>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</si>
  <si>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</si>
  <si>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</si>
  <si>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</si>
  <si>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</si>
  <si>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</si>
  <si>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</si>
  <si>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</si>
  <si>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</si>
  <si>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</si>
  <si>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</si>
  <si>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</si>
  <si>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</si>
  <si>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</si>
  <si>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</si>
  <si>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</si>
  <si>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</si>
  <si>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</si>
  <si>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</si>
  <si>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</si>
  <si>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</si>
  <si>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</si>
  <si>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</si>
  <si>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</si>
  <si>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</si>
  <si>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</si>
  <si>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</si>
  <si>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</si>
  <si>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</si>
  <si>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</si>
  <si>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</si>
  <si>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</si>
  <si>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</si>
  <si>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</si>
  <si>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</si>
  <si>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</si>
  <si>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</si>
  <si>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</si>
  <si>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</si>
  <si>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</si>
  <si>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</si>
  <si>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</si>
  <si>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</si>
  <si>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</si>
  <si>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</si>
  <si>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</si>
  <si>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</si>
  <si>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</si>
  <si>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</si>
  <si>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</si>
  <si>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</si>
  <si>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</si>
  <si>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</si>
  <si>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</si>
  <si>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</si>
  <si>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</si>
  <si>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</si>
  <si>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</si>
  <si>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</si>
  <si>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</si>
  <si>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</si>
  <si>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</si>
  <si>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</si>
  <si>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</si>
  <si>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</si>
  <si>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</si>
  <si>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</si>
  <si>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</si>
  <si>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</si>
  <si>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</si>
  <si>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</si>
  <si>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</si>
  <si>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</si>
  <si>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</si>
  <si>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</si>
  <si>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</si>
  <si>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</si>
  <si>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</si>
  <si>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</si>
  <si>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</si>
  <si>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</si>
  <si>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</si>
  <si>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</si>
  <si>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</si>
  <si>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</si>
  <si>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</si>
  <si>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</si>
  <si>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</si>
  <si>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</si>
  <si>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</si>
  <si>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</si>
  <si>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</si>
  <si>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</si>
  <si>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</si>
  <si>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</si>
  <si>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</si>
  <si>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</si>
  <si>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</si>
  <si>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</si>
  <si>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</si>
  <si>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</si>
  <si>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</si>
  <si>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</si>
  <si>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</si>
  <si>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</si>
  <si>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</si>
  <si>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</si>
  <si>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</si>
  <si>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</si>
  <si>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</si>
  <si>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</si>
  <si>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</si>
  <si>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</si>
  <si>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</si>
  <si>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</si>
  <si>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</si>
  <si>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</si>
  <si>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</si>
  <si>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</si>
  <si>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</si>
  <si>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</si>
  <si>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</si>
  <si>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</si>
  <si>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</si>
  <si>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</si>
  <si>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</si>
  <si>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</si>
  <si>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</si>
  <si>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</si>
  <si>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</si>
  <si>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</si>
  <si>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</si>
  <si>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</si>
  <si>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</si>
  <si>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</si>
  <si>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</si>
  <si>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</si>
  <si>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</si>
  <si>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</si>
  <si>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</si>
  <si>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</si>
  <si>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</si>
  <si>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</si>
  <si>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</si>
  <si>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</si>
  <si>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</si>
  <si>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</si>
  <si>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</si>
  <si>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</si>
  <si>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</si>
  <si>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</si>
  <si>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</si>
  <si>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</si>
  <si>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</si>
  <si>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</si>
  <si>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</si>
  <si>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</si>
  <si>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</si>
  <si>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</si>
  <si>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</si>
  <si>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</si>
  <si>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</si>
  <si>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</si>
  <si>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</si>
  <si>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</si>
  <si>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</si>
  <si>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</si>
  <si>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</si>
  <si>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</si>
  <si>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</si>
  <si>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</si>
  <si>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</si>
  <si>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</si>
  <si>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</si>
  <si>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</si>
  <si>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</si>
  <si>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</si>
  <si>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</si>
  <si>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</si>
  <si>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</si>
  <si>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</si>
  <si>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</si>
  <si>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</si>
  <si>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</si>
  <si>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</si>
  <si>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</si>
  <si>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</si>
  <si>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</si>
  <si>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</si>
  <si>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</si>
  <si>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</si>
  <si>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</si>
  <si>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</si>
  <si>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</si>
  <si>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</si>
  <si>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</si>
  <si>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</si>
  <si>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</si>
  <si>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</si>
  <si>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</si>
  <si>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</si>
  <si>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</si>
  <si>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</si>
  <si>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</si>
  <si>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</si>
  <si>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</si>
  <si>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</si>
  <si>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</si>
  <si>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</si>
  <si>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</si>
  <si>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</si>
  <si>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</si>
  <si>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</si>
  <si>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</si>
  <si>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</si>
  <si>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</si>
  <si>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</si>
  <si>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</si>
  <si>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</si>
  <si>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</si>
  <si>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</si>
  <si>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</si>
  <si>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</si>
  <si>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</si>
  <si>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</si>
  <si>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</si>
  <si>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</si>
  <si>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</si>
  <si>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</si>
  <si>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</si>
  <si>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</si>
  <si>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</si>
  <si>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</si>
  <si>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</si>
  <si>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</si>
  <si>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</si>
  <si>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</si>
  <si>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</si>
  <si>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</si>
  <si>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</si>
  <si>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</si>
  <si>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</si>
  <si>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</si>
  <si>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</si>
  <si>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</si>
  <si>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</si>
  <si>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</si>
  <si>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</si>
  <si>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</si>
  <si>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</si>
  <si>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</si>
  <si>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</si>
  <si>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</si>
  <si>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</si>
  <si>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</si>
  <si>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</si>
  <si>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</si>
  <si>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</si>
  <si>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</si>
  <si>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</si>
  <si>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</si>
  <si>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</si>
  <si>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</si>
  <si>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</si>
  <si>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</si>
  <si>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</si>
  <si>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</si>
  <si>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</si>
  <si>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</si>
  <si>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</si>
  <si>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</si>
  <si>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</si>
  <si>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</si>
  <si>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</si>
  <si>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</si>
  <si>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</si>
  <si>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</si>
  <si>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</si>
  <si>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</si>
  <si>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</si>
  <si>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</si>
  <si>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</si>
  <si>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</si>
  <si>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</si>
  <si>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</si>
  <si>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</si>
  <si>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</si>
  <si>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</si>
  <si>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</si>
  <si>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</si>
  <si>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</si>
  <si>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</si>
  <si>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</si>
  <si>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</si>
  <si>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</si>
  <si>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</si>
  <si>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</si>
  <si>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</si>
  <si>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</si>
  <si>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</si>
  <si>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</si>
  <si>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</si>
  <si>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</si>
  <si>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</si>
  <si>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</si>
  <si>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</si>
  <si>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</si>
  <si>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</si>
  <si>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</si>
  <si>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</si>
  <si>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</si>
  <si>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</si>
  <si>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</si>
  <si>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</si>
  <si>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</si>
  <si>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</si>
  <si>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</si>
  <si>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</si>
  <si>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</si>
  <si>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</si>
  <si>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</si>
  <si>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</si>
  <si>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</si>
  <si>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</si>
  <si>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</si>
  <si>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</si>
  <si>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</si>
  <si>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</si>
  <si>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</si>
  <si>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</si>
  <si>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</si>
  <si>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</si>
  <si>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</si>
  <si>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</si>
  <si>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</si>
  <si>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</si>
  <si>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</si>
  <si>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</si>
  <si>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</si>
  <si>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</si>
  <si>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</si>
  <si>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</si>
  <si>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</si>
  <si>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</si>
  <si>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</si>
  <si>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</si>
  <si>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</si>
  <si>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</si>
  <si>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</si>
  <si>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</si>
  <si>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</si>
  <si>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</si>
  <si>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</si>
  <si>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</si>
  <si>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</si>
  <si>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</si>
  <si>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</si>
  <si>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</si>
  <si>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</si>
  <si>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</si>
  <si>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</si>
  <si>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</si>
  <si>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</si>
  <si>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</si>
  <si>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</si>
  <si>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</si>
  <si>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</si>
  <si>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</si>
  <si>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</si>
  <si>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</si>
  <si>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</si>
  <si>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</si>
  <si>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</si>
  <si>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</si>
  <si>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</si>
  <si>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</si>
  <si>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</si>
  <si>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</si>
  <si>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</si>
  <si>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</si>
  <si>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</si>
  <si>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</si>
  <si>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</si>
  <si>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</si>
  <si>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</si>
  <si>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</si>
  <si>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</si>
  <si>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</si>
  <si>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</si>
  <si>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</si>
  <si>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</si>
  <si>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</si>
  <si>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</si>
  <si>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</si>
  <si>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</si>
  <si>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</si>
  <si>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</si>
  <si>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</si>
  <si>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</si>
  <si>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</si>
  <si>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</si>
  <si>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</si>
  <si>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</si>
  <si>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</si>
  <si>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</si>
  <si>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</si>
  <si>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</si>
  <si>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</si>
  <si>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</si>
  <si>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</si>
  <si>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</si>
  <si>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</si>
  <si>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</si>
  <si>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</si>
  <si>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</si>
  <si>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</si>
  <si>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</si>
  <si>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</si>
  <si>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</si>
  <si>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</si>
  <si>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</si>
  <si>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</si>
  <si>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</si>
  <si>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</si>
  <si>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</si>
  <si>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</si>
  <si>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</si>
  <si>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</si>
  <si>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</si>
  <si>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</si>
  <si>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</si>
  <si>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</si>
  <si>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</si>
  <si>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</si>
  <si>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</si>
  <si>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</si>
  <si>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</si>
  <si>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</si>
  <si>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</si>
  <si>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</si>
  <si>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</si>
  <si>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</si>
  <si>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</si>
  <si>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</si>
  <si>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</si>
  <si>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</si>
  <si>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</si>
  <si>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</si>
  <si>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</si>
  <si>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</si>
  <si>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</si>
  <si>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</si>
  <si>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</si>
  <si>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</si>
  <si>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</si>
  <si>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</si>
  <si>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</si>
  <si>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</si>
  <si>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</si>
  <si>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</si>
  <si>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</si>
  <si>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</si>
  <si>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</si>
  <si>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</si>
  <si>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</si>
  <si>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</si>
  <si>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</si>
  <si>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</si>
  <si>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</si>
  <si>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</si>
  <si>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</si>
  <si>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</si>
  <si>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</si>
  <si>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</si>
  <si>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</si>
  <si>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</si>
  <si>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</si>
  <si>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</si>
  <si>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</si>
  <si>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</si>
  <si>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</si>
  <si>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</si>
  <si>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</si>
  <si>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</si>
  <si>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</si>
  <si>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</si>
  <si>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</si>
  <si>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</si>
  <si>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</si>
  <si>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</si>
  <si>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</si>
  <si>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</si>
  <si>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</si>
  <si>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</si>
  <si>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</si>
  <si>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</si>
  <si>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</si>
  <si>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</si>
  <si>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</si>
  <si>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</si>
  <si>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</si>
  <si>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</si>
  <si>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</si>
  <si>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</si>
  <si>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</si>
  <si>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</si>
  <si>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</si>
  <si>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</si>
  <si>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</si>
  <si>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</si>
  <si>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</si>
  <si>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</si>
  <si>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</si>
  <si>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</si>
  <si>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</si>
  <si>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</si>
  <si>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</si>
  <si>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</si>
  <si>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</si>
  <si>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</si>
  <si>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</si>
  <si>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</si>
  <si>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</si>
  <si>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</si>
  <si>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</si>
  <si>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</si>
  <si>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</si>
  <si>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</si>
  <si>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</si>
  <si>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</si>
  <si>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</si>
  <si>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</si>
  <si>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</si>
  <si>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</si>
  <si>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</si>
  <si>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</si>
  <si>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</si>
  <si>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</si>
  <si>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</si>
  <si>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</si>
  <si>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</si>
  <si>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</si>
  <si>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</si>
  <si>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</si>
  <si>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</si>
  <si>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</si>
  <si>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</si>
  <si>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</si>
  <si>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</si>
  <si>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</si>
  <si>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</si>
  <si>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</si>
  <si>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</si>
  <si>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</si>
  <si>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</si>
  <si>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</si>
  <si>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</si>
  <si>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</si>
  <si>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</si>
  <si>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</si>
  <si>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</si>
  <si>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</si>
  <si>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</si>
  <si>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</si>
  <si>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</si>
  <si>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</si>
  <si>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</si>
  <si>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</si>
  <si>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</si>
  <si>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</si>
  <si>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</si>
  <si>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</si>
  <si>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</si>
  <si>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</si>
  <si>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</si>
  <si>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</si>
  <si>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</si>
  <si>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</si>
  <si>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</si>
  <si>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</si>
  <si>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</si>
  <si>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</si>
  <si>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</si>
  <si>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</si>
  <si>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</si>
  <si>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</si>
  <si>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</si>
  <si>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</si>
  <si>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</si>
  <si>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</si>
  <si>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</si>
  <si>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</si>
  <si>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</si>
  <si>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</si>
  <si>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</si>
  <si>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</si>
  <si>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</si>
  <si>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</si>
  <si>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</si>
  <si>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</si>
  <si>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</si>
  <si>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</si>
  <si>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</si>
  <si>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</si>
  <si>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</si>
  <si>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</si>
  <si>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</si>
  <si>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</si>
  <si>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</si>
  <si>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</si>
  <si>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</si>
  <si>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</si>
  <si>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</si>
  <si>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</si>
  <si>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</si>
  <si>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</si>
  <si>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</si>
  <si>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</si>
  <si>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</si>
  <si>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</si>
  <si>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</si>
  <si>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</si>
  <si>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</si>
  <si>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</si>
  <si>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</si>
  <si>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</si>
  <si>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</si>
  <si>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</si>
  <si>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</si>
  <si>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</si>
  <si>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</si>
  <si>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</si>
  <si>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</si>
  <si>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</si>
  <si>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</si>
  <si>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</si>
  <si>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</si>
  <si>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</si>
  <si>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</si>
  <si>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</si>
  <si>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</si>
  <si>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</si>
  <si>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</si>
  <si>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</si>
  <si>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</si>
  <si>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</si>
  <si>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</si>
  <si>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</si>
  <si>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</si>
  <si>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</si>
  <si>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</si>
  <si>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</si>
  <si>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</si>
  <si>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</si>
  <si>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</si>
  <si>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</si>
  <si>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</si>
  <si>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</si>
  <si>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</si>
  <si>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</si>
  <si>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</si>
  <si>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</si>
  <si>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</si>
  <si>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</si>
  <si>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</si>
  <si>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</si>
  <si>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</si>
  <si>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</si>
  <si>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</si>
  <si>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</si>
  <si>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</si>
  <si>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</si>
  <si>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</si>
  <si>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</si>
  <si>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</si>
  <si>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</si>
  <si>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</si>
  <si>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</si>
  <si>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</si>
  <si>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</si>
  <si>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</si>
  <si>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</si>
  <si>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</si>
  <si>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</si>
  <si>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</si>
  <si>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</si>
  <si>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</si>
  <si>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</si>
  <si>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</si>
  <si>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</si>
  <si>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</si>
  <si>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</si>
  <si>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</si>
  <si>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</si>
  <si>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</si>
  <si>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</si>
  <si>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</si>
  <si>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</si>
  <si>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</si>
  <si>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</si>
  <si>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</si>
  <si>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</si>
  <si>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</si>
  <si>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</si>
  <si>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</si>
  <si>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</si>
  <si>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</si>
  <si>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</si>
  <si>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</si>
  <si>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</si>
  <si>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</si>
  <si>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</si>
  <si>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</si>
  <si>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</si>
  <si>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</si>
  <si>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</si>
  <si>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</si>
  <si>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</si>
  <si>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</si>
  <si>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</si>
  <si>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</si>
  <si>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</si>
  <si>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</si>
  <si>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</si>
  <si>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</si>
  <si>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</si>
  <si>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</si>
  <si>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</si>
  <si>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</si>
  <si>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</si>
  <si>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</si>
  <si>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</si>
  <si>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</si>
  <si>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</si>
  <si>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</si>
  <si>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</si>
  <si>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</si>
  <si>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</si>
  <si>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</si>
  <si>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</si>
  <si>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</si>
  <si>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</si>
  <si>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</si>
  <si>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</si>
  <si>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</si>
  <si>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</si>
  <si>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</si>
  <si>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</si>
  <si>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</si>
  <si>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</si>
  <si>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</si>
  <si>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</si>
  <si>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</si>
  <si>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</si>
  <si>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</si>
  <si>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</si>
  <si>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</si>
  <si>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</si>
  <si>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</si>
  <si>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</si>
  <si>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</si>
  <si>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</si>
  <si>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</si>
  <si>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</si>
  <si>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</si>
  <si>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</si>
  <si>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</si>
  <si>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</si>
  <si>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</si>
  <si>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</si>
  <si>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</si>
  <si>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</si>
  <si>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</si>
  <si>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</si>
  <si>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</si>
  <si>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</si>
  <si>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</si>
  <si>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</si>
  <si>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</si>
  <si>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</si>
  <si>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</si>
  <si>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</si>
  <si>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</si>
  <si>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</si>
  <si>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</si>
  <si>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</si>
  <si>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</si>
  <si>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</si>
  <si>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</si>
  <si>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</si>
  <si>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</si>
  <si>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</si>
  <si>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</si>
  <si>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</si>
  <si>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</si>
  <si>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</si>
  <si>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</si>
  <si>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</si>
  <si>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</si>
  <si>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</si>
  <si>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</si>
  <si>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</si>
  <si>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</si>
  <si>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</si>
  <si>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</si>
  <si>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</si>
  <si>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</si>
  <si>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</si>
  <si>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</si>
  <si>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</si>
  <si>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</si>
  <si>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</si>
  <si>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</si>
  <si>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</si>
  <si>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</si>
  <si>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</si>
  <si>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</si>
  <si>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</si>
  <si>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</si>
  <si>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</si>
  <si>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</si>
  <si>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</si>
  <si>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</si>
  <si>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</si>
  <si>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</si>
  <si>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</si>
  <si>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</si>
  <si>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</si>
  <si>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</si>
  <si>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</si>
  <si>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</si>
  <si>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</si>
  <si>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</si>
  <si>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</si>
  <si>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</si>
  <si>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</si>
  <si>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</si>
  <si>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</si>
  <si>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</si>
  <si>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</si>
  <si>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</si>
  <si>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</si>
  <si>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</si>
  <si>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</si>
  <si>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</si>
  <si>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</si>
  <si>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</si>
  <si>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</si>
  <si>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</si>
  <si>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</si>
  <si>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</si>
  <si>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</si>
  <si>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</si>
  <si>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</si>
  <si>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</si>
  <si>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</si>
  <si>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</si>
  <si>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</si>
  <si>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</si>
  <si>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</si>
  <si>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</si>
  <si>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</si>
  <si>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</si>
  <si>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</si>
  <si>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</si>
  <si>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</si>
  <si>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</si>
  <si>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</si>
  <si>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</si>
  <si>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</si>
  <si>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</si>
  <si>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</si>
  <si>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</si>
  <si>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</si>
  <si>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</si>
  <si>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</si>
  <si>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</si>
  <si>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</si>
  <si>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</si>
  <si>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</si>
  <si>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</si>
  <si>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</si>
  <si>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</si>
  <si>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</si>
  <si>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</si>
  <si>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</si>
  <si>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</si>
  <si>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</si>
  <si>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</si>
  <si>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</si>
  <si>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</si>
  <si>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</si>
  <si>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</si>
  <si>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</si>
  <si>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</si>
  <si>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</si>
  <si>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</si>
  <si>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</si>
  <si>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</si>
  <si>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</si>
  <si>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</si>
  <si>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</si>
  <si>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</si>
  <si>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</si>
  <si>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</si>
  <si>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</si>
  <si>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</si>
  <si>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</si>
  <si>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</si>
  <si>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</si>
  <si>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</si>
  <si>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</si>
  <si>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</si>
  <si>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</si>
  <si>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</si>
  <si>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</si>
  <si>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</si>
  <si>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</si>
  <si>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</si>
  <si>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</si>
  <si>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</si>
  <si>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</si>
  <si>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</si>
  <si>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</si>
  <si>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</si>
  <si>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</si>
  <si>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</si>
  <si>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</si>
  <si>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</si>
  <si>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</si>
  <si>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</si>
  <si>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</si>
  <si>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</si>
  <si>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</si>
  <si>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</si>
  <si>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</si>
  <si>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</si>
  <si>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</si>
  <si>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</si>
  <si>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</si>
  <si>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</si>
  <si>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</si>
  <si>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</si>
  <si>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</si>
  <si>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</si>
  <si>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</si>
  <si>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</si>
  <si>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</si>
  <si>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</si>
  <si>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</si>
  <si>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</si>
  <si>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</si>
  <si>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</si>
  <si>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</si>
  <si>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</si>
  <si>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</si>
  <si>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</si>
  <si>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</si>
  <si>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</si>
  <si>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</si>
  <si>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</si>
  <si>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</si>
  <si>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</si>
  <si>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</si>
  <si>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</si>
  <si>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</si>
  <si>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</si>
  <si>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</si>
  <si>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</si>
  <si>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</si>
  <si>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</si>
  <si>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</si>
  <si>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</si>
  <si>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</si>
  <si>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</si>
  <si>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</si>
  <si>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</si>
  <si>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</si>
  <si>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</si>
  <si>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</si>
  <si>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</si>
  <si>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</si>
  <si>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</si>
  <si>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</si>
  <si>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</si>
  <si>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</si>
  <si>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</si>
  <si>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</si>
  <si>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</si>
  <si>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</si>
  <si>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</si>
  <si>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</si>
  <si>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</si>
  <si>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</si>
  <si>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</si>
  <si>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</si>
  <si>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</si>
  <si>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</si>
  <si>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</si>
  <si>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</si>
  <si>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</si>
  <si>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</si>
  <si>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</si>
  <si>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</si>
  <si>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</si>
  <si>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</si>
  <si>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</si>
  <si>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</si>
  <si>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</si>
  <si>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</si>
  <si>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</si>
  <si>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</si>
  <si>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</si>
  <si>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</si>
  <si>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</si>
  <si>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</si>
  <si>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</si>
  <si>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</si>
  <si>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</si>
  <si>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</si>
  <si>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</si>
  <si>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</si>
  <si>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</si>
  <si>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</si>
  <si>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</si>
  <si>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</si>
  <si>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</si>
  <si>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</si>
  <si>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</si>
  <si>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</si>
  <si>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</si>
  <si>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</si>
  <si>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</si>
  <si>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</si>
  <si>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</si>
  <si>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</si>
  <si>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</si>
  <si>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</si>
  <si>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</si>
  <si>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</si>
  <si>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</si>
  <si>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</si>
  <si>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</si>
  <si>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</si>
  <si>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</si>
  <si>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</si>
  <si>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</si>
  <si>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</si>
  <si>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</si>
  <si>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</si>
  <si>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</si>
  <si>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</si>
  <si>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</si>
  <si>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</si>
  <si>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</si>
  <si>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</si>
  <si>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</si>
  <si>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</si>
  <si>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</si>
  <si>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</si>
  <si>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</si>
  <si>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</si>
  <si>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</si>
  <si>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</si>
  <si>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</si>
  <si>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</si>
  <si>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</si>
  <si>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</si>
  <si>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</si>
  <si>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</si>
  <si>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</si>
  <si>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</si>
  <si>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</si>
  <si>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</si>
  <si>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</si>
  <si>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</si>
  <si>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</si>
  <si>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</si>
  <si>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</si>
  <si>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</si>
  <si>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</si>
  <si>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</si>
  <si>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</si>
  <si>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</si>
  <si>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</si>
  <si>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</si>
  <si>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</si>
  <si>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</si>
  <si>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</si>
  <si>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</si>
  <si>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</si>
  <si>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</si>
  <si>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</si>
  <si>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</si>
  <si>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</si>
  <si>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</si>
  <si>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</si>
  <si>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</si>
  <si>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</si>
  <si>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</si>
  <si>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</si>
  <si>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</si>
  <si>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</si>
  <si>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</si>
  <si>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</si>
  <si>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</si>
  <si>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</si>
  <si>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</si>
  <si>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</si>
  <si>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</si>
  <si>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</si>
  <si>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</si>
  <si>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</si>
  <si>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</si>
  <si>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</si>
  <si>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</si>
  <si>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</si>
  <si>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</si>
  <si>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</si>
  <si>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</si>
  <si>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</si>
  <si>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</si>
  <si>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</si>
  <si>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</si>
  <si>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</si>
  <si>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</si>
  <si>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</si>
  <si>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</si>
  <si>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</si>
  <si>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</si>
  <si>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</si>
  <si>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</si>
  <si>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</si>
  <si>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</si>
  <si>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</si>
  <si>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</si>
  <si>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</si>
  <si>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</si>
  <si>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</si>
  <si>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</si>
  <si>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</si>
  <si>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</si>
  <si>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</si>
  <si>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</si>
  <si>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</si>
  <si>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</si>
  <si>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</si>
  <si>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</si>
  <si>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</si>
  <si>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</si>
  <si>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</si>
  <si>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</si>
  <si>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</si>
  <si>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</si>
  <si>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</si>
  <si>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</si>
  <si>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</si>
  <si>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</si>
  <si>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</si>
  <si>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</si>
  <si>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</si>
  <si>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</si>
  <si>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</si>
  <si>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</si>
  <si>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</si>
  <si>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</si>
  <si>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</si>
  <si>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</si>
  <si>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</si>
  <si>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</si>
  <si>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</si>
  <si>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</si>
  <si>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</si>
  <si>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</si>
  <si>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</si>
  <si>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</si>
  <si>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</si>
  <si>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</si>
  <si>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</si>
  <si>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</si>
  <si>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</si>
  <si>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</si>
  <si>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</si>
  <si>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</si>
  <si>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</si>
  <si>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</si>
  <si>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</si>
  <si>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</si>
  <si>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</si>
  <si>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</si>
  <si>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</si>
  <si>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</si>
  <si>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</si>
  <si>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</si>
  <si>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</si>
  <si>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</si>
  <si>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</si>
  <si>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</si>
  <si>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</si>
  <si>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</si>
  <si>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</si>
  <si>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</si>
  <si>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</si>
  <si>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</si>
  <si>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</si>
  <si>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</si>
  <si>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</si>
  <si>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</si>
  <si>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</si>
  <si>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</si>
  <si>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</si>
  <si>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</si>
  <si>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</si>
  <si>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</si>
  <si>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</si>
  <si>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</si>
  <si>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</si>
  <si>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</si>
  <si>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</si>
  <si>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</si>
  <si>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</si>
  <si>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</si>
  <si>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</si>
  <si>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</si>
  <si>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</si>
  <si>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</si>
  <si>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</si>
  <si>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</si>
  <si>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</si>
  <si>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</si>
  <si>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</si>
  <si>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</si>
  <si>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</si>
  <si>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</si>
  <si>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</si>
  <si>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</si>
  <si>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</si>
  <si>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</si>
  <si>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</si>
  <si>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</si>
  <si>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</si>
  <si>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</si>
  <si>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</si>
  <si>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</si>
  <si>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</si>
  <si>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</si>
  <si>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</si>
  <si>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</si>
  <si>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</si>
  <si>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</si>
  <si>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</si>
  <si>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</si>
  <si>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</si>
  <si>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</si>
  <si>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</si>
  <si>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</si>
  <si>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</si>
  <si>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</si>
  <si>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</si>
  <si>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</si>
  <si>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</si>
  <si>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</si>
  <si>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</si>
  <si>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</si>
  <si>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</si>
  <si>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</si>
  <si>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</si>
  <si>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</si>
  <si>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</si>
  <si>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</si>
  <si>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</si>
  <si>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</si>
  <si>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</si>
  <si>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</si>
  <si>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</si>
  <si>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</si>
  <si>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</si>
  <si>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</si>
  <si>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</si>
  <si>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</si>
  <si>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</si>
  <si>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</si>
  <si>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</si>
  <si>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</si>
  <si>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</si>
  <si>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</si>
  <si>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</si>
  <si>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</si>
  <si>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</si>
  <si>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</si>
  <si>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</si>
  <si>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</si>
  <si>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</si>
  <si>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</si>
  <si>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</si>
  <si>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</si>
  <si>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</si>
  <si>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</si>
  <si>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</si>
  <si>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</si>
  <si>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</si>
  <si>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</si>
  <si>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</si>
  <si>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</si>
  <si>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</si>
  <si>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</si>
  <si>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</si>
  <si>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</si>
  <si>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</si>
  <si>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</si>
  <si>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</si>
  <si>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</si>
  <si>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</si>
  <si>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</si>
  <si>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</si>
  <si>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</si>
  <si>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</si>
  <si>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</si>
  <si>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</si>
  <si>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</si>
  <si>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</si>
  <si>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</si>
  <si>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</si>
  <si>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</si>
  <si>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</si>
  <si>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</si>
  <si>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</si>
  <si>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</si>
  <si>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</si>
  <si>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</si>
  <si>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</si>
  <si>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</si>
  <si>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</si>
  <si>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</si>
  <si>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</si>
  <si>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</si>
  <si>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</si>
  <si>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</si>
  <si>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</si>
  <si>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</si>
  <si>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</si>
  <si>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</si>
  <si>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</si>
  <si>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</si>
  <si>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</si>
  <si>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</si>
  <si>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</si>
  <si>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</si>
  <si>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</si>
  <si>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</si>
  <si>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</si>
  <si>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</si>
  <si>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</si>
  <si>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</si>
  <si>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</si>
  <si>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</si>
  <si>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</si>
  <si>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</si>
  <si>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</si>
  <si>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</si>
  <si>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</si>
  <si>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</si>
  <si>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</si>
  <si>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</si>
  <si>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</si>
  <si>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</si>
  <si>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</si>
  <si>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</si>
  <si>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</si>
  <si>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</si>
  <si>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</si>
  <si>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</si>
  <si>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</si>
  <si>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</si>
  <si>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</si>
  <si>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</si>
  <si>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</si>
  <si>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</si>
  <si>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</si>
  <si>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</si>
  <si>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</si>
  <si>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</si>
  <si>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</si>
  <si>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</si>
  <si>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</si>
  <si>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</si>
  <si>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</si>
  <si>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</si>
  <si>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</si>
  <si>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</si>
  <si>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</si>
  <si>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</si>
  <si>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</si>
  <si>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</si>
  <si>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</si>
  <si>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</si>
  <si>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</si>
  <si>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</si>
  <si>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</si>
  <si>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</si>
  <si>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</si>
  <si>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</si>
  <si>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</si>
  <si>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</si>
  <si>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</si>
  <si>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</si>
  <si>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</si>
  <si>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</si>
  <si>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</si>
  <si>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</si>
  <si>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</si>
  <si>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</si>
  <si>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</si>
  <si>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</si>
  <si>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</si>
  <si>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</si>
  <si>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</si>
  <si>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</si>
  <si>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</si>
  <si>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</si>
  <si>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</si>
  <si>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</si>
  <si>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</si>
  <si>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</si>
  <si>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</si>
  <si>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</si>
  <si>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</si>
  <si>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</si>
  <si>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</si>
  <si>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</si>
  <si>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</si>
  <si>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</si>
  <si>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</si>
  <si>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</si>
  <si>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</si>
  <si>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</si>
  <si>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</si>
  <si>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</si>
  <si>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</si>
  <si>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</si>
  <si>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</si>
  <si>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</si>
  <si>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</si>
  <si>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</si>
  <si>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</si>
  <si>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</si>
  <si>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</si>
  <si>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</si>
  <si>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</si>
  <si>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</si>
  <si>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</si>
  <si>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</si>
  <si>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</si>
  <si>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</si>
  <si>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</si>
  <si>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</si>
  <si>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</si>
  <si>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</si>
  <si>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</si>
  <si>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</si>
  <si>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</si>
  <si>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</si>
  <si>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</si>
  <si>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</si>
  <si>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</si>
  <si>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</si>
  <si>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</si>
  <si>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</si>
  <si>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</si>
  <si>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</si>
  <si>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</si>
  <si>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</si>
  <si>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</si>
  <si>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</si>
  <si>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</si>
  <si>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</si>
  <si>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</si>
  <si>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</si>
  <si>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</si>
  <si>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</si>
  <si>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</si>
  <si>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</si>
  <si>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</si>
  <si>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</si>
  <si>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</si>
  <si>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</si>
  <si>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</si>
  <si>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</si>
  <si>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</si>
  <si>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</si>
  <si>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</si>
  <si>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</si>
  <si>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</si>
  <si>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</si>
  <si>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</si>
  <si>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</si>
  <si>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</si>
  <si>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</si>
  <si>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</si>
  <si>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</si>
  <si>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</si>
  <si>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</si>
  <si>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</si>
  <si>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</si>
  <si>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</si>
  <si>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</si>
  <si>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</si>
  <si>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</si>
  <si>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</si>
  <si>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</si>
  <si>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</si>
  <si>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</si>
  <si>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</si>
  <si>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</si>
  <si>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</si>
  <si>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</si>
  <si>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</si>
  <si>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</si>
  <si>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</si>
  <si>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</si>
  <si>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</si>
  <si>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</si>
  <si>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</si>
  <si>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</si>
  <si>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</si>
  <si>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</si>
  <si>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</si>
  <si>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</si>
  <si>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</si>
  <si>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</si>
  <si>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</si>
  <si>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</si>
  <si>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</si>
  <si>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</si>
  <si>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</si>
  <si>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</si>
  <si>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</si>
  <si>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</si>
  <si>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</si>
  <si>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</si>
  <si>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</si>
  <si>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</si>
  <si>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</si>
  <si>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</si>
  <si>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</si>
  <si>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</si>
  <si>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</si>
  <si>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</si>
  <si>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</si>
  <si>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</si>
  <si>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</si>
  <si>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</si>
  <si>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</si>
  <si>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</si>
  <si>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</si>
  <si>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</si>
  <si>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</si>
  <si>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</si>
  <si>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</si>
  <si>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</si>
  <si>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</si>
  <si>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</si>
  <si>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</si>
  <si>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</si>
  <si>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</si>
  <si>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</si>
  <si>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</si>
  <si>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</si>
  <si>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</si>
  <si>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</si>
  <si>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</si>
  <si>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</si>
  <si>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</si>
  <si>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</si>
  <si>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</si>
  <si>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</si>
  <si>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</si>
  <si>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</si>
  <si>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</si>
  <si>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</si>
  <si>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</si>
  <si>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</si>
  <si>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</si>
  <si>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</si>
  <si>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</si>
  <si>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</si>
  <si>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</si>
  <si>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</si>
  <si>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</si>
  <si>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</si>
  <si>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</si>
  <si>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</si>
  <si>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</si>
  <si>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</si>
  <si>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</si>
  <si>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</si>
  <si>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</si>
  <si>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</si>
  <si>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</si>
  <si>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</si>
  <si>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</si>
  <si>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</si>
  <si>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</si>
  <si>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</si>
  <si>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</si>
  <si>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</si>
  <si>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</si>
  <si>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</si>
  <si>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</si>
  <si>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</si>
  <si>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</si>
  <si>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</si>
  <si>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</si>
  <si>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</si>
  <si>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</si>
  <si>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</si>
  <si>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</si>
  <si>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</si>
  <si>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</si>
  <si>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</si>
  <si>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</si>
  <si>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</si>
  <si>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</si>
  <si>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</si>
  <si>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</si>
  <si>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</si>
  <si>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</si>
  <si>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</si>
  <si>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</si>
  <si>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</si>
  <si>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</si>
  <si>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</si>
  <si>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</si>
  <si>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</si>
  <si>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</si>
  <si>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</si>
  <si>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</si>
  <si>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</si>
  <si>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</si>
  <si>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</si>
  <si>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</si>
  <si>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</si>
  <si>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</si>
  <si>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</si>
  <si>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</si>
  <si>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</si>
  <si>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</si>
  <si>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</si>
  <si>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</si>
  <si>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</si>
  <si>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</si>
  <si>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</si>
  <si>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</si>
  <si>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</si>
  <si>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</si>
  <si>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</si>
  <si>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</si>
  <si>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</si>
  <si>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</si>
  <si>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</si>
  <si>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</si>
  <si>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</si>
  <si>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</si>
  <si>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</si>
  <si>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</si>
  <si>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</si>
  <si>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</si>
  <si>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</si>
  <si>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</si>
  <si>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</si>
  <si>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</si>
  <si>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</si>
  <si>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</si>
  <si>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</si>
  <si>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</si>
  <si>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</si>
  <si>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</si>
  <si>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</si>
  <si>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</si>
  <si>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</si>
  <si>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</si>
  <si>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</si>
  <si>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</si>
  <si>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</si>
  <si>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</si>
  <si>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</si>
  <si>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</si>
  <si>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</si>
  <si>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</si>
  <si>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</si>
  <si>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</si>
  <si>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</si>
  <si>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</si>
  <si>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</si>
  <si>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</si>
  <si>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</si>
  <si>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</si>
  <si>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</si>
  <si>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</si>
  <si>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</si>
  <si>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</si>
  <si>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</si>
  <si>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</si>
  <si>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</si>
  <si>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</si>
  <si>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</si>
  <si>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</si>
  <si>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</si>
  <si>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</si>
  <si>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</si>
  <si>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</si>
  <si>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</si>
  <si>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</si>
  <si>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</si>
  <si>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</si>
  <si>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</si>
  <si>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</si>
  <si>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</si>
  <si>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</si>
  <si>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</si>
  <si>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</si>
  <si>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</si>
  <si>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</si>
  <si>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</si>
  <si>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</si>
  <si>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</si>
  <si>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</si>
  <si>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</si>
  <si>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</si>
  <si>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</si>
  <si>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</si>
  <si>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</si>
  <si>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</si>
  <si>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</si>
  <si>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</si>
  <si>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</si>
  <si>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</si>
  <si>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</si>
  <si>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</si>
  <si>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</si>
  <si>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</si>
  <si>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</si>
  <si>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</si>
  <si>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</si>
  <si>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</si>
  <si>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</si>
  <si>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</si>
  <si>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</si>
  <si>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</si>
  <si>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</si>
  <si>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</si>
  <si>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</si>
  <si>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</si>
  <si>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</si>
  <si>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</si>
  <si>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</si>
  <si>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</si>
  <si>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</si>
  <si>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</si>
  <si>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</si>
  <si>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</si>
  <si>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</si>
  <si>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</si>
  <si>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</si>
  <si>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</si>
  <si>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</si>
  <si>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</si>
  <si>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</si>
  <si>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</si>
  <si>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</si>
  <si>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</si>
  <si>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</si>
  <si>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</si>
  <si>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</si>
  <si>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</si>
  <si>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</si>
  <si>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</si>
  <si>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</si>
  <si>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</si>
  <si>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</si>
  <si>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</si>
  <si>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</si>
  <si>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</si>
  <si>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</si>
  <si>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</si>
  <si>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</si>
  <si>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</si>
  <si>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</si>
  <si>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</si>
  <si>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</si>
  <si>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</si>
  <si>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</si>
  <si>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</si>
  <si>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</si>
  <si>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</si>
  <si>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</si>
  <si>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</si>
  <si>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</si>
  <si>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</si>
  <si>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</si>
  <si>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</si>
  <si>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</si>
  <si>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</si>
  <si>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</si>
  <si>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</si>
  <si>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</si>
  <si>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</si>
  <si>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</si>
  <si>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</si>
  <si>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</si>
  <si>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</si>
  <si>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</si>
  <si>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</si>
  <si>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</si>
  <si>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</si>
  <si>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</si>
  <si>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</si>
  <si>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</si>
  <si>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</si>
  <si>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</si>
  <si>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</si>
  <si>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</si>
  <si>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</si>
  <si>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</si>
  <si>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</si>
  <si>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</si>
  <si>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</si>
  <si>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</si>
  <si>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</si>
  <si>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</si>
  <si>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</si>
  <si>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</si>
  <si>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</si>
  <si>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</si>
  <si>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</si>
  <si>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</si>
  <si>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</si>
  <si>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</si>
  <si>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</si>
  <si>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</si>
  <si>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</si>
  <si>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</si>
  <si>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</si>
  <si>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</si>
  <si>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</si>
  <si>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</si>
  <si>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</si>
  <si>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</si>
  <si>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</si>
  <si>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</si>
  <si>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</si>
  <si>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</si>
  <si>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</si>
  <si>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</si>
  <si>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</si>
  <si>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</si>
  <si>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</si>
  <si>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</si>
  <si>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</si>
  <si>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</si>
  <si>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</si>
  <si>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</si>
  <si>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</si>
  <si>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</si>
  <si>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</si>
  <si>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</si>
  <si>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</si>
  <si>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</si>
  <si>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</si>
  <si>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</si>
  <si>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</si>
  <si>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</si>
  <si>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</si>
  <si>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</si>
  <si>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</si>
  <si>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</si>
  <si>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</si>
  <si>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</si>
  <si>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</si>
  <si>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</si>
  <si>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</si>
  <si>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</si>
  <si>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</si>
  <si>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</si>
  <si>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</si>
  <si>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</si>
  <si>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</si>
  <si>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</si>
  <si>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</si>
  <si>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</si>
  <si>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</si>
  <si>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</si>
  <si>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</si>
  <si>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</si>
  <si>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</si>
  <si>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</si>
  <si>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</si>
  <si>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</si>
  <si>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</si>
  <si>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</si>
  <si>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</si>
  <si>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</si>
  <si>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</si>
  <si>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</si>
  <si>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</si>
  <si>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</si>
  <si>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</si>
  <si>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</si>
  <si>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</si>
  <si>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</si>
  <si>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</si>
  <si>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</si>
  <si>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</si>
  <si>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</si>
  <si>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</si>
  <si>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</si>
  <si>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</si>
  <si>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</si>
  <si>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</si>
  <si>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</si>
  <si>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</si>
  <si>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</si>
  <si>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</si>
  <si>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</si>
  <si>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</si>
  <si>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</si>
  <si>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</si>
  <si>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</si>
  <si>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</si>
  <si>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</si>
  <si>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</si>
  <si>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</si>
  <si>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</si>
  <si>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</si>
  <si>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</si>
  <si>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</si>
  <si>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</si>
  <si>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</si>
  <si>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</si>
  <si>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</si>
  <si>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</si>
  <si>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</si>
  <si>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</si>
  <si>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</si>
  <si>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</si>
  <si>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</si>
  <si>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</si>
  <si>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</si>
  <si>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</si>
  <si>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</si>
  <si>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</si>
  <si>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</si>
  <si>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</si>
  <si>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</si>
  <si>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</si>
  <si>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</si>
  <si>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</si>
  <si>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</si>
  <si>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</si>
  <si>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</si>
  <si>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</si>
  <si>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</si>
  <si>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</si>
  <si>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</si>
  <si>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</si>
  <si>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</si>
  <si>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</si>
  <si>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</si>
  <si>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</si>
  <si>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</si>
  <si>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</si>
  <si>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</si>
  <si>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</si>
  <si>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</si>
  <si>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</si>
  <si>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</si>
  <si>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</si>
  <si>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</si>
  <si>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</si>
  <si>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</si>
  <si>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</si>
  <si>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</si>
  <si>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</si>
  <si>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</si>
  <si>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</si>
  <si>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</si>
  <si>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</si>
  <si>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</si>
  <si>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</si>
  <si>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</si>
  <si>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</si>
  <si>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</si>
  <si>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</si>
  <si>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</si>
  <si>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</si>
  <si>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</si>
  <si>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</si>
  <si>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</si>
  <si>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</si>
  <si>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</si>
  <si>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</si>
  <si>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</si>
  <si>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</si>
  <si>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</si>
  <si>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</si>
  <si>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</si>
  <si>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</si>
  <si>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</si>
  <si>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</si>
  <si>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</si>
  <si>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</si>
  <si>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</si>
  <si>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</si>
  <si>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</si>
  <si>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</si>
  <si>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</si>
  <si>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</si>
  <si>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</si>
  <si>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</si>
  <si>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</si>
  <si>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</si>
  <si>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</si>
  <si>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</si>
  <si>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</si>
  <si>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</si>
  <si>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</si>
  <si>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</si>
  <si>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</si>
  <si>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</si>
  <si>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</si>
  <si>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</si>
  <si>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</si>
  <si>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</si>
  <si>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</si>
  <si>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</si>
  <si>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</si>
  <si>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</si>
  <si>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</si>
  <si>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</si>
  <si>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</si>
  <si>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</si>
  <si>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</si>
  <si>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</si>
  <si>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</si>
  <si>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</si>
  <si>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</si>
  <si>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</si>
  <si>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</si>
  <si>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</si>
  <si>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</si>
  <si>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</si>
  <si>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</si>
  <si>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</si>
  <si>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</si>
  <si>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</si>
  <si>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</si>
  <si>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</si>
  <si>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</si>
  <si>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</si>
  <si>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</si>
  <si>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</si>
  <si>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</si>
  <si>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</si>
  <si>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</si>
  <si>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</si>
  <si>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</si>
  <si>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</si>
  <si>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</si>
  <si>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</si>
  <si>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</si>
  <si>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</si>
  <si>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</si>
  <si>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</si>
  <si>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</si>
  <si>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</si>
  <si>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</si>
  <si>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</si>
  <si>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</si>
  <si>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</si>
  <si>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</si>
  <si>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</si>
  <si>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</si>
  <si>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</si>
  <si>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</si>
  <si>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</si>
  <si>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</si>
  <si>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</si>
  <si>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</si>
  <si>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</si>
  <si>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</si>
  <si>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</si>
  <si>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</si>
  <si>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</si>
  <si>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</si>
  <si>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</si>
  <si>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</si>
  <si>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</si>
  <si>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</si>
  <si>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</si>
  <si>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</si>
  <si>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</si>
  <si>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</si>
  <si>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</si>
  <si>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</si>
  <si>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</si>
  <si>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2026-039 / 2026-047</t>
  </si>
  <si>
    <t>PENDENTE</t>
  </si>
  <si>
    <t>2026-026 / 2026-040 / 2026-045</t>
  </si>
  <si>
    <t>2026-024 / 2026-036 / 2026-037</t>
  </si>
  <si>
    <t>2026-019 / 2026-043 ("Diversos" não é nome de instrutor)</t>
  </si>
  <si>
    <t>sem candidato livre — duplicata de X65:X66 (2026-066)?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</si>
</sst>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3124</v>
      </c>
    </row>
    <row r="2" spans="1:23" ht="22.5" customHeight="1" x14ac:dyDescent="0.25">
      <c r="A2" s="313" t="s">
        <v>2425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3125</v>
      </c>
      <c r="W2" s="317">
        <v>2026</v>
      </c>
    </row>
    <row r="3" spans="1:23" ht="22.5" customHeight="1" x14ac:dyDescent="0.25">
      <c r="A3" s="314" t="s">
        <v>2426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3126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2427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3127</v>
      </c>
      <c r="W4" s="3">
        <f>COUNTA(Tabela2[ID])</f>
        <v>724</v>
      </c>
    </row>
    <row r="5" spans="1:23" ht="22.5" customHeight="1" x14ac:dyDescent="0.25">
      <c r="A5" s="314" t="s">
        <v>2428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2429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2430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2431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2432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2433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2434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2435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2436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2437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2438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2439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2440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2441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2442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2443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2444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2445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2446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2447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2448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2449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2450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2451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2452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2453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2454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2455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2456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2457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2458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2459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2460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2461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2462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2463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2464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2465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2466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2467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2468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2469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2470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2471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2472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2473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2474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2475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2476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2477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2478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2479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2480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2481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2482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2483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2484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2485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2486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2487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2488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2489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2490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2491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2492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2493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2494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2495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2496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2497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2498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2499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2500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2501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2502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2503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2504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2505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2506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2507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2508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2509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2510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2511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2512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2513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2514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2515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2516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2517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2518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2519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2520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2521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2522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2523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2524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2525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2526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2527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2528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2529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2530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2531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2532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2533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2534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2535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2536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2537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2538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2539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2540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2541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2542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2543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2544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2545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2546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2547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2548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2549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2550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2551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2552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2553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2554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2555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2556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2557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2558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2559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2560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2561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2562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2563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2564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2565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2566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2567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2568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2569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2570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2571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2572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2573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2574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2575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2576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2577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2578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2579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2580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2581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2582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2583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2584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2585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2586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2587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2588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2589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2590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2591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2592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2593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2594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2595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2596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2597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2598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2599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2600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2601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2602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2603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2604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2605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2606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2607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2608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2609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2610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2611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2612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2613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2614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2615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2616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2617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2618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2619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2620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2621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2622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2623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2624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2625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2626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2627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2628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2629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2630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2631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2632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2633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2634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2635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2636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2637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2638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2639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2640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2641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2642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2643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2644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2645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2646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2647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2648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2649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2650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2651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2652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2653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2654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2655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2656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2657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2658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2659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2660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2661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2662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2663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2664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2665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2666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2667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2668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2669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2670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2671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2672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2673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2674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2675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2676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2677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2678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2679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2680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2681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2682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2683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2684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2685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2686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2687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2688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2689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2690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2691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2692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2693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2694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2695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2696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2697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2698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2699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2700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2701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2702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2703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2704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2705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2706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2707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2708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2709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2710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2711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2712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2713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2714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2715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2716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2717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2718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2719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2720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2721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2722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2723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2724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2725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2726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2727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2728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2729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2730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2731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2732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2733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2734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2735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2736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2737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2738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2739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2740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2741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2742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2743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2744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2745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2746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2747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2748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2749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2750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2751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2752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2753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2754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2755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2756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2757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2758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2759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2760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2761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2762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2763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2764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2765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2766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2767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2768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2769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2770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2771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2772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2773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2774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2775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2776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2777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2778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2779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2780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2781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2782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2783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2784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2785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2786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2787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2788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2789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2790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2791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2792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2793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2794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2795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2796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2797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2798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2799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2800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2801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2802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2803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2804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2805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2806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2807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2808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2809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2810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2811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2812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2813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2814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2815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2816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2817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2818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2819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2820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2821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2822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2823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2824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2825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2826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2827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2828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2829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2830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2831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2832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2833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2834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2835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2836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2837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2838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2839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2840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2841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2842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2843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2844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2845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2846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2847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2848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2849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2850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2851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2852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2853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2854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2855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2856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2857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2858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2859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2860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2861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2862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2863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2864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2865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2866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2867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2868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2869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2870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2871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2872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2873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2874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2875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2876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2877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2878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2879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2880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2881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2882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2883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2884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2885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2886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2887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2888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2889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2890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2891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2892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2893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2894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2895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2896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2897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2898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2899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2900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2901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2902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2903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2904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2905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2906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2907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2908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2909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2910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2911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2912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2913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2914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2915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2916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2917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2918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2919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2920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2921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2922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2923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2924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2925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2926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2927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2928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2929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2930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2931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2932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2933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2934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2935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2936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2937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2938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2939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2940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2941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2942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2943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2944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2945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2946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2947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2948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2949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2950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2951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2952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2953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2954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2955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2956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2957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2958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2959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2960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2961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2962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2963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2964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2965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2966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2967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2968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2969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2970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2971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2972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2973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2974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2975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2976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2977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2978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2979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2980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2981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2982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2983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2984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2985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2986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2987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2988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2989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2990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2991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2992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2993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2994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2995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2996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2997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2998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2999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3000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3001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3002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3003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3004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3005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3006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3007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3008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3009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3010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3011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3012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3013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3014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3015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3016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3017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3018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3019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3020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3021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3022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3023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3024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3025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3026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3027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3028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3029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3030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3031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3032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3033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3034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3035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3036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3037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3038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3039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3040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3041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3042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3043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3044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3045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3046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3047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3048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3049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3050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3051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3052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3053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3054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3055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3056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3057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3058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3059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3060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3061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3062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3063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3064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3065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3066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3067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3068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3069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3070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3071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3072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3073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3074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3075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3076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3077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3078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3079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3080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3081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3082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3083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3084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3085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3086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3087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3088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3089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3090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3091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2321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3092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2320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3093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2319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3094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3095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2328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3096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3097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3098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3099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3100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3101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2322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2323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2324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3102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2325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2326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3103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3104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3105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3106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2329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3107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2330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2333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3108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2331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2332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3109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3110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3111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3112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3113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2343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3114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2342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3115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2341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3116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3117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3118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3119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3120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3121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2424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3122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3123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3131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1.2</v>
      </c>
      <c r="J7" s="96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2269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92" t="s">
        <v>2269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92" t="s">
        <v>2269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2321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2321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2323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2323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1.2</v>
      </c>
      <c r="J29" s="96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2324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2324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4</v>
      </c>
      <c r="I31" s="96">
        <v>0.6</v>
      </c>
      <c r="J31" s="96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2325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4</v>
      </c>
      <c r="I32" s="96">
        <v>0.6</v>
      </c>
      <c r="J32" s="96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2312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4</v>
      </c>
      <c r="I33" s="96">
        <v>0.6</v>
      </c>
      <c r="J33" s="96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2312</v>
      </c>
      <c r="Y33" t="s">
        <v>2270</v>
      </c>
      <c r="Z33">
        <v>4</v>
      </c>
      <c r="AA33">
        <v>0.6</v>
      </c>
      <c r="AC33" s="198"/>
      <c r="AD33" s="309" t="s">
        <v>2327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4</v>
      </c>
      <c r="I34" s="96">
        <v>0.6</v>
      </c>
      <c r="J34" s="96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2312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4</v>
      </c>
      <c r="I35" s="96">
        <v>1.2</v>
      </c>
      <c r="J35" s="96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2312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1.2</v>
      </c>
      <c r="J38" s="155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1.2</v>
      </c>
      <c r="J39" s="155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1.2</v>
      </c>
      <c r="J40" s="155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1.2</v>
      </c>
      <c r="J41" s="155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1.2</v>
      </c>
      <c r="J42" s="155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2344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2345</v>
      </c>
      <c r="B4" s="323"/>
      <c r="D4" s="324" t="s">
        <v>2346</v>
      </c>
      <c r="E4" s="325"/>
      <c r="G4" s="119" t="s">
        <v>2347</v>
      </c>
    </row>
    <row r="5" spans="1:7" ht="54.95" customHeight="1" thickBot="1" x14ac:dyDescent="0.75">
      <c r="A5" s="109">
        <f>COUNTIF('Ações InCompany'!B:B,2026)</f>
        <v>69</v>
      </c>
      <c r="B5" s="110" t="s">
        <v>2348</v>
      </c>
      <c r="D5" s="117">
        <f>COUNTIFS('Ações InCompany'!B:B,2026,'Ações InCompany'!C:C,"Realizado")</f>
        <v>37</v>
      </c>
      <c r="E5" s="118" t="s">
        <v>2348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2349</v>
      </c>
      <c r="B8" s="319"/>
      <c r="D8" s="319" t="s">
        <v>2350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2351</v>
      </c>
      <c r="D10" s="102" t="s">
        <v>2352</v>
      </c>
      <c r="E10" s="102" t="s">
        <v>2353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2354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2355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2356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2357</v>
      </c>
      <c r="B14" s="108">
        <f>SUM(B11:B13)</f>
        <v>37</v>
      </c>
      <c r="D14" s="107" t="s">
        <v>2358</v>
      </c>
      <c r="E14" s="108">
        <f>SUM(E11:E13)</f>
        <v>1824</v>
      </c>
    </row>
    <row r="30" spans="1:5" ht="17.25" x14ac:dyDescent="0.3">
      <c r="A30" s="319" t="s">
        <v>2359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2360</v>
      </c>
      <c r="C32" s="102" t="s">
        <v>2361</v>
      </c>
      <c r="D32" s="102" t="s">
        <v>2362</v>
      </c>
      <c r="E32" s="102" t="s">
        <v>2363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2364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2365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2357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2410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2411</v>
      </c>
    </row>
    <row r="4" spans="1:8" ht="21.95" customHeight="1" x14ac:dyDescent="0.25">
      <c r="A4" s="327" t="s">
        <v>2412</v>
      </c>
      <c r="B4" s="328"/>
      <c r="D4" s="327" t="s">
        <v>2413</v>
      </c>
      <c r="E4" s="328"/>
      <c r="G4" s="327" t="s">
        <v>2414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2415</v>
      </c>
      <c r="B7" s="136" t="s">
        <v>2416</v>
      </c>
      <c r="C7" s="136" t="s">
        <v>1</v>
      </c>
      <c r="D7" s="136" t="s">
        <v>2417</v>
      </c>
      <c r="E7" s="136" t="s">
        <v>2418</v>
      </c>
      <c r="F7" s="136" t="s">
        <v>2287</v>
      </c>
      <c r="G7" s="136" t="s">
        <v>5</v>
      </c>
      <c r="H7" s="136" t="s">
        <v>2419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2420</v>
      </c>
      <c r="B1" s="332"/>
      <c r="C1" s="332"/>
      <c r="D1" s="332"/>
      <c r="E1" s="332"/>
      <c r="F1" s="332"/>
    </row>
    <row r="2" spans="1:7" x14ac:dyDescent="0.25">
      <c r="A2" s="333" t="s">
        <v>2421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2422</v>
      </c>
      <c r="E4" s="99" t="s">
        <v>2292</v>
      </c>
      <c r="F4" s="99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10.08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50.080000000000013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0</v>
      </c>
      <c r="C7" s="100">
        <f>IF($A7="","",SUMIFS('GECC 2026'!I$2:I$200,'GECC 2026'!F$2:F$200,$A7))</f>
        <v>0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0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8</v>
      </c>
      <c r="C9" s="100">
        <f>IF($A9="","",SUMIFS('GECC 2026'!I$2:I$200,'GECC 2026'!F$2:F$200,$A9))</f>
        <v>2.4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10.4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1</v>
      </c>
      <c r="C11" s="100">
        <f>IF($A11="","",SUMIFS('GECC 2026'!I$2:I$200,'GECC 2026'!F$2:F$200,$A11))</f>
        <v>0.3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1.3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61</v>
      </c>
      <c r="C13" s="100">
        <f>IF($A13="","",SUMIFS('GECC 2026'!I$2:I$200,'GECC 2026'!F$2:F$200,$A13))</f>
        <v>12.779999999999998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73.780000000000015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3.5999999999999996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15.600000000000001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0</v>
      </c>
      <c r="C19" s="100">
        <f>IF($A19="","",SUMIFS('GECC 2026'!I$2:I$200,'GECC 2026'!F$2:F$200,$A19))</f>
        <v>0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0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1</v>
      </c>
      <c r="C20" s="100">
        <f>IF($A20="","",SUMIFS('GECC 2026'!I$2:I$200,'GECC 2026'!F$2:F$200,$A20))</f>
        <v>0.3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1.3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1</v>
      </c>
      <c r="C22" s="100">
        <f>IF($A22="","",SUMIFS('GECC 2026'!I$2:I$200,'GECC 2026'!F$2:F$200,$A22))</f>
        <v>0.3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1.3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9.33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48.330000000000013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4</v>
      </c>
      <c r="C25" s="100">
        <f>IF($A25="","",SUMIFS('GECC 2026'!I$2:I$200,'GECC 2026'!F$2:F$200,$A25))</f>
        <v>33.200000000000003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37.200000000000003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0</v>
      </c>
      <c r="C26" s="100">
        <f>IF($A26="","",SUMIFS('GECC 2026'!I$2:I$200,'GECC 2026'!F$2:F$200,$A26))</f>
        <v>0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0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1</v>
      </c>
      <c r="C29" s="100">
        <f>IF($A29="","",SUMIFS('GECC 2026'!I$2:I$200,'GECC 2026'!F$2:F$200,$A29))</f>
        <v>0.3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1.3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</v>
      </c>
      <c r="C33" s="100">
        <f>IF($A33="","",SUMIFS('GECC 2026'!I$2:I$200,'GECC 2026'!F$2:F$200,$A33))</f>
        <v>0.3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1.3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1</v>
      </c>
      <c r="C39" s="100">
        <f>IF($A39="","",SUMIFS('GECC 2026'!I$2:I$200,'GECC 2026'!F$2:F$200,$A39))</f>
        <v>0.3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1.3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8.8800000000000008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44.88000000000001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48</v>
      </c>
      <c r="C45" s="100">
        <f>IF($A45="","",SUMIFS('GECC 2026'!I$2:I$200,'GECC 2026'!F$2:F$200,$A45))</f>
        <v>7.1999999999999993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55.2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48</v>
      </c>
      <c r="C47" s="100">
        <f>IF($A47="","",SUMIFS('GECC 2026'!I$2:I$200,'GECC 2026'!F$2:F$200,$A47))</f>
        <v>7.1999999999999993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55.2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24</v>
      </c>
      <c r="C48" s="100">
        <f>IF($A48="","",SUMIFS('GECC 2026'!I$2:I$200,'GECC 2026'!F$2:F$200,$A48))</f>
        <v>3.6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43.6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8</v>
      </c>
      <c r="C49" s="100">
        <f>IF($A49="","",SUMIFS('GECC 2026'!I$2:I$200,'GECC 2026'!F$2:F$200,$A49))</f>
        <v>2.4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10.4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21</v>
      </c>
      <c r="C51" s="100">
        <f>IF($A51="","",SUMIFS('GECC 2026'!I$2:I$200,'GECC 2026'!F$2:F$200,$A51))</f>
        <v>3.9000000000000004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24.9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79.999999999999986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155.99999999999997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2358</v>
      </c>
      <c r="B105" s="194">
        <f>SUM(B5:B100)</f>
        <v>851</v>
      </c>
      <c r="C105" s="194">
        <f>SUM(C5:C100)</f>
        <v>407.59999999999997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L65"/>
  <sheetViews>
    <sheetView tabSelected="1" topLeftCell="B1" workbookViewId="0">
      <pane ySplit="1" topLeftCell="A47" activePane="bottomLeft" state="frozen"/>
      <selection pane="bottomLeft" activeCell="E2" sqref="E2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</cols>
  <sheetData>
    <row r="1" spans="1:12" x14ac:dyDescent="0.25">
      <c r="A1" s="339" t="s">
        <v>3132</v>
      </c>
      <c r="B1" s="339" t="s">
        <v>3133</v>
      </c>
      <c r="C1" s="339" t="s">
        <v>3134</v>
      </c>
      <c r="D1" s="339" t="s">
        <v>3135</v>
      </c>
      <c r="E1" s="339" t="s">
        <v>3136</v>
      </c>
      <c r="F1" s="339" t="s">
        <v>3137</v>
      </c>
      <c r="G1" s="339" t="s">
        <v>10</v>
      </c>
      <c r="H1" s="339" t="s">
        <v>3138</v>
      </c>
      <c r="I1" s="339" t="s">
        <v>3139</v>
      </c>
      <c r="J1" s="339" t="s">
        <v>3140</v>
      </c>
      <c r="K1" s="339" t="s">
        <v>3141</v>
      </c>
      <c r="L1" s="339" t="s">
        <v>3142</v>
      </c>
    </row>
    <row r="2" spans="1:12" x14ac:dyDescent="0.25">
      <c r="A2" t="str">
        <f>"X"&amp;3</f>
        <v>X3</v>
      </c>
      <c r="B2" t="str">
        <f>'GECC 2026'!X3</f>
        <v>2026-021</v>
      </c>
      <c r="C2" t="str">
        <f>'GECC 2026'!Y3</f>
        <v>Paulo José Góes Daltro</v>
      </c>
      <c r="D2">
        <f>'GECC 2026'!Z3</f>
        <v>0</v>
      </c>
      <c r="E2">
        <f>'GECC 2026'!AA3</f>
        <v>0</v>
      </c>
      <c r="F2" t="str">
        <f>IFERROR(INDEX(Tabela2[Curso],MATCH(B2,Tabela2[ID],0)),"")</f>
        <v>Curso de Fundamentos básicos de controle externo no TCDF</v>
      </c>
      <c r="G2" t="str">
        <f>IFERROR(INDEX(Tabela2[Modalidade],MATCH(B2,Tabela2[ID],0)),"")</f>
        <v>Instrutoria Interna</v>
      </c>
      <c r="H2" t="str">
        <f>IFERROR(INDEX(Tabela2[Instrutor],MATCH(B2,Tabela2[ID],0)),"")</f>
        <v>Cinthia Thais de Carvalho Luz Thomazi; Reinaldo Alencar; Rogério Ribeiro; Rômulo Miranda Alvim; Gabriel Heller</v>
      </c>
      <c r="I2" t="str">
        <f>IF(C2="","",IF(ISNUMBER(SEARCH(C2,H2)),"sim","NÃO"))</f>
        <v>NÃO</v>
      </c>
      <c r="J2" t="s">
        <v>3145</v>
      </c>
      <c r="K2" t="s">
        <v>3146</v>
      </c>
      <c r="L2" t="str">
        <f>IF(K2="","",IFERROR(INDEX(Tabela2[Curso],MATCH(K2,Tabela2[ID],0)),""))</f>
        <v/>
      </c>
    </row>
    <row r="3" spans="1:12" x14ac:dyDescent="0.25">
      <c r="A3" t="str">
        <f>"X"&amp;4</f>
        <v>X4</v>
      </c>
      <c r="B3" t="str">
        <f>'GECC 2026'!X4</f>
        <v>2026-024</v>
      </c>
      <c r="C3" t="str">
        <f>'GECC 2026'!Y4</f>
        <v>Paulo José Góes Daltro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NÃO</v>
      </c>
      <c r="J3" t="s">
        <v>3145</v>
      </c>
      <c r="K3" t="s">
        <v>3146</v>
      </c>
      <c r="L3" t="str">
        <f>IF(K3="","",IFERROR(INDEX(Tabela2[Curso],MATCH(K3,Tabela2[ID],0)),""))</f>
        <v/>
      </c>
    </row>
    <row r="4" spans="1:12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</row>
    <row r="5" spans="1:12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</row>
    <row r="6" spans="1:12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</row>
    <row r="7" spans="1:12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</row>
    <row r="8" spans="1:12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</row>
    <row r="9" spans="1:12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2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</row>
    <row r="11" spans="1:12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</row>
    <row r="12" spans="1:12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</row>
    <row r="13" spans="1:12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</row>
    <row r="14" spans="1:12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2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2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Indio Artiaga do Brasil Rabelo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NÃO</v>
      </c>
      <c r="J24" t="s">
        <v>3145</v>
      </c>
      <c r="K24" t="s">
        <v>3144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Leonardo de Melo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NÃO</v>
      </c>
      <c r="J25" t="s">
        <v>3145</v>
      </c>
      <c r="K25" t="s">
        <v>3144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Arthur Wú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NÃO</v>
      </c>
      <c r="J26" t="s">
        <v>3145</v>
      </c>
      <c r="K26" t="s">
        <v>3147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Gustavo Takahashi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NÃO</v>
      </c>
      <c r="J27" t="s">
        <v>3145</v>
      </c>
      <c r="K27" t="s">
        <v>3147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Arthur Wú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NÃO</v>
      </c>
      <c r="J28" t="s">
        <v>3145</v>
      </c>
      <c r="K28" t="s">
        <v>3147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Gustavo Takahashi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NÃO</v>
      </c>
      <c r="J29" t="s">
        <v>3145</v>
      </c>
      <c r="K29" t="s">
        <v>3147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Diversos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NÃO</v>
      </c>
      <c r="J30" t="s">
        <v>3145</v>
      </c>
      <c r="K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2026-044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31º SEMAT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39" t="str">
        <f>IF(C39="","",IF(ISNUMBER(SEARCH(C39,H39)),"sim","NÃO"))</f>
        <v>NÃO</v>
      </c>
      <c r="J39" t="s">
        <v>3145</v>
      </c>
      <c r="K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Flávio José Fonseca de Souza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NÃO</v>
      </c>
      <c r="J40" t="s">
        <v>3145</v>
      </c>
      <c r="K40" t="s">
        <v>3149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Felipe da Costa Malaquias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NÃO</v>
      </c>
      <c r="J41" t="s">
        <v>3145</v>
      </c>
      <c r="K41" t="s">
        <v>3149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Arthur Wú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NÃO</v>
      </c>
      <c r="J42" t="s">
        <v>3145</v>
      </c>
      <c r="K42" t="s">
        <v>3147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Gustavo Takahashi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NÃO</v>
      </c>
      <c r="J43" t="s">
        <v>3145</v>
      </c>
      <c r="K43" t="s">
        <v>3147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Leonardo de Melo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NÃO</v>
      </c>
      <c r="J55" t="s">
        <v>3145</v>
      </c>
      <c r="K55" t="s">
        <v>3144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2026-07-30T16:26:29Z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