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2" documentId="8_{454372C2-A99E-4E47-A759-72B38925853E}" xr6:coauthVersionLast="47" xr6:coauthVersionMax="47" xr10:uidLastSave="{76F52C5E-D600-4011-8A49-E91161CC27F5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s="1"/>
  <c r="T4" i="20" s="1" a="1"/>
  <c r="T4" i="20" l="1"/>
  <c r="A2" i="20" s="1" a="1"/>
  <c r="A5" i="23" l="1" a="1"/>
  <c r="E105" i="23"/>
  <c r="A2" i="20"/>
  <c r="C35" i="23" l="1"/>
  <c r="E15" i="23"/>
  <c r="F9" i="23"/>
  <c r="B30" i="23"/>
  <c r="E34" i="23"/>
  <c r="F40" i="23"/>
  <c r="E18" i="23"/>
  <c r="B8" i="23"/>
  <c r="B35" i="23"/>
  <c r="E24" i="23"/>
  <c r="C24" i="23"/>
  <c r="E42" i="23"/>
  <c r="F18" i="23"/>
  <c r="C6" i="23"/>
  <c r="F41" i="23"/>
  <c r="C37" i="23"/>
  <c r="B22" i="23"/>
  <c r="E10" i="23"/>
  <c r="D23" i="23"/>
  <c r="C9" i="23"/>
  <c r="D29" i="23"/>
  <c r="D42" i="23"/>
  <c r="D17" i="23"/>
  <c r="E31" i="23"/>
  <c r="E19" i="23"/>
  <c r="B10" i="23"/>
  <c r="F11" i="23"/>
  <c r="B18" i="23"/>
  <c r="C19" i="23"/>
  <c r="F30" i="23"/>
  <c r="F34" i="23"/>
  <c r="B15" i="23"/>
  <c r="B16" i="23"/>
  <c r="C38" i="23"/>
  <c r="E21" i="23"/>
  <c r="B21" i="23"/>
  <c r="F39" i="23"/>
  <c r="B23" i="23"/>
  <c r="C31" i="23"/>
  <c r="E38" i="23"/>
  <c r="F7" i="23"/>
  <c r="C8" i="23"/>
  <c r="E36" i="23"/>
  <c r="F22" i="23"/>
  <c r="E33" i="23"/>
  <c r="C26" i="23"/>
  <c r="B9" i="23"/>
  <c r="F8" i="23"/>
  <c r="C32" i="23"/>
  <c r="E39" i="23"/>
  <c r="D7" i="23"/>
  <c r="D33" i="23"/>
  <c r="F20" i="23"/>
  <c r="C7" i="23"/>
  <c r="F37" i="23"/>
  <c r="E41" i="23"/>
  <c r="E37" i="23"/>
  <c r="F31" i="23"/>
  <c r="E22" i="23"/>
  <c r="D26" i="23"/>
  <c r="C41" i="23"/>
  <c r="C25" i="23"/>
  <c r="F42" i="23"/>
  <c r="C40" i="23"/>
  <c r="C20" i="23"/>
  <c r="E26" i="23"/>
  <c r="E8" i="23"/>
  <c r="F15" i="23"/>
  <c r="D35" i="23"/>
  <c r="D31" i="23"/>
  <c r="B44" i="23"/>
  <c r="F27" i="23"/>
  <c r="B41" i="23"/>
  <c r="C14" i="23"/>
  <c r="E20" i="23"/>
  <c r="D38" i="23"/>
  <c r="D37" i="23"/>
  <c r="C15" i="23"/>
  <c r="D32" i="23"/>
  <c r="B6" i="23"/>
  <c r="F23" i="23"/>
  <c r="C36" i="23"/>
  <c r="F38" i="23"/>
  <c r="B20" i="23"/>
  <c r="C39" i="23"/>
  <c r="D39" i="23"/>
  <c r="B34" i="23"/>
  <c r="C10" i="23"/>
  <c r="B27" i="23"/>
  <c r="F25" i="23"/>
  <c r="D34" i="23"/>
  <c r="F24" i="23"/>
  <c r="C30" i="23"/>
  <c r="C43" i="23"/>
  <c r="F16" i="23"/>
  <c r="E11" i="23"/>
  <c r="F19" i="23"/>
  <c r="B31" i="23"/>
  <c r="B33" i="23"/>
  <c r="B28" i="23"/>
  <c r="D6" i="23"/>
  <c r="F44" i="23"/>
  <c r="E16" i="23"/>
  <c r="F13" i="23"/>
  <c r="B29" i="23"/>
  <c r="E12" i="23"/>
  <c r="D8" i="23"/>
  <c r="E17" i="23"/>
  <c r="C22" i="23"/>
  <c r="B19" i="23"/>
  <c r="B37" i="23"/>
  <c r="F29" i="23"/>
  <c r="D41" i="23"/>
  <c r="F14" i="23"/>
  <c r="B13" i="23"/>
  <c r="B43" i="23"/>
  <c r="B39" i="23"/>
  <c r="E43" i="23"/>
  <c r="C34" i="23"/>
  <c r="B7" i="23"/>
  <c r="C28" i="23"/>
  <c r="E6" i="23"/>
  <c r="B24" i="23"/>
  <c r="B38" i="23"/>
  <c r="E7" i="23"/>
  <c r="E27" i="23"/>
  <c r="B11" i="23"/>
  <c r="C18" i="23"/>
  <c r="F28" i="23"/>
  <c r="D43" i="23"/>
  <c r="F36" i="23"/>
  <c r="D12" i="23"/>
  <c r="D25" i="23"/>
  <c r="F12" i="23"/>
  <c r="D13" i="23"/>
  <c r="B26" i="23"/>
  <c r="D15" i="23"/>
  <c r="B14" i="23"/>
  <c r="F6" i="23"/>
  <c r="C21" i="23"/>
  <c r="C44" i="23"/>
  <c r="D44" i="23"/>
  <c r="E14" i="23"/>
  <c r="D27" i="23"/>
  <c r="F26" i="23"/>
  <c r="F32" i="23"/>
  <c r="D18" i="23"/>
  <c r="D16" i="23"/>
  <c r="B25" i="23"/>
  <c r="D11" i="23"/>
  <c r="C23" i="23"/>
  <c r="B12" i="23"/>
  <c r="F43" i="23"/>
  <c r="D10" i="23"/>
  <c r="D14" i="23"/>
  <c r="B17" i="23"/>
  <c r="B36" i="23"/>
  <c r="D28" i="23"/>
  <c r="B32" i="23"/>
  <c r="E35" i="23"/>
  <c r="F21" i="23"/>
  <c r="D30" i="23"/>
  <c r="D21" i="23"/>
  <c r="E32" i="23"/>
  <c r="D19" i="23"/>
  <c r="E25" i="23"/>
  <c r="B40" i="23"/>
  <c r="C33" i="23"/>
  <c r="E44" i="23"/>
  <c r="D9" i="23"/>
  <c r="E23" i="23"/>
  <c r="F33" i="23"/>
  <c r="C27" i="23"/>
  <c r="D36" i="23"/>
  <c r="F35" i="23"/>
  <c r="C17" i="23"/>
  <c r="E28" i="23"/>
  <c r="E40" i="23"/>
  <c r="C13" i="23"/>
  <c r="B42" i="23"/>
  <c r="D24" i="23"/>
  <c r="D20" i="23"/>
  <c r="E30" i="23"/>
  <c r="C42" i="23"/>
  <c r="C11" i="23"/>
  <c r="D40" i="23"/>
  <c r="F17" i="23"/>
  <c r="E29" i="23"/>
  <c r="C29" i="23"/>
  <c r="E13" i="23"/>
  <c r="D22" i="23"/>
  <c r="E9" i="23"/>
  <c r="F10" i="23"/>
  <c r="C12" i="23"/>
  <c r="C16" i="23"/>
  <c r="A5" i="23"/>
  <c r="D5" i="23" l="1"/>
  <c r="G5" i="23"/>
  <c r="F5" i="23"/>
  <c r="F105" i="23" s="1"/>
  <c r="B5" i="23"/>
  <c r="B105" i="23" s="1"/>
  <c r="C5" i="23"/>
  <c r="C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<sst xmlns="http://schemas.openxmlformats.org/spreadsheetml/2006/main" count="6811" uniqueCount="3028">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</sst>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5" fontId="9" fillId="18" borderId="2" xfId="2" applyNumberFormat="1" applyFont="1" applyFill="1" applyBorder="1" applyAlignment="1">
      <alignment vertical="center"/>
    </xf>
    <xf numFmtId="49" fontId="9" fillId="3" borderId="0" xfId="0" applyNumberFormat="1" applyFont="1" applyFill="1" applyBorder="1" applyAlignment="1">
      <alignment horizontal="center" vertical="center"/>
    </xf>
    <xf numFmtId="166" fontId="9" fillId="3" borderId="0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603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>
      <filters>
        <filter val="2026"/>
      </filters>
    </filterColumn>
    <filterColumn colId="4">
      <filters>
        <filter val="Sociedade"/>
      </filters>
    </filterColumn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 filterMode="1">
    <pageSetUpPr fitToPage="1"/>
  </sheetPr>
  <dimension ref="A1:U749"/>
  <sheetViews>
    <sheetView tabSelected="1" zoomScaleNormal="100" workbookViewId="0">
      <pane ySplit="1" topLeftCell="A670" activePane="bottomLeft" state="frozen"/>
      <selection pane="bottomLeft" activeCell="F684" sqref="F68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>SUM(O2:Q2)</f>
        <v>20</v>
      </c>
      <c r="S2" s="22">
        <v>20</v>
      </c>
      <c r="T2" s="20"/>
    </row>
    <row r="3" spans="1:20" ht="23.25" hidden="1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>SUM(O3:Q3)</f>
        <v>16</v>
      </c>
      <c r="S3" s="24">
        <v>16</v>
      </c>
      <c r="T3" s="21"/>
    </row>
    <row r="4" spans="1:20" ht="23.25" hidden="1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>SUM(O4:Q4)</f>
        <v>24</v>
      </c>
      <c r="S4" s="22">
        <v>24</v>
      </c>
      <c r="T4" s="20"/>
    </row>
    <row r="5" spans="1:20" ht="23.25" hidden="1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>SUM(O5:Q5)</f>
        <v>16</v>
      </c>
      <c r="S5" s="24">
        <v>16</v>
      </c>
      <c r="T5" s="21"/>
    </row>
    <row r="6" spans="1:20" ht="23.25" hidden="1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>SUM(O6:Q6)</f>
        <v>40</v>
      </c>
      <c r="S6" s="22">
        <v>40</v>
      </c>
      <c r="T6" s="20"/>
    </row>
    <row r="7" spans="1:20" ht="23.25" hidden="1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>SUM(O7:Q7)</f>
        <v>30</v>
      </c>
      <c r="S7" s="24">
        <v>30</v>
      </c>
      <c r="T7" s="21"/>
    </row>
    <row r="8" spans="1:20" ht="23.25" hidden="1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>SUM(O8:Q8)</f>
        <v>24</v>
      </c>
      <c r="S8" s="22">
        <v>24</v>
      </c>
      <c r="T8" s="20"/>
    </row>
    <row r="9" spans="1:20" ht="23.25" hidden="1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>SUM(O9:Q9)</f>
        <v>37</v>
      </c>
      <c r="S9" s="24">
        <v>8</v>
      </c>
      <c r="T9" s="21"/>
    </row>
    <row r="10" spans="1:20" ht="23.25" hidden="1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>SUM(O10:Q10)</f>
        <v>58</v>
      </c>
      <c r="S10" s="22">
        <v>20</v>
      </c>
      <c r="T10" s="20"/>
    </row>
    <row r="11" spans="1:20" ht="23.25" hidden="1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>SUM(O11:Q11)</f>
        <v>25</v>
      </c>
      <c r="S11" s="24">
        <v>20</v>
      </c>
      <c r="T11" s="21" t="s">
        <v>58</v>
      </c>
    </row>
    <row r="12" spans="1:20" ht="23.25" hidden="1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>SUM(O12:Q12)</f>
        <v>85</v>
      </c>
      <c r="S12" s="22">
        <v>20</v>
      </c>
      <c r="T12" s="20" t="s">
        <v>64</v>
      </c>
    </row>
    <row r="13" spans="1:20" ht="23.25" hidden="1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>SUM(O13:Q13)</f>
        <v>19</v>
      </c>
      <c r="S13" s="24">
        <v>40</v>
      </c>
      <c r="T13" s="21" t="s">
        <v>69</v>
      </c>
    </row>
    <row r="14" spans="1:20" ht="23.25" hidden="1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>SUM(O14:Q14)</f>
        <v>89</v>
      </c>
      <c r="S14" s="22">
        <v>20</v>
      </c>
      <c r="T14" s="20" t="s">
        <v>74</v>
      </c>
    </row>
    <row r="15" spans="1:20" ht="23.25" hidden="1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>SUM(O15:Q15)</f>
        <v>37</v>
      </c>
      <c r="S15" s="24">
        <v>30</v>
      </c>
      <c r="T15" s="21" t="s">
        <v>74</v>
      </c>
    </row>
    <row r="16" spans="1:20" ht="23.25" hidden="1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>SUM(O16:Q16)</f>
        <v>0</v>
      </c>
      <c r="S16" s="22">
        <v>5</v>
      </c>
      <c r="T16" s="20"/>
    </row>
    <row r="17" spans="1:20" ht="23.25" hidden="1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>SUM(O17:Q17)</f>
        <v>30</v>
      </c>
      <c r="S17" s="24">
        <v>16</v>
      </c>
      <c r="T17" s="21" t="s">
        <v>88</v>
      </c>
    </row>
    <row r="18" spans="1:20" ht="23.25" hidden="1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>SUM(O18:Q18)</f>
        <v>30</v>
      </c>
      <c r="S18" s="22">
        <v>20</v>
      </c>
      <c r="T18" s="20" t="s">
        <v>93</v>
      </c>
    </row>
    <row r="19" spans="1:20" ht="23.25" hidden="1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>SUM(O19:Q19)</f>
        <v>15</v>
      </c>
      <c r="S19" s="24">
        <v>8</v>
      </c>
      <c r="T19" s="21" t="s">
        <v>98</v>
      </c>
    </row>
    <row r="20" spans="1:20" ht="23.25" hidden="1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>SUM(O20:Q20)</f>
        <v>14</v>
      </c>
      <c r="S20" s="22">
        <v>24</v>
      </c>
      <c r="T20" s="20" t="s">
        <v>103</v>
      </c>
    </row>
    <row r="21" spans="1:20" ht="23.25" hidden="1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>SUM(O21:Q21)</f>
        <v>14</v>
      </c>
      <c r="S21" s="24">
        <v>20</v>
      </c>
      <c r="T21" s="21" t="s">
        <v>108</v>
      </c>
    </row>
    <row r="22" spans="1:20" ht="23.25" hidden="1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>SUM(O22:Q22)</f>
        <v>49</v>
      </c>
      <c r="S22" s="22">
        <v>20</v>
      </c>
      <c r="T22" s="20" t="s">
        <v>113</v>
      </c>
    </row>
    <row r="23" spans="1:20" ht="23.25" hidden="1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>SUM(O23:Q23)</f>
        <v>43</v>
      </c>
      <c r="S23" s="24">
        <v>8</v>
      </c>
      <c r="T23" s="21" t="s">
        <v>118</v>
      </c>
    </row>
    <row r="24" spans="1:20" ht="23.25" hidden="1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>SUM(O24:Q24)</f>
        <v>25</v>
      </c>
      <c r="S24" s="22">
        <v>20</v>
      </c>
      <c r="T24" s="20" t="s">
        <v>123</v>
      </c>
    </row>
    <row r="25" spans="1:20" ht="23.25" hidden="1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>SUM(O25:Q25)</f>
        <v>35</v>
      </c>
      <c r="S25" s="24">
        <v>20</v>
      </c>
      <c r="T25" s="21" t="s">
        <v>128</v>
      </c>
    </row>
    <row r="26" spans="1:20" ht="23.25" hidden="1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>SUM(O26:Q26)</f>
        <v>35</v>
      </c>
      <c r="S26" s="22">
        <v>25</v>
      </c>
      <c r="T26" s="20" t="s">
        <v>133</v>
      </c>
    </row>
    <row r="27" spans="1:20" ht="23.25" hidden="1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>SUM(O27:Q27)</f>
        <v>87</v>
      </c>
      <c r="S27" s="24"/>
      <c r="T27" s="21"/>
    </row>
    <row r="28" spans="1:20" ht="23.25" hidden="1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>SUM(O28:Q28)</f>
        <v>46</v>
      </c>
      <c r="S28" s="22">
        <v>20</v>
      </c>
      <c r="T28" s="20" t="s">
        <v>140</v>
      </c>
    </row>
    <row r="29" spans="1:20" ht="23.25" hidden="1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>SUM(O29:Q29)</f>
        <v>15</v>
      </c>
      <c r="S29" s="24">
        <v>20</v>
      </c>
      <c r="T29" s="32" t="s">
        <v>145</v>
      </c>
    </row>
    <row r="30" spans="1:20" ht="23.25" hidden="1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>SUM(O30:Q30)</f>
        <v>54</v>
      </c>
      <c r="S30" s="22">
        <v>20</v>
      </c>
      <c r="T30" s="20" t="s">
        <v>113</v>
      </c>
    </row>
    <row r="31" spans="1:20" ht="23.25" hidden="1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>SUM(O31:Q31)</f>
        <v>52</v>
      </c>
      <c r="S31" s="24">
        <v>0</v>
      </c>
      <c r="T31" s="21"/>
    </row>
    <row r="32" spans="1:20" ht="23.25" hidden="1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>SUM(O32:Q32)</f>
        <v>46</v>
      </c>
      <c r="S32" s="22">
        <v>20</v>
      </c>
      <c r="T32" s="20" t="s">
        <v>140</v>
      </c>
    </row>
    <row r="33" spans="1:20" ht="23.25" hidden="1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>SUM(O33:Q33)</f>
        <v>14</v>
      </c>
      <c r="S33" s="24">
        <v>8</v>
      </c>
      <c r="T33" s="21" t="s">
        <v>157</v>
      </c>
    </row>
    <row r="34" spans="1:20" ht="23.25" hidden="1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>SUM(O34:Q34)</f>
        <v>25</v>
      </c>
      <c r="S34" s="22">
        <v>20</v>
      </c>
      <c r="T34" s="20"/>
    </row>
    <row r="35" spans="1:20" ht="23.25" hidden="1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>SUM(O35:Q35)</f>
        <v>17</v>
      </c>
      <c r="S35" s="24">
        <v>20</v>
      </c>
      <c r="T35" s="21" t="s">
        <v>163</v>
      </c>
    </row>
    <row r="36" spans="1:20" ht="23.25" hidden="1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>SUM(O36:Q36)</f>
        <v>75</v>
      </c>
      <c r="S36" s="22">
        <v>20</v>
      </c>
      <c r="T36" s="20" t="s">
        <v>74</v>
      </c>
    </row>
    <row r="37" spans="1:20" ht="23.25" hidden="1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>SUM(O37:Q37)</f>
        <v>18</v>
      </c>
      <c r="S37" s="24">
        <v>3</v>
      </c>
      <c r="T37" s="32" t="s">
        <v>172</v>
      </c>
    </row>
    <row r="38" spans="1:20" ht="23.25" hidden="1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>SUM(O38:Q38)</f>
        <v>33</v>
      </c>
      <c r="S38" s="22">
        <v>10</v>
      </c>
      <c r="T38" s="20" t="s">
        <v>177</v>
      </c>
    </row>
    <row r="39" spans="1:20" ht="23.25" hidden="1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>SUM(O39:Q39)</f>
        <v>55</v>
      </c>
      <c r="S39" s="24">
        <v>20</v>
      </c>
      <c r="T39" s="21" t="s">
        <v>113</v>
      </c>
    </row>
    <row r="40" spans="1:20" ht="23.25" hidden="1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>SUM(O40:Q40)</f>
        <v>45</v>
      </c>
      <c r="S40" s="22">
        <v>20</v>
      </c>
      <c r="T40" s="20" t="s">
        <v>186</v>
      </c>
    </row>
    <row r="41" spans="1:20" ht="23.25" hidden="1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>SUM(O41:Q41)</f>
        <v>15</v>
      </c>
      <c r="S41" s="24">
        <v>20</v>
      </c>
      <c r="T41" s="21" t="s">
        <v>190</v>
      </c>
    </row>
    <row r="42" spans="1:20" ht="23.25" hidden="1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>SUM(O42:Q42)</f>
        <v>21</v>
      </c>
      <c r="S42" s="22">
        <v>8</v>
      </c>
      <c r="T42" s="33" t="s">
        <v>195</v>
      </c>
    </row>
    <row r="43" spans="1:20" ht="23.25" hidden="1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>SUM(O43:Q43)</f>
        <v>40</v>
      </c>
      <c r="S43" s="24">
        <v>9</v>
      </c>
      <c r="T43" s="21" t="s">
        <v>201</v>
      </c>
    </row>
    <row r="44" spans="1:20" ht="23.25" hidden="1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>SUM(O44:Q44)</f>
        <v>45</v>
      </c>
      <c r="S44" s="22">
        <v>8</v>
      </c>
      <c r="T44" s="20" t="s">
        <v>206</v>
      </c>
    </row>
    <row r="45" spans="1:20" ht="23.25" hidden="1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>SUM(O45:Q45)</f>
        <v>13</v>
      </c>
      <c r="S45" s="24">
        <v>20</v>
      </c>
      <c r="T45" s="32" t="s">
        <v>211</v>
      </c>
    </row>
    <row r="46" spans="1:20" ht="23.25" hidden="1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>SUM(O46:Q46)</f>
        <v>35</v>
      </c>
      <c r="S46" s="22">
        <v>20</v>
      </c>
      <c r="T46" s="20" t="s">
        <v>216</v>
      </c>
    </row>
    <row r="47" spans="1:20" ht="23.25" hidden="1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>SUM(O47:Q47)</f>
        <v>71</v>
      </c>
      <c r="S47" s="24">
        <v>20</v>
      </c>
      <c r="T47" s="21" t="s">
        <v>221</v>
      </c>
    </row>
    <row r="48" spans="1:20" ht="23.25" hidden="1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>SUM(O48:Q48)</f>
        <v>329</v>
      </c>
      <c r="S48" s="22">
        <v>8</v>
      </c>
      <c r="T48" s="20" t="s">
        <v>227</v>
      </c>
    </row>
    <row r="49" spans="1:20" ht="23.25" hidden="1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>SUM(O49:Q49)</f>
        <v>26</v>
      </c>
      <c r="S49" s="24">
        <v>20</v>
      </c>
      <c r="T49" s="21" t="s">
        <v>232</v>
      </c>
    </row>
    <row r="50" spans="1:20" ht="23.25" hidden="1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>SUM(O50:Q50)</f>
        <v>35</v>
      </c>
      <c r="S50" s="22">
        <v>20</v>
      </c>
      <c r="T50" s="20" t="s">
        <v>237</v>
      </c>
    </row>
    <row r="51" spans="1:20" ht="23.25" hidden="1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>SUM(O51:Q51)</f>
        <v>46</v>
      </c>
      <c r="S51" s="24">
        <v>20</v>
      </c>
      <c r="T51" s="21" t="s">
        <v>113</v>
      </c>
    </row>
    <row r="52" spans="1:20" ht="23.25" hidden="1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>SUM(O52:Q52)</f>
        <v>52</v>
      </c>
      <c r="S52" s="22">
        <v>20</v>
      </c>
      <c r="T52" s="20" t="s">
        <v>113</v>
      </c>
    </row>
    <row r="53" spans="1:20" ht="23.25" hidden="1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>SUM(O53:Q53)</f>
        <v>34</v>
      </c>
      <c r="S53" s="24">
        <v>20</v>
      </c>
      <c r="T53" s="21" t="s">
        <v>247</v>
      </c>
    </row>
    <row r="54" spans="1:20" ht="23.25" hidden="1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>SUM(O54:Q54)</f>
        <v>27</v>
      </c>
      <c r="S54" s="22">
        <v>15</v>
      </c>
      <c r="T54" s="20" t="s">
        <v>252</v>
      </c>
    </row>
    <row r="55" spans="1:20" ht="23.25" hidden="1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>SUM(O55:Q55)</f>
        <v>16</v>
      </c>
      <c r="S55" s="24">
        <v>20</v>
      </c>
      <c r="T55" s="21" t="s">
        <v>163</v>
      </c>
    </row>
    <row r="56" spans="1:20" ht="23.25" hidden="1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>SUM(O56:Q56)</f>
        <v>55</v>
      </c>
      <c r="S56" s="22">
        <v>12</v>
      </c>
      <c r="T56" s="20" t="s">
        <v>261</v>
      </c>
    </row>
    <row r="57" spans="1:20" ht="23.25" hidden="1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>SUM(O57:Q57)</f>
        <v>14</v>
      </c>
      <c r="S57" s="24">
        <v>20</v>
      </c>
      <c r="T57" s="32" t="s">
        <v>211</v>
      </c>
    </row>
    <row r="58" spans="1:20" ht="23.25" hidden="1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>SUM(O58:Q58)</f>
        <v>47</v>
      </c>
      <c r="S58" s="22">
        <v>20</v>
      </c>
      <c r="T58" s="20" t="s">
        <v>269</v>
      </c>
    </row>
    <row r="59" spans="1:20" ht="23.25" hidden="1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>SUM(O59:Q59)</f>
        <v>31</v>
      </c>
      <c r="S59" s="24">
        <v>20</v>
      </c>
      <c r="T59" s="21" t="s">
        <v>274</v>
      </c>
    </row>
    <row r="60" spans="1:20" ht="23.25" hidden="1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>SUM(O60:Q60)</f>
        <v>28</v>
      </c>
      <c r="S60" s="22">
        <v>20</v>
      </c>
      <c r="T60" s="20" t="s">
        <v>113</v>
      </c>
    </row>
    <row r="61" spans="1:20" ht="23.25" hidden="1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>SUM(O61:Q61)</f>
        <v>34</v>
      </c>
      <c r="S61" s="24">
        <v>20</v>
      </c>
      <c r="T61" s="21" t="s">
        <v>113</v>
      </c>
    </row>
    <row r="62" spans="1:20" ht="23.25" hidden="1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>SUM(O62:Q62)</f>
        <v>60</v>
      </c>
      <c r="S62" s="22">
        <v>20</v>
      </c>
      <c r="T62" s="20" t="s">
        <v>285</v>
      </c>
    </row>
    <row r="63" spans="1:20" ht="23.25" hidden="1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>SUM(O63:Q63)</f>
        <v>29</v>
      </c>
      <c r="S63" s="24">
        <v>26</v>
      </c>
      <c r="T63" s="21" t="s">
        <v>289</v>
      </c>
    </row>
    <row r="64" spans="1:20" ht="23.25" hidden="1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>SUM(O64:Q64)</f>
        <v>26</v>
      </c>
      <c r="S64" s="22">
        <v>30</v>
      </c>
      <c r="T64" s="20" t="s">
        <v>163</v>
      </c>
    </row>
    <row r="65" spans="1:20" ht="23.25" hidden="1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>SUM(O65:Q65)</f>
        <v>47</v>
      </c>
      <c r="S65" s="24">
        <v>20</v>
      </c>
      <c r="T65" s="21" t="s">
        <v>113</v>
      </c>
    </row>
    <row r="66" spans="1:20" ht="23.25" hidden="1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>SUM(O66:Q66)</f>
        <v>20</v>
      </c>
      <c r="S66" s="22">
        <v>20</v>
      </c>
      <c r="T66" s="33" t="s">
        <v>211</v>
      </c>
    </row>
    <row r="67" spans="1:20" ht="23.25" hidden="1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>SUM(O67:Q67)</f>
        <v>43</v>
      </c>
      <c r="S67" s="24">
        <v>20</v>
      </c>
      <c r="T67" s="21" t="s">
        <v>74</v>
      </c>
    </row>
    <row r="68" spans="1:20" ht="23.25" hidden="1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>SUM(O68:Q68)</f>
        <v>15</v>
      </c>
      <c r="S68" s="22">
        <v>20</v>
      </c>
      <c r="T68" s="20" t="s">
        <v>247</v>
      </c>
    </row>
    <row r="69" spans="1:20" ht="23.25" hidden="1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>SUM(O69:Q69)</f>
        <v>29</v>
      </c>
      <c r="S69" s="24">
        <v>20</v>
      </c>
      <c r="T69" s="21" t="s">
        <v>312</v>
      </c>
    </row>
    <row r="70" spans="1:20" ht="23.25" hidden="1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>SUM(O70:Q70)</f>
        <v>46</v>
      </c>
      <c r="S70" s="22">
        <v>20</v>
      </c>
      <c r="T70" s="20" t="s">
        <v>113</v>
      </c>
    </row>
    <row r="71" spans="1:20" ht="23.25" hidden="1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>SUM(O71:Q71)</f>
        <v>14</v>
      </c>
      <c r="S71" s="24">
        <v>26</v>
      </c>
      <c r="T71" s="21" t="s">
        <v>319</v>
      </c>
    </row>
    <row r="72" spans="1:20" ht="23.25" hidden="1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>SUM(O72:Q72)</f>
        <v>12</v>
      </c>
      <c r="S72" s="22">
        <v>8</v>
      </c>
      <c r="T72" s="20" t="s">
        <v>157</v>
      </c>
    </row>
    <row r="73" spans="1:20" ht="23.25" hidden="1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>SUM(O73:Q73)</f>
        <v>18</v>
      </c>
      <c r="S73" s="24">
        <v>20</v>
      </c>
      <c r="T73" s="32" t="s">
        <v>211</v>
      </c>
    </row>
    <row r="74" spans="1:20" ht="23.25" hidden="1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>SUM(O74:Q74)</f>
        <v>30</v>
      </c>
      <c r="S74" s="22">
        <v>20</v>
      </c>
      <c r="T74" s="20" t="s">
        <v>88</v>
      </c>
    </row>
    <row r="75" spans="1:20" ht="23.25" hidden="1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>SUM(O75:Q75)</f>
        <v>37</v>
      </c>
      <c r="S75" s="24">
        <v>20</v>
      </c>
      <c r="T75" s="21" t="s">
        <v>335</v>
      </c>
    </row>
    <row r="76" spans="1:20" ht="23.25" hidden="1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>SUM(O76:Q76)</f>
        <v>47</v>
      </c>
      <c r="S76" s="22">
        <v>20</v>
      </c>
      <c r="T76" s="20" t="s">
        <v>269</v>
      </c>
    </row>
    <row r="77" spans="1:20" ht="23.25" hidden="1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>SUM(O77:Q77)</f>
        <v>30</v>
      </c>
      <c r="S77" s="24">
        <v>16</v>
      </c>
      <c r="T77" s="21" t="s">
        <v>343</v>
      </c>
    </row>
    <row r="78" spans="1:20" ht="23.25" hidden="1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>SUM(O78:Q78)</f>
        <v>19</v>
      </c>
      <c r="S78" s="22">
        <v>20</v>
      </c>
      <c r="T78" s="20" t="s">
        <v>274</v>
      </c>
    </row>
    <row r="79" spans="1:20" ht="23.25" hidden="1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>SUM(O79:Q79)</f>
        <v>37</v>
      </c>
      <c r="S79" s="24">
        <v>16</v>
      </c>
      <c r="T79" s="21" t="s">
        <v>352</v>
      </c>
    </row>
    <row r="80" spans="1:20" ht="23.25" hidden="1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>SUM(O80:Q80)</f>
        <v>19</v>
      </c>
      <c r="S80" s="22">
        <v>20</v>
      </c>
      <c r="T80" s="20" t="s">
        <v>274</v>
      </c>
    </row>
    <row r="81" spans="1:20" ht="23.25" hidden="1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>SUM(O81:Q81)</f>
        <v>20</v>
      </c>
      <c r="S81" s="24">
        <v>20</v>
      </c>
      <c r="T81" s="21" t="s">
        <v>360</v>
      </c>
    </row>
    <row r="82" spans="1:20" ht="23.25" hidden="1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>SUM(O82:Q82)</f>
        <v>50</v>
      </c>
      <c r="S82" s="22">
        <v>20</v>
      </c>
      <c r="T82" s="20" t="s">
        <v>366</v>
      </c>
    </row>
    <row r="83" spans="1:20" ht="23.25" hidden="1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>SUM(O83:Q83)</f>
        <v>17</v>
      </c>
      <c r="S83" s="24">
        <v>20</v>
      </c>
      <c r="T83" s="21" t="s">
        <v>232</v>
      </c>
    </row>
    <row r="84" spans="1:20" ht="23.25" hidden="1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>SUM(O84:Q84)</f>
        <v>25</v>
      </c>
      <c r="S84" s="22">
        <v>20</v>
      </c>
      <c r="T84" s="20" t="s">
        <v>74</v>
      </c>
    </row>
    <row r="85" spans="1:20" ht="23.25" hidden="1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>SUM(O85:Q85)</f>
        <v>49</v>
      </c>
      <c r="S85" s="24">
        <v>20</v>
      </c>
      <c r="T85" s="21" t="s">
        <v>140</v>
      </c>
    </row>
    <row r="86" spans="1:20" ht="23.25" hidden="1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>SUM(O86:Q86)</f>
        <v>34</v>
      </c>
      <c r="S86" s="22">
        <v>20</v>
      </c>
      <c r="T86" s="20" t="s">
        <v>74</v>
      </c>
    </row>
    <row r="87" spans="1:20" ht="23.25" hidden="1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>SUM(O87:Q87)</f>
        <v>19</v>
      </c>
      <c r="S87" s="24">
        <v>20</v>
      </c>
      <c r="T87" s="32" t="s">
        <v>211</v>
      </c>
    </row>
    <row r="88" spans="1:20" ht="23.25" hidden="1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>SUM(O88:Q88)</f>
        <v>312</v>
      </c>
      <c r="S88" s="22">
        <v>8</v>
      </c>
      <c r="T88" s="20" t="s">
        <v>388</v>
      </c>
    </row>
    <row r="89" spans="1:20" ht="23.25" hidden="1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>SUM(O89:Q89)</f>
        <v>57</v>
      </c>
      <c r="S89" s="24">
        <v>20</v>
      </c>
      <c r="T89" s="21" t="s">
        <v>113</v>
      </c>
    </row>
    <row r="90" spans="1:20" ht="23.25" hidden="1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>SUM(O90:Q90)</f>
        <v>50</v>
      </c>
      <c r="S90" s="22">
        <v>20</v>
      </c>
      <c r="T90" s="20" t="s">
        <v>113</v>
      </c>
    </row>
    <row r="91" spans="1:20" ht="23.25" hidden="1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>SUM(O91:Q91)</f>
        <v>18</v>
      </c>
      <c r="S91" s="24">
        <v>20</v>
      </c>
      <c r="T91" s="21" t="s">
        <v>69</v>
      </c>
    </row>
    <row r="92" spans="1:20" ht="23.25" hidden="1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>SUM(O92:Q92)</f>
        <v>18</v>
      </c>
      <c r="S92" s="22">
        <v>20</v>
      </c>
      <c r="T92" s="20" t="s">
        <v>405</v>
      </c>
    </row>
    <row r="93" spans="1:20" ht="23.25" hidden="1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>SUM(O93:Q93)</f>
        <v>40</v>
      </c>
      <c r="S93" s="24">
        <v>20</v>
      </c>
      <c r="T93" s="21" t="s">
        <v>409</v>
      </c>
    </row>
    <row r="94" spans="1:20" ht="23.25" hidden="1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>SUM(O94:Q94)</f>
        <v>37</v>
      </c>
      <c r="S94" s="22">
        <v>16</v>
      </c>
      <c r="T94" s="20" t="s">
        <v>414</v>
      </c>
    </row>
    <row r="95" spans="1:20" ht="23.25" hidden="1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>SUM(O95:Q95)</f>
        <v>96</v>
      </c>
      <c r="S95" s="24">
        <v>20</v>
      </c>
      <c r="T95" s="32" t="s">
        <v>418</v>
      </c>
    </row>
    <row r="96" spans="1:20" ht="23.25" hidden="1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>SUM(O96:Q96)</f>
        <v>19</v>
      </c>
      <c r="S96" s="22">
        <v>20</v>
      </c>
      <c r="T96" s="20" t="s">
        <v>108</v>
      </c>
    </row>
    <row r="97" spans="1:20" ht="23.25" hidden="1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>SUM(O97:Q97)</f>
        <v>65</v>
      </c>
      <c r="S97" s="24">
        <v>20</v>
      </c>
      <c r="T97" s="21" t="s">
        <v>113</v>
      </c>
    </row>
    <row r="98" spans="1:20" ht="23.25" hidden="1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>SUM(O98:Q98)</f>
        <v>19</v>
      </c>
      <c r="S98" s="22">
        <v>8</v>
      </c>
      <c r="T98" s="20" t="s">
        <v>108</v>
      </c>
    </row>
    <row r="99" spans="1:20" ht="23.25" hidden="1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>SUM(O99:Q99)</f>
        <v>19</v>
      </c>
      <c r="S99" s="24">
        <v>16</v>
      </c>
      <c r="T99" s="21" t="s">
        <v>274</v>
      </c>
    </row>
    <row r="100" spans="1:20" ht="23.25" hidden="1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>SUM(O100:Q100)</f>
        <v>20</v>
      </c>
      <c r="S100" s="22">
        <v>20</v>
      </c>
      <c r="T100" s="20" t="s">
        <v>108</v>
      </c>
    </row>
    <row r="101" spans="1:20" ht="23.25" hidden="1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>SUM(O101:Q101)</f>
        <v>63</v>
      </c>
      <c r="S101" s="24">
        <v>20</v>
      </c>
      <c r="T101" s="21" t="s">
        <v>442</v>
      </c>
    </row>
    <row r="102" spans="1:20" ht="23.25" hidden="1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>SUM(O102:Q102)</f>
        <v>18</v>
      </c>
      <c r="S102" s="22">
        <v>20</v>
      </c>
      <c r="T102" s="20" t="s">
        <v>190</v>
      </c>
    </row>
    <row r="103" spans="1:20" ht="23.25" hidden="1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>SUM(O103:Q103)</f>
        <v>31</v>
      </c>
      <c r="S103" s="24">
        <v>20</v>
      </c>
      <c r="T103" s="21" t="s">
        <v>449</v>
      </c>
    </row>
    <row r="104" spans="1:20" ht="23.25" hidden="1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>SUM(O104:Q104)</f>
        <v>59</v>
      </c>
      <c r="S104" s="22">
        <v>20</v>
      </c>
      <c r="T104" s="20" t="s">
        <v>269</v>
      </c>
    </row>
    <row r="105" spans="1:20" ht="23.25" hidden="1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>SUM(O105:Q105)</f>
        <v>25</v>
      </c>
      <c r="S105" s="24">
        <v>24</v>
      </c>
      <c r="T105" s="21" t="s">
        <v>459</v>
      </c>
    </row>
    <row r="106" spans="1:20" ht="23.25" hidden="1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>SUM(O106:Q106)</f>
        <v>34</v>
      </c>
      <c r="S106" s="22">
        <v>20</v>
      </c>
      <c r="T106" s="20" t="s">
        <v>464</v>
      </c>
    </row>
    <row r="107" spans="1:20" ht="23.25" hidden="1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>SUM(O107:Q107)</f>
        <v>19</v>
      </c>
      <c r="S107" s="24">
        <v>16</v>
      </c>
      <c r="T107" s="21" t="s">
        <v>274</v>
      </c>
    </row>
    <row r="108" spans="1:20" ht="23.25" hidden="1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>SUM(O108:Q108)</f>
        <v>353</v>
      </c>
      <c r="S108" s="22">
        <v>8</v>
      </c>
      <c r="T108" s="20" t="s">
        <v>472</v>
      </c>
    </row>
    <row r="109" spans="1:20" ht="23.25" hidden="1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>SUM(O109:Q109)</f>
        <v>28</v>
      </c>
      <c r="S109" s="24">
        <v>20</v>
      </c>
      <c r="T109" s="21" t="s">
        <v>449</v>
      </c>
    </row>
    <row r="110" spans="1:20" ht="23.25" hidden="1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>SUM(O110:Q110)</f>
        <v>215</v>
      </c>
      <c r="S110" s="22">
        <v>2</v>
      </c>
      <c r="T110" s="20" t="s">
        <v>480</v>
      </c>
    </row>
    <row r="111" spans="1:20" ht="23.25" hidden="1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>SUM(O111:Q111)</f>
        <v>55</v>
      </c>
      <c r="S111" s="24">
        <v>47</v>
      </c>
      <c r="T111" s="21" t="s">
        <v>485</v>
      </c>
    </row>
    <row r="112" spans="1:20" ht="23.25" hidden="1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>SUM(O112:Q112)</f>
        <v>11</v>
      </c>
      <c r="S112" s="22">
        <v>3.5</v>
      </c>
      <c r="T112" s="20" t="s">
        <v>490</v>
      </c>
    </row>
    <row r="113" spans="1:20" ht="23.25" hidden="1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>SUM(O113:Q113)</f>
        <v>26</v>
      </c>
      <c r="S113" s="24">
        <v>14</v>
      </c>
      <c r="T113" s="21" t="s">
        <v>495</v>
      </c>
    </row>
    <row r="114" spans="1:20" ht="23.25" hidden="1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>SUM(O114:Q114)</f>
        <v>8</v>
      </c>
      <c r="S114" s="22">
        <v>3.5</v>
      </c>
      <c r="T114" s="20" t="s">
        <v>499</v>
      </c>
    </row>
    <row r="115" spans="1:20" ht="23.25" hidden="1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>SUM(O115:Q115)</f>
        <v>38</v>
      </c>
      <c r="S115" s="24">
        <v>4</v>
      </c>
      <c r="T115" s="21" t="s">
        <v>504</v>
      </c>
    </row>
    <row r="116" spans="1:20" ht="23.25" hidden="1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>SUM(O116:Q116)</f>
        <v>18</v>
      </c>
      <c r="S116" s="22">
        <v>20</v>
      </c>
      <c r="T116" s="20" t="s">
        <v>509</v>
      </c>
    </row>
    <row r="117" spans="1:20" ht="23.25" hidden="1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>SUM(O117:Q117)</f>
        <v>45</v>
      </c>
      <c r="S117" s="24">
        <v>18</v>
      </c>
      <c r="T117" s="21" t="s">
        <v>514</v>
      </c>
    </row>
    <row r="118" spans="1:20" ht="23.25" hidden="1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>SUM(O118:Q118)</f>
        <v>45</v>
      </c>
      <c r="S118" s="22">
        <v>20</v>
      </c>
      <c r="T118" s="20" t="s">
        <v>519</v>
      </c>
    </row>
    <row r="119" spans="1:20" ht="23.25" hidden="1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>SUM(O119:Q119)</f>
        <v>44</v>
      </c>
      <c r="S119" s="24">
        <v>12</v>
      </c>
      <c r="T119" s="21" t="s">
        <v>524</v>
      </c>
    </row>
    <row r="120" spans="1:20" ht="23.25" hidden="1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>SUM(O120:Q120)</f>
        <v>50</v>
      </c>
      <c r="S120" s="22">
        <v>4</v>
      </c>
      <c r="T120" s="20" t="s">
        <v>529</v>
      </c>
    </row>
    <row r="121" spans="1:20" ht="23.25" hidden="1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>SUM(O121:Q121)</f>
        <v>41</v>
      </c>
      <c r="S121" s="24">
        <v>12</v>
      </c>
      <c r="T121" s="21" t="s">
        <v>533</v>
      </c>
    </row>
    <row r="122" spans="1:20" ht="23.25" hidden="1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>SUM(O122:Q122)</f>
        <v>44</v>
      </c>
      <c r="S122" s="22">
        <v>4</v>
      </c>
      <c r="T122" s="20" t="s">
        <v>529</v>
      </c>
    </row>
    <row r="123" spans="1:20" ht="23.25" hidden="1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>SUM(O123:Q123)</f>
        <v>40</v>
      </c>
      <c r="S123" s="24">
        <v>4</v>
      </c>
      <c r="T123" s="21" t="s">
        <v>529</v>
      </c>
    </row>
    <row r="124" spans="1:20" ht="23.25" hidden="1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>SUM(O124:Q124)</f>
        <v>12</v>
      </c>
      <c r="S124" s="22">
        <v>8</v>
      </c>
      <c r="T124" s="20" t="s">
        <v>544</v>
      </c>
    </row>
    <row r="125" spans="1:20" ht="23.25" hidden="1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>SUM(O125:Q125)</f>
        <v>19</v>
      </c>
      <c r="S125" s="24">
        <v>12</v>
      </c>
      <c r="T125" s="21" t="s">
        <v>549</v>
      </c>
    </row>
    <row r="126" spans="1:20" ht="23.25" hidden="1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>SUM(O126:Q126)</f>
        <v>14</v>
      </c>
      <c r="S126" s="22">
        <v>12</v>
      </c>
      <c r="T126" s="20" t="s">
        <v>554</v>
      </c>
    </row>
    <row r="127" spans="1:20" ht="23.25" hidden="1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>SUM(O127:Q127)</f>
        <v>19</v>
      </c>
      <c r="S127" s="24">
        <v>12</v>
      </c>
      <c r="T127" s="21" t="s">
        <v>549</v>
      </c>
    </row>
    <row r="128" spans="1:20" ht="23.25" hidden="1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>SUM(O128:Q128)</f>
        <v>9</v>
      </c>
      <c r="S128" s="22">
        <v>8</v>
      </c>
      <c r="T128" s="20" t="s">
        <v>544</v>
      </c>
    </row>
    <row r="129" spans="1:20" ht="23.25" hidden="1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>SUM(O129:Q129)</f>
        <v>45</v>
      </c>
      <c r="S129" s="24">
        <v>4</v>
      </c>
      <c r="T129" s="21" t="s">
        <v>529</v>
      </c>
    </row>
    <row r="130" spans="1:20" ht="23.25" hidden="1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>SUM(O130:Q130)</f>
        <v>25</v>
      </c>
      <c r="S130" s="22">
        <v>12</v>
      </c>
      <c r="T130" s="20" t="s">
        <v>549</v>
      </c>
    </row>
    <row r="131" spans="1:20" ht="23.25" hidden="1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>SUM(O131:Q131)</f>
        <v>15</v>
      </c>
      <c r="S131" s="24">
        <v>12</v>
      </c>
      <c r="T131" s="21" t="s">
        <v>571</v>
      </c>
    </row>
    <row r="132" spans="1:20" ht="23.25" hidden="1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>SUM(O132:Q132)</f>
        <v>26</v>
      </c>
      <c r="S132" s="22">
        <v>16</v>
      </c>
      <c r="T132" s="20" t="s">
        <v>464</v>
      </c>
    </row>
    <row r="133" spans="1:20" ht="23.25" hidden="1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>SUM(O133:Q133)</f>
        <v>16</v>
      </c>
      <c r="S133" s="24">
        <v>8</v>
      </c>
      <c r="T133" s="21" t="s">
        <v>580</v>
      </c>
    </row>
    <row r="134" spans="1:20" ht="23.25" hidden="1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>SUM(O134:Q134)</f>
        <v>15</v>
      </c>
      <c r="S134" s="22">
        <v>8</v>
      </c>
      <c r="T134" s="20" t="s">
        <v>584</v>
      </c>
    </row>
    <row r="135" spans="1:20" ht="23.25" hidden="1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>SUM(O135:Q135)</f>
        <v>14</v>
      </c>
      <c r="S135" s="24">
        <v>12</v>
      </c>
      <c r="T135" s="21" t="s">
        <v>571</v>
      </c>
    </row>
    <row r="136" spans="1:20" ht="23.25" hidden="1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>SUM(O136:Q136)</f>
        <v>182</v>
      </c>
      <c r="S136" s="22">
        <v>8</v>
      </c>
      <c r="T136" s="20" t="s">
        <v>592</v>
      </c>
    </row>
    <row r="137" spans="1:20" ht="23.25" hidden="1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>SUM(O137:Q137)</f>
        <v>34</v>
      </c>
      <c r="S137" s="24">
        <v>16</v>
      </c>
      <c r="T137" s="21" t="s">
        <v>464</v>
      </c>
    </row>
    <row r="138" spans="1:20" ht="23.25" hidden="1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>SUM(O138:Q138)</f>
        <v>17</v>
      </c>
      <c r="S138" s="22">
        <v>16</v>
      </c>
      <c r="T138" s="20" t="s">
        <v>600</v>
      </c>
    </row>
    <row r="139" spans="1:20" ht="23.25" hidden="1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>SUM(O139:Q139)</f>
        <v>20</v>
      </c>
      <c r="S139" s="24">
        <v>20</v>
      </c>
      <c r="T139" s="21" t="s">
        <v>509</v>
      </c>
    </row>
    <row r="140" spans="1:20" ht="23.25" hidden="1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>SUM(O140:Q140)</f>
        <v>40</v>
      </c>
      <c r="S140" s="22">
        <v>20</v>
      </c>
      <c r="T140" s="20" t="s">
        <v>607</v>
      </c>
    </row>
    <row r="141" spans="1:20" ht="23.25" hidden="1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>SUM(O141:Q141)</f>
        <v>12</v>
      </c>
      <c r="S141" s="24">
        <v>12</v>
      </c>
      <c r="T141" s="21" t="s">
        <v>612</v>
      </c>
    </row>
    <row r="142" spans="1:20" ht="23.25" hidden="1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>SUM(O142:Q142)</f>
        <v>12</v>
      </c>
      <c r="S142" s="22">
        <v>16</v>
      </c>
      <c r="T142" s="20" t="s">
        <v>617</v>
      </c>
    </row>
    <row r="143" spans="1:20" ht="23.25" hidden="1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>SUM(O143:Q143)</f>
        <v>19</v>
      </c>
      <c r="S143" s="24">
        <v>12</v>
      </c>
      <c r="T143" s="21" t="s">
        <v>549</v>
      </c>
    </row>
    <row r="144" spans="1:20" ht="23.25" hidden="1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>SUM(O144:Q144)</f>
        <v>12</v>
      </c>
      <c r="S144" s="22">
        <v>20</v>
      </c>
      <c r="T144" s="20" t="s">
        <v>74</v>
      </c>
    </row>
    <row r="145" spans="1:20" ht="23.25" hidden="1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>SUM(O145:Q145)</f>
        <v>31</v>
      </c>
      <c r="S145" s="24">
        <v>12</v>
      </c>
      <c r="T145" s="21" t="s">
        <v>629</v>
      </c>
    </row>
    <row r="146" spans="1:20" ht="23.25" hidden="1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>SUM(O146:Q146)</f>
        <v>27</v>
      </c>
      <c r="S146" s="22">
        <v>16</v>
      </c>
      <c r="T146" s="20" t="s">
        <v>464</v>
      </c>
    </row>
    <row r="147" spans="1:20" ht="23.25" hidden="1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>SUM(O147:Q147)</f>
        <v>54</v>
      </c>
      <c r="S147" s="24">
        <v>1.5</v>
      </c>
      <c r="T147" s="21" t="s">
        <v>636</v>
      </c>
    </row>
    <row r="148" spans="1:20" ht="23.25" hidden="1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>SUM(O148:Q148)</f>
        <v>9</v>
      </c>
      <c r="S148" s="22">
        <v>12</v>
      </c>
      <c r="T148" s="20" t="s">
        <v>641</v>
      </c>
    </row>
    <row r="149" spans="1:20" ht="23.25" hidden="1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>SUM(O149:Q149)</f>
        <v>38</v>
      </c>
      <c r="S149" s="24">
        <v>4</v>
      </c>
      <c r="T149" s="21" t="s">
        <v>645</v>
      </c>
    </row>
    <row r="150" spans="1:20" ht="23.25" hidden="1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>SUM(O150:Q150)</f>
        <v>62</v>
      </c>
      <c r="S150" s="22">
        <v>4</v>
      </c>
      <c r="T150" s="20" t="s">
        <v>645</v>
      </c>
    </row>
    <row r="151" spans="1:20" ht="23.25" hidden="1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>SUM(O151:Q151)</f>
        <v>13</v>
      </c>
      <c r="S151" s="24">
        <v>16</v>
      </c>
      <c r="T151" s="21" t="s">
        <v>571</v>
      </c>
    </row>
    <row r="152" spans="1:20" ht="23.25" hidden="1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>SUM(O152:Q152)</f>
        <v>8</v>
      </c>
      <c r="S152" s="22">
        <v>12</v>
      </c>
      <c r="T152" s="20" t="s">
        <v>641</v>
      </c>
    </row>
    <row r="153" spans="1:20" ht="23.25" hidden="1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>SUM(O153:Q153)</f>
        <v>20</v>
      </c>
      <c r="S153" s="24">
        <v>20</v>
      </c>
      <c r="T153" s="21" t="s">
        <v>659</v>
      </c>
    </row>
    <row r="154" spans="1:20" ht="23.25" hidden="1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>SUM(O154:Q154)</f>
        <v>74</v>
      </c>
      <c r="S154" s="22">
        <v>1.5</v>
      </c>
      <c r="T154" s="20" t="s">
        <v>664</v>
      </c>
    </row>
    <row r="155" spans="1:20" ht="23.25" hidden="1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>SUM(O155:Q155)</f>
        <v>24</v>
      </c>
      <c r="S155" s="24">
        <v>20</v>
      </c>
      <c r="T155" s="21" t="s">
        <v>659</v>
      </c>
    </row>
    <row r="156" spans="1:20" ht="23.25" hidden="1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>SUM(O156:Q156)</f>
        <v>21</v>
      </c>
      <c r="S156" s="22">
        <v>2</v>
      </c>
      <c r="T156" s="20" t="s">
        <v>672</v>
      </c>
    </row>
    <row r="157" spans="1:20" ht="23.25" hidden="1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>SUM(O157:Q157)</f>
        <v>21</v>
      </c>
      <c r="S157" s="24">
        <v>20</v>
      </c>
      <c r="T157" s="21" t="s">
        <v>677</v>
      </c>
    </row>
    <row r="158" spans="1:20" ht="23.25" hidden="1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>SUM(O158:Q158)</f>
        <v>13</v>
      </c>
      <c r="S158" s="22">
        <v>2</v>
      </c>
      <c r="T158" s="20" t="s">
        <v>682</v>
      </c>
    </row>
    <row r="159" spans="1:20" ht="23.25" hidden="1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>SUM(O159:Q159)</f>
        <v>117</v>
      </c>
      <c r="S159" s="24">
        <v>14</v>
      </c>
      <c r="T159" s="21" t="s">
        <v>472</v>
      </c>
    </row>
    <row r="160" spans="1:20" ht="23.25" hidden="1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>SUM(O160:Q160)</f>
        <v>20</v>
      </c>
      <c r="S160" s="22">
        <v>20</v>
      </c>
      <c r="T160" s="20" t="s">
        <v>677</v>
      </c>
    </row>
    <row r="161" spans="1:20" ht="23.25" hidden="1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>SUM(O161:Q161)</f>
        <v>22</v>
      </c>
      <c r="S161" s="24">
        <v>24</v>
      </c>
      <c r="T161" s="21" t="s">
        <v>694</v>
      </c>
    </row>
    <row r="162" spans="1:20" ht="23.25" hidden="1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>SUM(O162:Q162)</f>
        <v>21</v>
      </c>
      <c r="S162" s="22">
        <v>12</v>
      </c>
      <c r="T162" s="33" t="s">
        <v>211</v>
      </c>
    </row>
    <row r="163" spans="1:20" ht="23.25" hidden="1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>SUM(O163:Q163)</f>
        <v>59</v>
      </c>
      <c r="S163" s="24">
        <v>1.5</v>
      </c>
      <c r="T163" s="21" t="s">
        <v>612</v>
      </c>
    </row>
    <row r="164" spans="1:20" ht="23.25" hidden="1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>SUM(O164:Q164)</f>
        <v>24</v>
      </c>
      <c r="S164" s="22">
        <v>20</v>
      </c>
      <c r="T164" s="20" t="s">
        <v>677</v>
      </c>
    </row>
    <row r="165" spans="1:20" ht="23.25" hidden="1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>SUM(O165:Q165)</f>
        <v>41</v>
      </c>
      <c r="S165" s="24">
        <v>1.5</v>
      </c>
      <c r="T165" s="21" t="s">
        <v>710</v>
      </c>
    </row>
    <row r="166" spans="1:20" ht="23.25" hidden="1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>SUM(O166:Q166)</f>
        <v>35</v>
      </c>
      <c r="S166" s="22">
        <v>1.5</v>
      </c>
      <c r="T166" s="20" t="s">
        <v>672</v>
      </c>
    </row>
    <row r="167" spans="1:20" ht="23.25" hidden="1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>SUM(O167:Q167)</f>
        <v>15</v>
      </c>
      <c r="S167" s="24">
        <v>16</v>
      </c>
      <c r="T167" s="21" t="s">
        <v>571</v>
      </c>
    </row>
    <row r="168" spans="1:20" ht="23.25" hidden="1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>SUM(O168:Q168)</f>
        <v>23</v>
      </c>
      <c r="S168" s="22">
        <v>16</v>
      </c>
      <c r="T168" s="33" t="s">
        <v>211</v>
      </c>
    </row>
    <row r="169" spans="1:20" ht="23.25" hidden="1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>SUM(O169:Q169)</f>
        <v>36</v>
      </c>
      <c r="S169" s="24">
        <v>1.5</v>
      </c>
      <c r="T169" s="21" t="s">
        <v>726</v>
      </c>
    </row>
    <row r="170" spans="1:20" ht="23.25" hidden="1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>SUM(O170:Q170)</f>
        <v>84</v>
      </c>
      <c r="S170" s="22">
        <v>1.5</v>
      </c>
      <c r="T170" s="20" t="s">
        <v>726</v>
      </c>
    </row>
    <row r="171" spans="1:20" ht="23.25" hidden="1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>SUM(O171:Q171)</f>
        <v>40</v>
      </c>
      <c r="S171" s="24">
        <v>1.5</v>
      </c>
      <c r="T171" s="21" t="s">
        <v>733</v>
      </c>
    </row>
    <row r="172" spans="1:20" ht="23.25" hidden="1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>SUM(O172:Q172)</f>
        <v>40</v>
      </c>
      <c r="S172" s="22">
        <v>1.5</v>
      </c>
      <c r="T172" s="20" t="s">
        <v>737</v>
      </c>
    </row>
    <row r="173" spans="1:20" ht="23.25" hidden="1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>SUM(O173:Q173)</f>
        <v>44</v>
      </c>
      <c r="S173" s="24">
        <v>1.5</v>
      </c>
      <c r="T173" s="21" t="s">
        <v>741</v>
      </c>
    </row>
    <row r="174" spans="1:20" ht="23.25" hidden="1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>SUM(O174:Q174)</f>
        <v>31</v>
      </c>
      <c r="S174" s="22">
        <v>24</v>
      </c>
      <c r="T174" s="20" t="s">
        <v>746</v>
      </c>
    </row>
    <row r="175" spans="1:20" ht="23.25" hidden="1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>SUM(O175:Q175)</f>
        <v>29</v>
      </c>
      <c r="S175" s="24">
        <v>15</v>
      </c>
      <c r="T175" s="21" t="s">
        <v>74</v>
      </c>
    </row>
    <row r="176" spans="1:20" ht="23.25" hidden="1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>SUM(O176:Q176)</f>
        <v>119</v>
      </c>
      <c r="S176" s="22">
        <v>10</v>
      </c>
      <c r="T176" s="20" t="s">
        <v>472</v>
      </c>
    </row>
    <row r="177" spans="1:20" ht="23.25" hidden="1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>SUM(O177:Q177)</f>
        <v>122</v>
      </c>
      <c r="S177" s="24">
        <v>1</v>
      </c>
      <c r="T177" s="21" t="s">
        <v>759</v>
      </c>
    </row>
    <row r="178" spans="1:20" ht="23.25" hidden="1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>SUM(O178:Q178)</f>
        <v>116</v>
      </c>
      <c r="S178" s="22">
        <v>1</v>
      </c>
      <c r="T178" s="20" t="s">
        <v>759</v>
      </c>
    </row>
    <row r="179" spans="1:20" ht="23.25" hidden="1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>SUM(O179:Q179)</f>
        <v>83</v>
      </c>
      <c r="S179" s="24">
        <v>1</v>
      </c>
      <c r="T179" s="21" t="s">
        <v>766</v>
      </c>
    </row>
    <row r="180" spans="1:20" ht="23.25" hidden="1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>SUM(O180:Q180)</f>
        <v>69</v>
      </c>
      <c r="S180" s="22">
        <v>1</v>
      </c>
      <c r="T180" s="20" t="s">
        <v>759</v>
      </c>
    </row>
    <row r="181" spans="1:20" ht="23.25" hidden="1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>SUM(O181:Q181)</f>
        <v>48</v>
      </c>
      <c r="S181" s="24">
        <v>2.5</v>
      </c>
      <c r="T181" s="21" t="s">
        <v>774</v>
      </c>
    </row>
    <row r="182" spans="1:20" ht="23.25" hidden="1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>SUM(O182:Q182)</f>
        <v>19</v>
      </c>
      <c r="S182" s="22">
        <v>1.5</v>
      </c>
      <c r="T182" s="33" t="s">
        <v>778</v>
      </c>
    </row>
    <row r="183" spans="1:20" ht="23.25" hidden="1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>SUM(O183:Q183)</f>
        <v>73</v>
      </c>
      <c r="S183" s="24">
        <v>1.5</v>
      </c>
      <c r="T183" s="21" t="s">
        <v>93</v>
      </c>
    </row>
    <row r="184" spans="1:20" ht="23.25" hidden="1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>SUM(O184:Q184)</f>
        <v>94</v>
      </c>
      <c r="S184" s="22">
        <v>1</v>
      </c>
      <c r="T184" s="20" t="s">
        <v>787</v>
      </c>
    </row>
    <row r="185" spans="1:20" ht="23.25" hidden="1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>SUM(O185:Q185)</f>
        <v>42</v>
      </c>
      <c r="S185" s="24">
        <v>20</v>
      </c>
      <c r="T185" s="21" t="s">
        <v>791</v>
      </c>
    </row>
    <row r="186" spans="1:20" ht="23.25" hidden="1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>SUM(O186:Q186)</f>
        <v>32</v>
      </c>
      <c r="S186" s="22">
        <v>15</v>
      </c>
      <c r="T186" s="20" t="s">
        <v>796</v>
      </c>
    </row>
    <row r="187" spans="1:20" ht="23.25" hidden="1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>SUM(O187:Q187)</f>
        <v>22</v>
      </c>
      <c r="S187" s="24">
        <v>12</v>
      </c>
      <c r="T187" s="21" t="s">
        <v>549</v>
      </c>
    </row>
    <row r="188" spans="1:20" ht="23.25" hidden="1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>SUM(O188:Q188)</f>
        <v>590</v>
      </c>
      <c r="S188" s="22">
        <v>20</v>
      </c>
      <c r="T188" s="20" t="s">
        <v>805</v>
      </c>
    </row>
    <row r="189" spans="1:20" ht="23.25" hidden="1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>SUM(O189:Q189)</f>
        <v>41</v>
      </c>
      <c r="S189" s="24">
        <v>20</v>
      </c>
      <c r="T189" s="21" t="s">
        <v>809</v>
      </c>
    </row>
    <row r="190" spans="1:20" ht="23.25" hidden="1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>SUM(O190:Q190)</f>
        <v>80</v>
      </c>
      <c r="S190" s="22">
        <v>1.5</v>
      </c>
      <c r="T190" s="20" t="s">
        <v>813</v>
      </c>
    </row>
    <row r="191" spans="1:20" ht="23.25" hidden="1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>SUM(O191:Q191)</f>
        <v>36</v>
      </c>
      <c r="S191" s="24">
        <v>2</v>
      </c>
      <c r="T191" s="21" t="s">
        <v>818</v>
      </c>
    </row>
    <row r="192" spans="1:20" ht="23.25" hidden="1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>SUM(O192:Q192)</f>
        <v>70</v>
      </c>
      <c r="S192" s="22">
        <v>8</v>
      </c>
      <c r="T192" s="20" t="s">
        <v>823</v>
      </c>
    </row>
    <row r="193" spans="1:20" ht="23.25" hidden="1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>SUM(O193:Q193)</f>
        <v>21</v>
      </c>
      <c r="S193" s="24">
        <v>15</v>
      </c>
      <c r="T193" s="21" t="s">
        <v>828</v>
      </c>
    </row>
    <row r="194" spans="1:20" ht="23.25" hidden="1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>SUM(O194:Q194)</f>
        <v>20</v>
      </c>
      <c r="S194" s="22">
        <v>14</v>
      </c>
      <c r="T194" s="20" t="s">
        <v>813</v>
      </c>
    </row>
    <row r="195" spans="1:20" ht="23.25" hidden="1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>SUM(O195:Q195)</f>
        <v>28</v>
      </c>
      <c r="S195" s="24">
        <v>20</v>
      </c>
      <c r="T195" s="21" t="s">
        <v>809</v>
      </c>
    </row>
    <row r="196" spans="1:20" ht="23.25" hidden="1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>SUM(O196:Q196)</f>
        <v>25</v>
      </c>
      <c r="S196" s="22">
        <v>24</v>
      </c>
      <c r="T196" s="20" t="s">
        <v>837</v>
      </c>
    </row>
    <row r="197" spans="1:20" ht="23.25" hidden="1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>SUM(O197:Q197)</f>
        <v>14</v>
      </c>
      <c r="S197" s="24">
        <v>12</v>
      </c>
      <c r="T197" s="21" t="s">
        <v>842</v>
      </c>
    </row>
    <row r="198" spans="1:20" ht="23.25" hidden="1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>SUM(O198:Q198)</f>
        <v>46</v>
      </c>
      <c r="S198" s="22">
        <v>2</v>
      </c>
      <c r="T198" s="20" t="s">
        <v>584</v>
      </c>
    </row>
    <row r="199" spans="1:20" ht="23.25" hidden="1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>SUM(O199:Q199)</f>
        <v>98</v>
      </c>
      <c r="S199" s="24">
        <v>2</v>
      </c>
      <c r="T199" s="21" t="s">
        <v>850</v>
      </c>
    </row>
    <row r="200" spans="1:20" ht="23.25" hidden="1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>SUM(O200:Q200)</f>
        <v>50</v>
      </c>
      <c r="S200" s="22">
        <v>9</v>
      </c>
      <c r="T200" s="20" t="s">
        <v>855</v>
      </c>
    </row>
    <row r="201" spans="1:20" ht="23.25" hidden="1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>SUM(O201:Q201)</f>
        <v>17</v>
      </c>
      <c r="S201" s="24">
        <v>15</v>
      </c>
      <c r="T201" s="21" t="s">
        <v>796</v>
      </c>
    </row>
    <row r="202" spans="1:20" ht="23.25" hidden="1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>SUM(O202:Q202)</f>
        <v>53</v>
      </c>
      <c r="S202" s="22">
        <v>8</v>
      </c>
      <c r="T202" s="20" t="s">
        <v>863</v>
      </c>
    </row>
    <row r="203" spans="1:20" ht="23.25" hidden="1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>SUM(O203:Q203)</f>
        <v>16</v>
      </c>
      <c r="S203" s="24">
        <v>15</v>
      </c>
      <c r="T203" s="21" t="s">
        <v>828</v>
      </c>
    </row>
    <row r="204" spans="1:20" ht="23.25" hidden="1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>SUM(O204:Q204)</f>
        <v>59</v>
      </c>
      <c r="S204" s="22">
        <v>12</v>
      </c>
      <c r="T204" s="20" t="s">
        <v>335</v>
      </c>
    </row>
    <row r="205" spans="1:20" ht="23.25" hidden="1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>SUM(O205:Q205)</f>
        <v>76</v>
      </c>
      <c r="S205" s="24">
        <v>2</v>
      </c>
      <c r="T205" s="21" t="s">
        <v>850</v>
      </c>
    </row>
    <row r="206" spans="1:20" ht="23.25" hidden="1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>SUM(O206:Q206)</f>
        <v>33</v>
      </c>
      <c r="S206" s="22">
        <v>2</v>
      </c>
      <c r="T206" s="33" t="s">
        <v>211</v>
      </c>
    </row>
    <row r="207" spans="1:20" ht="23.25" hidden="1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>SUM(O207:Q207)</f>
        <v>58</v>
      </c>
      <c r="S207" s="24">
        <v>8</v>
      </c>
      <c r="T207" s="21" t="s">
        <v>882</v>
      </c>
    </row>
    <row r="208" spans="1:20" ht="23.25" hidden="1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>SUM(O208:Q208)</f>
        <v>60</v>
      </c>
      <c r="S208" s="22">
        <v>9</v>
      </c>
      <c r="T208" s="20" t="s">
        <v>855</v>
      </c>
    </row>
    <row r="209" spans="1:20" ht="23.25" hidden="1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>SUM(O209:Q209)</f>
        <v>13</v>
      </c>
      <c r="S209" s="24">
        <v>20</v>
      </c>
      <c r="T209" s="21" t="s">
        <v>677</v>
      </c>
    </row>
    <row r="210" spans="1:20" ht="23.25" hidden="1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>SUM(O210:Q210)</f>
        <v>14</v>
      </c>
      <c r="S210" s="22">
        <v>8</v>
      </c>
      <c r="T210" s="20" t="s">
        <v>894</v>
      </c>
    </row>
    <row r="211" spans="1:20" ht="23.25" hidden="1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>SUM(O211:Q211)</f>
        <v>53</v>
      </c>
      <c r="S211" s="24">
        <v>16</v>
      </c>
      <c r="T211" s="21" t="s">
        <v>414</v>
      </c>
    </row>
    <row r="212" spans="1:20" ht="23.25" hidden="1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>SUM(O212:Q212)</f>
        <v>105</v>
      </c>
      <c r="S212" s="22">
        <v>1.5</v>
      </c>
      <c r="T212" s="20" t="s">
        <v>903</v>
      </c>
    </row>
    <row r="213" spans="1:20" ht="23.25" hidden="1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>SUM(O213:Q213)</f>
        <v>635</v>
      </c>
      <c r="S213" s="24">
        <v>4</v>
      </c>
      <c r="T213" s="21" t="s">
        <v>908</v>
      </c>
    </row>
    <row r="214" spans="1:20" ht="23.25" hidden="1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>SUM(O214:Q214)</f>
        <v>34</v>
      </c>
      <c r="S214" s="22">
        <v>2</v>
      </c>
      <c r="T214" s="20" t="s">
        <v>913</v>
      </c>
    </row>
    <row r="215" spans="1:20" ht="23.25" hidden="1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>SUM(O215:Q215)</f>
        <v>32</v>
      </c>
      <c r="S215" s="24">
        <v>4</v>
      </c>
      <c r="T215" s="21" t="s">
        <v>917</v>
      </c>
    </row>
    <row r="216" spans="1:20" ht="23.25" hidden="1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>SUM(O216:Q216)</f>
        <v>10</v>
      </c>
      <c r="S216" s="22">
        <v>10.5</v>
      </c>
      <c r="T216" s="20" t="s">
        <v>922</v>
      </c>
    </row>
    <row r="217" spans="1:20" ht="23.25" hidden="1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>SUM(O217:Q217)</f>
        <v>16</v>
      </c>
      <c r="S217" s="24">
        <v>20</v>
      </c>
      <c r="T217" s="21" t="s">
        <v>677</v>
      </c>
    </row>
    <row r="218" spans="1:20" ht="23.25" hidden="1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>SUM(O218:Q218)</f>
        <v>20</v>
      </c>
      <c r="S218" s="22">
        <v>8</v>
      </c>
      <c r="T218" s="20" t="s">
        <v>930</v>
      </c>
    </row>
    <row r="219" spans="1:20" ht="23.25" hidden="1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>SUM(O219:Q219)</f>
        <v>59</v>
      </c>
      <c r="S219" s="24">
        <v>1</v>
      </c>
      <c r="T219" s="21" t="s">
        <v>935</v>
      </c>
    </row>
    <row r="220" spans="1:20" ht="23.25" hidden="1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>SUM(O220:Q220)</f>
        <v>70</v>
      </c>
      <c r="S220" s="22">
        <v>2</v>
      </c>
      <c r="T220" s="20" t="s">
        <v>850</v>
      </c>
    </row>
    <row r="221" spans="1:20" ht="23.25" hidden="1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>SUM(O221:Q221)</f>
        <v>30</v>
      </c>
      <c r="S221" s="24">
        <v>1</v>
      </c>
      <c r="T221" s="21" t="s">
        <v>935</v>
      </c>
    </row>
    <row r="222" spans="1:20" ht="23.25" hidden="1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>SUM(O222:Q222)</f>
        <v>14</v>
      </c>
      <c r="S222" s="22">
        <v>2</v>
      </c>
      <c r="T222" s="20" t="s">
        <v>946</v>
      </c>
    </row>
    <row r="223" spans="1:20" ht="23.25" hidden="1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>SUM(O223:Q223)</f>
        <v>29</v>
      </c>
      <c r="S223" s="24">
        <v>12</v>
      </c>
      <c r="T223" s="21" t="s">
        <v>951</v>
      </c>
    </row>
    <row r="224" spans="1:20" ht="23.25" hidden="1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>SUM(O224:Q224)</f>
        <v>37</v>
      </c>
      <c r="S224" s="22">
        <v>2</v>
      </c>
      <c r="T224" s="20" t="s">
        <v>956</v>
      </c>
    </row>
    <row r="225" spans="1:20" ht="23.25" hidden="1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>SUM(O225:Q225)</f>
        <v>24</v>
      </c>
      <c r="S225" s="24">
        <v>24</v>
      </c>
      <c r="T225" s="21" t="s">
        <v>961</v>
      </c>
    </row>
    <row r="226" spans="1:20" ht="23.25" hidden="1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>SUM(O226:Q226)</f>
        <v>32</v>
      </c>
      <c r="S226" s="22">
        <v>1.5</v>
      </c>
      <c r="T226" s="20" t="s">
        <v>966</v>
      </c>
    </row>
    <row r="227" spans="1:20" ht="23.25" hidden="1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>SUM(O227:Q227)</f>
        <v>14</v>
      </c>
      <c r="S227" s="24">
        <v>1</v>
      </c>
      <c r="T227" s="21" t="s">
        <v>970</v>
      </c>
    </row>
    <row r="228" spans="1:20" ht="23.25" hidden="1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>SUM(O228:Q228)</f>
        <v>31</v>
      </c>
      <c r="S228" s="22">
        <v>10</v>
      </c>
      <c r="T228" s="20" t="s">
        <v>966</v>
      </c>
    </row>
    <row r="229" spans="1:20" ht="23.25" hidden="1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>SUM(O229:Q229)</f>
        <v>30</v>
      </c>
      <c r="S229" s="24">
        <v>4</v>
      </c>
      <c r="T229" s="21" t="s">
        <v>549</v>
      </c>
    </row>
    <row r="230" spans="1:20" ht="23.25" hidden="1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>SUM(O230:Q230)</f>
        <v>52</v>
      </c>
      <c r="S230" s="22">
        <v>16</v>
      </c>
      <c r="T230" s="20" t="s">
        <v>414</v>
      </c>
    </row>
    <row r="231" spans="1:20" ht="23.25" hidden="1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>SUM(O231:Q231)</f>
        <v>89</v>
      </c>
      <c r="S231" s="24">
        <v>2</v>
      </c>
      <c r="T231" s="21" t="s">
        <v>850</v>
      </c>
    </row>
    <row r="232" spans="1:20" ht="23.25" hidden="1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>SUM(O232:Q232)</f>
        <v>13</v>
      </c>
      <c r="S232" s="22">
        <v>24</v>
      </c>
      <c r="T232" s="20" t="s">
        <v>988</v>
      </c>
    </row>
    <row r="233" spans="1:20" ht="23.25" hidden="1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>SUM(O233:Q233)</f>
        <v>38</v>
      </c>
      <c r="S233" s="24">
        <v>2</v>
      </c>
      <c r="T233" s="21" t="s">
        <v>584</v>
      </c>
    </row>
    <row r="234" spans="1:20" ht="23.25" hidden="1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>SUM(O234:Q234)</f>
        <v>44</v>
      </c>
      <c r="S234" s="22">
        <v>2</v>
      </c>
      <c r="T234" s="20" t="s">
        <v>997</v>
      </c>
    </row>
    <row r="235" spans="1:20" ht="23.25" hidden="1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>SUM(O235:Q235)</f>
        <v>21</v>
      </c>
      <c r="S235" s="24">
        <v>4</v>
      </c>
      <c r="T235" s="21" t="s">
        <v>549</v>
      </c>
    </row>
    <row r="236" spans="1:20" ht="23.25" hidden="1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>SUM(O236:Q236)</f>
        <v>45</v>
      </c>
      <c r="S236" s="22">
        <v>2</v>
      </c>
      <c r="T236" s="20" t="s">
        <v>1005</v>
      </c>
    </row>
    <row r="237" spans="1:20" ht="23.25" hidden="1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>SUM(O237:Q237)</f>
        <v>70</v>
      </c>
      <c r="S237" s="24">
        <v>2</v>
      </c>
      <c r="T237" s="21" t="s">
        <v>710</v>
      </c>
    </row>
    <row r="238" spans="1:20" ht="23.25" hidden="1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>SUM(O238:Q238)</f>
        <v>15</v>
      </c>
      <c r="S238" s="22">
        <v>20</v>
      </c>
      <c r="T238" s="20" t="s">
        <v>1013</v>
      </c>
    </row>
    <row r="239" spans="1:20" ht="23.25" hidden="1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>SUM(O239:Q239)</f>
        <v>51</v>
      </c>
      <c r="S239" s="24">
        <v>2</v>
      </c>
      <c r="T239" s="21" t="s">
        <v>1018</v>
      </c>
    </row>
    <row r="240" spans="1:20" ht="23.25" hidden="1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>SUM(O240:Q240)</f>
        <v>31</v>
      </c>
      <c r="S240" s="22">
        <v>1</v>
      </c>
      <c r="T240" s="20" t="s">
        <v>1023</v>
      </c>
    </row>
    <row r="241" spans="1:20" ht="23.25" hidden="1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>SUM(O241:Q241)</f>
        <v>140</v>
      </c>
      <c r="S241" s="24">
        <v>20</v>
      </c>
      <c r="T241" s="21" t="s">
        <v>1028</v>
      </c>
    </row>
    <row r="242" spans="1:20" ht="23.25" hidden="1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>SUM(O242:Q242)</f>
        <v>15</v>
      </c>
      <c r="S242" s="22">
        <v>21</v>
      </c>
      <c r="T242" s="20" t="s">
        <v>828</v>
      </c>
    </row>
    <row r="243" spans="1:20" ht="23.25" hidden="1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>SUM(O243:Q243)</f>
        <v>18</v>
      </c>
      <c r="S243" s="24">
        <v>12</v>
      </c>
      <c r="T243" s="21" t="s">
        <v>930</v>
      </c>
    </row>
    <row r="244" spans="1:20" ht="23.25" hidden="1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>SUM(O244:Q244)</f>
        <v>55</v>
      </c>
      <c r="S244" s="22">
        <v>2</v>
      </c>
      <c r="T244" s="20" t="s">
        <v>710</v>
      </c>
    </row>
    <row r="245" spans="1:20" ht="23.25" hidden="1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>SUM(O245:Q245)</f>
        <v>120</v>
      </c>
      <c r="S245" s="24">
        <v>1</v>
      </c>
      <c r="T245" s="21" t="s">
        <v>1042</v>
      </c>
    </row>
    <row r="246" spans="1:20" ht="23.25" hidden="1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>SUM(O246:Q246)</f>
        <v>34</v>
      </c>
      <c r="S246" s="22">
        <v>24</v>
      </c>
      <c r="T246" s="20" t="s">
        <v>1046</v>
      </c>
    </row>
    <row r="247" spans="1:20" ht="23.25" hidden="1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>SUM(O247:Q247)</f>
        <v>37</v>
      </c>
      <c r="S247" s="24">
        <v>4</v>
      </c>
      <c r="T247" s="21" t="s">
        <v>549</v>
      </c>
    </row>
    <row r="248" spans="1:20" ht="23.25" hidden="1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>SUM(O248:Q248)</f>
        <v>6</v>
      </c>
      <c r="S248" s="22">
        <v>2</v>
      </c>
      <c r="T248" s="20" t="s">
        <v>1055</v>
      </c>
    </row>
    <row r="249" spans="1:20" ht="23.25" hidden="1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>SUM(O249:Q249)</f>
        <v>25</v>
      </c>
      <c r="S249" s="24">
        <v>8</v>
      </c>
      <c r="T249" s="21" t="s">
        <v>1060</v>
      </c>
    </row>
    <row r="250" spans="1:20" ht="23.25" hidden="1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>SUM(O250:Q250)</f>
        <v>26</v>
      </c>
      <c r="S250" s="22">
        <v>20</v>
      </c>
      <c r="T250" s="20" t="s">
        <v>1065</v>
      </c>
    </row>
    <row r="251" spans="1:20" ht="23.25" hidden="1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>SUM(O251:Q251)</f>
        <v>56</v>
      </c>
      <c r="S251" s="24">
        <v>2</v>
      </c>
      <c r="T251" s="21" t="s">
        <v>549</v>
      </c>
    </row>
    <row r="252" spans="1:20" ht="23.25" hidden="1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>SUM(O252:Q252)</f>
        <v>26</v>
      </c>
      <c r="S252" s="22">
        <v>4.5</v>
      </c>
      <c r="T252" s="20" t="s">
        <v>1074</v>
      </c>
    </row>
    <row r="253" spans="1:20" ht="23.25" hidden="1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>SUM(O253:Q253)</f>
        <v>26</v>
      </c>
      <c r="S253" s="24">
        <v>1</v>
      </c>
      <c r="T253" s="21" t="s">
        <v>584</v>
      </c>
    </row>
    <row r="254" spans="1:20" ht="23.25" hidden="1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>SUM(O254:Q254)</f>
        <v>11</v>
      </c>
      <c r="S254" s="22">
        <v>66</v>
      </c>
      <c r="T254" s="20" t="s">
        <v>1083</v>
      </c>
    </row>
    <row r="255" spans="1:20" ht="23.25" hidden="1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>SUM(O255:Q255)</f>
        <v>14</v>
      </c>
      <c r="S255" s="24">
        <v>7</v>
      </c>
      <c r="T255" s="21" t="s">
        <v>1087</v>
      </c>
    </row>
    <row r="256" spans="1:20" ht="23.25" hidden="1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>SUM(O256:Q256)</f>
        <v>49</v>
      </c>
      <c r="S256" s="22">
        <v>10.5</v>
      </c>
      <c r="T256" s="20" t="s">
        <v>855</v>
      </c>
    </row>
    <row r="257" spans="1:20" ht="23.25" hidden="1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>SUM(O257:Q257)</f>
        <v>27</v>
      </c>
      <c r="S257" s="24">
        <v>6</v>
      </c>
      <c r="T257" s="21" t="s">
        <v>1096</v>
      </c>
    </row>
    <row r="258" spans="1:20" ht="23.25" hidden="1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>SUM(O258:Q258)</f>
        <v>22</v>
      </c>
      <c r="S258" s="22">
        <v>2</v>
      </c>
      <c r="T258" s="20" t="s">
        <v>894</v>
      </c>
    </row>
    <row r="259" spans="1:20" ht="23.25" hidden="1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>SUM(O259:Q259)</f>
        <v>18</v>
      </c>
      <c r="S259" s="24">
        <v>6</v>
      </c>
      <c r="T259" s="21" t="s">
        <v>1105</v>
      </c>
    </row>
    <row r="260" spans="1:20" ht="23.25" hidden="1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>SUM(O260:Q260)</f>
        <v>31</v>
      </c>
      <c r="S260" s="22">
        <v>2</v>
      </c>
      <c r="T260" s="20" t="s">
        <v>1110</v>
      </c>
    </row>
    <row r="261" spans="1:20" ht="23.25" hidden="1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>SUM(O261:Q261)</f>
        <v>25</v>
      </c>
      <c r="S261" s="24">
        <v>20</v>
      </c>
      <c r="T261" s="21" t="s">
        <v>726</v>
      </c>
    </row>
    <row r="262" spans="1:20" ht="23.25" hidden="1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>SUM(O262:Q262)</f>
        <v>9</v>
      </c>
      <c r="S262" s="22">
        <v>20</v>
      </c>
      <c r="T262" s="20" t="s">
        <v>677</v>
      </c>
    </row>
    <row r="263" spans="1:20" ht="23.25" hidden="1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>SUM(O263:Q263)</f>
        <v>8</v>
      </c>
      <c r="S263" s="24">
        <v>6</v>
      </c>
      <c r="T263" s="21" t="s">
        <v>1120</v>
      </c>
    </row>
    <row r="264" spans="1:20" ht="23.25" hidden="1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>SUM(O264:Q264)</f>
        <v>29</v>
      </c>
      <c r="S264" s="22">
        <v>1</v>
      </c>
      <c r="T264" s="20" t="s">
        <v>1023</v>
      </c>
    </row>
    <row r="265" spans="1:20" ht="23.25" hidden="1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>SUM(O265:Q265)</f>
        <v>24</v>
      </c>
      <c r="S265" s="24">
        <v>4</v>
      </c>
      <c r="T265" s="21" t="s">
        <v>472</v>
      </c>
    </row>
    <row r="266" spans="1:20" ht="23.25" hidden="1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>SUM(O266:Q266)</f>
        <v>66</v>
      </c>
      <c r="S266" s="22">
        <v>1.5</v>
      </c>
      <c r="T266" s="33" t="s">
        <v>211</v>
      </c>
    </row>
    <row r="267" spans="1:20" ht="23.25" hidden="1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>SUM(O267:Q267)</f>
        <v>20</v>
      </c>
      <c r="S267" s="24">
        <v>3</v>
      </c>
      <c r="T267" s="21" t="s">
        <v>1042</v>
      </c>
    </row>
    <row r="268" spans="1:20" ht="23.25" hidden="1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>SUM(O268:Q268)</f>
        <v>13</v>
      </c>
      <c r="S268" s="22">
        <v>20</v>
      </c>
      <c r="T268" s="20" t="s">
        <v>677</v>
      </c>
    </row>
    <row r="269" spans="1:20" ht="23.25" hidden="1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>SUM(O269:Q269)</f>
        <v>15</v>
      </c>
      <c r="S269" s="24">
        <v>8</v>
      </c>
      <c r="T269" s="21" t="s">
        <v>1060</v>
      </c>
    </row>
    <row r="270" spans="1:20" ht="23.25" hidden="1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>SUM(O270:Q270)</f>
        <v>5</v>
      </c>
      <c r="S270" s="22">
        <v>30</v>
      </c>
      <c r="T270" s="20" t="s">
        <v>966</v>
      </c>
    </row>
    <row r="271" spans="1:20" ht="23.25" hidden="1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>SUM(O271:Q271)</f>
        <v>18</v>
      </c>
      <c r="S271" s="24">
        <v>12</v>
      </c>
      <c r="T271" s="21" t="s">
        <v>544</v>
      </c>
    </row>
    <row r="272" spans="1:20" ht="23.25" hidden="1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>SUM(O272:Q272)</f>
        <v>8</v>
      </c>
      <c r="S272" s="22">
        <v>12</v>
      </c>
      <c r="T272" s="20" t="s">
        <v>544</v>
      </c>
    </row>
    <row r="273" spans="1:20" ht="23.25" hidden="1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>SUM(O273:Q273)</f>
        <v>83</v>
      </c>
      <c r="S273" s="24">
        <v>16</v>
      </c>
      <c r="T273" s="21" t="s">
        <v>1159</v>
      </c>
    </row>
    <row r="274" spans="1:20" ht="23.25" hidden="1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>SUM(O274:Q274)</f>
        <v>24</v>
      </c>
      <c r="S274" s="22">
        <v>2</v>
      </c>
      <c r="T274" s="20" t="s">
        <v>1164</v>
      </c>
    </row>
    <row r="275" spans="1:20" ht="23.25" hidden="1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>SUM(O275:Q275)</f>
        <v>20</v>
      </c>
      <c r="S275" s="24">
        <v>20</v>
      </c>
      <c r="T275" s="21" t="s">
        <v>677</v>
      </c>
    </row>
    <row r="276" spans="1:20" ht="23.25" hidden="1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>SUM(O276:Q276)</f>
        <v>39</v>
      </c>
      <c r="S276" s="22">
        <v>12</v>
      </c>
      <c r="T276" s="20" t="s">
        <v>1172</v>
      </c>
    </row>
    <row r="277" spans="1:20" ht="23.25" hidden="1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>SUM(O277:Q277)</f>
        <v>39</v>
      </c>
      <c r="S277" s="24">
        <v>1</v>
      </c>
      <c r="T277" s="21" t="s">
        <v>1177</v>
      </c>
    </row>
    <row r="278" spans="1:20" ht="23.25" hidden="1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>SUM(O278:Q278)</f>
        <v>277</v>
      </c>
      <c r="S278" s="22">
        <v>6</v>
      </c>
      <c r="T278" s="54" t="s">
        <v>1182</v>
      </c>
    </row>
    <row r="279" spans="1:20" ht="23.25" hidden="1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>SUM(O279:Q279)</f>
        <v>43</v>
      </c>
      <c r="S279" s="24">
        <v>8</v>
      </c>
      <c r="T279" s="21" t="s">
        <v>1187</v>
      </c>
    </row>
    <row r="280" spans="1:20" ht="23.25" hidden="1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>SUM(O280:Q280)</f>
        <v>21</v>
      </c>
      <c r="S280" s="22">
        <v>2</v>
      </c>
      <c r="T280" s="20" t="s">
        <v>1055</v>
      </c>
    </row>
    <row r="281" spans="1:20" ht="23.25" hidden="1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>SUM(O281:Q281)</f>
        <v>144</v>
      </c>
      <c r="S281" s="24">
        <v>2</v>
      </c>
      <c r="T281" s="21" t="s">
        <v>82</v>
      </c>
    </row>
    <row r="282" spans="1:20" ht="23.25" hidden="1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>SUM(O282:Q282)</f>
        <v>19</v>
      </c>
      <c r="S282" s="22">
        <v>30</v>
      </c>
      <c r="T282" s="20" t="s">
        <v>966</v>
      </c>
    </row>
    <row r="283" spans="1:20" ht="23.25" hidden="1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>SUM(O283:Q283)</f>
        <v>65</v>
      </c>
      <c r="S283" s="24">
        <v>16</v>
      </c>
      <c r="T283" s="21" t="s">
        <v>418</v>
      </c>
    </row>
    <row r="284" spans="1:20" ht="23.25" hidden="1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>SUM(O284:Q284)</f>
        <v>72</v>
      </c>
      <c r="S284" s="22">
        <v>2</v>
      </c>
      <c r="T284" s="20" t="s">
        <v>1207</v>
      </c>
    </row>
    <row r="285" spans="1:20" ht="23.25" hidden="1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>SUM(O285:Q285)</f>
        <v>193</v>
      </c>
      <c r="S285" s="24">
        <v>20</v>
      </c>
      <c r="T285" s="21" t="s">
        <v>82</v>
      </c>
    </row>
    <row r="286" spans="1:20" ht="23.25" hidden="1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>SUM(O286:Q286)</f>
        <v>46</v>
      </c>
      <c r="S286" s="22">
        <v>2</v>
      </c>
      <c r="T286" s="20" t="s">
        <v>1216</v>
      </c>
    </row>
    <row r="287" spans="1:20" ht="23.25" hidden="1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>SUM(O287:Q287)</f>
        <v>20</v>
      </c>
      <c r="S287" s="24">
        <v>4</v>
      </c>
      <c r="T287" s="21" t="s">
        <v>1042</v>
      </c>
    </row>
    <row r="288" spans="1:20" ht="23.25" hidden="1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>SUM(O288:Q288)</f>
        <v>23</v>
      </c>
      <c r="S288" s="22">
        <v>2</v>
      </c>
      <c r="T288" s="20"/>
    </row>
    <row r="289" spans="1:20" ht="23.25" hidden="1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>SUM(O289:Q289)</f>
        <v>80</v>
      </c>
      <c r="S289" s="24">
        <v>16</v>
      </c>
      <c r="T289" s="21" t="s">
        <v>1227</v>
      </c>
    </row>
    <row r="290" spans="1:20" ht="23.25" hidden="1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>SUM(O290:Q290)</f>
        <v>21</v>
      </c>
      <c r="S290" s="22">
        <v>21</v>
      </c>
      <c r="T290" s="20" t="s">
        <v>1232</v>
      </c>
    </row>
    <row r="291" spans="1:20" ht="23.25" hidden="1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>SUM(O291:Q291)</f>
        <v>28</v>
      </c>
      <c r="S291" s="24">
        <v>20</v>
      </c>
      <c r="T291" s="21" t="s">
        <v>418</v>
      </c>
    </row>
    <row r="292" spans="1:20" ht="23.25" hidden="1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>SUM(O292:Q292)</f>
        <v>35</v>
      </c>
      <c r="S292" s="22">
        <v>10.5</v>
      </c>
      <c r="T292" s="20" t="s">
        <v>1239</v>
      </c>
    </row>
    <row r="293" spans="1:20" ht="23.25" hidden="1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>SUM(O293:Q293)</f>
        <v>20</v>
      </c>
      <c r="S293" s="24">
        <v>12</v>
      </c>
      <c r="T293" s="21" t="s">
        <v>549</v>
      </c>
    </row>
    <row r="294" spans="1:20" ht="23.25" hidden="1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>SUM(O294:Q294)</f>
        <v>188</v>
      </c>
      <c r="S294" s="22">
        <v>2</v>
      </c>
      <c r="T294" s="20" t="s">
        <v>1248</v>
      </c>
    </row>
    <row r="295" spans="1:20" ht="23.25" hidden="1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>SUM(O295:Q295)</f>
        <v>42</v>
      </c>
      <c r="S295" s="24">
        <v>2</v>
      </c>
      <c r="T295" s="21" t="s">
        <v>1253</v>
      </c>
    </row>
    <row r="296" spans="1:20" ht="23.25" hidden="1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>SUM(O296:Q296)</f>
        <v>31</v>
      </c>
      <c r="S296" s="22">
        <v>26</v>
      </c>
      <c r="T296" s="20" t="s">
        <v>1258</v>
      </c>
    </row>
    <row r="297" spans="1:20" ht="23.25" hidden="1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>SUM(O297:Q297)</f>
        <v>20</v>
      </c>
      <c r="S297" s="24">
        <v>20</v>
      </c>
      <c r="T297" s="21" t="s">
        <v>74</v>
      </c>
    </row>
    <row r="298" spans="1:20" ht="23.25" hidden="1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>SUM(O298:Q298)</f>
        <v>70</v>
      </c>
      <c r="S298" s="22">
        <v>1.5</v>
      </c>
      <c r="T298" s="20" t="s">
        <v>1266</v>
      </c>
    </row>
    <row r="299" spans="1:20" ht="23.25" hidden="1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>SUM(O299:Q299)</f>
        <v>85</v>
      </c>
      <c r="S299" s="24">
        <v>8</v>
      </c>
      <c r="T299" s="21" t="s">
        <v>1270</v>
      </c>
    </row>
    <row r="300" spans="1:20" ht="23.25" hidden="1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>SUM(O300:Q300)</f>
        <v>54</v>
      </c>
      <c r="S300" s="22">
        <v>2</v>
      </c>
      <c r="T300" s="20" t="s">
        <v>1275</v>
      </c>
    </row>
    <row r="301" spans="1:20" ht="23.25" hidden="1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>SUM(O301:Q301)</f>
        <v>153</v>
      </c>
      <c r="S301" s="24">
        <v>2</v>
      </c>
      <c r="T301" s="21" t="s">
        <v>1280</v>
      </c>
    </row>
    <row r="302" spans="1:20" ht="23.25" hidden="1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>SUM(O302:Q302)</f>
        <v>19</v>
      </c>
      <c r="S302" s="22">
        <v>16</v>
      </c>
      <c r="T302" s="20" t="s">
        <v>549</v>
      </c>
    </row>
    <row r="303" spans="1:20" ht="23.25" hidden="1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>SUM(O303:Q303)</f>
        <v>20</v>
      </c>
      <c r="S303" s="24">
        <v>2</v>
      </c>
      <c r="T303" s="21" t="s">
        <v>1289</v>
      </c>
    </row>
    <row r="304" spans="1:20" ht="23.25" hidden="1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>SUM(O304:Q304)</f>
        <v>25</v>
      </c>
      <c r="S304" s="22">
        <v>2</v>
      </c>
      <c r="T304" s="20" t="s">
        <v>1293</v>
      </c>
    </row>
    <row r="305" spans="1:20" ht="23.25" hidden="1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>SUM(O305:Q305)</f>
        <v>70</v>
      </c>
      <c r="S305" s="24">
        <v>2</v>
      </c>
      <c r="T305" s="21" t="s">
        <v>1298</v>
      </c>
    </row>
    <row r="306" spans="1:20" ht="23.25" hidden="1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>SUM(O306:Q306)</f>
        <v>17</v>
      </c>
      <c r="S306" s="22">
        <v>20</v>
      </c>
      <c r="T306" s="20"/>
    </row>
    <row r="307" spans="1:20" ht="23.25" hidden="1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>SUM(O307:Q307)</f>
        <v>24</v>
      </c>
      <c r="S307" s="24">
        <v>20</v>
      </c>
      <c r="T307" s="21" t="s">
        <v>726</v>
      </c>
    </row>
    <row r="308" spans="1:20" ht="23.25" hidden="1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>SUM(O308:Q308)</f>
        <v>17</v>
      </c>
      <c r="S308" s="22">
        <v>6.5</v>
      </c>
      <c r="T308" s="20" t="s">
        <v>1310</v>
      </c>
    </row>
    <row r="309" spans="1:20" ht="23.25" hidden="1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>SUM(O309:Q309)</f>
        <v>17</v>
      </c>
      <c r="S309" s="24">
        <v>16</v>
      </c>
      <c r="T309" s="21" t="s">
        <v>549</v>
      </c>
    </row>
    <row r="310" spans="1:20" ht="23.25" hidden="1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>SUM(O310:Q310)</f>
        <v>45</v>
      </c>
      <c r="S310" s="22">
        <v>1</v>
      </c>
      <c r="T310" s="33" t="s">
        <v>145</v>
      </c>
    </row>
    <row r="311" spans="1:20" ht="23.25" hidden="1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>SUM(O311:Q311)</f>
        <v>26</v>
      </c>
      <c r="S311" s="24">
        <v>2</v>
      </c>
      <c r="T311" s="21" t="s">
        <v>1323</v>
      </c>
    </row>
    <row r="312" spans="1:20" ht="23.25" hidden="1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>SUM(O312:Q312)</f>
        <v>17</v>
      </c>
      <c r="S312" s="22">
        <v>75</v>
      </c>
      <c r="T312" s="54" t="s">
        <v>1327</v>
      </c>
    </row>
    <row r="313" spans="1:20" ht="23.25" hidden="1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>SUM(O313:Q313)</f>
        <v>30</v>
      </c>
      <c r="S313" s="24">
        <v>2</v>
      </c>
      <c r="T313" s="21" t="s">
        <v>894</v>
      </c>
    </row>
    <row r="314" spans="1:20" ht="23.25" hidden="1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>SUM(O314:Q314)</f>
        <v>20</v>
      </c>
      <c r="S314" s="22">
        <v>20</v>
      </c>
      <c r="T314" s="20" t="s">
        <v>74</v>
      </c>
    </row>
    <row r="315" spans="1:20" ht="23.25" hidden="1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>SUM(O315:Q315)</f>
        <v>33</v>
      </c>
      <c r="S315" s="24">
        <v>2</v>
      </c>
      <c r="T315" s="21" t="s">
        <v>1338</v>
      </c>
    </row>
    <row r="316" spans="1:20" ht="23.25" hidden="1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>SUM(O316:Q316)</f>
        <v>17</v>
      </c>
      <c r="S316" s="22">
        <v>5</v>
      </c>
      <c r="T316" s="33" t="s">
        <v>1343</v>
      </c>
    </row>
    <row r="317" spans="1:20" ht="23.25" hidden="1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>SUM(O317:Q317)</f>
        <v>15</v>
      </c>
      <c r="S317" s="24">
        <v>24</v>
      </c>
      <c r="T317" s="21" t="s">
        <v>1348</v>
      </c>
    </row>
    <row r="318" spans="1:20" ht="23.25" hidden="1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>SUM(O318:Q318)</f>
        <v>19</v>
      </c>
      <c r="S318" s="22">
        <v>4</v>
      </c>
      <c r="T318" s="20" t="s">
        <v>418</v>
      </c>
    </row>
    <row r="319" spans="1:20" ht="23.25" hidden="1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>SUM(O319:Q319)</f>
        <v>16</v>
      </c>
      <c r="S319" s="24">
        <v>2</v>
      </c>
      <c r="T319" s="21" t="s">
        <v>1358</v>
      </c>
    </row>
    <row r="320" spans="1:20" ht="23.25" hidden="1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>SUM(O320:Q320)</f>
        <v>49</v>
      </c>
      <c r="S320" s="22">
        <v>2</v>
      </c>
      <c r="T320" s="20" t="s">
        <v>1358</v>
      </c>
    </row>
    <row r="321" spans="1:20" ht="23.25" hidden="1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>SUM(O321:Q321)</f>
        <v>126</v>
      </c>
      <c r="S321" s="24">
        <v>2</v>
      </c>
      <c r="T321" s="21" t="s">
        <v>1358</v>
      </c>
    </row>
    <row r="322" spans="1:20" ht="23.25" hidden="1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>SUM(O322:Q322)</f>
        <v>40</v>
      </c>
      <c r="S322" s="22">
        <v>1</v>
      </c>
      <c r="T322" s="20" t="s">
        <v>1367</v>
      </c>
    </row>
    <row r="323" spans="1:20" ht="23.25" hidden="1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>SUM(O323:Q323)</f>
        <v>40</v>
      </c>
      <c r="S323" s="24">
        <v>1</v>
      </c>
      <c r="T323" s="21" t="s">
        <v>1367</v>
      </c>
    </row>
    <row r="324" spans="1:20" ht="23.25" hidden="1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>SUM(O324:Q324)</f>
        <v>60</v>
      </c>
      <c r="S324" s="22">
        <v>1</v>
      </c>
      <c r="T324" s="20" t="s">
        <v>1367</v>
      </c>
    </row>
    <row r="325" spans="1:20" ht="23.25" hidden="1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>SUM(O325:Q325)</f>
        <v>30</v>
      </c>
      <c r="S325" s="24">
        <v>1</v>
      </c>
      <c r="T325" s="21" t="s">
        <v>1367</v>
      </c>
    </row>
    <row r="326" spans="1:20" ht="23.25" hidden="1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>SUM(O326:Q326)</f>
        <v>21</v>
      </c>
      <c r="S326" s="22">
        <v>30</v>
      </c>
      <c r="T326" s="20" t="s">
        <v>966</v>
      </c>
    </row>
    <row r="327" spans="1:20" ht="23.25" hidden="1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>SUM(O327:Q327)</f>
        <v>20</v>
      </c>
      <c r="S327" s="24">
        <v>20</v>
      </c>
      <c r="T327" s="21" t="s">
        <v>74</v>
      </c>
    </row>
    <row r="328" spans="1:20" ht="23.25" hidden="1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>SUM(O328:Q328)</f>
        <v>40</v>
      </c>
      <c r="S328" s="22">
        <v>9</v>
      </c>
      <c r="T328" s="54" t="s">
        <v>1386</v>
      </c>
    </row>
    <row r="329" spans="1:20" ht="23.25" hidden="1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>SUM(O329:Q329)</f>
        <v>80</v>
      </c>
      <c r="S329" s="24">
        <v>8</v>
      </c>
      <c r="T329" s="21" t="s">
        <v>1391</v>
      </c>
    </row>
    <row r="330" spans="1:20" ht="23.25" hidden="1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>SUM(O330:Q330)</f>
        <v>26</v>
      </c>
      <c r="S330" s="22">
        <v>16</v>
      </c>
      <c r="T330" s="20" t="s">
        <v>549</v>
      </c>
    </row>
    <row r="331" spans="1:20" ht="23.25" hidden="1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>SUM(O331:Q331)</f>
        <v>15</v>
      </c>
      <c r="S331" s="24">
        <v>16</v>
      </c>
      <c r="T331" s="21" t="s">
        <v>1400</v>
      </c>
    </row>
    <row r="332" spans="1:20" ht="23.25" hidden="1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>SUM(O332:Q332)</f>
        <v>23</v>
      </c>
      <c r="S332" s="22">
        <v>46</v>
      </c>
      <c r="T332" s="20" t="s">
        <v>1404</v>
      </c>
    </row>
    <row r="333" spans="1:20" ht="23.25" hidden="1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>SUM(O333:Q333)</f>
        <v>207</v>
      </c>
      <c r="S333" s="24">
        <v>1.5</v>
      </c>
      <c r="T333" s="21" t="s">
        <v>1409</v>
      </c>
    </row>
    <row r="334" spans="1:20" ht="23.25" hidden="1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>SUM(O334:Q334)</f>
        <v>13</v>
      </c>
      <c r="S334" s="22">
        <v>30</v>
      </c>
      <c r="T334" s="20" t="s">
        <v>966</v>
      </c>
    </row>
    <row r="335" spans="1:20" ht="23.25" hidden="1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>SUM(O335:Q335)</f>
        <v>184</v>
      </c>
      <c r="S335" s="24">
        <v>10</v>
      </c>
      <c r="T335" s="21" t="s">
        <v>1417</v>
      </c>
    </row>
    <row r="336" spans="1:20" ht="23.25" hidden="1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>SUM(O336:Q336)</f>
        <v>46</v>
      </c>
      <c r="S336" s="22">
        <v>20</v>
      </c>
      <c r="T336" s="20" t="s">
        <v>1422</v>
      </c>
    </row>
    <row r="337" spans="1:20" ht="23.25" hidden="1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>SUM(O337:Q337)</f>
        <v>60</v>
      </c>
      <c r="S337" s="24">
        <v>2</v>
      </c>
      <c r="T337" s="21" t="s">
        <v>1426</v>
      </c>
    </row>
    <row r="338" spans="1:20" ht="23.25" hidden="1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>SUM(O338:Q338)</f>
        <v>48</v>
      </c>
      <c r="S338" s="22">
        <v>20</v>
      </c>
      <c r="T338" s="20" t="s">
        <v>418</v>
      </c>
    </row>
    <row r="339" spans="1:20" ht="23.25" hidden="1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>SUM(O339:Q339)</f>
        <v>40</v>
      </c>
      <c r="S339" s="24">
        <v>2</v>
      </c>
      <c r="T339" s="21" t="s">
        <v>1023</v>
      </c>
    </row>
    <row r="340" spans="1:20" ht="23.25" hidden="1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>SUM(O340:Q340)</f>
        <v>150</v>
      </c>
      <c r="S340" s="22">
        <v>2</v>
      </c>
      <c r="T340" s="20" t="s">
        <v>1439</v>
      </c>
    </row>
    <row r="341" spans="1:20" ht="23.25" hidden="1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>SUM(O341:Q341)</f>
        <v>20</v>
      </c>
      <c r="S341" s="24">
        <v>7</v>
      </c>
      <c r="T341" s="21" t="s">
        <v>1055</v>
      </c>
    </row>
    <row r="342" spans="1:20" ht="23.25" hidden="1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>SUM(O342:Q342)</f>
        <v>30</v>
      </c>
      <c r="S342" s="22">
        <v>2</v>
      </c>
      <c r="T342" s="20" t="s">
        <v>1023</v>
      </c>
    </row>
    <row r="343" spans="1:20" ht="23.25" hidden="1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>SUM(O343:Q343)</f>
        <v>67</v>
      </c>
      <c r="S343" s="24">
        <v>18</v>
      </c>
      <c r="T343" s="21" t="s">
        <v>1452</v>
      </c>
    </row>
    <row r="344" spans="1:20" ht="23.25" hidden="1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>SUM(O344:Q344)</f>
        <v>67</v>
      </c>
      <c r="S344" s="22">
        <v>2</v>
      </c>
      <c r="T344" s="20" t="s">
        <v>1456</v>
      </c>
    </row>
    <row r="345" spans="1:20" ht="23.25" hidden="1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>SUM(O345:Q345)</f>
        <v>57</v>
      </c>
      <c r="S345" s="24">
        <v>2</v>
      </c>
      <c r="T345" s="21" t="s">
        <v>1456</v>
      </c>
    </row>
    <row r="346" spans="1:20" ht="23.25" hidden="1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>SUM(O346:Q346)</f>
        <v>20</v>
      </c>
      <c r="S346" s="22">
        <v>26</v>
      </c>
      <c r="T346" s="20" t="s">
        <v>1462</v>
      </c>
    </row>
    <row r="347" spans="1:20" ht="23.25" hidden="1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>SUM(O347:Q347)</f>
        <v>315</v>
      </c>
      <c r="S347" s="24">
        <v>8</v>
      </c>
      <c r="T347" s="21" t="s">
        <v>1467</v>
      </c>
    </row>
    <row r="348" spans="1:20" ht="23.25" hidden="1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>SUM(O348:Q348)</f>
        <v>35</v>
      </c>
      <c r="S348" s="22">
        <v>8</v>
      </c>
      <c r="T348" s="20" t="s">
        <v>1472</v>
      </c>
    </row>
    <row r="349" spans="1:20" ht="23.25" hidden="1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>SUM(O349:Q349)</f>
        <v>17</v>
      </c>
      <c r="S349" s="24">
        <f>5*17</f>
        <v>85</v>
      </c>
      <c r="T349" s="21" t="s">
        <v>966</v>
      </c>
    </row>
    <row r="350" spans="1:20" ht="23.25" hidden="1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>SUM(O350:Q350)</f>
        <v>27</v>
      </c>
      <c r="S350" s="22">
        <v>8</v>
      </c>
      <c r="T350" s="20" t="s">
        <v>935</v>
      </c>
    </row>
    <row r="351" spans="1:20" ht="23.25" hidden="1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>SUM(O351:Q351)</f>
        <v>45</v>
      </c>
      <c r="S351" s="24">
        <v>4</v>
      </c>
      <c r="T351" s="21" t="s">
        <v>1485</v>
      </c>
    </row>
    <row r="352" spans="1:20" ht="23.25" hidden="1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>SUM(O352:Q352)</f>
        <v>51</v>
      </c>
      <c r="S352" s="22">
        <v>4</v>
      </c>
      <c r="T352" s="20" t="s">
        <v>1490</v>
      </c>
    </row>
    <row r="353" spans="1:20" ht="23.25" hidden="1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>SUM(O353:Q353)</f>
        <v>5</v>
      </c>
      <c r="S353" s="24">
        <v>28</v>
      </c>
      <c r="T353" s="21" t="s">
        <v>1404</v>
      </c>
    </row>
    <row r="354" spans="1:20" ht="23.25" hidden="1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>SUM(O354:Q354)</f>
        <v>16</v>
      </c>
      <c r="S354" s="22">
        <v>24</v>
      </c>
      <c r="T354" s="20" t="s">
        <v>1348</v>
      </c>
    </row>
    <row r="355" spans="1:20" ht="23.25" hidden="1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>SUM(O355:Q355)</f>
        <v>30</v>
      </c>
      <c r="S355" s="24">
        <v>12</v>
      </c>
      <c r="T355" s="21" t="s">
        <v>1501</v>
      </c>
    </row>
    <row r="356" spans="1:20" ht="23.25" hidden="1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>SUM(O356:Q356)</f>
        <v>64</v>
      </c>
      <c r="S356" s="22">
        <v>12</v>
      </c>
      <c r="T356" s="20"/>
    </row>
    <row r="357" spans="1:20" ht="23.25" hidden="1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>SUM(O357:Q357)</f>
        <v>57</v>
      </c>
      <c r="S357" s="24">
        <v>20</v>
      </c>
      <c r="T357" s="21" t="s">
        <v>1452</v>
      </c>
    </row>
    <row r="358" spans="1:20" ht="23.25" hidden="1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>SUM(O358:Q358)</f>
        <v>39</v>
      </c>
      <c r="S358" s="22">
        <v>25</v>
      </c>
      <c r="T358" s="20" t="s">
        <v>1513</v>
      </c>
    </row>
    <row r="359" spans="1:20" ht="23.25" hidden="1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>SUM(O359:Q359)</f>
        <v>16</v>
      </c>
      <c r="S359" s="24">
        <v>24</v>
      </c>
      <c r="T359" s="21" t="s">
        <v>571</v>
      </c>
    </row>
    <row r="360" spans="1:20" ht="23.25" hidden="1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>SUM(O360:Q360)</f>
        <v>47</v>
      </c>
      <c r="S360" s="22">
        <v>20</v>
      </c>
      <c r="T360" s="20" t="s">
        <v>1422</v>
      </c>
    </row>
    <row r="361" spans="1:20" ht="23.25" hidden="1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>SUM(O361:Q361)</f>
        <v>13</v>
      </c>
      <c r="S361" s="24">
        <v>16</v>
      </c>
      <c r="T361" s="21" t="s">
        <v>1526</v>
      </c>
    </row>
    <row r="362" spans="1:20" ht="23.25" hidden="1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>SUM(O362:Q362)</f>
        <v>26</v>
      </c>
      <c r="S362" s="22">
        <v>30</v>
      </c>
      <c r="T362" s="20" t="s">
        <v>966</v>
      </c>
    </row>
    <row r="363" spans="1:20" ht="23.25" hidden="1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>SUM(O363:Q363)</f>
        <v>43</v>
      </c>
      <c r="S363" s="24">
        <v>12</v>
      </c>
      <c r="T363" s="21" t="s">
        <v>1172</v>
      </c>
    </row>
    <row r="364" spans="1:20" ht="23.25" hidden="1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>SUM(O364:Q364)</f>
        <v>11</v>
      </c>
      <c r="S364" s="22">
        <v>24</v>
      </c>
      <c r="T364" s="20" t="s">
        <v>1348</v>
      </c>
    </row>
    <row r="365" spans="1:20" ht="23.25" hidden="1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>SUM(O365:Q365)</f>
        <v>11</v>
      </c>
      <c r="S365" s="24">
        <v>24</v>
      </c>
      <c r="T365" s="21" t="s">
        <v>1540</v>
      </c>
    </row>
    <row r="366" spans="1:20" ht="23.25" hidden="1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>SUM(O366:Q366)</f>
        <v>57</v>
      </c>
      <c r="S366" s="22">
        <v>16</v>
      </c>
      <c r="T366" s="33" t="s">
        <v>418</v>
      </c>
    </row>
    <row r="367" spans="1:20" ht="23.25" hidden="1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>SUM(O367:Q367)</f>
        <v>22</v>
      </c>
      <c r="S367" s="24">
        <v>20</v>
      </c>
      <c r="T367" s="21" t="s">
        <v>1548</v>
      </c>
    </row>
    <row r="368" spans="1:20" ht="23.25" hidden="1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>SUM(O368:Q368)</f>
        <v>176</v>
      </c>
      <c r="S368" s="22">
        <v>2</v>
      </c>
      <c r="T368" s="20"/>
    </row>
    <row r="369" spans="1:20" ht="23.25" hidden="1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>SUM(O369:Q369)</f>
        <v>56</v>
      </c>
      <c r="S369" s="24">
        <v>4</v>
      </c>
      <c r="T369" s="21" t="s">
        <v>1556</v>
      </c>
    </row>
    <row r="370" spans="1:20" ht="23.25" hidden="1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>SUM(O370:Q370)</f>
        <v>23</v>
      </c>
      <c r="S370" s="22">
        <v>8</v>
      </c>
      <c r="T370" s="20" t="s">
        <v>1561</v>
      </c>
    </row>
    <row r="371" spans="1:20" ht="23.25" hidden="1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>SUM(O371:Q371)</f>
        <v>39</v>
      </c>
      <c r="S371" s="24">
        <v>1</v>
      </c>
      <c r="T371" s="21" t="s">
        <v>664</v>
      </c>
    </row>
    <row r="372" spans="1:20" ht="23.25" hidden="1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>SUM(O372:Q372)</f>
        <v>47</v>
      </c>
      <c r="S372" s="22">
        <v>2</v>
      </c>
      <c r="T372" s="20"/>
    </row>
    <row r="373" spans="1:20" ht="23.25" hidden="1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>SUM(O373:Q373)</f>
        <v>53</v>
      </c>
      <c r="S373" s="24">
        <v>16</v>
      </c>
      <c r="T373" s="32" t="s">
        <v>418</v>
      </c>
    </row>
    <row r="374" spans="1:20" ht="23.25" hidden="1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>SUM(O374:Q374)</f>
        <v>28</v>
      </c>
      <c r="S374" s="22">
        <v>2</v>
      </c>
      <c r="T374" s="20" t="s">
        <v>1540</v>
      </c>
    </row>
    <row r="375" spans="1:20" ht="23.25" hidden="1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>SUM(O375:Q375)</f>
        <v>18</v>
      </c>
      <c r="S375" s="24">
        <v>3</v>
      </c>
      <c r="T375" s="21" t="s">
        <v>1548</v>
      </c>
    </row>
    <row r="376" spans="1:20" ht="23.25" hidden="1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>SUM(O376:Q376)</f>
        <v>53</v>
      </c>
      <c r="S376" s="22">
        <v>16</v>
      </c>
      <c r="T376" s="33" t="s">
        <v>418</v>
      </c>
    </row>
    <row r="377" spans="1:20" ht="23.25" hidden="1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>SUM(O377:Q377)</f>
        <v>10</v>
      </c>
      <c r="S377" s="24">
        <v>3</v>
      </c>
      <c r="T377" s="21" t="s">
        <v>1548</v>
      </c>
    </row>
    <row r="378" spans="1:20" ht="23.25" hidden="1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>SUM(O378:Q378)</f>
        <v>34</v>
      </c>
      <c r="S378" s="22">
        <v>3</v>
      </c>
      <c r="T378" s="20" t="s">
        <v>1548</v>
      </c>
    </row>
    <row r="379" spans="1:20" ht="23.25" hidden="1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>SUM(O379:Q379)</f>
        <v>0</v>
      </c>
      <c r="S379" s="24"/>
      <c r="T379" s="21"/>
    </row>
    <row r="380" spans="1:20" ht="23.25" hidden="1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>SUM(O380:Q380)</f>
        <v>15</v>
      </c>
      <c r="S380" s="22">
        <v>2</v>
      </c>
      <c r="T380" s="20" t="s">
        <v>1595</v>
      </c>
    </row>
    <row r="381" spans="1:20" ht="23.25" hidden="1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>SUM(O381:Q381)</f>
        <v>21</v>
      </c>
      <c r="S381" s="24">
        <v>3</v>
      </c>
      <c r="T381" s="21"/>
    </row>
    <row r="382" spans="1:20" ht="23.25" hidden="1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>SUM(O382:Q382)</f>
        <v>17</v>
      </c>
      <c r="S382" s="22">
        <v>16</v>
      </c>
      <c r="T382" s="33" t="s">
        <v>418</v>
      </c>
    </row>
    <row r="383" spans="1:20" ht="23.25" hidden="1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>SUM(O383:Q383)</f>
        <v>13</v>
      </c>
      <c r="S383" s="24">
        <v>3</v>
      </c>
      <c r="T383" s="21" t="s">
        <v>1548</v>
      </c>
    </row>
    <row r="384" spans="1:20" ht="23.25" hidden="1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>SUM(O384:Q384)</f>
        <v>114</v>
      </c>
      <c r="S384" s="22">
        <v>2</v>
      </c>
      <c r="T384" s="20"/>
    </row>
    <row r="385" spans="1:20" ht="23.25" hidden="1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>SUM(O385:Q385)</f>
        <v>5</v>
      </c>
      <c r="S385" s="24">
        <v>16</v>
      </c>
      <c r="T385" s="21" t="s">
        <v>1400</v>
      </c>
    </row>
    <row r="386" spans="1:20" ht="23.25" hidden="1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>SUM(O386:Q386)</f>
        <v>49</v>
      </c>
      <c r="S386" s="22">
        <v>2</v>
      </c>
      <c r="T386" s="20" t="s">
        <v>1615</v>
      </c>
    </row>
    <row r="387" spans="1:20" ht="23.25" hidden="1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>SUM(O387:Q387)</f>
        <v>22</v>
      </c>
      <c r="S387" s="24">
        <v>2</v>
      </c>
      <c r="T387" s="21" t="s">
        <v>472</v>
      </c>
    </row>
    <row r="388" spans="1:20" ht="23.25" hidden="1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>SUM(O388:Q388)</f>
        <v>91</v>
      </c>
      <c r="S388" s="22">
        <v>8</v>
      </c>
      <c r="T388" s="20" t="s">
        <v>472</v>
      </c>
    </row>
    <row r="389" spans="1:20" ht="23.25" hidden="1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>SUM(O389:Q389)</f>
        <v>5</v>
      </c>
      <c r="S389" s="24">
        <v>16</v>
      </c>
      <c r="T389" s="32" t="s">
        <v>418</v>
      </c>
    </row>
    <row r="390" spans="1:20" ht="23.25" hidden="1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>SUM(O390:Q390)</f>
        <v>181</v>
      </c>
      <c r="S390" s="22">
        <v>1</v>
      </c>
      <c r="T390" s="20" t="s">
        <v>74</v>
      </c>
    </row>
    <row r="391" spans="1:20" ht="23.25" hidden="1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>SUM(O391:Q391)</f>
        <v>7</v>
      </c>
      <c r="S391" s="24">
        <v>16</v>
      </c>
      <c r="T391" s="32" t="s">
        <v>418</v>
      </c>
    </row>
    <row r="392" spans="1:20" ht="23.25" hidden="1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>SUM(O392:Q392)</f>
        <v>9</v>
      </c>
      <c r="S392" s="22">
        <v>16</v>
      </c>
      <c r="T392" s="20" t="s">
        <v>1637</v>
      </c>
    </row>
    <row r="393" spans="1:20" ht="23.25" hidden="1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hidden="1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>SUM(O394:Q394)</f>
        <v>31</v>
      </c>
      <c r="S394" s="22">
        <v>16</v>
      </c>
      <c r="T394" s="33" t="s">
        <v>418</v>
      </c>
    </row>
    <row r="395" spans="1:20" ht="23.25" hidden="1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>SUM(O395:Q395)</f>
        <v>19</v>
      </c>
      <c r="S395" s="24">
        <v>2</v>
      </c>
      <c r="T395" s="21" t="s">
        <v>966</v>
      </c>
    </row>
    <row r="396" spans="1:20" ht="23.25" hidden="1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>SUM(O396:Q396)</f>
        <v>45</v>
      </c>
      <c r="S396" s="22">
        <v>8</v>
      </c>
      <c r="T396" s="20" t="s">
        <v>1472</v>
      </c>
    </row>
    <row r="397" spans="1:20" ht="23.25" hidden="1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>SUM(O397:Q397)</f>
        <v>0</v>
      </c>
      <c r="S397" s="24">
        <v>2</v>
      </c>
      <c r="T397" s="21" t="s">
        <v>472</v>
      </c>
    </row>
    <row r="398" spans="1:20" ht="23.25" hidden="1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>SUM(O398:Q398)</f>
        <v>85</v>
      </c>
      <c r="S398" s="22">
        <v>8</v>
      </c>
      <c r="T398" s="20" t="s">
        <v>472</v>
      </c>
    </row>
    <row r="399" spans="1:20" ht="23.25" hidden="1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>SUM(O399:Q399)</f>
        <v>7</v>
      </c>
      <c r="S399" s="24">
        <v>1</v>
      </c>
      <c r="T399" s="21" t="s">
        <v>1663</v>
      </c>
    </row>
    <row r="400" spans="1:20" ht="23.25" hidden="1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>SUM(O400:Q400)</f>
        <v>30</v>
      </c>
      <c r="S400" s="22">
        <v>4</v>
      </c>
      <c r="T400" s="20"/>
    </row>
    <row r="401" spans="1:20" ht="23.25" hidden="1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>SUM(O401:Q401)</f>
        <v>62</v>
      </c>
      <c r="S401" s="24">
        <v>1.5</v>
      </c>
      <c r="T401" s="21" t="s">
        <v>1671</v>
      </c>
    </row>
    <row r="402" spans="1:20" ht="23.25" hidden="1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>SUM(O402:Q402)</f>
        <v>68</v>
      </c>
      <c r="S402" s="22">
        <v>4</v>
      </c>
      <c r="T402" s="20" t="s">
        <v>1676</v>
      </c>
    </row>
    <row r="403" spans="1:20" ht="23.25" hidden="1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>SUM(O403:Q403)</f>
        <v>2</v>
      </c>
      <c r="S403" s="24">
        <v>48</v>
      </c>
      <c r="T403" s="21" t="s">
        <v>211</v>
      </c>
    </row>
    <row r="404" spans="1:20" ht="23.25" hidden="1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>SUM(O404:Q404)</f>
        <v>36</v>
      </c>
      <c r="S404" s="22">
        <v>16</v>
      </c>
      <c r="T404" s="20" t="s">
        <v>1685</v>
      </c>
    </row>
    <row r="405" spans="1:20" ht="23.25" hidden="1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>SUM(O405:Q405)</f>
        <v>14</v>
      </c>
      <c r="S405" s="24">
        <v>16</v>
      </c>
      <c r="T405" s="21" t="s">
        <v>1456</v>
      </c>
    </row>
    <row r="406" spans="1:20" ht="23.25" hidden="1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>SUM(O406:Q406)</f>
        <v>44</v>
      </c>
      <c r="S406" s="22">
        <v>5</v>
      </c>
      <c r="T406" s="54" t="s">
        <v>1694</v>
      </c>
    </row>
    <row r="407" spans="1:20" ht="23.25" hidden="1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>SUM(O407:Q407)</f>
        <v>26</v>
      </c>
      <c r="S407" s="24">
        <v>20</v>
      </c>
      <c r="T407" s="21" t="s">
        <v>74</v>
      </c>
    </row>
    <row r="408" spans="1:20" ht="23.25" hidden="1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>SUM(O408:Q408)</f>
        <v>23</v>
      </c>
      <c r="S408" s="22">
        <v>16</v>
      </c>
      <c r="T408" s="20" t="s">
        <v>1703</v>
      </c>
    </row>
    <row r="409" spans="1:20" ht="23.25" hidden="1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>SUM(O409:Q409)</f>
        <v>20</v>
      </c>
      <c r="S409" s="24">
        <v>2</v>
      </c>
      <c r="T409" s="21" t="s">
        <v>1708</v>
      </c>
    </row>
    <row r="410" spans="1:20" ht="23.25" hidden="1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>SUM(O410:Q410)</f>
        <v>0</v>
      </c>
      <c r="S410" s="22"/>
      <c r="T410" s="20"/>
    </row>
    <row r="411" spans="1:20" ht="23.25" hidden="1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>SUM(O411:Q411)</f>
        <v>16</v>
      </c>
      <c r="S411" s="24">
        <v>16</v>
      </c>
      <c r="T411" s="21" t="s">
        <v>1716</v>
      </c>
    </row>
    <row r="412" spans="1:20" ht="23.25" hidden="1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>SUM(O412:Q412)</f>
        <v>44</v>
      </c>
      <c r="S412" s="22">
        <v>20</v>
      </c>
      <c r="T412" s="20" t="s">
        <v>418</v>
      </c>
    </row>
    <row r="413" spans="1:20" ht="23.25" hidden="1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>SUM(O413:Q413)</f>
        <v>105</v>
      </c>
      <c r="S413" s="24">
        <v>4</v>
      </c>
      <c r="T413" s="21" t="s">
        <v>1725</v>
      </c>
    </row>
    <row r="414" spans="1:20" ht="23.25" hidden="1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>SUM(O414:Q414)</f>
        <v>50</v>
      </c>
      <c r="S414" s="22">
        <v>4</v>
      </c>
      <c r="T414" s="20" t="s">
        <v>1731</v>
      </c>
    </row>
    <row r="415" spans="1:20" ht="23.25" hidden="1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>SUM(O415:Q415)</f>
        <v>25</v>
      </c>
      <c r="S415" s="24">
        <v>20</v>
      </c>
      <c r="T415" s="21" t="s">
        <v>1216</v>
      </c>
    </row>
    <row r="416" spans="1:20" ht="23.25" hidden="1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>SUM(O416:Q416)</f>
        <v>9</v>
      </c>
      <c r="S416" s="22">
        <v>20</v>
      </c>
      <c r="T416" s="20" t="s">
        <v>1716</v>
      </c>
    </row>
    <row r="417" spans="1:20" ht="23.25" hidden="1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>SUM(O417:Q417)</f>
        <v>25</v>
      </c>
      <c r="S417" s="24">
        <v>16</v>
      </c>
      <c r="T417" s="21" t="s">
        <v>1743</v>
      </c>
    </row>
    <row r="418" spans="1:20" ht="23.25" hidden="1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>SUM(O418:Q418)</f>
        <v>13</v>
      </c>
      <c r="S418" s="22">
        <v>19</v>
      </c>
      <c r="T418" s="20" t="s">
        <v>1748</v>
      </c>
    </row>
    <row r="419" spans="1:20" ht="23.25" hidden="1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>SUM(O419:Q419)</f>
        <v>49</v>
      </c>
      <c r="S419" s="24">
        <v>16</v>
      </c>
      <c r="T419" s="21" t="s">
        <v>1752</v>
      </c>
    </row>
    <row r="420" spans="1:20" ht="23.25" hidden="1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>SUM(O420:Q420)</f>
        <v>128</v>
      </c>
      <c r="S420" s="22">
        <v>4</v>
      </c>
      <c r="T420" s="20" t="s">
        <v>1757</v>
      </c>
    </row>
    <row r="421" spans="1:20" ht="23.25" hidden="1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>SUM(O421:Q421)</f>
        <v>21</v>
      </c>
      <c r="S421" s="24">
        <v>20</v>
      </c>
      <c r="T421" s="21" t="s">
        <v>74</v>
      </c>
    </row>
    <row r="422" spans="1:20" ht="23.25" hidden="1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>SUM(O422:Q422)</f>
        <v>8</v>
      </c>
      <c r="S422" s="22">
        <v>16</v>
      </c>
      <c r="T422" s="20" t="s">
        <v>1765</v>
      </c>
    </row>
    <row r="423" spans="1:20" ht="23.25" hidden="1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>SUM(O423:Q423)</f>
        <v>93</v>
      </c>
      <c r="S423" s="24">
        <v>4</v>
      </c>
      <c r="T423" s="21" t="s">
        <v>1757</v>
      </c>
    </row>
    <row r="424" spans="1:20" ht="23.25" hidden="1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>SUM(O424:Q424)</f>
        <v>6</v>
      </c>
      <c r="S424" s="22">
        <v>24</v>
      </c>
      <c r="T424" s="20" t="s">
        <v>1258</v>
      </c>
    </row>
    <row r="425" spans="1:20" ht="23.25" hidden="1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>SUM(O425:Q425)</f>
        <v>80</v>
      </c>
      <c r="S425" s="24">
        <v>4</v>
      </c>
      <c r="T425" s="21" t="s">
        <v>472</v>
      </c>
    </row>
    <row r="426" spans="1:20" ht="23.25" hidden="1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>SUM(O426:Q426)</f>
        <v>8</v>
      </c>
      <c r="S426" s="22">
        <v>4</v>
      </c>
      <c r="T426" s="20" t="s">
        <v>1780</v>
      </c>
    </row>
    <row r="427" spans="1:20" ht="23.25" hidden="1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>SUM(O427:Q427)</f>
        <v>10</v>
      </c>
      <c r="S427" s="24">
        <v>16</v>
      </c>
      <c r="T427" s="21" t="s">
        <v>1785</v>
      </c>
    </row>
    <row r="428" spans="1:20" ht="23.25" hidden="1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>SUM(O428:Q428)</f>
        <v>80</v>
      </c>
      <c r="S428" s="22">
        <v>4</v>
      </c>
      <c r="T428" s="20" t="s">
        <v>1367</v>
      </c>
    </row>
    <row r="429" spans="1:20" ht="23.25" hidden="1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>SUM(O429:Q429)</f>
        <v>80</v>
      </c>
      <c r="S429" s="24">
        <v>4</v>
      </c>
      <c r="T429" s="21" t="s">
        <v>1367</v>
      </c>
    </row>
    <row r="430" spans="1:20" ht="23.25" hidden="1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>SUM(O430:Q430)</f>
        <v>80</v>
      </c>
      <c r="S430" s="22">
        <v>4</v>
      </c>
      <c r="T430" s="20" t="s">
        <v>1367</v>
      </c>
    </row>
    <row r="431" spans="1:20" ht="23.25" hidden="1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>SUM(O431:Q431)</f>
        <v>80</v>
      </c>
      <c r="S431" s="24">
        <v>4</v>
      </c>
      <c r="T431" s="21" t="s">
        <v>1367</v>
      </c>
    </row>
    <row r="432" spans="1:20" ht="23.25" hidden="1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>SUM(O432:Q432)</f>
        <v>80</v>
      </c>
      <c r="S432" s="22">
        <v>4</v>
      </c>
      <c r="T432" s="20" t="s">
        <v>1367</v>
      </c>
    </row>
    <row r="433" spans="1:20" ht="23.25" hidden="1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>SUM(O433:Q433)</f>
        <v>33</v>
      </c>
      <c r="S433" s="24">
        <v>4</v>
      </c>
      <c r="T433" s="21" t="s">
        <v>1780</v>
      </c>
    </row>
    <row r="434" spans="1:20" ht="23.25" hidden="1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>SUM(O434:Q434)</f>
        <v>0</v>
      </c>
      <c r="S434" s="22"/>
      <c r="T434" s="20"/>
    </row>
    <row r="435" spans="1:20" ht="23.25" hidden="1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>SUM(O435:Q435)</f>
        <v>62</v>
      </c>
      <c r="S435" s="24">
        <v>20</v>
      </c>
      <c r="T435" s="21" t="s">
        <v>418</v>
      </c>
    </row>
    <row r="436" spans="1:20" ht="23.25" hidden="1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>SUM(O436:Q436)</f>
        <v>42</v>
      </c>
      <c r="S436" s="22">
        <v>4</v>
      </c>
      <c r="T436" s="20" t="s">
        <v>1810</v>
      </c>
    </row>
    <row r="437" spans="1:20" ht="23.25" hidden="1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>SUM(O437:Q437)</f>
        <v>6</v>
      </c>
      <c r="S437" s="24">
        <v>4</v>
      </c>
      <c r="T437" s="21" t="s">
        <v>1810</v>
      </c>
    </row>
    <row r="438" spans="1:20" ht="23.25" hidden="1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>SUM(O438:Q438)</f>
        <v>49</v>
      </c>
      <c r="S438" s="22">
        <v>4</v>
      </c>
      <c r="T438" s="20" t="s">
        <v>1810</v>
      </c>
    </row>
    <row r="439" spans="1:20" ht="23.25" hidden="1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>SUM(O439:Q439)</f>
        <v>20</v>
      </c>
      <c r="S439" s="24">
        <v>4</v>
      </c>
      <c r="T439" s="21" t="s">
        <v>1810</v>
      </c>
    </row>
    <row r="440" spans="1:20" ht="23.25" hidden="1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>SUM(O440:Q440)</f>
        <v>28</v>
      </c>
      <c r="S440" s="22">
        <v>12</v>
      </c>
      <c r="T440" s="20" t="s">
        <v>549</v>
      </c>
    </row>
    <row r="441" spans="1:20" ht="23.25" hidden="1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>SUM(O441:Q441)</f>
        <v>17</v>
      </c>
      <c r="S441" s="24">
        <v>20</v>
      </c>
      <c r="T441" s="21" t="s">
        <v>796</v>
      </c>
    </row>
    <row r="442" spans="1:20" ht="23.25" hidden="1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>SUM(O442:Q442)</f>
        <v>17</v>
      </c>
      <c r="S442" s="22">
        <v>20</v>
      </c>
      <c r="T442" s="20" t="s">
        <v>1831</v>
      </c>
    </row>
    <row r="443" spans="1:20" ht="23.25" hidden="1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>SUM(O443:Q443)</f>
        <v>24</v>
      </c>
      <c r="S443" s="24">
        <v>20</v>
      </c>
      <c r="T443" s="21" t="s">
        <v>951</v>
      </c>
    </row>
    <row r="444" spans="1:20" ht="23.25" hidden="1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>SUM(O444:Q444)</f>
        <v>16</v>
      </c>
      <c r="S444" s="22">
        <v>8</v>
      </c>
      <c r="T444" s="20" t="s">
        <v>1060</v>
      </c>
    </row>
    <row r="445" spans="1:20" ht="23.25" hidden="1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>SUM(O445:Q445)</f>
        <v>155</v>
      </c>
      <c r="S445" s="24">
        <v>8</v>
      </c>
      <c r="T445" s="21" t="s">
        <v>472</v>
      </c>
    </row>
    <row r="446" spans="1:20" ht="23.25" hidden="1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>SUM(O446:Q446)</f>
        <v>8</v>
      </c>
      <c r="S446" s="22">
        <v>4</v>
      </c>
      <c r="T446" s="20" t="s">
        <v>1780</v>
      </c>
    </row>
    <row r="447" spans="1:20" ht="23.25" hidden="1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>SUM(O447:Q447)</f>
        <v>10</v>
      </c>
      <c r="S447" s="24">
        <v>16</v>
      </c>
      <c r="T447" s="21" t="s">
        <v>1743</v>
      </c>
    </row>
    <row r="448" spans="1:20" ht="23.25" hidden="1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>SUM(O448:Q448)</f>
        <v>15</v>
      </c>
      <c r="S448" s="22">
        <v>16</v>
      </c>
      <c r="T448" s="20" t="s">
        <v>1785</v>
      </c>
    </row>
    <row r="449" spans="1:20" ht="23.25" hidden="1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>SUM(O449:Q449)</f>
        <v>51</v>
      </c>
      <c r="S449" s="24">
        <v>16</v>
      </c>
      <c r="T449" s="21" t="s">
        <v>472</v>
      </c>
    </row>
    <row r="450" spans="1:20" ht="23.25" hidden="1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>SUM(O450:Q450)</f>
        <v>52</v>
      </c>
      <c r="S450" s="22">
        <v>16</v>
      </c>
      <c r="T450" s="20" t="s">
        <v>1748</v>
      </c>
    </row>
    <row r="451" spans="1:20" ht="23.25" hidden="1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>SUM(O451:Q451)</f>
        <v>13</v>
      </c>
      <c r="S451" s="24">
        <v>4</v>
      </c>
      <c r="T451" s="21" t="s">
        <v>1780</v>
      </c>
    </row>
    <row r="452" spans="1:20" ht="23.25" hidden="1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>SUM(O452:Q452)</f>
        <v>90</v>
      </c>
      <c r="S452" s="22">
        <v>3</v>
      </c>
      <c r="T452" s="20" t="s">
        <v>1716</v>
      </c>
    </row>
    <row r="453" spans="1:20" ht="23.25" hidden="1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>SUM(O453:Q453)</f>
        <v>11</v>
      </c>
      <c r="S453" s="24">
        <v>2</v>
      </c>
      <c r="T453" s="21" t="s">
        <v>211</v>
      </c>
    </row>
    <row r="454" spans="1:20" ht="23.25" hidden="1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>SUM(O454:Q454)</f>
        <v>50</v>
      </c>
      <c r="S454" s="22">
        <v>2</v>
      </c>
      <c r="T454" s="264" t="s">
        <v>1873</v>
      </c>
    </row>
    <row r="455" spans="1:20" ht="23.25" hidden="1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>SUM(O455:Q455)</f>
        <v>8</v>
      </c>
      <c r="S455" s="24">
        <v>4</v>
      </c>
      <c r="T455" s="21" t="s">
        <v>1780</v>
      </c>
    </row>
    <row r="456" spans="1:20" ht="23.25" hidden="1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>SUM(O456:Q456)</f>
        <v>0</v>
      </c>
      <c r="S456" s="22"/>
      <c r="T456" s="20"/>
    </row>
    <row r="457" spans="1:20" ht="23.25" hidden="1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>SUM(O457:Q457)</f>
        <v>23</v>
      </c>
      <c r="S457" s="24">
        <v>20</v>
      </c>
      <c r="T457" s="21" t="s">
        <v>1785</v>
      </c>
    </row>
    <row r="458" spans="1:20" ht="23.25" hidden="1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>SUM(O458:Q458)</f>
        <v>23</v>
      </c>
      <c r="S458" s="22">
        <v>76</v>
      </c>
      <c r="T458" s="20" t="s">
        <v>472</v>
      </c>
    </row>
    <row r="459" spans="1:20" ht="23.25" hidden="1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>SUM(O459:Q459)</f>
        <v>89</v>
      </c>
      <c r="S459" s="24">
        <v>12</v>
      </c>
      <c r="T459" s="265" t="s">
        <v>1890</v>
      </c>
    </row>
    <row r="460" spans="1:20" ht="23.25" hidden="1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>SUM(O460:Q460)</f>
        <v>22</v>
      </c>
      <c r="S460" s="22">
        <v>19</v>
      </c>
      <c r="T460" s="20" t="s">
        <v>746</v>
      </c>
    </row>
    <row r="461" spans="1:20" ht="23.25" hidden="1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>SUM(O461:Q461)</f>
        <v>11</v>
      </c>
      <c r="S461" s="24">
        <v>4</v>
      </c>
      <c r="T461" s="21" t="s">
        <v>1780</v>
      </c>
    </row>
    <row r="462" spans="1:20" ht="23.25" hidden="1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>SUM(O462:Q462)</f>
        <v>21</v>
      </c>
      <c r="S462" s="22">
        <v>12</v>
      </c>
      <c r="T462" s="20" t="s">
        <v>1902</v>
      </c>
    </row>
    <row r="463" spans="1:20" ht="23.25" hidden="1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>SUM(O463:Q463)</f>
        <v>51</v>
      </c>
      <c r="S463" s="24">
        <v>16</v>
      </c>
      <c r="T463" s="265" t="s">
        <v>549</v>
      </c>
    </row>
    <row r="464" spans="1:20" ht="23.25" hidden="1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>SUM(O464:Q464)</f>
        <v>7</v>
      </c>
      <c r="S464" s="22">
        <v>4</v>
      </c>
      <c r="T464" s="20" t="s">
        <v>1780</v>
      </c>
    </row>
    <row r="465" spans="1:20" ht="23.25" hidden="1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>SUM(O465:Q465)</f>
        <v>22</v>
      </c>
      <c r="S465" s="24">
        <v>12</v>
      </c>
      <c r="T465" s="21" t="s">
        <v>1914</v>
      </c>
    </row>
    <row r="466" spans="1:20" ht="23.25" hidden="1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>SUM(O466:Q466)</f>
        <v>213</v>
      </c>
      <c r="S466" s="22">
        <v>24</v>
      </c>
      <c r="T466" s="20" t="s">
        <v>472</v>
      </c>
    </row>
    <row r="467" spans="1:20" ht="23.25" hidden="1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>SUM(O467:Q467)</f>
        <v>92</v>
      </c>
      <c r="S467" s="24">
        <v>8</v>
      </c>
      <c r="T467" s="21" t="s">
        <v>472</v>
      </c>
    </row>
    <row r="468" spans="1:20" ht="23.25" hidden="1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>SUM(O468:Q468)</f>
        <v>18</v>
      </c>
      <c r="S468" s="22">
        <v>4</v>
      </c>
      <c r="T468" s="20" t="s">
        <v>1926</v>
      </c>
    </row>
    <row r="469" spans="1:20" ht="23.25" hidden="1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>SUM(O469:Q469)</f>
        <v>8</v>
      </c>
      <c r="S469" s="24">
        <v>4</v>
      </c>
      <c r="T469" s="21" t="s">
        <v>1780</v>
      </c>
    </row>
    <row r="470" spans="1:20" ht="23.25" hidden="1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>SUM(O470:Q470)</f>
        <v>8</v>
      </c>
      <c r="S470" s="22">
        <v>4</v>
      </c>
      <c r="T470" s="20" t="s">
        <v>1780</v>
      </c>
    </row>
    <row r="471" spans="1:20" ht="23.25" hidden="1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>SUM(O471:Q471)</f>
        <v>384</v>
      </c>
      <c r="S471" s="24">
        <v>8</v>
      </c>
      <c r="T471" s="21" t="s">
        <v>472</v>
      </c>
    </row>
    <row r="472" spans="1:20" ht="23.25" hidden="1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>SUM(O472:Q472)</f>
        <v>24</v>
      </c>
      <c r="S472" s="22">
        <v>12</v>
      </c>
      <c r="T472" s="20" t="s">
        <v>1941</v>
      </c>
    </row>
    <row r="473" spans="1:20" ht="23.25" hidden="1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>SUM(O473:Q473)</f>
        <v>35</v>
      </c>
      <c r="S473" s="24">
        <v>20</v>
      </c>
      <c r="T473" s="21" t="s">
        <v>1946</v>
      </c>
    </row>
    <row r="474" spans="1:20" ht="23.25" hidden="1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>SUM(O474:Q474)</f>
        <v>53</v>
      </c>
      <c r="S474" s="22">
        <v>4</v>
      </c>
      <c r="T474" s="20" t="s">
        <v>1951</v>
      </c>
    </row>
    <row r="475" spans="1:20" ht="23.25" hidden="1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>SUM(O475:Q475)</f>
        <v>12</v>
      </c>
      <c r="S475" s="24">
        <v>8</v>
      </c>
      <c r="T475" s="21" t="s">
        <v>1956</v>
      </c>
    </row>
    <row r="476" spans="1:20" ht="23.25" hidden="1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>SUM(O476:Q476)</f>
        <v>60</v>
      </c>
      <c r="S476" s="22">
        <v>4</v>
      </c>
      <c r="T476" s="20" t="s">
        <v>1961</v>
      </c>
    </row>
    <row r="477" spans="1:20" ht="23.25" hidden="1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>SUM(O477:Q477)</f>
        <v>14</v>
      </c>
      <c r="S477" s="24">
        <v>4</v>
      </c>
      <c r="T477" s="21" t="s">
        <v>1055</v>
      </c>
    </row>
    <row r="478" spans="1:20" ht="23.25" hidden="1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>SUM(O478:Q478)</f>
        <v>20</v>
      </c>
      <c r="S478" s="22">
        <v>12</v>
      </c>
      <c r="T478" s="20" t="s">
        <v>1914</v>
      </c>
    </row>
    <row r="479" spans="1:20" ht="23.25" hidden="1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>SUM(O479:Q479)</f>
        <v>56</v>
      </c>
      <c r="S479" s="24">
        <v>20</v>
      </c>
      <c r="T479" s="21" t="s">
        <v>1974</v>
      </c>
    </row>
    <row r="480" spans="1:20" ht="23.25" hidden="1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>SUM(O480:Q480)</f>
        <v>38</v>
      </c>
      <c r="S480" s="22">
        <v>12</v>
      </c>
      <c r="T480" s="20" t="s">
        <v>1055</v>
      </c>
    </row>
    <row r="481" spans="1:20" ht="23.25" hidden="1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>SUM(O481:Q481)</f>
        <v>13</v>
      </c>
      <c r="S481" s="24">
        <v>16</v>
      </c>
      <c r="T481" s="21" t="s">
        <v>1982</v>
      </c>
    </row>
    <row r="482" spans="1:20" ht="23.25" hidden="1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>SUM(O482:Q482)</f>
        <v>24</v>
      </c>
      <c r="S482" s="22">
        <v>18</v>
      </c>
      <c r="T482" s="20" t="s">
        <v>1987</v>
      </c>
    </row>
    <row r="483" spans="1:20" ht="23.25" hidden="1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>SUM(O483:Q483)</f>
        <v>19</v>
      </c>
      <c r="S483" s="24">
        <v>16</v>
      </c>
      <c r="T483" s="21" t="s">
        <v>1716</v>
      </c>
    </row>
    <row r="484" spans="1:20" ht="23.25" hidden="1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>SUM(O484:Q484)</f>
        <v>10</v>
      </c>
      <c r="S484" s="22">
        <v>4</v>
      </c>
      <c r="T484" s="20" t="s">
        <v>1055</v>
      </c>
    </row>
    <row r="485" spans="1:20" ht="23.25" hidden="1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>SUM(O485:Q485)</f>
        <v>5</v>
      </c>
      <c r="S485" s="24">
        <v>4</v>
      </c>
      <c r="T485" s="21" t="s">
        <v>1780</v>
      </c>
    </row>
    <row r="486" spans="1:20" ht="23.25" hidden="1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>SUM(O486:Q486)</f>
        <v>21</v>
      </c>
      <c r="S486" s="22">
        <v>24</v>
      </c>
      <c r="T486" s="20" t="s">
        <v>1258</v>
      </c>
    </row>
    <row r="487" spans="1:20" ht="23.25" hidden="1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>SUM(O487:Q487)</f>
        <v>19</v>
      </c>
      <c r="S487" s="24">
        <v>20</v>
      </c>
      <c r="T487" s="21" t="s">
        <v>211</v>
      </c>
    </row>
    <row r="488" spans="1:20" ht="23.25" hidden="1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>SUM(O488:Q488)</f>
        <v>7</v>
      </c>
      <c r="S488" s="22">
        <v>4</v>
      </c>
      <c r="T488" s="20" t="s">
        <v>1780</v>
      </c>
    </row>
    <row r="489" spans="1:20" ht="23.25" hidden="1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>SUM(O489:Q489)</f>
        <v>19</v>
      </c>
      <c r="S489" s="64">
        <v>20</v>
      </c>
      <c r="T489" s="45" t="s">
        <v>74</v>
      </c>
    </row>
    <row r="490" spans="1:20" ht="23.25" hidden="1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>SUM(O490:Q490)</f>
        <v>61</v>
      </c>
      <c r="S490" s="70">
        <v>20</v>
      </c>
      <c r="T490" s="67" t="s">
        <v>1974</v>
      </c>
    </row>
    <row r="491" spans="1:20" ht="23.25" hidden="1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>SUM(O491:Q491)</f>
        <v>32</v>
      </c>
      <c r="S491" s="64">
        <v>8</v>
      </c>
      <c r="T491" s="45" t="s">
        <v>2014</v>
      </c>
    </row>
    <row r="492" spans="1:20" ht="23.25" hidden="1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>SUM(O492:Q492)</f>
        <v>43</v>
      </c>
      <c r="S492" s="70">
        <v>20</v>
      </c>
      <c r="T492" s="67" t="s">
        <v>2019</v>
      </c>
    </row>
    <row r="493" spans="1:20" ht="23.25" hidden="1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>SUM(O493:Q493)</f>
        <v>8</v>
      </c>
      <c r="S493" s="64">
        <v>8</v>
      </c>
      <c r="T493" s="45" t="s">
        <v>472</v>
      </c>
    </row>
    <row r="494" spans="1:20" ht="23.25" hidden="1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>SUM(O494:Q494)</f>
        <v>80</v>
      </c>
      <c r="S494" s="70">
        <v>2</v>
      </c>
      <c r="T494" s="67" t="s">
        <v>2028</v>
      </c>
    </row>
    <row r="495" spans="1:20" ht="23.25" hidden="1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>SUM(O495:Q495)</f>
        <v>0</v>
      </c>
      <c r="S495" s="24"/>
      <c r="T495" s="265"/>
    </row>
    <row r="496" spans="1:20" ht="23.25" hidden="1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>SUM(O496:Q496)</f>
        <v>170</v>
      </c>
      <c r="S496" s="70">
        <v>1</v>
      </c>
      <c r="T496" s="67" t="s">
        <v>2037</v>
      </c>
    </row>
    <row r="497" spans="1:20" ht="23.25" hidden="1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>SUM(O497:Q497)</f>
        <v>31</v>
      </c>
      <c r="S497" s="64">
        <v>4</v>
      </c>
      <c r="T497" s="45" t="s">
        <v>1926</v>
      </c>
    </row>
    <row r="498" spans="1:20" ht="23.25" hidden="1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>SUM(O498:Q498)</f>
        <v>11</v>
      </c>
      <c r="S498" s="70">
        <v>16</v>
      </c>
      <c r="T498" s="67" t="s">
        <v>1785</v>
      </c>
    </row>
    <row r="499" spans="1:20" ht="23.25" hidden="1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>SUM(O499:Q499)</f>
        <v>45</v>
      </c>
      <c r="S499" s="64">
        <v>1</v>
      </c>
      <c r="T499" s="45" t="s">
        <v>2048</v>
      </c>
    </row>
    <row r="500" spans="1:20" ht="23.25" hidden="1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>SUM(O500:Q500)</f>
        <v>40</v>
      </c>
      <c r="S500" s="70">
        <v>4</v>
      </c>
      <c r="T500" s="67" t="s">
        <v>2053</v>
      </c>
    </row>
    <row r="501" spans="1:20" ht="23.25" hidden="1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>SUM(O501:Q501)</f>
        <v>0</v>
      </c>
      <c r="S501" s="64">
        <v>4</v>
      </c>
      <c r="T501" s="45" t="s">
        <v>1780</v>
      </c>
    </row>
    <row r="502" spans="1:20" ht="23.25" hidden="1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>SUM(O502:Q502)</f>
        <v>34</v>
      </c>
      <c r="S502" s="70">
        <v>16</v>
      </c>
      <c r="T502" s="67" t="s">
        <v>2061</v>
      </c>
    </row>
    <row r="503" spans="1:20" ht="23.25" hidden="1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>SUM(O503:Q503)</f>
        <v>21</v>
      </c>
      <c r="S503" s="64">
        <v>16</v>
      </c>
      <c r="T503" s="45" t="s">
        <v>1716</v>
      </c>
    </row>
    <row r="504" spans="1:20" ht="23.25" hidden="1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>SUM(O504:Q504)</f>
        <v>16</v>
      </c>
      <c r="S504" s="70">
        <v>24</v>
      </c>
      <c r="T504" s="67" t="s">
        <v>1831</v>
      </c>
    </row>
    <row r="505" spans="1:20" ht="23.25" hidden="1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>SUM(O505:Q505)</f>
        <v>20</v>
      </c>
      <c r="S505" s="24">
        <v>4</v>
      </c>
      <c r="T505" s="21" t="s">
        <v>2074</v>
      </c>
    </row>
    <row r="506" spans="1:20" ht="23.25" hidden="1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>SUM(O506:Q506)</f>
        <v>8</v>
      </c>
      <c r="S506" s="22">
        <v>4</v>
      </c>
      <c r="T506" s="20" t="s">
        <v>1780</v>
      </c>
    </row>
    <row r="507" spans="1:20" ht="23.25" hidden="1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>SUM(O507:Q507)</f>
        <v>0</v>
      </c>
      <c r="S507" s="24">
        <v>20</v>
      </c>
      <c r="T507" s="21" t="s">
        <v>2082</v>
      </c>
    </row>
    <row r="508" spans="1:20" ht="23.25" hidden="1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>SUM(O508:Q508)</f>
        <v>13</v>
      </c>
      <c r="S508" s="22">
        <v>48</v>
      </c>
      <c r="T508" s="20" t="s">
        <v>966</v>
      </c>
    </row>
    <row r="509" spans="1:20" ht="23.25" hidden="1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>SUM(O509:Q509)</f>
        <v>170</v>
      </c>
      <c r="S509" s="24">
        <v>1</v>
      </c>
      <c r="T509" s="21" t="s">
        <v>2089</v>
      </c>
    </row>
    <row r="510" spans="1:20" ht="23.25" hidden="1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>SUM(O510:Q510)</f>
        <v>66</v>
      </c>
      <c r="S510" s="22">
        <v>20</v>
      </c>
      <c r="T510" s="20" t="s">
        <v>1974</v>
      </c>
    </row>
    <row r="511" spans="1:20" ht="23.25" hidden="1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>SUM(O511:Q511)</f>
        <v>140</v>
      </c>
      <c r="S511" s="24">
        <v>1</v>
      </c>
      <c r="T511" s="21" t="s">
        <v>2097</v>
      </c>
    </row>
    <row r="512" spans="1:20" ht="23.25" hidden="1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>SUM(O512:Q512)</f>
        <v>45</v>
      </c>
      <c r="S512" s="22">
        <v>12</v>
      </c>
      <c r="T512" s="20" t="s">
        <v>2102</v>
      </c>
    </row>
    <row r="513" spans="1:20" ht="23.25" hidden="1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>SUM(O513:Q513)</f>
        <v>19</v>
      </c>
      <c r="S513" s="24">
        <v>4</v>
      </c>
      <c r="T513" s="21" t="s">
        <v>2107</v>
      </c>
    </row>
    <row r="514" spans="1:20" ht="23.25" hidden="1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>SUM(O514:Q514)</f>
        <v>15</v>
      </c>
      <c r="S514" s="22">
        <v>20</v>
      </c>
      <c r="T514" s="20" t="s">
        <v>211</v>
      </c>
    </row>
    <row r="515" spans="1:20" ht="23.25" hidden="1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>SUM(O515:Q515)</f>
        <v>41</v>
      </c>
      <c r="S515" s="24">
        <v>16</v>
      </c>
      <c r="T515" s="21" t="s">
        <v>2115</v>
      </c>
    </row>
    <row r="516" spans="1:20" ht="23.25" hidden="1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>SUM(O516:Q516)</f>
        <v>96</v>
      </c>
      <c r="S516" s="22">
        <v>2</v>
      </c>
      <c r="T516" s="20" t="s">
        <v>472</v>
      </c>
    </row>
    <row r="517" spans="1:20" ht="23.25" hidden="1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>SUM(O517:Q517)</f>
        <v>6</v>
      </c>
      <c r="S517" s="24">
        <v>4</v>
      </c>
      <c r="T517" s="21" t="s">
        <v>2123</v>
      </c>
    </row>
    <row r="518" spans="1:20" ht="23.25" hidden="1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>SUM(O518:Q518)</f>
        <v>47</v>
      </c>
      <c r="S518" s="22">
        <v>12</v>
      </c>
      <c r="T518" s="20" t="s">
        <v>2128</v>
      </c>
    </row>
    <row r="519" spans="1:20" ht="23.25" hidden="1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>SUM(O519:Q519)</f>
        <v>37</v>
      </c>
      <c r="S519" s="24">
        <v>12</v>
      </c>
      <c r="T519" s="21" t="s">
        <v>1472</v>
      </c>
    </row>
    <row r="520" spans="1:20" ht="23.25" hidden="1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>SUM(O520:Q520)</f>
        <v>20</v>
      </c>
      <c r="S520" s="22">
        <v>16</v>
      </c>
      <c r="T520" s="20" t="s">
        <v>1703</v>
      </c>
    </row>
    <row r="521" spans="1:20" ht="23.25" hidden="1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>SUM(O521:Q521)</f>
        <v>19</v>
      </c>
      <c r="S521" s="24">
        <v>16</v>
      </c>
      <c r="T521" s="21" t="s">
        <v>549</v>
      </c>
    </row>
    <row r="522" spans="1:20" ht="23.25" hidden="1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>SUM(O522:Q522)</f>
        <v>0</v>
      </c>
      <c r="S522" s="22">
        <v>21</v>
      </c>
      <c r="T522" s="20" t="s">
        <v>1367</v>
      </c>
    </row>
    <row r="523" spans="1:20" ht="23.25" hidden="1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>SUM(O523:Q523)</f>
        <v>0</v>
      </c>
      <c r="S523" s="24">
        <v>6</v>
      </c>
      <c r="T523" s="21" t="s">
        <v>2147</v>
      </c>
    </row>
    <row r="524" spans="1:20" ht="23.25" hidden="1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>SUM(O524:Q524)</f>
        <v>6</v>
      </c>
      <c r="S524" s="22"/>
      <c r="T524" s="20"/>
    </row>
    <row r="525" spans="1:20" ht="23.25" hidden="1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>SUM(O525:Q525)</f>
        <v>46</v>
      </c>
      <c r="S525" s="24">
        <v>16</v>
      </c>
      <c r="T525" s="21" t="s">
        <v>2154</v>
      </c>
    </row>
    <row r="526" spans="1:20" ht="23.25" hidden="1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>SUM(O526:Q526)</f>
        <v>20</v>
      </c>
      <c r="S526" s="22">
        <v>16</v>
      </c>
      <c r="T526" s="20" t="s">
        <v>1716</v>
      </c>
    </row>
    <row r="527" spans="1:20" ht="23.25" hidden="1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>SUM(O527:Q527)</f>
        <v>0</v>
      </c>
      <c r="S527" s="24"/>
      <c r="T527" s="21" t="s">
        <v>2159</v>
      </c>
    </row>
    <row r="528" spans="1:20" ht="23.25" hidden="1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>SUM(O528:Q528)</f>
        <v>20</v>
      </c>
      <c r="S528" s="22">
        <v>8</v>
      </c>
      <c r="T528" s="20" t="s">
        <v>2164</v>
      </c>
    </row>
    <row r="529" spans="1:20" ht="23.25" hidden="1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>SUM(O529:Q529)</f>
        <v>28</v>
      </c>
      <c r="S529" s="24">
        <v>20</v>
      </c>
      <c r="T529" s="21"/>
    </row>
    <row r="530" spans="1:20" ht="23.25" hidden="1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>SUM(O530:Q530)</f>
        <v>138</v>
      </c>
      <c r="S530" s="22">
        <v>8</v>
      </c>
      <c r="T530" s="20" t="s">
        <v>472</v>
      </c>
    </row>
    <row r="531" spans="1:20" ht="23.25" hidden="1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>SUM(O531:Q531)</f>
        <v>19</v>
      </c>
      <c r="S531" s="24">
        <v>12</v>
      </c>
      <c r="T531" s="21" t="s">
        <v>1890</v>
      </c>
    </row>
    <row r="532" spans="1:20" ht="23.25" hidden="1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>SUM(O532:Q532)</f>
        <v>118</v>
      </c>
      <c r="S532" s="22">
        <v>1</v>
      </c>
      <c r="T532" s="20" t="s">
        <v>2180</v>
      </c>
    </row>
    <row r="533" spans="1:20" ht="23.25" hidden="1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>SUM(O533:Q533)</f>
        <v>4</v>
      </c>
      <c r="S533" s="24">
        <v>4</v>
      </c>
      <c r="T533" s="21" t="s">
        <v>1780</v>
      </c>
    </row>
    <row r="534" spans="1:20" ht="23.25" hidden="1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>SUM(O534:Q534)</f>
        <v>49</v>
      </c>
      <c r="S534" s="22">
        <v>4</v>
      </c>
      <c r="T534" s="20" t="s">
        <v>2187</v>
      </c>
    </row>
    <row r="535" spans="1:20" ht="23.25" hidden="1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>SUM(O535:Q535)</f>
        <v>94</v>
      </c>
      <c r="S535" s="24">
        <v>20</v>
      </c>
      <c r="T535" s="21" t="s">
        <v>1974</v>
      </c>
    </row>
    <row r="536" spans="1:20" ht="23.25" hidden="1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>SUM(O536:Q536)</f>
        <v>0</v>
      </c>
      <c r="S536" s="22"/>
      <c r="T536" s="20"/>
    </row>
    <row r="537" spans="1:20" ht="23.25" hidden="1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>SUM(O537:Q537)</f>
        <v>21</v>
      </c>
      <c r="S537" s="24">
        <v>20</v>
      </c>
      <c r="T537" s="21" t="s">
        <v>74</v>
      </c>
    </row>
    <row r="538" spans="1:20" ht="23.25" hidden="1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>SUM(O538:Q538)</f>
        <v>49</v>
      </c>
      <c r="S538" s="22"/>
      <c r="T538" s="20"/>
    </row>
    <row r="539" spans="1:20" ht="23.25" hidden="1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>SUM(O539:Q539)</f>
        <v>26</v>
      </c>
      <c r="S539" s="24">
        <v>16</v>
      </c>
      <c r="T539" s="21" t="s">
        <v>1716</v>
      </c>
    </row>
    <row r="540" spans="1:20" ht="23.25" hidden="1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>SUM(O540:Q540)</f>
        <v>8</v>
      </c>
      <c r="S540" s="22">
        <v>8</v>
      </c>
      <c r="T540" s="20" t="s">
        <v>472</v>
      </c>
    </row>
    <row r="541" spans="1:20" ht="23.25" hidden="1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>SUM(O541:Q541)</f>
        <v>14</v>
      </c>
      <c r="S541" s="24">
        <v>12</v>
      </c>
      <c r="T541" s="21" t="s">
        <v>1914</v>
      </c>
    </row>
    <row r="542" spans="1:20" ht="23.25" hidden="1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>SUM(O542:Q542)</f>
        <v>30</v>
      </c>
      <c r="S542" s="22">
        <v>20</v>
      </c>
      <c r="T542" s="20" t="s">
        <v>1743</v>
      </c>
    </row>
    <row r="543" spans="1:20" ht="23.25" hidden="1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>SUM(O543:Q543)</f>
        <v>11</v>
      </c>
      <c r="S543" s="24">
        <v>20</v>
      </c>
      <c r="T543" s="21" t="s">
        <v>1785</v>
      </c>
    </row>
    <row r="544" spans="1:20" ht="23.25" hidden="1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>SUM(O544:Q544)</f>
        <v>43</v>
      </c>
      <c r="S544" s="22">
        <v>12</v>
      </c>
      <c r="T544" s="20" t="s">
        <v>1752</v>
      </c>
    </row>
    <row r="545" spans="1:20" ht="23.25" hidden="1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>SUM(O545:Q545)</f>
        <v>54</v>
      </c>
      <c r="S545" s="24">
        <v>20</v>
      </c>
      <c r="T545" s="21" t="s">
        <v>951</v>
      </c>
    </row>
    <row r="546" spans="1:20" ht="23.25" hidden="1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>SUM(O546:Q546)</f>
        <v>3</v>
      </c>
      <c r="S546" s="22">
        <v>16</v>
      </c>
      <c r="T546" s="20" t="s">
        <v>1400</v>
      </c>
    </row>
    <row r="547" spans="1:20" ht="23.25" hidden="1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>SUM(O547:Q547)</f>
        <v>21</v>
      </c>
      <c r="S547" s="24">
        <v>8</v>
      </c>
      <c r="T547" s="21" t="s">
        <v>2014</v>
      </c>
    </row>
    <row r="548" spans="1:20" ht="23.25" hidden="1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>SUM(O548:Q548)</f>
        <v>44</v>
      </c>
      <c r="S548" s="22">
        <v>4</v>
      </c>
      <c r="T548" s="20" t="s">
        <v>472</v>
      </c>
    </row>
    <row r="549" spans="1:20" ht="23.25" hidden="1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>SUM(O549:Q549)</f>
        <v>49</v>
      </c>
      <c r="S549" s="24">
        <v>20</v>
      </c>
      <c r="T549" s="21" t="s">
        <v>74</v>
      </c>
    </row>
    <row r="550" spans="1:20" ht="23.25" hidden="1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>SUM(O550:Q550)</f>
        <v>16</v>
      </c>
      <c r="S550" s="22">
        <v>16</v>
      </c>
      <c r="T550" s="20" t="s">
        <v>2250</v>
      </c>
    </row>
    <row r="551" spans="1:20" ht="23.25" hidden="1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>SUM(O551:Q551)</f>
        <v>27</v>
      </c>
      <c r="S551" s="24">
        <v>40</v>
      </c>
      <c r="T551" s="21" t="s">
        <v>2255</v>
      </c>
    </row>
    <row r="552" spans="1:20" ht="23.25" hidden="1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>SUM(O552:Q552)</f>
        <v>114</v>
      </c>
      <c r="S552" s="22">
        <v>2</v>
      </c>
      <c r="T552" s="20" t="s">
        <v>472</v>
      </c>
    </row>
    <row r="553" spans="1:20" ht="23.25" hidden="1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>SUM(O553:Q553)</f>
        <v>24</v>
      </c>
      <c r="S553" s="24">
        <v>8</v>
      </c>
      <c r="T553" s="21" t="s">
        <v>2014</v>
      </c>
    </row>
    <row r="554" spans="1:20" ht="23.25" hidden="1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>SUM(O554:Q554)</f>
        <v>21</v>
      </c>
      <c r="S554" s="22">
        <v>20</v>
      </c>
      <c r="T554" s="20" t="s">
        <v>211</v>
      </c>
    </row>
    <row r="555" spans="1:20" ht="23.25" hidden="1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>SUM(O555:Q555)</f>
        <v>38</v>
      </c>
      <c r="S555" s="24">
        <v>12</v>
      </c>
      <c r="T555" s="21" t="s">
        <v>2159</v>
      </c>
    </row>
    <row r="556" spans="1:20" ht="23.25" hidden="1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>SUM(O556:Q556)</f>
        <v>97</v>
      </c>
      <c r="S556" s="22">
        <v>16</v>
      </c>
      <c r="T556" s="20" t="s">
        <v>2274</v>
      </c>
    </row>
    <row r="557" spans="1:20" ht="23.25" hidden="1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>SUM(O557:Q557)</f>
        <v>38</v>
      </c>
      <c r="S557" s="24">
        <v>12</v>
      </c>
      <c r="T557" s="21" t="s">
        <v>2159</v>
      </c>
    </row>
    <row r="558" spans="1:20" ht="23.25" hidden="1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>SUM(O558:Q558)</f>
        <v>8</v>
      </c>
      <c r="S558" s="22">
        <v>8</v>
      </c>
      <c r="T558" s="20" t="s">
        <v>472</v>
      </c>
    </row>
    <row r="559" spans="1:20" ht="23.25" hidden="1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>SUM(O559:Q559)</f>
        <v>23</v>
      </c>
      <c r="S559" s="24">
        <v>20</v>
      </c>
      <c r="T559" s="21" t="s">
        <v>74</v>
      </c>
    </row>
    <row r="560" spans="1:20" ht="23.25" hidden="1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>SUM(O560:Q560)</f>
        <v>20</v>
      </c>
      <c r="S560" s="22">
        <v>16</v>
      </c>
      <c r="T560" s="20" t="s">
        <v>2289</v>
      </c>
    </row>
    <row r="561" spans="1:20" ht="23.25" hidden="1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>SUM(O561:Q561)</f>
        <v>13</v>
      </c>
      <c r="S561" s="24">
        <v>16</v>
      </c>
      <c r="T561" s="21" t="s">
        <v>2294</v>
      </c>
    </row>
    <row r="562" spans="1:20" ht="23.25" hidden="1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>SUM(O562:Q562)</f>
        <v>250</v>
      </c>
      <c r="S562" s="22">
        <v>12</v>
      </c>
      <c r="T562" s="20" t="s">
        <v>472</v>
      </c>
    </row>
    <row r="563" spans="1:20" ht="23.25" hidden="1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>SUM(O563:Q563)</f>
        <v>32</v>
      </c>
      <c r="S563" s="24">
        <v>16</v>
      </c>
      <c r="T563" s="21" t="s">
        <v>710</v>
      </c>
    </row>
    <row r="564" spans="1:20" ht="23.25" hidden="1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>SUM(O564:Q564)</f>
        <v>41</v>
      </c>
      <c r="S564" s="22">
        <v>16</v>
      </c>
      <c r="T564" s="20" t="s">
        <v>2154</v>
      </c>
    </row>
    <row r="565" spans="1:20" ht="23.25" hidden="1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>SUM(O565:Q565)</f>
        <v>75</v>
      </c>
      <c r="S565" s="24">
        <v>2</v>
      </c>
      <c r="T565" s="21" t="s">
        <v>2310</v>
      </c>
    </row>
    <row r="566" spans="1:20" ht="23.25" hidden="1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>SUM(O566:Q566)</f>
        <v>100</v>
      </c>
      <c r="S566" s="22">
        <v>1</v>
      </c>
      <c r="T566" s="20" t="s">
        <v>2315</v>
      </c>
    </row>
    <row r="567" spans="1:20" ht="23.25" hidden="1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>SUM(O567:Q567)</f>
        <v>20</v>
      </c>
      <c r="S567" s="24">
        <v>8</v>
      </c>
      <c r="T567" s="21" t="s">
        <v>2250</v>
      </c>
    </row>
    <row r="568" spans="1:20" ht="23.25" hidden="1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>SUM(O568:Q568)</f>
        <v>40</v>
      </c>
      <c r="S568" s="22">
        <v>16</v>
      </c>
      <c r="T568" s="20" t="s">
        <v>2154</v>
      </c>
    </row>
    <row r="569" spans="1:20" ht="23.25" hidden="1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>SUM(O569:Q569)</f>
        <v>48</v>
      </c>
      <c r="S569" s="24">
        <v>12</v>
      </c>
      <c r="T569" s="21" t="s">
        <v>1055</v>
      </c>
    </row>
    <row r="570" spans="1:20" ht="23.25" hidden="1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>SUM(O570:Q570)</f>
        <v>16</v>
      </c>
      <c r="S570" s="22">
        <v>20</v>
      </c>
      <c r="T570" s="20" t="s">
        <v>1785</v>
      </c>
    </row>
    <row r="571" spans="1:20" ht="23.25" hidden="1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>SUM(O571:Q571)</f>
        <v>170</v>
      </c>
      <c r="S571" s="24">
        <v>2</v>
      </c>
      <c r="T571" s="20" t="s">
        <v>2334</v>
      </c>
    </row>
    <row r="572" spans="1:20" ht="23.25" hidden="1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>SUM(O572:Q572)</f>
        <v>80</v>
      </c>
      <c r="S572" s="22">
        <v>1</v>
      </c>
      <c r="T572" s="20"/>
    </row>
    <row r="573" spans="1:20" ht="23.25" hidden="1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>SUM(O573:Q573)</f>
        <v>176</v>
      </c>
      <c r="S573" s="24">
        <v>4</v>
      </c>
      <c r="T573" s="21" t="s">
        <v>472</v>
      </c>
    </row>
    <row r="574" spans="1:20" ht="24.75" hidden="1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>SUM(O574:Q574)</f>
        <v>0</v>
      </c>
      <c r="S574" s="22"/>
      <c r="T574" s="20" t="s">
        <v>966</v>
      </c>
    </row>
    <row r="575" spans="1:20" ht="23.25" hidden="1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>SUM(O575:Q575)</f>
        <v>44</v>
      </c>
      <c r="S575" s="24">
        <v>20</v>
      </c>
      <c r="T575" s="21" t="s">
        <v>74</v>
      </c>
    </row>
    <row r="576" spans="1:20" ht="23.25" hidden="1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>SUM(O576:Q576)</f>
        <v>41</v>
      </c>
      <c r="S576" s="22">
        <v>12</v>
      </c>
      <c r="T576" s="20" t="s">
        <v>2159</v>
      </c>
    </row>
    <row r="577" spans="1:20" ht="23.25" hidden="1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>SUM(O577:Q577)</f>
        <v>170</v>
      </c>
      <c r="S577" s="24">
        <v>2</v>
      </c>
      <c r="T577" s="21" t="s">
        <v>2357</v>
      </c>
    </row>
    <row r="578" spans="1:20" ht="23.25" hidden="1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>SUM(O578:Q578)</f>
        <v>40</v>
      </c>
      <c r="S578" s="22">
        <v>3</v>
      </c>
      <c r="T578" s="43" t="s">
        <v>2362</v>
      </c>
    </row>
    <row r="579" spans="1:20" ht="23.25" hidden="1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>SUM(O579:Q579)</f>
        <v>40</v>
      </c>
      <c r="S579" s="24">
        <v>3</v>
      </c>
      <c r="T579" s="44" t="s">
        <v>2362</v>
      </c>
    </row>
    <row r="580" spans="1:20" ht="23.25" hidden="1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>SUM(O580:Q580)</f>
        <v>18</v>
      </c>
      <c r="S580" s="22">
        <v>12</v>
      </c>
      <c r="T580" s="20" t="s">
        <v>2370</v>
      </c>
    </row>
    <row r="581" spans="1:20" ht="23.25" hidden="1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>SUM(O581:Q581)</f>
        <v>18</v>
      </c>
      <c r="S581" s="24">
        <v>12</v>
      </c>
      <c r="T581" s="21" t="s">
        <v>2102</v>
      </c>
    </row>
    <row r="582" spans="1:20" ht="23.25" hidden="1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>SUM(O582:Q582)</f>
        <v>38</v>
      </c>
      <c r="S582" s="22">
        <v>16</v>
      </c>
      <c r="T582" s="20" t="s">
        <v>966</v>
      </c>
    </row>
    <row r="583" spans="1:20" ht="23.25" hidden="1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>SUM(O583:Q583)</f>
        <v>15</v>
      </c>
      <c r="S583" s="24">
        <v>12</v>
      </c>
      <c r="T583" s="21" t="s">
        <v>1752</v>
      </c>
    </row>
    <row r="584" spans="1:20" ht="36" hidden="1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>SUM(O584:Q584)</f>
        <v>31</v>
      </c>
      <c r="S584" s="22">
        <v>12</v>
      </c>
      <c r="T584" s="20" t="s">
        <v>2159</v>
      </c>
    </row>
    <row r="585" spans="1:20" ht="23.25" hidden="1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>SUM(O585:Q585)</f>
        <v>29</v>
      </c>
      <c r="S585" s="24">
        <v>25</v>
      </c>
      <c r="T585" s="21" t="s">
        <v>69</v>
      </c>
    </row>
    <row r="586" spans="1:20" ht="23.25" hidden="1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>SUM(O586:Q586)</f>
        <v>30</v>
      </c>
      <c r="S586" s="22">
        <v>3</v>
      </c>
      <c r="T586" s="264" t="s">
        <v>2048</v>
      </c>
    </row>
    <row r="587" spans="1:20" ht="23.25" hidden="1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>SUM(O587:Q587)</f>
        <v>14</v>
      </c>
      <c r="S587" s="24">
        <v>20</v>
      </c>
      <c r="T587" s="265" t="s">
        <v>1785</v>
      </c>
    </row>
    <row r="588" spans="1:20" ht="23.25" hidden="1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>SUM(O588:Q588)</f>
        <v>27</v>
      </c>
      <c r="S588" s="22">
        <v>8</v>
      </c>
      <c r="T588" s="264" t="s">
        <v>2400</v>
      </c>
    </row>
    <row r="589" spans="1:20" ht="23.25" hidden="1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>SUM(O589:Q589)</f>
        <v>14</v>
      </c>
      <c r="S589" s="24">
        <v>8</v>
      </c>
      <c r="T589" s="265" t="s">
        <v>211</v>
      </c>
    </row>
    <row r="590" spans="1:20" ht="23.25" hidden="1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>SUM(O590:Q590)</f>
        <v>33</v>
      </c>
      <c r="S590" s="22">
        <v>15</v>
      </c>
      <c r="T590" s="20" t="s">
        <v>2409</v>
      </c>
    </row>
    <row r="591" spans="1:20" ht="23.25" hidden="1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>SUM(O591:Q591)</f>
        <v>42</v>
      </c>
      <c r="S591" s="24">
        <v>20</v>
      </c>
      <c r="T591" s="21" t="s">
        <v>418</v>
      </c>
    </row>
    <row r="592" spans="1:20" ht="23.25" hidden="1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>SUM(O592:Q592)</f>
        <v>22</v>
      </c>
      <c r="S592" s="22">
        <v>8</v>
      </c>
      <c r="T592" s="20" t="s">
        <v>2418</v>
      </c>
    </row>
    <row r="593" spans="1:20" ht="23.25" hidden="1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>SUM(O593:Q593)</f>
        <v>9</v>
      </c>
      <c r="S593" s="24">
        <v>16</v>
      </c>
      <c r="T593" s="21" t="s">
        <v>2423</v>
      </c>
    </row>
    <row r="594" spans="1:20" ht="23.25" hidden="1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>SUM(O594:Q594)</f>
        <v>20</v>
      </c>
      <c r="S594" s="22">
        <v>4</v>
      </c>
      <c r="T594" s="20" t="s">
        <v>2428</v>
      </c>
    </row>
    <row r="595" spans="1:20" ht="23.25" hidden="1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>SUM(O595:Q595)</f>
        <v>25</v>
      </c>
      <c r="S595" s="24">
        <v>5</v>
      </c>
      <c r="T595" s="21" t="s">
        <v>1023</v>
      </c>
    </row>
    <row r="596" spans="1:20" ht="23.25" hidden="1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>SUM(O596:Q596)</f>
        <v>24</v>
      </c>
      <c r="S596" s="70">
        <v>4</v>
      </c>
      <c r="T596" s="79" t="s">
        <v>2436</v>
      </c>
    </row>
    <row r="597" spans="1:20" ht="23.25" hidden="1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>SUM(O597:Q597)</f>
        <v>46</v>
      </c>
      <c r="S597" s="24">
        <v>12</v>
      </c>
      <c r="T597" s="21" t="s">
        <v>1472</v>
      </c>
    </row>
    <row r="598" spans="1:20" ht="23.25" hidden="1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>SUM(O598:Q598)</f>
        <v>37</v>
      </c>
      <c r="S598" s="70">
        <v>12</v>
      </c>
      <c r="T598" s="67" t="s">
        <v>2445</v>
      </c>
    </row>
    <row r="599" spans="1:20" ht="23.25" hidden="1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>SUM(O599:Q599)</f>
        <v>24</v>
      </c>
      <c r="S599" s="64">
        <v>20</v>
      </c>
      <c r="T599" s="106" t="s">
        <v>2450</v>
      </c>
    </row>
    <row r="600" spans="1:20" ht="23.25" hidden="1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>SUM(O600:Q600)</f>
        <v>30</v>
      </c>
      <c r="S600" s="70">
        <v>16</v>
      </c>
      <c r="T600" s="67" t="s">
        <v>2455</v>
      </c>
    </row>
    <row r="601" spans="1:20" ht="23.25" hidden="1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>SUM(O601:Q601)</f>
        <v>21</v>
      </c>
      <c r="S601" s="64">
        <v>8</v>
      </c>
      <c r="T601" s="45" t="s">
        <v>2418</v>
      </c>
    </row>
    <row r="602" spans="1:20" ht="23.25" hidden="1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>SUM(O602:Q602)</f>
        <v>27</v>
      </c>
      <c r="S602" s="22">
        <v>8</v>
      </c>
      <c r="T602" s="20" t="s">
        <v>2014</v>
      </c>
    </row>
    <row r="603" spans="1:20" ht="23.25" hidden="1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>SUM(O603:Q603)</f>
        <v>26</v>
      </c>
      <c r="S603" s="24">
        <v>36</v>
      </c>
      <c r="T603" s="21" t="s">
        <v>571</v>
      </c>
    </row>
    <row r="604" spans="1:20" ht="23.25" hidden="1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>SUM(O604:Q604)</f>
        <v>28</v>
      </c>
      <c r="S604" s="22">
        <v>40</v>
      </c>
      <c r="T604" s="20" t="s">
        <v>2471</v>
      </c>
    </row>
    <row r="605" spans="1:20" ht="23.25" hidden="1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>SUM(O605:Q605)</f>
        <v>20</v>
      </c>
      <c r="S605" s="24">
        <v>4</v>
      </c>
      <c r="T605" s="21" t="s">
        <v>2475</v>
      </c>
    </row>
    <row r="606" spans="1:20" ht="23.25" hidden="1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>SUM(O606:Q606)</f>
        <v>170</v>
      </c>
      <c r="S606" s="22">
        <v>2</v>
      </c>
      <c r="T606" s="54" t="s">
        <v>2480</v>
      </c>
    </row>
    <row r="607" spans="1:20" ht="23.25" hidden="1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>SUM(O607:Q607)</f>
        <v>170</v>
      </c>
      <c r="S607" s="24">
        <v>2</v>
      </c>
      <c r="T607" s="46" t="s">
        <v>2483</v>
      </c>
    </row>
    <row r="608" spans="1:20" ht="23.25" hidden="1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>SUM(O608:Q608)</f>
        <v>19</v>
      </c>
      <c r="S608" s="22">
        <v>20</v>
      </c>
      <c r="T608" s="20" t="s">
        <v>796</v>
      </c>
    </row>
    <row r="609" spans="1:20" ht="23.25" hidden="1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>SUM(O609:Q609)</f>
        <v>19</v>
      </c>
      <c r="S609" s="24">
        <v>12</v>
      </c>
      <c r="T609" s="21" t="s">
        <v>2492</v>
      </c>
    </row>
    <row r="610" spans="1:20" ht="23.25" hidden="1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>SUM(O610:Q610)</f>
        <v>31</v>
      </c>
      <c r="S610" s="22">
        <v>3</v>
      </c>
      <c r="T610" s="20" t="s">
        <v>2048</v>
      </c>
    </row>
    <row r="611" spans="1:20" ht="23.25" hidden="1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>SUM(O611:Q611)</f>
        <v>15</v>
      </c>
      <c r="S611" s="24">
        <v>16</v>
      </c>
      <c r="T611" s="265" t="s">
        <v>2500</v>
      </c>
    </row>
    <row r="612" spans="1:20" ht="23.25" hidden="1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>SUM(O612:Q612)</f>
        <v>100</v>
      </c>
      <c r="S612" s="22">
        <v>1.5</v>
      </c>
      <c r="T612" s="20" t="s">
        <v>2505</v>
      </c>
    </row>
    <row r="613" spans="1:20" ht="23.25" hidden="1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>SUM(O613:Q613)</f>
        <v>114</v>
      </c>
      <c r="S613" s="24">
        <v>3</v>
      </c>
      <c r="T613" s="46" t="s">
        <v>2508</v>
      </c>
    </row>
    <row r="614" spans="1:20" ht="23.25" hidden="1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>SUM(O614:Q614)</f>
        <v>491</v>
      </c>
      <c r="S614" s="22">
        <v>8</v>
      </c>
      <c r="T614" s="20" t="s">
        <v>472</v>
      </c>
    </row>
    <row r="615" spans="1:20" ht="23.25" hidden="1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>SUM(O615:Q615)</f>
        <v>27</v>
      </c>
      <c r="S615" s="24">
        <v>8</v>
      </c>
      <c r="T615" s="21" t="s">
        <v>1472</v>
      </c>
    </row>
    <row r="616" spans="1:20" ht="23.25" hidden="1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>SUM(O616:Q616)</f>
        <v>63</v>
      </c>
      <c r="S616" s="22">
        <v>16</v>
      </c>
      <c r="T616" s="104" t="s">
        <v>2455</v>
      </c>
    </row>
    <row r="617" spans="1:20" ht="23.25" hidden="1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>SUM(O617:Q617)</f>
        <v>42</v>
      </c>
      <c r="S617" s="24">
        <v>4</v>
      </c>
      <c r="T617" s="21" t="s">
        <v>2524</v>
      </c>
    </row>
    <row r="618" spans="1:20" ht="23.25" hidden="1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>SUM(O618:Q618)</f>
        <v>27</v>
      </c>
      <c r="S618" s="22">
        <v>4</v>
      </c>
      <c r="T618" s="104" t="s">
        <v>2529</v>
      </c>
    </row>
    <row r="619" spans="1:20" ht="23.25" hidden="1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>SUM(O619:Q619)</f>
        <v>40</v>
      </c>
      <c r="S619" s="24">
        <v>4</v>
      </c>
      <c r="T619" s="21" t="s">
        <v>1951</v>
      </c>
    </row>
    <row r="620" spans="1:20" ht="23.25" hidden="1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>SUM(O620:Q620)</f>
        <v>47</v>
      </c>
      <c r="S620" s="22">
        <v>12</v>
      </c>
      <c r="T620" s="20" t="s">
        <v>2102</v>
      </c>
    </row>
    <row r="621" spans="1:20" ht="23.25" hidden="1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>SUM(O621:Q621)</f>
        <v>23</v>
      </c>
      <c r="S621" s="24">
        <v>4</v>
      </c>
      <c r="T621" s="46" t="s">
        <v>2541</v>
      </c>
    </row>
    <row r="622" spans="1:20" ht="23.25" hidden="1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>SUM(O622:Q622)</f>
        <v>21</v>
      </c>
      <c r="S622" s="22">
        <v>8</v>
      </c>
      <c r="T622" s="20" t="s">
        <v>2400</v>
      </c>
    </row>
    <row r="623" spans="1:20" ht="23.25" hidden="1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>SUM(O623:Q623)</f>
        <v>26</v>
      </c>
      <c r="S623" s="24">
        <v>6</v>
      </c>
      <c r="T623" s="21" t="s">
        <v>2549</v>
      </c>
    </row>
    <row r="624" spans="1:20" ht="23.25" hidden="1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>SUM(O624:Q624)</f>
        <v>88</v>
      </c>
      <c r="S624" s="22">
        <v>3</v>
      </c>
      <c r="T624" s="43" t="s">
        <v>2362</v>
      </c>
    </row>
    <row r="625" spans="1:20" ht="23.25" hidden="1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>SUM(O625:Q625)</f>
        <v>33</v>
      </c>
      <c r="S625" s="24">
        <v>4</v>
      </c>
      <c r="T625" s="46" t="s">
        <v>2436</v>
      </c>
    </row>
    <row r="626" spans="1:20" ht="23.25" hidden="1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>SUM(O626:Q626)</f>
        <v>128</v>
      </c>
      <c r="S626" s="22">
        <v>3</v>
      </c>
      <c r="T626" s="43" t="s">
        <v>2362</v>
      </c>
    </row>
    <row r="627" spans="1:20" ht="23.25" hidden="1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>SUM(O627:Q627)</f>
        <v>80</v>
      </c>
      <c r="S627" s="24">
        <v>2</v>
      </c>
      <c r="T627" s="21"/>
    </row>
    <row r="628" spans="1:20" ht="23.25" hidden="1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>SUM(O628:Q628)</f>
        <v>23</v>
      </c>
      <c r="S628" s="22" t="s">
        <v>2566</v>
      </c>
      <c r="T628" s="20" t="s">
        <v>2567</v>
      </c>
    </row>
    <row r="629" spans="1:20" ht="23.25" hidden="1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>SUM(O629:Q629)</f>
        <v>49</v>
      </c>
      <c r="S629" s="24">
        <v>16</v>
      </c>
      <c r="T629" s="21" t="s">
        <v>2572</v>
      </c>
    </row>
    <row r="630" spans="1:20" ht="23.25" hidden="1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>SUM(O630:Q630)</f>
        <v>228</v>
      </c>
      <c r="S630" s="22">
        <v>14</v>
      </c>
      <c r="T630" s="20" t="s">
        <v>472</v>
      </c>
    </row>
    <row r="631" spans="1:20" ht="23.25" hidden="1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>SUM(O631:Q631)</f>
        <v>28</v>
      </c>
      <c r="S631" s="24">
        <v>8</v>
      </c>
      <c r="T631" s="21" t="s">
        <v>2014</v>
      </c>
    </row>
    <row r="632" spans="1:20" ht="23.25" hidden="1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>SUM(O632:Q632)</f>
        <v>16</v>
      </c>
      <c r="S632" s="22">
        <v>48</v>
      </c>
      <c r="T632" s="54" t="s">
        <v>2584</v>
      </c>
    </row>
    <row r="633" spans="1:20" ht="23.25" hidden="1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>SUM(O633:Q633)</f>
        <v>40</v>
      </c>
      <c r="S633" s="24">
        <v>12</v>
      </c>
      <c r="T633" s="21" t="s">
        <v>2445</v>
      </c>
    </row>
    <row r="634" spans="1:20" ht="23.25" hidden="1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>SUM(O634:Q634)</f>
        <v>80</v>
      </c>
      <c r="S634" s="22">
        <v>4</v>
      </c>
      <c r="T634" s="20"/>
    </row>
    <row r="635" spans="1:20" ht="23.25" hidden="1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>SUM(O635:Q635)</f>
        <v>70</v>
      </c>
      <c r="S635" s="24">
        <v>1</v>
      </c>
      <c r="T635" s="271" t="s">
        <v>2315</v>
      </c>
    </row>
    <row r="636" spans="1:20" ht="31.5" hidden="1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>SUM(O636:Q636)</f>
        <v>28</v>
      </c>
      <c r="S636" s="22">
        <v>12</v>
      </c>
      <c r="T636" s="20" t="s">
        <v>2600</v>
      </c>
    </row>
    <row r="637" spans="1:20" ht="23.25" hidden="1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>SUM(O637:Q637)</f>
        <v>30</v>
      </c>
      <c r="S637" s="24">
        <v>12</v>
      </c>
      <c r="T637" s="21" t="s">
        <v>2605</v>
      </c>
    </row>
    <row r="638" spans="1:20" ht="23.25" hidden="1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>SUM(O638:Q638)</f>
        <v>21</v>
      </c>
      <c r="S638" s="22" t="s">
        <v>2566</v>
      </c>
      <c r="T638" s="20" t="s">
        <v>2567</v>
      </c>
    </row>
    <row r="639" spans="1:20" ht="23.25" hidden="1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>SUM(O639:Q639)</f>
        <v>179</v>
      </c>
      <c r="S639" s="24">
        <v>14</v>
      </c>
      <c r="T639" s="21" t="s">
        <v>472</v>
      </c>
    </row>
    <row r="640" spans="1:20" ht="23.25" hidden="1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>SUM(O640:Q640)</f>
        <v>0</v>
      </c>
      <c r="S640" s="22">
        <v>2</v>
      </c>
      <c r="T640" s="20"/>
    </row>
    <row r="641" spans="1:20" ht="23.25" hidden="1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hidden="1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>SUM(O642:Q642)</f>
        <v>33</v>
      </c>
      <c r="S642" s="22">
        <v>20</v>
      </c>
      <c r="T642" s="20" t="s">
        <v>2159</v>
      </c>
    </row>
    <row r="643" spans="1:20" ht="23.25" hidden="1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>SUM(O643:Q643)</f>
        <v>39</v>
      </c>
      <c r="S643" s="24">
        <v>4</v>
      </c>
      <c r="T643" s="44" t="s">
        <v>2362</v>
      </c>
    </row>
    <row r="644" spans="1:20" ht="23.25" hidden="1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3" t="s">
        <v>2630</v>
      </c>
    </row>
    <row r="645" spans="1:20" ht="32.25" hidden="1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>SUM(O645:Q645)</f>
        <v>170</v>
      </c>
      <c r="S645" s="24">
        <v>2</v>
      </c>
      <c r="T645" s="46" t="s">
        <v>2605</v>
      </c>
    </row>
    <row r="646" spans="1:20" ht="23.25" hidden="1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>SUM(O646:Q646)</f>
        <v>13</v>
      </c>
      <c r="S646" s="22">
        <v>20</v>
      </c>
      <c r="T646" s="20" t="s">
        <v>796</v>
      </c>
    </row>
    <row r="647" spans="1:20" ht="23.25" hidden="1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>SUM(O647:Q647)</f>
        <v>34</v>
      </c>
      <c r="S647" s="24">
        <v>20</v>
      </c>
      <c r="T647" s="21" t="s">
        <v>2019</v>
      </c>
    </row>
    <row r="648" spans="1:20" ht="23.25" hidden="1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>SUM(O648:Q648)</f>
        <v>45</v>
      </c>
      <c r="S648" s="22">
        <v>12</v>
      </c>
      <c r="T648" s="20" t="s">
        <v>2455</v>
      </c>
    </row>
    <row r="649" spans="1:20" ht="23.25" hidden="1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>SUM(O649:Q649)</f>
        <v>72</v>
      </c>
      <c r="S649" s="24">
        <v>8</v>
      </c>
      <c r="T649" s="46" t="s">
        <v>2649</v>
      </c>
    </row>
    <row r="650" spans="1:20" ht="23.25" hidden="1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hidden="1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hidden="1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hidden="1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hidden="1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hidden="1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2684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2685</v>
      </c>
      <c r="E659" s="30" t="s">
        <v>2686</v>
      </c>
      <c r="F659" s="31" t="s">
        <v>23</v>
      </c>
      <c r="G659" s="21" t="s">
        <v>38</v>
      </c>
      <c r="H659" s="76" t="s">
        <v>2687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2688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2689</v>
      </c>
      <c r="E660" s="27" t="s">
        <v>2690</v>
      </c>
      <c r="F660" s="29" t="s">
        <v>62</v>
      </c>
      <c r="G660" s="20" t="s">
        <v>2691</v>
      </c>
      <c r="H660" s="36" t="s">
        <v>2692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2693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2694</v>
      </c>
      <c r="E661" s="30" t="s">
        <v>2695</v>
      </c>
      <c r="F661" s="31" t="s">
        <v>23</v>
      </c>
      <c r="G661" s="46" t="s">
        <v>2696</v>
      </c>
      <c r="H661" s="38" t="s">
        <v>2697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2698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2699</v>
      </c>
      <c r="E662" s="27" t="s">
        <v>2700</v>
      </c>
      <c r="F662" s="29" t="s">
        <v>62</v>
      </c>
      <c r="G662" s="20" t="s">
        <v>2691</v>
      </c>
      <c r="H662" s="165" t="s">
        <v>2701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>SUM(O662:Q662)</f>
        <v>20</v>
      </c>
      <c r="S662" s="22">
        <v>12</v>
      </c>
      <c r="T662" s="54" t="s">
        <v>2702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2703</v>
      </c>
      <c r="E663" s="30" t="s">
        <v>2704</v>
      </c>
      <c r="F663" s="31" t="s">
        <v>62</v>
      </c>
      <c r="G663" s="21" t="s">
        <v>72</v>
      </c>
      <c r="H663" s="38" t="s">
        <v>2705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>SUM(O663:Q663)</f>
        <v>19</v>
      </c>
      <c r="S663" s="24">
        <v>20</v>
      </c>
      <c r="T663" s="21" t="s">
        <v>74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2706</v>
      </c>
      <c r="E664" s="27" t="s">
        <v>2707</v>
      </c>
      <c r="F664" s="29" t="s">
        <v>23</v>
      </c>
      <c r="G664" s="54" t="s">
        <v>364</v>
      </c>
      <c r="H664" s="36" t="s">
        <v>2708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>SUM(O664:Q664)</f>
        <v>33</v>
      </c>
      <c r="S664" s="22">
        <v>20</v>
      </c>
      <c r="T664" s="54" t="s">
        <v>2709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2710</v>
      </c>
      <c r="E665" s="30" t="s">
        <v>2711</v>
      </c>
      <c r="F665" s="31" t="s">
        <v>23</v>
      </c>
      <c r="G665" s="46" t="s">
        <v>2712</v>
      </c>
      <c r="H665" s="38" t="s">
        <v>2713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>SUM(O665:Q665)</f>
        <v>20</v>
      </c>
      <c r="S665" s="24">
        <v>8</v>
      </c>
      <c r="T665" s="21" t="s">
        <v>2714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2703</v>
      </c>
      <c r="E666" s="27" t="s">
        <v>2715</v>
      </c>
      <c r="F666" s="29" t="s">
        <v>62</v>
      </c>
      <c r="G666" s="20" t="s">
        <v>72</v>
      </c>
      <c r="H666" s="36" t="s">
        <v>2716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>SUM(O666:Q666)</f>
        <v>20</v>
      </c>
      <c r="S666" s="22">
        <v>20</v>
      </c>
      <c r="T666" s="20" t="s">
        <v>74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2717</v>
      </c>
      <c r="E667" s="30" t="s">
        <v>2718</v>
      </c>
      <c r="F667" s="31" t="s">
        <v>62</v>
      </c>
      <c r="G667" s="21" t="s">
        <v>72</v>
      </c>
      <c r="H667" s="24" t="s">
        <v>2719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>SUM(O667:Q667)</f>
        <v>127</v>
      </c>
      <c r="S667" s="24">
        <v>4</v>
      </c>
      <c r="T667" s="21" t="s">
        <v>472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2720</v>
      </c>
      <c r="E668" s="27" t="s">
        <v>2721</v>
      </c>
      <c r="F668" s="29" t="s">
        <v>62</v>
      </c>
      <c r="G668" s="20" t="s">
        <v>72</v>
      </c>
      <c r="H668" s="36" t="s">
        <v>2722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>SUM(O668:Q668)</f>
        <v>192</v>
      </c>
      <c r="S668" s="22">
        <v>14</v>
      </c>
      <c r="T668" s="20" t="s">
        <v>472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2723</v>
      </c>
      <c r="E669" s="30" t="s">
        <v>2724</v>
      </c>
      <c r="F669" s="31" t="s">
        <v>62</v>
      </c>
      <c r="G669" s="167" t="s">
        <v>2691</v>
      </c>
      <c r="H669" s="168" t="s">
        <v>2725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2702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2726</v>
      </c>
      <c r="E670" s="173" t="s">
        <v>2727</v>
      </c>
      <c r="F670" s="29" t="s">
        <v>81</v>
      </c>
      <c r="G670" s="20" t="s">
        <v>2728</v>
      </c>
      <c r="H670" s="174" t="s">
        <v>2729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2710</v>
      </c>
      <c r="E671" s="30" t="s">
        <v>2730</v>
      </c>
      <c r="F671" s="31" t="s">
        <v>23</v>
      </c>
      <c r="G671" s="46" t="s">
        <v>2712</v>
      </c>
      <c r="H671" s="38" t="s">
        <v>2731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>SUM(O671:Q671)</f>
        <v>22</v>
      </c>
      <c r="S671" s="24">
        <v>8</v>
      </c>
      <c r="T671" s="21" t="s">
        <v>2732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2733</v>
      </c>
      <c r="E672" s="173" t="s">
        <v>2734</v>
      </c>
      <c r="F672" s="29" t="s">
        <v>23</v>
      </c>
      <c r="G672" s="54" t="s">
        <v>2712</v>
      </c>
      <c r="H672" s="174" t="s">
        <v>2735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>SUM(O672:Q672)</f>
        <v>1</v>
      </c>
      <c r="S672" s="172">
        <v>2</v>
      </c>
      <c r="T672" s="20" t="s">
        <v>2732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2736</v>
      </c>
      <c r="E673" s="30" t="s">
        <v>2737</v>
      </c>
      <c r="F673" s="31" t="s">
        <v>23</v>
      </c>
      <c r="G673" s="21" t="s">
        <v>199</v>
      </c>
      <c r="H673" s="59" t="s">
        <v>2738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>SUM(O673:Q673)</f>
        <v>0</v>
      </c>
      <c r="S673" s="24"/>
      <c r="T673" s="46" t="s">
        <v>2739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2740</v>
      </c>
      <c r="E674" s="27" t="s">
        <v>2626</v>
      </c>
      <c r="F674" s="29" t="s">
        <v>81</v>
      </c>
      <c r="G674" s="48" t="s">
        <v>2728</v>
      </c>
      <c r="H674" s="36" t="s">
        <v>2741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>SUM(O674:Q674)</f>
        <v>80</v>
      </c>
      <c r="S674" s="22">
        <v>4</v>
      </c>
      <c r="T674" s="43" t="s">
        <v>2742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2740</v>
      </c>
      <c r="E675" s="27" t="s">
        <v>2626</v>
      </c>
      <c r="F675" s="29" t="s">
        <v>81</v>
      </c>
      <c r="G675" s="48" t="s">
        <v>2728</v>
      </c>
      <c r="H675" s="300" t="s">
        <v>2743</v>
      </c>
      <c r="I675" s="301">
        <v>46150</v>
      </c>
      <c r="J675" s="301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>SUM(O675:Q675)</f>
        <v>80</v>
      </c>
      <c r="S675" s="22">
        <v>4</v>
      </c>
      <c r="T675" s="43" t="s">
        <v>2742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2744</v>
      </c>
      <c r="D676" s="24" t="s">
        <v>2745</v>
      </c>
      <c r="E676" s="30" t="s">
        <v>2746</v>
      </c>
      <c r="F676" s="31" t="s">
        <v>23</v>
      </c>
      <c r="G676" s="21" t="s">
        <v>2696</v>
      </c>
      <c r="H676" s="38" t="s">
        <v>2747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>SUM(O676:Q676)</f>
        <v>0</v>
      </c>
      <c r="S676" s="24">
        <v>16</v>
      </c>
      <c r="T676" s="21" t="s">
        <v>2698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2748</v>
      </c>
      <c r="E677" s="274" t="s">
        <v>2749</v>
      </c>
      <c r="F677" s="188" t="s">
        <v>23</v>
      </c>
      <c r="G677" s="194" t="s">
        <v>38</v>
      </c>
      <c r="H677" s="189" t="s">
        <v>2750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>SUM(O677:Q677)</f>
        <v>100</v>
      </c>
      <c r="S677" s="186">
        <v>8</v>
      </c>
      <c r="T677" s="167" t="s">
        <v>472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2751</v>
      </c>
      <c r="E678" s="30" t="s">
        <v>2752</v>
      </c>
      <c r="F678" s="31" t="s">
        <v>23</v>
      </c>
      <c r="G678" s="45" t="s">
        <v>24</v>
      </c>
      <c r="H678" s="189" t="s">
        <v>2753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>SUM(O678:Q678)</f>
        <v>17</v>
      </c>
      <c r="S678" s="64">
        <v>20</v>
      </c>
      <c r="T678" s="46" t="s">
        <v>2754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2755</v>
      </c>
      <c r="E679" s="275" t="s">
        <v>2756</v>
      </c>
      <c r="F679" s="29" t="s">
        <v>62</v>
      </c>
      <c r="G679" s="179" t="s">
        <v>2691</v>
      </c>
      <c r="H679" s="182" t="s">
        <v>2757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>SUM(O679:Q679)</f>
        <v>32</v>
      </c>
      <c r="S679" s="180">
        <v>12</v>
      </c>
      <c r="T679" s="67" t="s">
        <v>2693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21</v>
      </c>
      <c r="D680" s="186" t="s">
        <v>2755</v>
      </c>
      <c r="E680" s="272" t="s">
        <v>2761</v>
      </c>
      <c r="F680" s="31" t="s">
        <v>62</v>
      </c>
      <c r="G680" s="167" t="s">
        <v>2691</v>
      </c>
      <c r="H680" s="189" t="s">
        <v>2762</v>
      </c>
      <c r="I680" s="190">
        <v>46189</v>
      </c>
      <c r="J680" s="190">
        <v>46191</v>
      </c>
      <c r="K680" s="24" t="s">
        <v>35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>SUM(O680:Q680)</f>
        <v>44</v>
      </c>
      <c r="S680" s="186">
        <v>12</v>
      </c>
      <c r="T680" s="21" t="s">
        <v>2693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21</v>
      </c>
      <c r="D681" s="180" t="s">
        <v>2763</v>
      </c>
      <c r="E681" s="164" t="s">
        <v>2764</v>
      </c>
      <c r="F681" s="29" t="s">
        <v>62</v>
      </c>
      <c r="G681" s="181" t="s">
        <v>2691</v>
      </c>
      <c r="H681" s="182" t="s">
        <v>2765</v>
      </c>
      <c r="I681" s="183">
        <v>46195</v>
      </c>
      <c r="J681" s="183">
        <v>46196</v>
      </c>
      <c r="K681" s="22" t="s">
        <v>26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>SUM(O681:Q681)</f>
        <v>196</v>
      </c>
      <c r="S681" s="180">
        <v>14</v>
      </c>
      <c r="T681" s="20" t="s">
        <v>472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2758</v>
      </c>
      <c r="D682" s="70" t="s">
        <v>2745</v>
      </c>
      <c r="E682" s="65" t="s">
        <v>2759</v>
      </c>
      <c r="F682" s="29" t="s">
        <v>23</v>
      </c>
      <c r="G682" s="67" t="s">
        <v>2696</v>
      </c>
      <c r="H682" s="68" t="s">
        <v>2760</v>
      </c>
      <c r="I682" s="69">
        <v>46272</v>
      </c>
      <c r="J682" s="69">
        <v>46212</v>
      </c>
      <c r="K682" s="22" t="s">
        <v>35</v>
      </c>
      <c r="L682" s="299">
        <v>0</v>
      </c>
      <c r="M682" s="198"/>
      <c r="N682" s="73"/>
      <c r="O682" s="73"/>
      <c r="P682" s="73"/>
      <c r="Q682" s="73"/>
      <c r="R682" s="73">
        <f>SUM(O682:Q682)</f>
        <v>0</v>
      </c>
      <c r="S682" s="70">
        <v>12</v>
      </c>
      <c r="T682" s="20" t="s">
        <v>2698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2758</v>
      </c>
      <c r="D683" s="186" t="s">
        <v>2766</v>
      </c>
      <c r="E683" s="187" t="s">
        <v>2767</v>
      </c>
      <c r="F683" s="31" t="s">
        <v>62</v>
      </c>
      <c r="G683" s="21" t="s">
        <v>72</v>
      </c>
      <c r="H683" s="189" t="s">
        <v>2768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>SUM(O683:Q683)</f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2769</v>
      </c>
      <c r="D684" s="70" t="s">
        <v>2770</v>
      </c>
      <c r="E684" s="164" t="s">
        <v>2771</v>
      </c>
      <c r="F684" s="66" t="s">
        <v>81</v>
      </c>
      <c r="G684" s="67" t="s">
        <v>2728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>SUM(O684:Q684)</f>
        <v>0</v>
      </c>
      <c r="S684" s="70">
        <v>32</v>
      </c>
      <c r="T684" s="67" t="s">
        <v>2772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2758</v>
      </c>
      <c r="D685" s="209" t="s">
        <v>2773</v>
      </c>
      <c r="E685" s="210" t="s">
        <v>2774</v>
      </c>
      <c r="F685" s="211" t="s">
        <v>62</v>
      </c>
      <c r="G685" s="208" t="s">
        <v>72</v>
      </c>
      <c r="H685" s="212" t="s">
        <v>2775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0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2758</v>
      </c>
      <c r="D686" s="218" t="s">
        <v>2776</v>
      </c>
      <c r="E686" s="239" t="s">
        <v>2777</v>
      </c>
      <c r="F686" s="220" t="s">
        <v>23</v>
      </c>
      <c r="G686" s="217" t="s">
        <v>68</v>
      </c>
      <c r="H686" s="221" t="s">
        <v>2778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0"/>
        <v>0</v>
      </c>
      <c r="S686" s="218">
        <v>24</v>
      </c>
      <c r="T686" s="217" t="s">
        <v>2754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2744</v>
      </c>
      <c r="D687" s="209" t="s">
        <v>2779</v>
      </c>
      <c r="E687" s="210" t="s">
        <v>2780</v>
      </c>
      <c r="F687" s="211" t="s">
        <v>23</v>
      </c>
      <c r="G687" s="208" t="s">
        <v>68</v>
      </c>
      <c r="H687" s="212" t="s">
        <v>2781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0"/>
        <v>0</v>
      </c>
      <c r="S687" s="209">
        <v>25</v>
      </c>
      <c r="T687" t="s">
        <v>2782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21</v>
      </c>
      <c r="D688" s="218" t="s">
        <v>2783</v>
      </c>
      <c r="E688" s="239" t="s">
        <v>2784</v>
      </c>
      <c r="F688" s="220" t="s">
        <v>81</v>
      </c>
      <c r="G688" s="217" t="s">
        <v>2728</v>
      </c>
      <c r="H688" s="221" t="s">
        <v>2785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2786</v>
      </c>
      <c r="E689" s="244" t="s">
        <v>2787</v>
      </c>
      <c r="F689" s="211" t="s">
        <v>23</v>
      </c>
      <c r="G689" s="208" t="s">
        <v>2712</v>
      </c>
      <c r="H689" s="246" t="s">
        <v>2788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0"/>
        <v>22</v>
      </c>
      <c r="S689" s="209">
        <v>8</v>
      </c>
      <c r="T689" s="105" t="s">
        <v>2732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2786</v>
      </c>
      <c r="E690" s="245" t="s">
        <v>2789</v>
      </c>
      <c r="F690" s="220" t="s">
        <v>23</v>
      </c>
      <c r="G690" s="217" t="s">
        <v>2712</v>
      </c>
      <c r="H690" s="247" t="s">
        <v>2790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0"/>
        <v>24</v>
      </c>
      <c r="S690" s="218">
        <v>8</v>
      </c>
      <c r="T690" s="104" t="s">
        <v>2732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2791</v>
      </c>
      <c r="E691" s="244" t="s">
        <v>2669</v>
      </c>
      <c r="F691" s="211" t="s">
        <v>23</v>
      </c>
      <c r="G691" s="208" t="s">
        <v>38</v>
      </c>
      <c r="H691" s="212" t="s">
        <v>2792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0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2793</v>
      </c>
      <c r="E692" s="245" t="s">
        <v>2794</v>
      </c>
      <c r="F692" s="220" t="s">
        <v>23</v>
      </c>
      <c r="G692" s="217" t="s">
        <v>364</v>
      </c>
      <c r="H692" s="221" t="s">
        <v>2795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0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2796</v>
      </c>
      <c r="E693" s="244" t="s">
        <v>2797</v>
      </c>
      <c r="F693" s="211" t="s">
        <v>23</v>
      </c>
      <c r="G693" s="208" t="s">
        <v>24</v>
      </c>
      <c r="H693" s="212" t="s">
        <v>2798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0"/>
        <v>30</v>
      </c>
      <c r="S693" s="209">
        <v>12</v>
      </c>
      <c r="T693" s="208" t="s">
        <v>2799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2758</v>
      </c>
      <c r="D694" s="218" t="s">
        <v>2800</v>
      </c>
      <c r="E694" s="219" t="s">
        <v>2801</v>
      </c>
      <c r="F694" s="220" t="s">
        <v>62</v>
      </c>
      <c r="G694" s="217" t="s">
        <v>2691</v>
      </c>
      <c r="H694" s="221" t="s">
        <v>2802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0"/>
        <v>0</v>
      </c>
      <c r="S694" s="218">
        <v>85</v>
      </c>
      <c r="T694" s="217" t="s">
        <v>2693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2758</v>
      </c>
      <c r="D695" s="209" t="s">
        <v>2803</v>
      </c>
      <c r="E695" s="210" t="s">
        <v>2804</v>
      </c>
      <c r="F695" s="211" t="s">
        <v>81</v>
      </c>
      <c r="G695" s="260" t="s">
        <v>2728</v>
      </c>
      <c r="H695" s="212" t="s">
        <v>2805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0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2806</v>
      </c>
      <c r="E696" s="219" t="s">
        <v>2807</v>
      </c>
      <c r="F696" s="220" t="s">
        <v>81</v>
      </c>
      <c r="G696" s="269" t="s">
        <v>2728</v>
      </c>
      <c r="H696" s="221" t="s">
        <v>2808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0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2809</v>
      </c>
      <c r="E697" s="210" t="s">
        <v>2810</v>
      </c>
      <c r="F697" s="211" t="s">
        <v>81</v>
      </c>
      <c r="G697" s="260" t="s">
        <v>2728</v>
      </c>
      <c r="H697" s="212" t="s">
        <v>2811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0"/>
        <v>50</v>
      </c>
      <c r="S697" s="209">
        <v>3</v>
      </c>
      <c r="T697" s="208" t="s">
        <v>2812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2758</v>
      </c>
      <c r="D698" s="218" t="s">
        <v>2813</v>
      </c>
      <c r="E698" s="219" t="s">
        <v>2814</v>
      </c>
      <c r="F698" s="220" t="s">
        <v>23</v>
      </c>
      <c r="G698" s="217" t="s">
        <v>24</v>
      </c>
      <c r="H698" s="221" t="s">
        <v>2802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0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2758</v>
      </c>
      <c r="D699" s="209" t="s">
        <v>2815</v>
      </c>
      <c r="E699" s="210" t="s">
        <v>2816</v>
      </c>
      <c r="F699" s="211" t="s">
        <v>23</v>
      </c>
      <c r="G699" s="208" t="s">
        <v>68</v>
      </c>
      <c r="H699" s="212" t="s">
        <v>2817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0"/>
        <v>0</v>
      </c>
      <c r="S699" s="209">
        <v>10</v>
      </c>
      <c r="T699" s="208" t="s">
        <v>2818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2758</v>
      </c>
      <c r="D700" s="218" t="s">
        <v>2819</v>
      </c>
      <c r="E700" s="219" t="s">
        <v>2820</v>
      </c>
      <c r="F700" s="220" t="s">
        <v>62</v>
      </c>
      <c r="G700" s="217" t="s">
        <v>72</v>
      </c>
      <c r="H700" s="221" t="s">
        <v>2821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0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2758</v>
      </c>
      <c r="D701" s="209" t="s">
        <v>2822</v>
      </c>
      <c r="E701" s="210" t="s">
        <v>2823</v>
      </c>
      <c r="F701" s="211" t="s">
        <v>62</v>
      </c>
      <c r="G701" s="208" t="s">
        <v>72</v>
      </c>
      <c r="H701" s="212" t="s">
        <v>2824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0"/>
        <v>0</v>
      </c>
      <c r="S701" s="209">
        <v>8</v>
      </c>
      <c r="T701" s="208" t="s">
        <v>2825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2826</v>
      </c>
      <c r="E702" s="219" t="s">
        <v>2827</v>
      </c>
      <c r="F702" s="220" t="s">
        <v>23</v>
      </c>
      <c r="G702" s="217" t="s">
        <v>24</v>
      </c>
      <c r="H702" s="221" t="s">
        <v>2828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0"/>
        <v>20</v>
      </c>
      <c r="S702" s="218">
        <v>12</v>
      </c>
      <c r="T702" s="217" t="s">
        <v>2829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2758</v>
      </c>
      <c r="D703" s="209" t="s">
        <v>2830</v>
      </c>
      <c r="E703" s="210" t="s">
        <v>2831</v>
      </c>
      <c r="F703" s="211" t="s">
        <v>62</v>
      </c>
      <c r="G703" s="208" t="s">
        <v>72</v>
      </c>
      <c r="H703" s="212" t="s">
        <v>2802</v>
      </c>
      <c r="I703" s="212" t="s">
        <v>2832</v>
      </c>
      <c r="J703" s="212" t="s">
        <v>2833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0"/>
        <v>0</v>
      </c>
      <c r="S703" s="209">
        <v>17.45</v>
      </c>
      <c r="T703" s="208" t="s">
        <v>2834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2835</v>
      </c>
      <c r="E704" s="219" t="s">
        <v>2836</v>
      </c>
      <c r="F704" s="220" t="s">
        <v>62</v>
      </c>
      <c r="G704" s="217" t="s">
        <v>72</v>
      </c>
      <c r="H704" s="221" t="s">
        <v>2837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0"/>
        <v>2</v>
      </c>
      <c r="S704" s="218">
        <v>8</v>
      </c>
      <c r="T704" s="104" t="s">
        <v>2732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2758</v>
      </c>
      <c r="D705" s="209" t="s">
        <v>2740</v>
      </c>
      <c r="E705" s="210" t="s">
        <v>2838</v>
      </c>
      <c r="F705" s="211" t="s">
        <v>81</v>
      </c>
      <c r="G705" s="260" t="s">
        <v>2728</v>
      </c>
      <c r="H705" s="276" t="s">
        <v>2839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0"/>
        <v>0</v>
      </c>
      <c r="S705" s="209">
        <v>4</v>
      </c>
      <c r="T705" s="43" t="s">
        <v>2840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2758</v>
      </c>
      <c r="D706" s="209" t="s">
        <v>2740</v>
      </c>
      <c r="E706" s="210" t="s">
        <v>2838</v>
      </c>
      <c r="F706" s="220" t="s">
        <v>81</v>
      </c>
      <c r="G706" s="269" t="s">
        <v>2728</v>
      </c>
      <c r="H706" s="277" t="s">
        <v>2841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0"/>
        <v>0</v>
      </c>
      <c r="S706" s="218">
        <v>4</v>
      </c>
      <c r="T706" s="278" t="s">
        <v>2842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2758</v>
      </c>
      <c r="D707" s="209" t="s">
        <v>2740</v>
      </c>
      <c r="E707" s="210" t="s">
        <v>2838</v>
      </c>
      <c r="F707" s="211" t="s">
        <v>81</v>
      </c>
      <c r="G707" s="260" t="s">
        <v>2728</v>
      </c>
      <c r="H707" s="276" t="s">
        <v>2843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0"/>
        <v>0</v>
      </c>
      <c r="S707" s="209">
        <v>4</v>
      </c>
      <c r="T707" s="278" t="s">
        <v>2842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2758</v>
      </c>
      <c r="D708" s="209" t="s">
        <v>2740</v>
      </c>
      <c r="E708" s="210" t="s">
        <v>2838</v>
      </c>
      <c r="F708" s="220" t="s">
        <v>81</v>
      </c>
      <c r="G708" s="269" t="s">
        <v>2728</v>
      </c>
      <c r="H708" s="277" t="s">
        <v>2844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0"/>
        <v>0</v>
      </c>
      <c r="S708" s="218">
        <v>4</v>
      </c>
      <c r="T708" s="278" t="s">
        <v>2842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2758</v>
      </c>
      <c r="D709" s="209" t="s">
        <v>2845</v>
      </c>
      <c r="E709" s="210" t="s">
        <v>2846</v>
      </c>
      <c r="F709" s="211" t="s">
        <v>23</v>
      </c>
      <c r="G709" s="208" t="s">
        <v>2712</v>
      </c>
      <c r="H709" s="212" t="s">
        <v>2802</v>
      </c>
      <c r="I709" s="213">
        <v>46143</v>
      </c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0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2758</v>
      </c>
      <c r="D710" s="218" t="s">
        <v>2847</v>
      </c>
      <c r="E710" s="210" t="s">
        <v>2848</v>
      </c>
      <c r="F710" s="220" t="s">
        <v>62</v>
      </c>
      <c r="G710" s="217" t="s">
        <v>72</v>
      </c>
      <c r="H710" s="221" t="s">
        <v>2817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0"/>
        <v>0</v>
      </c>
      <c r="S710" s="218">
        <v>8</v>
      </c>
      <c r="T710" s="259" t="s">
        <v>2849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2758</v>
      </c>
      <c r="D711" s="209" t="s">
        <v>2740</v>
      </c>
      <c r="E711" s="210" t="s">
        <v>2838</v>
      </c>
      <c r="F711" s="211" t="s">
        <v>81</v>
      </c>
      <c r="G711" s="260" t="s">
        <v>2728</v>
      </c>
      <c r="H711" s="212" t="s">
        <v>2850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0"/>
        <v>0</v>
      </c>
      <c r="S711" s="209">
        <v>4</v>
      </c>
      <c r="T711" s="278" t="s">
        <v>2842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2758</v>
      </c>
      <c r="D712" s="218" t="s">
        <v>2740</v>
      </c>
      <c r="E712" s="210" t="s">
        <v>2838</v>
      </c>
      <c r="F712" s="220" t="s">
        <v>81</v>
      </c>
      <c r="G712" s="269" t="s">
        <v>2728</v>
      </c>
      <c r="H712" s="221" t="s">
        <v>2851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0"/>
        <v>0</v>
      </c>
      <c r="S712" s="218">
        <v>4</v>
      </c>
      <c r="T712" s="278" t="s">
        <v>2842</v>
      </c>
    </row>
    <row r="713" spans="1:21" ht="23.25" hidden="1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0"/>
        <v/>
      </c>
      <c r="S713" s="209"/>
      <c r="T713" s="208"/>
    </row>
    <row r="714" spans="1:21" ht="23.25" hidden="1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0"/>
        <v/>
      </c>
      <c r="S714" s="218"/>
      <c r="T714" s="217"/>
    </row>
    <row r="715" spans="1:21" ht="23.25" hidden="1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0"/>
        <v/>
      </c>
      <c r="S715" s="209"/>
      <c r="T715" s="208"/>
    </row>
    <row r="716" spans="1:21" ht="23.25" hidden="1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0"/>
        <v/>
      </c>
      <c r="S716" s="218"/>
      <c r="T716" s="217"/>
    </row>
    <row r="717" spans="1:21" ht="23.25" hidden="1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0"/>
        <v/>
      </c>
      <c r="S717" s="209"/>
      <c r="T717" s="208"/>
    </row>
    <row r="718" spans="1:21" ht="23.25" hidden="1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0"/>
        <v/>
      </c>
      <c r="S718" s="218"/>
      <c r="T718" s="217"/>
    </row>
    <row r="719" spans="1:21" ht="23.25" hidden="1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0"/>
        <v/>
      </c>
      <c r="S719" s="209"/>
      <c r="T719" s="208"/>
    </row>
    <row r="720" spans="1:21" ht="23.25" hidden="1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0"/>
        <v/>
      </c>
      <c r="S720" s="218"/>
      <c r="T720" s="217"/>
    </row>
    <row r="721" spans="1:20" ht="23.25" hidden="1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0"/>
        <v/>
      </c>
      <c r="S721" s="209"/>
      <c r="T721" s="208"/>
    </row>
    <row r="722" spans="1:20" ht="23.25" hidden="1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0"/>
        <v/>
      </c>
      <c r="S722" s="218"/>
      <c r="T722" s="217"/>
    </row>
    <row r="723" spans="1:20" ht="23.25" hidden="1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0"/>
        <v/>
      </c>
      <c r="S723" s="209"/>
      <c r="T723" s="208"/>
    </row>
    <row r="724" spans="1:20" ht="23.25" hidden="1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0"/>
        <v/>
      </c>
      <c r="S724" s="218"/>
      <c r="T724" s="217"/>
    </row>
    <row r="725" spans="1:20" ht="23.25" hidden="1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0"/>
        <v/>
      </c>
      <c r="S725" s="209"/>
      <c r="T725" s="208"/>
    </row>
    <row r="726" spans="1:20" ht="23.25" hidden="1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0"/>
        <v/>
      </c>
      <c r="S726" s="218"/>
      <c r="T726" s="217"/>
    </row>
    <row r="727" spans="1:20" ht="23.25" hidden="1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0"/>
        <v/>
      </c>
      <c r="S727" s="209"/>
      <c r="T727" s="208"/>
    </row>
    <row r="728" spans="1:20" ht="23.25" hidden="1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0"/>
        <v/>
      </c>
      <c r="S728" s="218"/>
      <c r="T728" s="217"/>
    </row>
    <row r="729" spans="1:20" ht="23.25" hidden="1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0"/>
        <v/>
      </c>
      <c r="S729" s="209"/>
      <c r="T729" s="208"/>
    </row>
    <row r="730" spans="1:20" ht="23.25" hidden="1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0"/>
        <v/>
      </c>
      <c r="S730" s="218"/>
      <c r="T730" s="217"/>
    </row>
    <row r="731" spans="1:20" ht="23.25" hidden="1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0"/>
        <v/>
      </c>
      <c r="S731" s="209"/>
      <c r="T731" s="208"/>
    </row>
    <row r="732" spans="1:20" ht="23.25" hidden="1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0"/>
        <v/>
      </c>
      <c r="S732" s="218"/>
      <c r="T732" s="217"/>
    </row>
    <row r="733" spans="1:20" ht="23.25" hidden="1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0"/>
        <v/>
      </c>
      <c r="S733" s="209"/>
      <c r="T733" s="208"/>
    </row>
    <row r="734" spans="1:20" ht="23.25" hidden="1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0"/>
        <v/>
      </c>
      <c r="S734" s="218"/>
      <c r="T734" s="217"/>
    </row>
    <row r="735" spans="1:20" ht="23.25" hidden="1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0"/>
        <v/>
      </c>
      <c r="S735" s="209"/>
      <c r="T735" s="208"/>
    </row>
    <row r="736" spans="1:20" ht="23.25" hidden="1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0"/>
        <v/>
      </c>
      <c r="S736" s="218"/>
      <c r="T736" s="217"/>
    </row>
    <row r="737" spans="1:20" ht="23.25" hidden="1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0"/>
        <v/>
      </c>
      <c r="S737" s="209"/>
      <c r="T737" s="208"/>
    </row>
    <row r="738" spans="1:20" ht="23.25" hidden="1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0"/>
        <v/>
      </c>
      <c r="S738" s="218"/>
      <c r="T738" s="217"/>
    </row>
    <row r="739" spans="1:20" ht="23.25" hidden="1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0"/>
        <v/>
      </c>
      <c r="S739" s="209"/>
      <c r="T739" s="208"/>
    </row>
    <row r="740" spans="1:20" ht="23.25" hidden="1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0"/>
        <v/>
      </c>
      <c r="S740" s="218"/>
      <c r="T740" s="217"/>
    </row>
    <row r="741" spans="1:20" ht="23.25" hidden="1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0"/>
        <v/>
      </c>
      <c r="S741" s="209"/>
      <c r="T741" s="208"/>
    </row>
    <row r="742" spans="1:20" ht="23.25" hidden="1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0"/>
        <v/>
      </c>
      <c r="S742" s="218"/>
      <c r="T742" s="217"/>
    </row>
    <row r="743" spans="1:20" ht="23.25" hidden="1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0"/>
        <v/>
      </c>
      <c r="S743" s="209"/>
      <c r="T743" s="208"/>
    </row>
    <row r="744" spans="1:20" ht="23.25" hidden="1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0"/>
        <v/>
      </c>
      <c r="S744" s="218"/>
      <c r="T744" s="217"/>
    </row>
    <row r="745" spans="1:20" ht="23.25" hidden="1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0"/>
        <v/>
      </c>
      <c r="S745" s="209"/>
      <c r="T745" s="208"/>
    </row>
    <row r="746" spans="1:20" ht="23.25" hidden="1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0"/>
        <v/>
      </c>
      <c r="S746" s="218"/>
      <c r="T746" s="217"/>
    </row>
    <row r="747" spans="1:20" ht="23.25" hidden="1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0"/>
        <v/>
      </c>
      <c r="S747" s="209"/>
      <c r="T747" s="208"/>
    </row>
    <row r="748" spans="1:20" ht="23.25" hidden="1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>
    <filterColumn colId="0">
      <filters>
        <filter val="2026-001"/>
        <filter val="2026-002"/>
        <filter val="2026-003"/>
        <filter val="2026-004"/>
        <filter val="2026-005"/>
        <filter val="2026-006"/>
        <filter val="2026-007"/>
        <filter val="2026-008"/>
        <filter val="2026-009"/>
        <filter val="2026-010"/>
        <filter val="2026-011"/>
        <filter val="2026-012"/>
        <filter val="2026-013"/>
        <filter val="2026-014"/>
        <filter val="2026-015"/>
        <filter val="2026-016"/>
        <filter val="2026-017"/>
        <filter val="2026-018"/>
        <filter val="2026-019"/>
        <filter val="2026-020"/>
        <filter val="2026-021"/>
        <filter val="2026-022"/>
        <filter val="2026-023"/>
        <filter val="2026-024"/>
        <filter val="2026-025"/>
        <filter val="2026-026"/>
        <filter val="2026-027"/>
        <filter val="2026-028"/>
        <filter val="2026-029"/>
        <filter val="2026-030"/>
        <filter val="2026-031"/>
        <filter val="2026-032"/>
        <filter val="2026-033"/>
        <filter val="2026-034"/>
        <filter val="2026-035"/>
        <filter val="2026-036"/>
        <filter val="2026-037"/>
        <filter val="2026-038"/>
        <filter val="2026-039"/>
        <filter val="2026-040"/>
        <filter val="2026-041"/>
        <filter val="2026-042"/>
        <filter val="2026-043"/>
        <filter val="2026-044"/>
        <filter val="2026-045"/>
        <filter val="2026-046"/>
        <filter val="2026-047"/>
        <filter val="2026-048"/>
        <filter val="2026-049"/>
        <filter val="2026-050"/>
        <filter val="2026-051"/>
        <filter val="2026-052"/>
        <filter val="2026-053"/>
        <filter val="2026-054"/>
        <filter val="2026-055"/>
        <filter val="2026-056"/>
      </filters>
    </filterColumn>
  </autoFilter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2852</v>
      </c>
      <c r="F1" s="280" t="s">
        <v>2853</v>
      </c>
    </row>
    <row r="2" spans="1:6" x14ac:dyDescent="0.25">
      <c r="F2" s="281" t="s">
        <v>2854</v>
      </c>
    </row>
    <row r="3" spans="1:6" x14ac:dyDescent="0.25">
      <c r="A3" t="s">
        <v>0</v>
      </c>
      <c r="B3" t="s">
        <v>19</v>
      </c>
      <c r="C3" t="s">
        <v>2855</v>
      </c>
      <c r="D3" t="s">
        <v>2856</v>
      </c>
      <c r="F3" s="281" t="s">
        <v>2857</v>
      </c>
    </row>
    <row r="4" spans="1:6" x14ac:dyDescent="0.25">
      <c r="A4">
        <v>1</v>
      </c>
      <c r="B4" t="s">
        <v>2858</v>
      </c>
      <c r="D4" t="s">
        <v>2859</v>
      </c>
      <c r="F4" s="281" t="s">
        <v>2860</v>
      </c>
    </row>
    <row r="5" spans="1:6" x14ac:dyDescent="0.25">
      <c r="A5">
        <v>2</v>
      </c>
      <c r="B5" t="s">
        <v>2500</v>
      </c>
      <c r="D5" t="s">
        <v>2859</v>
      </c>
      <c r="F5" s="281" t="s">
        <v>2861</v>
      </c>
    </row>
    <row r="6" spans="1:6" x14ac:dyDescent="0.25">
      <c r="A6">
        <v>3</v>
      </c>
      <c r="B6" t="s">
        <v>1023</v>
      </c>
      <c r="D6" t="s">
        <v>2859</v>
      </c>
    </row>
    <row r="7" spans="1:6" x14ac:dyDescent="0.25">
      <c r="A7">
        <v>4</v>
      </c>
      <c r="B7" t="s">
        <v>2862</v>
      </c>
      <c r="D7" t="s">
        <v>2859</v>
      </c>
      <c r="F7" s="281" t="s">
        <v>2863</v>
      </c>
    </row>
    <row r="8" spans="1:6" x14ac:dyDescent="0.25">
      <c r="A8">
        <v>5</v>
      </c>
      <c r="B8" t="s">
        <v>2864</v>
      </c>
      <c r="D8" t="s">
        <v>2859</v>
      </c>
    </row>
    <row r="9" spans="1:6" x14ac:dyDescent="0.25">
      <c r="A9">
        <v>6</v>
      </c>
      <c r="B9" t="s">
        <v>2310</v>
      </c>
      <c r="D9" t="s">
        <v>2859</v>
      </c>
    </row>
    <row r="10" spans="1:6" x14ac:dyDescent="0.25">
      <c r="A10">
        <v>7</v>
      </c>
      <c r="B10" t="s">
        <v>2409</v>
      </c>
      <c r="D10" t="s">
        <v>2859</v>
      </c>
    </row>
    <row r="11" spans="1:6" x14ac:dyDescent="0.25">
      <c r="A11">
        <v>8</v>
      </c>
      <c r="B11" t="s">
        <v>2471</v>
      </c>
      <c r="D11" t="s">
        <v>2859</v>
      </c>
    </row>
    <row r="12" spans="1:6" x14ac:dyDescent="0.25">
      <c r="A12">
        <v>10</v>
      </c>
      <c r="B12" t="s">
        <v>2714</v>
      </c>
      <c r="D12" t="s">
        <v>2859</v>
      </c>
    </row>
    <row r="13" spans="1:6" x14ac:dyDescent="0.25">
      <c r="A13">
        <v>11</v>
      </c>
      <c r="B13" t="s">
        <v>2274</v>
      </c>
      <c r="D13" t="s">
        <v>2859</v>
      </c>
    </row>
    <row r="14" spans="1:6" x14ac:dyDescent="0.25">
      <c r="A14">
        <v>12</v>
      </c>
      <c r="B14" t="s">
        <v>2370</v>
      </c>
      <c r="D14" t="s">
        <v>2859</v>
      </c>
    </row>
    <row r="15" spans="1:6" x14ac:dyDescent="0.25">
      <c r="A15">
        <v>13</v>
      </c>
      <c r="B15" t="s">
        <v>2688</v>
      </c>
      <c r="D15" t="s">
        <v>2859</v>
      </c>
    </row>
    <row r="16" spans="1:6" x14ac:dyDescent="0.25">
      <c r="A16">
        <v>14</v>
      </c>
      <c r="B16" t="s">
        <v>1902</v>
      </c>
      <c r="D16" t="s">
        <v>2859</v>
      </c>
    </row>
    <row r="17" spans="1:4" x14ac:dyDescent="0.25">
      <c r="A17">
        <v>15</v>
      </c>
      <c r="B17" t="s">
        <v>571</v>
      </c>
      <c r="D17" t="s">
        <v>2859</v>
      </c>
    </row>
    <row r="18" spans="1:4" x14ac:dyDescent="0.25">
      <c r="A18">
        <v>16</v>
      </c>
      <c r="B18" t="s">
        <v>1951</v>
      </c>
      <c r="D18" t="s">
        <v>2859</v>
      </c>
    </row>
    <row r="19" spans="1:4" x14ac:dyDescent="0.25">
      <c r="A19">
        <v>17</v>
      </c>
      <c r="B19" t="s">
        <v>1785</v>
      </c>
      <c r="D19" t="s">
        <v>2859</v>
      </c>
    </row>
    <row r="20" spans="1:4" x14ac:dyDescent="0.25">
      <c r="A20">
        <v>18</v>
      </c>
      <c r="B20" t="s">
        <v>2115</v>
      </c>
      <c r="D20" t="s">
        <v>2859</v>
      </c>
    </row>
    <row r="21" spans="1:4" x14ac:dyDescent="0.25">
      <c r="A21">
        <v>19</v>
      </c>
      <c r="B21" t="s">
        <v>1343</v>
      </c>
      <c r="D21" t="s">
        <v>2859</v>
      </c>
    </row>
    <row r="22" spans="1:4" x14ac:dyDescent="0.25">
      <c r="A22">
        <v>20</v>
      </c>
      <c r="B22" t="s">
        <v>2255</v>
      </c>
      <c r="D22" t="s">
        <v>2859</v>
      </c>
    </row>
    <row r="23" spans="1:4" x14ac:dyDescent="0.25">
      <c r="A23">
        <v>21</v>
      </c>
      <c r="B23" t="s">
        <v>2865</v>
      </c>
      <c r="D23" t="s">
        <v>2859</v>
      </c>
    </row>
    <row r="24" spans="1:4" x14ac:dyDescent="0.25">
      <c r="A24">
        <v>22</v>
      </c>
      <c r="B24" t="s">
        <v>584</v>
      </c>
      <c r="D24" t="s">
        <v>2859</v>
      </c>
    </row>
    <row r="25" spans="1:4" x14ac:dyDescent="0.25">
      <c r="A25">
        <v>23</v>
      </c>
      <c r="B25" t="s">
        <v>2866</v>
      </c>
      <c r="D25" t="s">
        <v>2859</v>
      </c>
    </row>
    <row r="26" spans="1:4" x14ac:dyDescent="0.25">
      <c r="A26">
        <v>24</v>
      </c>
      <c r="B26" t="s">
        <v>2867</v>
      </c>
      <c r="D26" t="s">
        <v>2859</v>
      </c>
    </row>
    <row r="27" spans="1:4" x14ac:dyDescent="0.25">
      <c r="A27">
        <v>25</v>
      </c>
      <c r="B27" t="s">
        <v>472</v>
      </c>
      <c r="D27" t="s">
        <v>2859</v>
      </c>
    </row>
    <row r="28" spans="1:4" x14ac:dyDescent="0.25">
      <c r="A28">
        <v>26</v>
      </c>
      <c r="B28" t="s">
        <v>69</v>
      </c>
      <c r="D28" t="s">
        <v>2859</v>
      </c>
    </row>
    <row r="29" spans="1:4" x14ac:dyDescent="0.25">
      <c r="A29">
        <v>27</v>
      </c>
      <c r="B29" t="s">
        <v>2868</v>
      </c>
      <c r="D29" t="s">
        <v>2859</v>
      </c>
    </row>
    <row r="30" spans="1:4" x14ac:dyDescent="0.25">
      <c r="A30">
        <v>28</v>
      </c>
      <c r="B30" t="s">
        <v>2102</v>
      </c>
      <c r="D30" t="s">
        <v>2859</v>
      </c>
    </row>
    <row r="31" spans="1:4" x14ac:dyDescent="0.25">
      <c r="A31">
        <v>29</v>
      </c>
      <c r="B31" t="s">
        <v>2250</v>
      </c>
      <c r="D31" t="s">
        <v>2859</v>
      </c>
    </row>
    <row r="32" spans="1:4" x14ac:dyDescent="0.25">
      <c r="A32">
        <v>30</v>
      </c>
      <c r="B32" t="s">
        <v>2505</v>
      </c>
      <c r="D32" t="s">
        <v>2859</v>
      </c>
    </row>
    <row r="33" spans="1:4" x14ac:dyDescent="0.25">
      <c r="A33">
        <v>31</v>
      </c>
      <c r="B33" t="s">
        <v>2869</v>
      </c>
      <c r="D33" t="s">
        <v>2859</v>
      </c>
    </row>
    <row r="34" spans="1:4" x14ac:dyDescent="0.25">
      <c r="A34">
        <v>32</v>
      </c>
      <c r="B34" t="s">
        <v>2870</v>
      </c>
      <c r="D34" t="s">
        <v>2859</v>
      </c>
    </row>
    <row r="35" spans="1:4" x14ac:dyDescent="0.25">
      <c r="A35">
        <v>33</v>
      </c>
      <c r="B35" t="s">
        <v>1367</v>
      </c>
      <c r="D35" t="s">
        <v>2859</v>
      </c>
    </row>
    <row r="36" spans="1:4" x14ac:dyDescent="0.25">
      <c r="A36">
        <v>34</v>
      </c>
      <c r="B36" t="s">
        <v>1472</v>
      </c>
      <c r="D36" t="s">
        <v>2859</v>
      </c>
    </row>
    <row r="37" spans="1:4" x14ac:dyDescent="0.25">
      <c r="A37">
        <v>35</v>
      </c>
      <c r="B37" t="s">
        <v>549</v>
      </c>
      <c r="D37" t="s">
        <v>2859</v>
      </c>
    </row>
    <row r="38" spans="1:4" x14ac:dyDescent="0.25">
      <c r="A38">
        <v>36</v>
      </c>
      <c r="B38" t="s">
        <v>2871</v>
      </c>
      <c r="D38" t="s">
        <v>2859</v>
      </c>
    </row>
    <row r="39" spans="1:4" x14ac:dyDescent="0.25">
      <c r="A39">
        <v>37</v>
      </c>
      <c r="B39" t="s">
        <v>2147</v>
      </c>
      <c r="D39" t="s">
        <v>2859</v>
      </c>
    </row>
    <row r="40" spans="1:4" x14ac:dyDescent="0.25">
      <c r="A40">
        <v>38</v>
      </c>
      <c r="B40" t="s">
        <v>2872</v>
      </c>
      <c r="D40" t="s">
        <v>2859</v>
      </c>
    </row>
    <row r="41" spans="1:4" x14ac:dyDescent="0.25">
      <c r="A41">
        <v>39</v>
      </c>
      <c r="B41" t="s">
        <v>2572</v>
      </c>
      <c r="D41" t="s">
        <v>2859</v>
      </c>
    </row>
    <row r="42" spans="1:4" x14ac:dyDescent="0.25">
      <c r="A42">
        <v>40</v>
      </c>
      <c r="B42" t="s">
        <v>2873</v>
      </c>
      <c r="D42" t="s">
        <v>2859</v>
      </c>
    </row>
    <row r="43" spans="1:4" x14ac:dyDescent="0.25">
      <c r="A43">
        <v>41</v>
      </c>
      <c r="B43" t="s">
        <v>855</v>
      </c>
      <c r="D43" t="s">
        <v>2859</v>
      </c>
    </row>
    <row r="44" spans="1:4" x14ac:dyDescent="0.25">
      <c r="A44">
        <v>42</v>
      </c>
      <c r="B44" t="s">
        <v>710</v>
      </c>
      <c r="D44" t="s">
        <v>2859</v>
      </c>
    </row>
    <row r="45" spans="1:4" x14ac:dyDescent="0.25">
      <c r="A45">
        <v>43</v>
      </c>
      <c r="B45" t="s">
        <v>2874</v>
      </c>
      <c r="D45" t="s">
        <v>2859</v>
      </c>
    </row>
    <row r="46" spans="1:4" x14ac:dyDescent="0.25">
      <c r="A46">
        <v>44</v>
      </c>
      <c r="B46" t="s">
        <v>2154</v>
      </c>
      <c r="D46" t="s">
        <v>2859</v>
      </c>
    </row>
    <row r="47" spans="1:4" x14ac:dyDescent="0.25">
      <c r="A47">
        <v>45</v>
      </c>
      <c r="B47" t="s">
        <v>211</v>
      </c>
      <c r="D47" t="s">
        <v>2859</v>
      </c>
    </row>
    <row r="48" spans="1:4" x14ac:dyDescent="0.25">
      <c r="A48">
        <v>46</v>
      </c>
      <c r="B48" t="s">
        <v>966</v>
      </c>
      <c r="D48" t="s">
        <v>2859</v>
      </c>
    </row>
    <row r="49" spans="1:4" x14ac:dyDescent="0.25">
      <c r="A49">
        <v>47</v>
      </c>
      <c r="B49" t="s">
        <v>1400</v>
      </c>
      <c r="D49" t="s">
        <v>2859</v>
      </c>
    </row>
    <row r="50" spans="1:4" x14ac:dyDescent="0.25">
      <c r="A50">
        <v>48</v>
      </c>
      <c r="B50" t="s">
        <v>2875</v>
      </c>
      <c r="D50" t="s">
        <v>2859</v>
      </c>
    </row>
    <row r="51" spans="1:4" x14ac:dyDescent="0.25">
      <c r="A51">
        <v>49</v>
      </c>
      <c r="B51" t="s">
        <v>2772</v>
      </c>
      <c r="D51" t="s">
        <v>2859</v>
      </c>
    </row>
    <row r="52" spans="1:4" x14ac:dyDescent="0.25">
      <c r="A52">
        <v>50</v>
      </c>
      <c r="B52" t="s">
        <v>2876</v>
      </c>
      <c r="D52" t="s">
        <v>2859</v>
      </c>
    </row>
    <row r="53" spans="1:4" x14ac:dyDescent="0.25">
      <c r="A53">
        <v>51</v>
      </c>
      <c r="B53" t="s">
        <v>1055</v>
      </c>
      <c r="D53" t="s">
        <v>2859</v>
      </c>
    </row>
    <row r="54" spans="1:4" x14ac:dyDescent="0.25">
      <c r="A54">
        <v>52</v>
      </c>
      <c r="B54" t="s">
        <v>1752</v>
      </c>
      <c r="D54" t="s">
        <v>2859</v>
      </c>
    </row>
    <row r="55" spans="1:4" x14ac:dyDescent="0.25">
      <c r="A55">
        <v>53</v>
      </c>
      <c r="B55" t="s">
        <v>2877</v>
      </c>
      <c r="D55" t="s">
        <v>2859</v>
      </c>
    </row>
    <row r="56" spans="1:4" x14ac:dyDescent="0.25">
      <c r="A56">
        <v>54</v>
      </c>
      <c r="B56" t="s">
        <v>74</v>
      </c>
      <c r="D56" t="s">
        <v>2859</v>
      </c>
    </row>
    <row r="57" spans="1:4" x14ac:dyDescent="0.25">
      <c r="A57">
        <v>55</v>
      </c>
      <c r="B57" t="s">
        <v>1096</v>
      </c>
      <c r="D57" t="s">
        <v>2859</v>
      </c>
    </row>
    <row r="58" spans="1:4" x14ac:dyDescent="0.25">
      <c r="A58">
        <v>56</v>
      </c>
      <c r="B58" t="s">
        <v>2048</v>
      </c>
      <c r="D58" t="s">
        <v>2859</v>
      </c>
    </row>
    <row r="59" spans="1:4" x14ac:dyDescent="0.25">
      <c r="A59">
        <v>57</v>
      </c>
      <c r="B59" t="s">
        <v>2878</v>
      </c>
      <c r="D59" t="s">
        <v>2859</v>
      </c>
    </row>
    <row r="60" spans="1:4" x14ac:dyDescent="0.25">
      <c r="A60">
        <v>58</v>
      </c>
      <c r="B60" t="s">
        <v>1873</v>
      </c>
      <c r="D60" t="s">
        <v>2859</v>
      </c>
    </row>
    <row r="61" spans="1:4" x14ac:dyDescent="0.25">
      <c r="A61">
        <v>59</v>
      </c>
      <c r="B61" t="s">
        <v>2082</v>
      </c>
      <c r="D61" t="s">
        <v>2859</v>
      </c>
    </row>
    <row r="62" spans="1:4" x14ac:dyDescent="0.25">
      <c r="A62">
        <v>60</v>
      </c>
      <c r="B62" t="s">
        <v>2014</v>
      </c>
      <c r="D62" t="s">
        <v>2859</v>
      </c>
    </row>
    <row r="63" spans="1:4" x14ac:dyDescent="0.25">
      <c r="A63">
        <v>61</v>
      </c>
      <c r="B63" t="s">
        <v>2879</v>
      </c>
      <c r="D63" t="s">
        <v>2859</v>
      </c>
    </row>
    <row r="64" spans="1:4" x14ac:dyDescent="0.25">
      <c r="A64">
        <v>62</v>
      </c>
      <c r="B64" t="s">
        <v>2880</v>
      </c>
      <c r="D64" t="s">
        <v>2859</v>
      </c>
    </row>
    <row r="65" spans="1:4" x14ac:dyDescent="0.25">
      <c r="A65">
        <v>63</v>
      </c>
      <c r="B65" t="s">
        <v>2881</v>
      </c>
      <c r="D65" t="s">
        <v>2859</v>
      </c>
    </row>
    <row r="66" spans="1:4" x14ac:dyDescent="0.25">
      <c r="A66">
        <v>64</v>
      </c>
      <c r="B66" t="s">
        <v>2882</v>
      </c>
      <c r="D66" t="s">
        <v>2859</v>
      </c>
    </row>
    <row r="67" spans="1:4" x14ac:dyDescent="0.25">
      <c r="A67">
        <v>65</v>
      </c>
      <c r="B67" t="s">
        <v>2698</v>
      </c>
      <c r="D67" t="s">
        <v>2859</v>
      </c>
    </row>
    <row r="68" spans="1:4" x14ac:dyDescent="0.25">
      <c r="A68">
        <v>66</v>
      </c>
      <c r="B68" t="s">
        <v>2549</v>
      </c>
      <c r="D68" t="s">
        <v>2859</v>
      </c>
    </row>
    <row r="69" spans="1:4" x14ac:dyDescent="0.25">
      <c r="A69">
        <v>67</v>
      </c>
      <c r="B69" t="s">
        <v>2883</v>
      </c>
      <c r="D69" t="s">
        <v>2859</v>
      </c>
    </row>
    <row r="70" spans="1:4" x14ac:dyDescent="0.25">
      <c r="A70">
        <v>68</v>
      </c>
      <c r="B70" t="s">
        <v>2884</v>
      </c>
      <c r="D70" t="s">
        <v>2859</v>
      </c>
    </row>
    <row r="71" spans="1:4" x14ac:dyDescent="0.25">
      <c r="A71">
        <v>69</v>
      </c>
      <c r="B71" t="s">
        <v>2450</v>
      </c>
      <c r="D71" t="s">
        <v>2859</v>
      </c>
    </row>
    <row r="72" spans="1:4" x14ac:dyDescent="0.25">
      <c r="A72">
        <v>70</v>
      </c>
      <c r="B72" t="s">
        <v>2885</v>
      </c>
      <c r="D72" t="s">
        <v>2859</v>
      </c>
    </row>
    <row r="73" spans="1:4" x14ac:dyDescent="0.25">
      <c r="A73">
        <v>71</v>
      </c>
      <c r="B73" t="s">
        <v>2659</v>
      </c>
      <c r="D73" t="s">
        <v>2859</v>
      </c>
    </row>
    <row r="74" spans="1:4" x14ac:dyDescent="0.25">
      <c r="A74">
        <v>72</v>
      </c>
      <c r="B74" t="s">
        <v>2315</v>
      </c>
      <c r="D74" t="s">
        <v>2859</v>
      </c>
    </row>
    <row r="75" spans="1:4" x14ac:dyDescent="0.25">
      <c r="A75">
        <v>73</v>
      </c>
      <c r="B75" t="s">
        <v>2294</v>
      </c>
      <c r="D75" t="s">
        <v>2859</v>
      </c>
    </row>
    <row r="76" spans="1:4" x14ac:dyDescent="0.25">
      <c r="A76">
        <v>74</v>
      </c>
      <c r="B76" t="s">
        <v>2886</v>
      </c>
      <c r="D76" t="s">
        <v>2859</v>
      </c>
    </row>
    <row r="77" spans="1:4" x14ac:dyDescent="0.25">
      <c r="A77">
        <v>75</v>
      </c>
      <c r="B77" t="s">
        <v>108</v>
      </c>
      <c r="D77" t="s">
        <v>2859</v>
      </c>
    </row>
    <row r="78" spans="1:4" x14ac:dyDescent="0.25">
      <c r="A78">
        <v>76</v>
      </c>
      <c r="B78" t="s">
        <v>935</v>
      </c>
      <c r="D78" t="s">
        <v>2859</v>
      </c>
    </row>
    <row r="79" spans="1:4" x14ac:dyDescent="0.25">
      <c r="A79">
        <v>77</v>
      </c>
      <c r="B79" t="s">
        <v>796</v>
      </c>
      <c r="D79" t="s">
        <v>2859</v>
      </c>
    </row>
    <row r="80" spans="1:4" x14ac:dyDescent="0.25">
      <c r="A80">
        <v>78</v>
      </c>
      <c r="B80" t="s">
        <v>418</v>
      </c>
      <c r="D80" t="s">
        <v>2859</v>
      </c>
    </row>
    <row r="81" spans="1:4" x14ac:dyDescent="0.25">
      <c r="A81">
        <v>79</v>
      </c>
      <c r="B81" t="s">
        <v>2887</v>
      </c>
      <c r="D81" t="s">
        <v>2859</v>
      </c>
    </row>
    <row r="82" spans="1:4" x14ac:dyDescent="0.25">
      <c r="A82">
        <v>80</v>
      </c>
      <c r="B82" t="s">
        <v>2888</v>
      </c>
      <c r="D82" t="s">
        <v>2859</v>
      </c>
    </row>
    <row r="83" spans="1:4" x14ac:dyDescent="0.25">
      <c r="A83">
        <v>81</v>
      </c>
      <c r="B83" t="s">
        <v>2889</v>
      </c>
      <c r="D83" t="s">
        <v>2859</v>
      </c>
    </row>
    <row r="84" spans="1:4" x14ac:dyDescent="0.25">
      <c r="A84">
        <v>82</v>
      </c>
      <c r="B84" t="s">
        <v>2890</v>
      </c>
      <c r="D84" t="s">
        <v>2859</v>
      </c>
    </row>
    <row r="85" spans="1:4" x14ac:dyDescent="0.25">
      <c r="A85">
        <v>83</v>
      </c>
      <c r="B85" t="s">
        <v>2475</v>
      </c>
      <c r="D85" t="s">
        <v>2859</v>
      </c>
    </row>
    <row r="86" spans="1:4" x14ac:dyDescent="0.25">
      <c r="A86">
        <v>84</v>
      </c>
      <c r="B86" t="s">
        <v>2891</v>
      </c>
      <c r="D86" t="s">
        <v>2859</v>
      </c>
    </row>
    <row r="87" spans="1:4" x14ac:dyDescent="0.25">
      <c r="A87">
        <v>85</v>
      </c>
      <c r="B87" t="s">
        <v>2567</v>
      </c>
      <c r="D87" t="s">
        <v>2859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2892</v>
      </c>
      <c r="C1" s="96" t="s">
        <v>2893</v>
      </c>
      <c r="D1" s="96" t="s">
        <v>4</v>
      </c>
      <c r="E1" s="96" t="s">
        <v>2894</v>
      </c>
      <c r="F1" s="96" t="s">
        <v>19</v>
      </c>
      <c r="G1" s="96" t="s">
        <v>2895</v>
      </c>
      <c r="H1" s="96" t="s">
        <v>2896</v>
      </c>
      <c r="I1" s="96" t="s">
        <v>2897</v>
      </c>
      <c r="J1" s="96" t="s">
        <v>2898</v>
      </c>
      <c r="L1" s="129" t="s">
        <v>2899</v>
      </c>
      <c r="M1" s="100">
        <v>2026</v>
      </c>
      <c r="U1" s="162" t="s">
        <v>2900</v>
      </c>
      <c r="V1" s="161"/>
      <c r="X1" s="159" t="s">
        <v>2901</v>
      </c>
      <c r="Y1" s="107"/>
      <c r="Z1" s="107"/>
      <c r="AA1" s="107"/>
      <c r="AC1" s="253" t="s">
        <v>2902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2903</v>
      </c>
      <c r="M2" s="283" t="s">
        <v>2904</v>
      </c>
      <c r="X2" s="160" t="s">
        <v>2892</v>
      </c>
      <c r="Y2" s="160" t="s">
        <v>19</v>
      </c>
      <c r="Z2" s="160" t="s">
        <v>2905</v>
      </c>
      <c r="AA2" s="160" t="s">
        <v>2906</v>
      </c>
      <c r="AC2" s="254" t="s">
        <v>1</v>
      </c>
      <c r="AD2" s="254" t="s">
        <v>2907</v>
      </c>
      <c r="AE2" s="254" t="s">
        <v>2908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2909</v>
      </c>
      <c r="M3" s="19" t="s">
        <v>2910</v>
      </c>
      <c r="N3" s="19" t="s">
        <v>2911</v>
      </c>
      <c r="O3" s="19" t="s">
        <v>2912</v>
      </c>
      <c r="P3" s="19" t="s">
        <v>2913</v>
      </c>
      <c r="Q3" s="19" t="s">
        <v>2914</v>
      </c>
      <c r="R3" s="19" t="s">
        <v>2915</v>
      </c>
      <c r="S3" s="19" t="s">
        <v>2916</v>
      </c>
      <c r="T3" s="19" t="s">
        <v>2917</v>
      </c>
      <c r="X3" t="s">
        <v>2918</v>
      </c>
      <c r="Y3" t="s">
        <v>2698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2919</v>
      </c>
      <c r="Y4" t="s">
        <v>2698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2920</v>
      </c>
      <c r="Y5" t="s">
        <v>2714</v>
      </c>
      <c r="Z5">
        <v>1</v>
      </c>
      <c r="AA5">
        <v>0.6</v>
      </c>
      <c r="AC5" s="248">
        <v>2026</v>
      </c>
      <c r="AD5" s="95" t="s">
        <v>2921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2920</v>
      </c>
      <c r="Y6" t="s">
        <v>2872</v>
      </c>
      <c r="Z6">
        <v>1</v>
      </c>
      <c r="AA6">
        <v>0</v>
      </c>
      <c r="AC6" s="248">
        <v>2026</v>
      </c>
      <c r="AD6" s="95" t="s">
        <v>2922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2923</v>
      </c>
      <c r="Y7" t="s">
        <v>2698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2924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2924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2924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2924</v>
      </c>
      <c r="Y11" s="95" t="s">
        <v>2866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2924</v>
      </c>
      <c r="Y12" s="95" t="s">
        <v>2925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2926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2926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2926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2926</v>
      </c>
      <c r="Y16" s="95" t="s">
        <v>2866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2926</v>
      </c>
      <c r="Y17" s="95" t="s">
        <v>2925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2927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2927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2927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2927</v>
      </c>
      <c r="Y21" s="95" t="s">
        <v>2866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2927</v>
      </c>
      <c r="Y22" s="95" t="s">
        <v>2925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A realizar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2928</v>
      </c>
      <c r="Y23" s="95" t="s">
        <v>2714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2928</v>
      </c>
      <c r="Y24" s="95" t="s">
        <v>2872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2929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2929</v>
      </c>
      <c r="Y26" s="95" t="s">
        <v>2877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2930</v>
      </c>
      <c r="Y27" s="95" t="s">
        <v>2714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2930</v>
      </c>
      <c r="Y28" s="95" t="s">
        <v>2872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2931</v>
      </c>
      <c r="Y29" s="95" t="s">
        <v>2714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2931</v>
      </c>
      <c r="Y30" s="95" t="s">
        <v>2872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2932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2933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2933</v>
      </c>
      <c r="Y33" t="s">
        <v>2885</v>
      </c>
      <c r="Z33">
        <v>4</v>
      </c>
      <c r="AA33">
        <v>0.6</v>
      </c>
      <c r="AC33" s="250"/>
      <c r="AD33" s="251" t="s">
        <v>2934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2933</v>
      </c>
      <c r="Y34" t="s">
        <v>2886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2933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2933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2935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2935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2936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2937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2938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A realizar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2938</v>
      </c>
      <c r="Y42" t="s">
        <v>2849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2939</v>
      </c>
      <c r="Y43" s="95" t="s">
        <v>2714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2939</v>
      </c>
      <c r="Y44" s="95" t="s">
        <v>2872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2940</v>
      </c>
      <c r="Y45" t="s">
        <v>2941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2940</v>
      </c>
      <c r="Y46" t="s">
        <v>2942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2940</v>
      </c>
      <c r="Y47" t="s">
        <v>2943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2940</v>
      </c>
      <c r="Y48" t="s">
        <v>2944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2940</v>
      </c>
      <c r="Y49" t="s">
        <v>2945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2940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2940</v>
      </c>
      <c r="Y51" t="s">
        <v>2946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2940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2940</v>
      </c>
      <c r="Y53" t="s">
        <v>2947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2940</v>
      </c>
      <c r="Y54" t="s">
        <v>2948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6" t="s">
        <v>2949</v>
      </c>
      <c r="B1" s="286"/>
      <c r="C1" s="286"/>
      <c r="D1" s="286"/>
      <c r="E1" s="286"/>
      <c r="F1" s="286"/>
      <c r="G1" s="286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7" t="s">
        <v>2950</v>
      </c>
      <c r="B4" s="288"/>
      <c r="D4" s="289" t="s">
        <v>2951</v>
      </c>
      <c r="E4" s="290"/>
      <c r="G4" s="125" t="s">
        <v>2952</v>
      </c>
    </row>
    <row r="5" spans="1:7" ht="54.95" customHeight="1" thickBot="1" x14ac:dyDescent="0.75">
      <c r="A5" s="115">
        <f>COUNTIF('Ações InCompany'!B:B,2026)</f>
        <v>56</v>
      </c>
      <c r="B5" s="116" t="s">
        <v>2953</v>
      </c>
      <c r="D5" s="123">
        <f>COUNTIFS('Ações InCompany'!B:B,2026,'Ações InCompany'!C:C,"Realizado")</f>
        <v>34</v>
      </c>
      <c r="E5" s="124" t="s">
        <v>2953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4" t="s">
        <v>2954</v>
      </c>
      <c r="B8" s="284"/>
      <c r="D8" s="284" t="s">
        <v>2955</v>
      </c>
      <c r="E8" s="284"/>
    </row>
    <row r="9" spans="1:7" ht="5.0999999999999996" customHeight="1" x14ac:dyDescent="0.25">
      <c r="A9" s="285"/>
      <c r="B9" s="285"/>
      <c r="D9" s="285"/>
      <c r="E9" s="285"/>
    </row>
    <row r="10" spans="1:7" ht="24.95" customHeight="1" x14ac:dyDescent="0.25">
      <c r="A10" s="108" t="s">
        <v>5</v>
      </c>
      <c r="B10" s="108" t="s">
        <v>2956</v>
      </c>
      <c r="D10" s="108" t="s">
        <v>2957</v>
      </c>
      <c r="E10" s="108" t="s">
        <v>2958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2959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2960</v>
      </c>
      <c r="E12" s="112">
        <f>SUMIFS('Ações InCompany'!P:P,'Ações InCompany'!B:B,2026,'Ações InCompany'!C:C,"Realizado")</f>
        <v>603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6</v>
      </c>
      <c r="D13" s="109" t="s">
        <v>2961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2962</v>
      </c>
      <c r="B14" s="114">
        <f>SUM(B11:B13)</f>
        <v>34</v>
      </c>
      <c r="D14" s="113" t="s">
        <v>2963</v>
      </c>
      <c r="E14" s="114">
        <f>SUM(E11:E13)</f>
        <v>1518</v>
      </c>
    </row>
    <row r="30" spans="1:5" ht="17.25" x14ac:dyDescent="0.3">
      <c r="A30" s="284" t="s">
        <v>2964</v>
      </c>
      <c r="B30" s="284"/>
      <c r="C30" s="284"/>
      <c r="D30" s="284"/>
      <c r="E30" s="284"/>
    </row>
    <row r="31" spans="1:5" ht="5.0999999999999996" customHeight="1" x14ac:dyDescent="0.25">
      <c r="A31" s="285"/>
      <c r="B31" s="285"/>
      <c r="C31" s="285"/>
      <c r="D31" s="285"/>
      <c r="E31" s="285"/>
    </row>
    <row r="32" spans="1:5" ht="24.95" customHeight="1" x14ac:dyDescent="0.25">
      <c r="A32" s="108" t="s">
        <v>6</v>
      </c>
      <c r="B32" s="108" t="s">
        <v>2965</v>
      </c>
      <c r="C32" s="108" t="s">
        <v>2966</v>
      </c>
      <c r="D32" s="108" t="s">
        <v>2967</v>
      </c>
      <c r="E32" s="108" t="s">
        <v>2968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0.22641509433962265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5.6603773584905662E-2</v>
      </c>
    </row>
    <row r="35" spans="1:5" ht="24" customHeight="1" x14ac:dyDescent="0.25">
      <c r="A35" s="109" t="s">
        <v>2712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0.11320754716981132</v>
      </c>
    </row>
    <row r="36" spans="1:5" ht="24" customHeight="1" x14ac:dyDescent="0.25">
      <c r="A36" s="111" t="s">
        <v>2696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3.7735849056603772E-2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3.7735849056603772E-2</v>
      </c>
    </row>
    <row r="38" spans="1:5" ht="24" customHeight="1" x14ac:dyDescent="0.25">
      <c r="A38" s="111" t="s">
        <v>2728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0.24528301886792453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7.5471698113207544E-2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3.7735849056603772E-2</v>
      </c>
    </row>
    <row r="41" spans="1:5" ht="24" customHeight="1" x14ac:dyDescent="0.25">
      <c r="A41" s="155" t="s">
        <v>2691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0.13207547169811321</v>
      </c>
    </row>
    <row r="42" spans="1:5" ht="24" customHeight="1" x14ac:dyDescent="0.25">
      <c r="A42" s="156" t="s">
        <v>2969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3.7735849056603772E-2</v>
      </c>
    </row>
    <row r="44" spans="1:5" ht="24" customHeight="1" x14ac:dyDescent="0.25">
      <c r="A44" s="148" t="s">
        <v>2970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2962</v>
      </c>
      <c r="B45" s="121">
        <f>SUM(B33:B44)</f>
        <v>34</v>
      </c>
      <c r="C45" s="121">
        <f>SUM(C33:C44)</f>
        <v>19</v>
      </c>
      <c r="D45" s="121">
        <f>SUM(D33:D44)</f>
        <v>53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2976</v>
      </c>
      <c r="B2" s="12" t="s">
        <v>2977</v>
      </c>
      <c r="C2" s="12" t="s">
        <v>1729</v>
      </c>
      <c r="D2" s="12" t="s">
        <v>2978</v>
      </c>
      <c r="E2" s="12" t="s">
        <v>2979</v>
      </c>
    </row>
    <row r="3" spans="1:5" ht="18" customHeight="1" x14ac:dyDescent="0.25">
      <c r="A3" s="12" t="s">
        <v>2976</v>
      </c>
      <c r="B3" s="12" t="s">
        <v>2977</v>
      </c>
      <c r="C3" s="14" t="s">
        <v>24</v>
      </c>
      <c r="D3" s="12" t="s">
        <v>2980</v>
      </c>
      <c r="E3" s="12" t="s">
        <v>2981</v>
      </c>
    </row>
    <row r="4" spans="1:5" ht="18" customHeight="1" x14ac:dyDescent="0.25">
      <c r="A4" s="12" t="s">
        <v>2976</v>
      </c>
      <c r="B4" s="12" t="s">
        <v>2977</v>
      </c>
      <c r="C4" s="12" t="s">
        <v>68</v>
      </c>
      <c r="D4" s="12" t="s">
        <v>2978</v>
      </c>
      <c r="E4" s="12" t="s">
        <v>2982</v>
      </c>
    </row>
    <row r="5" spans="1:5" ht="18" customHeight="1" x14ac:dyDescent="0.25">
      <c r="A5" s="12" t="s">
        <v>2976</v>
      </c>
      <c r="B5" s="12" t="s">
        <v>2977</v>
      </c>
      <c r="C5" s="12" t="s">
        <v>72</v>
      </c>
      <c r="D5" s="12" t="s">
        <v>2983</v>
      </c>
      <c r="E5" s="12" t="s">
        <v>2984</v>
      </c>
    </row>
    <row r="6" spans="1:5" ht="18" customHeight="1" x14ac:dyDescent="0.25">
      <c r="A6" s="12" t="s">
        <v>2976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2976</v>
      </c>
      <c r="B7" s="12" t="s">
        <v>2987</v>
      </c>
      <c r="C7" s="12" t="s">
        <v>33</v>
      </c>
      <c r="D7" s="12" t="s">
        <v>2988</v>
      </c>
      <c r="E7" s="12" t="s">
        <v>2989</v>
      </c>
    </row>
    <row r="8" spans="1:5" ht="18" customHeight="1" x14ac:dyDescent="0.25">
      <c r="A8" s="12" t="s">
        <v>2976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2976</v>
      </c>
      <c r="B9" s="12" t="s">
        <v>2992</v>
      </c>
      <c r="C9" s="12" t="s">
        <v>457</v>
      </c>
      <c r="D9" s="12" t="s">
        <v>2993</v>
      </c>
      <c r="E9" s="12" t="s">
        <v>2994</v>
      </c>
    </row>
    <row r="10" spans="1:5" ht="18" customHeight="1" x14ac:dyDescent="0.25">
      <c r="A10" s="12" t="s">
        <v>2976</v>
      </c>
      <c r="B10" s="12" t="s">
        <v>2992</v>
      </c>
      <c r="C10" s="12" t="s">
        <v>199</v>
      </c>
      <c r="D10" s="12" t="s">
        <v>23</v>
      </c>
      <c r="E10" s="12" t="s">
        <v>2995</v>
      </c>
    </row>
    <row r="11" spans="1:5" ht="18" customHeight="1" x14ac:dyDescent="0.25">
      <c r="A11" s="12" t="s">
        <v>2976</v>
      </c>
      <c r="B11" s="12" t="s">
        <v>2992</v>
      </c>
      <c r="C11" s="12" t="s">
        <v>364</v>
      </c>
      <c r="D11" s="12" t="s">
        <v>23</v>
      </c>
      <c r="E11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2997</v>
      </c>
      <c r="B1" s="5" t="s">
        <v>10</v>
      </c>
      <c r="C1" s="15" t="s">
        <v>2998</v>
      </c>
      <c r="D1" s="15" t="s">
        <v>2893</v>
      </c>
    </row>
    <row r="2" spans="1:4" ht="21" customHeight="1" x14ac:dyDescent="0.25">
      <c r="A2" s="258" t="s">
        <v>23</v>
      </c>
      <c r="B2" s="258" t="s">
        <v>35</v>
      </c>
      <c r="C2" s="12" t="s">
        <v>2999</v>
      </c>
      <c r="D2" s="12" t="s">
        <v>2758</v>
      </c>
    </row>
    <row r="3" spans="1:4" ht="21" customHeight="1" x14ac:dyDescent="0.25">
      <c r="A3" s="12" t="s">
        <v>62</v>
      </c>
      <c r="B3" s="258" t="s">
        <v>26</v>
      </c>
      <c r="C3" s="12" t="s">
        <v>3000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2744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2769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3001</v>
      </c>
      <c r="B2" s="12" t="s">
        <v>2977</v>
      </c>
      <c r="C2" s="14" t="s">
        <v>24</v>
      </c>
      <c r="D2" s="12" t="s">
        <v>2978</v>
      </c>
      <c r="E2" s="18" t="s">
        <v>3002</v>
      </c>
    </row>
    <row r="3" spans="1:5" ht="18" customHeight="1" x14ac:dyDescent="0.25">
      <c r="A3" s="12" t="s">
        <v>3001</v>
      </c>
      <c r="B3" s="12" t="s">
        <v>2977</v>
      </c>
      <c r="C3" s="12" t="s">
        <v>68</v>
      </c>
      <c r="D3" s="12" t="s">
        <v>2980</v>
      </c>
      <c r="E3" s="12" t="s">
        <v>3003</v>
      </c>
    </row>
    <row r="4" spans="1:5" ht="18" customHeight="1" x14ac:dyDescent="0.25">
      <c r="A4" s="12" t="s">
        <v>3001</v>
      </c>
      <c r="B4" s="12" t="s">
        <v>2977</v>
      </c>
      <c r="C4" s="12" t="s">
        <v>72</v>
      </c>
      <c r="D4" s="12" t="s">
        <v>2983</v>
      </c>
      <c r="E4" s="12" t="s">
        <v>3004</v>
      </c>
    </row>
    <row r="5" spans="1:5" ht="27.75" customHeight="1" x14ac:dyDescent="0.25">
      <c r="A5" s="12" t="s">
        <v>3001</v>
      </c>
      <c r="B5" s="12" t="s">
        <v>2977</v>
      </c>
      <c r="C5" s="12" t="s">
        <v>2691</v>
      </c>
      <c r="D5" s="18" t="s">
        <v>3005</v>
      </c>
      <c r="E5" s="12" t="s">
        <v>3006</v>
      </c>
    </row>
    <row r="6" spans="1:5" ht="18" customHeight="1" x14ac:dyDescent="0.25">
      <c r="A6" s="12" t="s">
        <v>3001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3001</v>
      </c>
      <c r="B7" s="12" t="s">
        <v>2987</v>
      </c>
      <c r="C7" s="12" t="s">
        <v>2712</v>
      </c>
      <c r="D7" s="12" t="s">
        <v>3007</v>
      </c>
      <c r="E7" s="12" t="s">
        <v>3008</v>
      </c>
    </row>
    <row r="8" spans="1:5" ht="18" customHeight="1" x14ac:dyDescent="0.25">
      <c r="A8" s="12" t="s">
        <v>3001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3001</v>
      </c>
      <c r="B9" s="12" t="s">
        <v>2987</v>
      </c>
      <c r="C9" s="12" t="s">
        <v>2696</v>
      </c>
      <c r="D9" s="12" t="s">
        <v>3009</v>
      </c>
      <c r="E9" s="18" t="s">
        <v>3010</v>
      </c>
    </row>
    <row r="10" spans="1:5" ht="18" customHeight="1" x14ac:dyDescent="0.25">
      <c r="A10" s="12" t="s">
        <v>3001</v>
      </c>
      <c r="B10" s="12" t="s">
        <v>3011</v>
      </c>
      <c r="C10" s="12" t="s">
        <v>2969</v>
      </c>
      <c r="D10" s="12" t="s">
        <v>3012</v>
      </c>
      <c r="E10" s="18" t="s">
        <v>3013</v>
      </c>
    </row>
    <row r="11" spans="1:5" ht="18" customHeight="1" x14ac:dyDescent="0.25">
      <c r="A11" s="12" t="s">
        <v>3001</v>
      </c>
      <c r="B11" s="12" t="s">
        <v>3011</v>
      </c>
      <c r="C11" s="12" t="s">
        <v>199</v>
      </c>
      <c r="D11" s="12" t="s">
        <v>23</v>
      </c>
      <c r="E11" s="12" t="s">
        <v>2995</v>
      </c>
    </row>
    <row r="12" spans="1:5" ht="18" customHeight="1" x14ac:dyDescent="0.25">
      <c r="A12" s="12" t="s">
        <v>3001</v>
      </c>
      <c r="B12" s="12" t="s">
        <v>3011</v>
      </c>
      <c r="C12" s="12" t="s">
        <v>364</v>
      </c>
      <c r="D12" s="12" t="s">
        <v>23</v>
      </c>
      <c r="E12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1" t="s">
        <v>3014</v>
      </c>
      <c r="B1" s="291"/>
      <c r="C1" s="291"/>
      <c r="D1" s="291"/>
      <c r="E1" s="291"/>
      <c r="F1" s="291"/>
      <c r="G1" s="291"/>
      <c r="H1" s="291"/>
    </row>
    <row r="2" spans="1:8" x14ac:dyDescent="0.25">
      <c r="A2" s="130" t="s">
        <v>3015</v>
      </c>
    </row>
    <row r="4" spans="1:8" ht="21.95" customHeight="1" x14ac:dyDescent="0.25">
      <c r="A4" s="292" t="s">
        <v>3016</v>
      </c>
      <c r="B4" s="293"/>
      <c r="D4" s="292" t="s">
        <v>3017</v>
      </c>
      <c r="E4" s="293"/>
      <c r="G4" s="292" t="s">
        <v>3018</v>
      </c>
      <c r="H4" s="293"/>
    </row>
    <row r="5" spans="1:8" ht="35.1" customHeight="1" x14ac:dyDescent="0.25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 x14ac:dyDescent="0.25"/>
    <row r="7" spans="1:8" ht="24.95" customHeight="1" thickBot="1" x14ac:dyDescent="0.3">
      <c r="A7" s="143" t="s">
        <v>3019</v>
      </c>
      <c r="B7" s="143" t="s">
        <v>3020</v>
      </c>
      <c r="C7" s="143" t="s">
        <v>1</v>
      </c>
      <c r="D7" s="143" t="s">
        <v>3021</v>
      </c>
      <c r="E7" s="143" t="s">
        <v>3022</v>
      </c>
      <c r="F7" s="143" t="s">
        <v>2893</v>
      </c>
      <c r="G7" s="143" t="s">
        <v>5</v>
      </c>
      <c r="H7" s="143" t="s">
        <v>3023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7" t="s">
        <v>3024</v>
      </c>
      <c r="B1" s="297"/>
      <c r="C1" s="297"/>
      <c r="D1" s="297"/>
      <c r="E1" s="297"/>
      <c r="F1" s="297"/>
    </row>
    <row r="2" spans="1:7" x14ac:dyDescent="0.25">
      <c r="A2" s="298" t="s">
        <v>3025</v>
      </c>
      <c r="B2" s="298"/>
      <c r="C2" s="298"/>
      <c r="D2" s="298"/>
      <c r="E2" s="298"/>
      <c r="F2" s="298"/>
    </row>
    <row r="4" spans="1:7" x14ac:dyDescent="0.25">
      <c r="A4" s="102" t="s">
        <v>19</v>
      </c>
      <c r="B4" s="102" t="s">
        <v>2896</v>
      </c>
      <c r="C4" s="102" t="s">
        <v>2897</v>
      </c>
      <c r="D4" s="102" t="s">
        <v>3026</v>
      </c>
      <c r="E4" s="102" t="s">
        <v>2898</v>
      </c>
      <c r="F4" s="102" t="s">
        <v>3027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2963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www.w3.org/XML/1998/namespace"/>
    <ds:schemaRef ds:uri="fe686eaa-0658-4f15-b230-9e46c4d089fd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2026-07-07T19:04:10Z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