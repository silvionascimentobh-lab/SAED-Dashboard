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0" documentId="8_{454372C2-A99E-4E47-A759-72B38925853E}" xr6:coauthVersionLast="47" xr6:coauthVersionMax="47" xr10:uidLastSave="{CD26A7F2-BFC7-4CE5-B61C-0AA0B56EDB4C}"/>
  <bookViews>
    <workbookView xWindow="28680" yWindow="-120" windowWidth="29040" windowHeight="15720" firstSheet="7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8" l="1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<sst xmlns="http://schemas.openxmlformats.org/spreadsheetml/2006/main" count="7191" uniqueCount="3164">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</sst>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0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7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21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4" priority="1">
      <formula>TRIM(C2)="Realizado"</formula>
    </cfRule>
  </conditionalFormatting>
  <conditionalFormatting sqref="C2:C2001">
    <cfRule type="expression" dxfId="13" priority="2">
      <formula>TRIM(C2)="Cancelado"</formula>
    </cfRule>
  </conditionalFormatting>
  <conditionalFormatting sqref="C2:C2001">
    <cfRule type="expression" dxfId="12" priority="3">
      <formula>TRIM(C2)="Em andamento"</formula>
    </cfRule>
  </conditionalFormatting>
  <conditionalFormatting sqref="C2:C2001">
    <cfRule type="expression" dxfId="11" priority="4">
      <formula>TRIM(C2)="Adiado"</formula>
    </cfRule>
  </conditionalFormatting>
  <conditionalFormatting sqref="A2:A2001">
    <cfRule type="expression" dxfId="10" priority="5">
      <formula>AND($B2&lt;&gt;"",$A2="")</formula>
    </cfRule>
  </conditionalFormatting>
  <conditionalFormatting sqref="L2:M2001">
    <cfRule type="expression" dxfId="9" priority="6">
      <formula>L2=""</formula>
    </cfRule>
  </conditionalFormatting>
  <conditionalFormatting sqref="A2:T2001">
    <cfRule type="expression" dxfId="8" priority="7">
      <formula>MOD(ROW(),2)=0</formula>
    </cfRule>
  </conditionalFormatting>
  <conditionalFormatting sqref="A2:T2001">
    <cfRule type="expression" dxfId="7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40" t="s">
        <v>2969</v>
      </c>
    </row>
    <row r="2" spans="1:8" x14ac:dyDescent="0.25">
      <c r="H2" s="239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39" t="s">
        <v>2973</v>
      </c>
    </row>
    <row r="4" spans="1:8" x14ac:dyDescent="0.25">
      <c r="A4">
        <v>1</v>
      </c>
      <c r="B4" t="s">
        <v>2974</v>
      </c>
      <c r="D4" t="s">
        <v>2975</v>
      </c>
      <c r="E4" s="241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39" t="s">
        <v>2976</v>
      </c>
    </row>
    <row r="5" spans="1:8" x14ac:dyDescent="0.25">
      <c r="A5">
        <v>2</v>
      </c>
      <c r="B5" t="s">
        <v>2506</v>
      </c>
      <c r="D5" t="s">
        <v>2975</v>
      </c>
      <c r="E5" s="241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39" t="s">
        <v>2977</v>
      </c>
    </row>
    <row r="6" spans="1:8" x14ac:dyDescent="0.25">
      <c r="A6">
        <v>3</v>
      </c>
      <c r="B6" t="s">
        <v>1030</v>
      </c>
      <c r="D6" t="s">
        <v>2975</v>
      </c>
      <c r="E6" s="241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39"/>
    </row>
    <row r="7" spans="1:8" x14ac:dyDescent="0.25">
      <c r="A7">
        <v>4</v>
      </c>
      <c r="B7" t="s">
        <v>2978</v>
      </c>
      <c r="D7" t="s">
        <v>2975</v>
      </c>
      <c r="E7" s="241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40" t="s">
        <v>2979</v>
      </c>
    </row>
    <row r="8" spans="1:8" x14ac:dyDescent="0.25">
      <c r="A8">
        <v>5</v>
      </c>
      <c r="B8" t="s">
        <v>2980</v>
      </c>
      <c r="D8" t="s">
        <v>2975</v>
      </c>
      <c r="E8" s="241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41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41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4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41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41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41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41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41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41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41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41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41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4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41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41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41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41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41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41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41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41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41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4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41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41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41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41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41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41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41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41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41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41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41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41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41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41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41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41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41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41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4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41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41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41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41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41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41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41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41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41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4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41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41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41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41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41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41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41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41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41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4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41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41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41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41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41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41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41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41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41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4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41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41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41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41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41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41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41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41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41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4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41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41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41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41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41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41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41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41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41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4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41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41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41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41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41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41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41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41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D1" workbookViewId="0">
      <pane ySplit="1" topLeftCell="A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Silva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6" t="s">
        <v>3054</v>
      </c>
      <c r="B1" s="226"/>
      <c r="C1" s="226"/>
      <c r="D1" s="226"/>
      <c r="E1" s="226"/>
      <c r="F1" s="226"/>
      <c r="G1" s="2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7" t="s">
        <v>3055</v>
      </c>
      <c r="B4" s="228"/>
      <c r="D4" s="229" t="s">
        <v>3056</v>
      </c>
      <c r="E4" s="230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4" t="s">
        <v>3059</v>
      </c>
      <c r="B8" s="224"/>
      <c r="D8" s="224" t="s">
        <v>3060</v>
      </c>
      <c r="E8" s="224"/>
    </row>
    <row r="9" spans="1:7" ht="5.0999999999999996" customHeight="1" x14ac:dyDescent="0.25">
      <c r="A9" s="225"/>
      <c r="B9" s="225"/>
      <c r="D9" s="225"/>
      <c r="E9" s="225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4" t="s">
        <v>3069</v>
      </c>
      <c r="B30" s="224"/>
      <c r="C30" s="224"/>
      <c r="D30" s="224"/>
      <c r="E30" s="224"/>
    </row>
    <row r="31" spans="1:5" ht="5.0999999999999996" customHeight="1" x14ac:dyDescent="0.25">
      <c r="A31" s="225"/>
      <c r="B31" s="225"/>
      <c r="C31" s="225"/>
      <c r="D31" s="225"/>
      <c r="E31" s="225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1" t="s">
        <v>3120</v>
      </c>
      <c r="B1" s="231"/>
      <c r="C1" s="231"/>
      <c r="D1" s="231"/>
      <c r="E1" s="231"/>
      <c r="F1" s="231"/>
      <c r="G1" s="231"/>
      <c r="H1" s="231"/>
    </row>
    <row r="2" spans="1:8" x14ac:dyDescent="0.25">
      <c r="A2" s="49" t="s">
        <v>3121</v>
      </c>
    </row>
    <row r="4" spans="1:8" ht="21.95" customHeight="1" x14ac:dyDescent="0.25">
      <c r="A4" s="232" t="s">
        <v>3122</v>
      </c>
      <c r="B4" s="233"/>
      <c r="D4" s="232" t="s">
        <v>3123</v>
      </c>
      <c r="E4" s="233"/>
      <c r="G4" s="232" t="s">
        <v>3124</v>
      </c>
      <c r="H4" s="233"/>
    </row>
    <row r="5" spans="1:8" ht="35.1" customHeight="1" x14ac:dyDescent="0.25">
      <c r="A5" s="236">
        <f>COUNTIF('Ações InCompany'!E:E,"*maratona*")</f>
        <v>13</v>
      </c>
      <c r="B5" s="235"/>
      <c r="D5" s="234">
        <f>SUM(H8:H100)</f>
        <v>1762</v>
      </c>
      <c r="E5" s="235"/>
      <c r="G5" s="234">
        <f>IFERROR(ROUND(D5/A5,0),"-")</f>
        <v>136</v>
      </c>
      <c r="H5" s="235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3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7" t="s">
        <v>3130</v>
      </c>
      <c r="B1" s="237"/>
      <c r="C1" s="237"/>
      <c r="D1" s="237"/>
      <c r="E1" s="237"/>
      <c r="F1" s="237"/>
    </row>
    <row r="2" spans="1:7" x14ac:dyDescent="0.25">
      <c r="A2" s="238" t="s">
        <v>3131</v>
      </c>
      <c r="B2" s="238"/>
      <c r="C2" s="238"/>
      <c r="D2" s="238"/>
      <c r="E2" s="238"/>
      <c r="F2" s="238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4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2026-07-30T19:12:01Z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