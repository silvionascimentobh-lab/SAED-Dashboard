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6" documentId="13_ncr:1_{6A2CC3E2-FAFB-4D8F-B284-5E8FB5045DFE}" xr6:coauthVersionLast="47" xr6:coauthVersionMax="47" xr10:uidLastSave="{30449636-8BA0-4261-BCA3-86B267078BAE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A2" i="20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<sst xmlns="http://schemas.openxmlformats.org/spreadsheetml/2006/main" count="7215" uniqueCount="3185">
  <si>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</si>
  <si>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</si>
  <si>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</si>
  <si>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</si>
  <si>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</si>
  <si>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</si>
  <si>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</si>
  <si>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</si>
  <si>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</si>
  <si>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</si>
  <si>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</si>
  <si>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</si>
  <si>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</si>
  <si>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</si>
  <si>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</si>
  <si>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</si>
  <si>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</si>
  <si>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</si>
  <si>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</si>
  <si>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</si>
  <si>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</si>
  <si>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</si>
  <si>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</si>
  <si>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</si>
  <si>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</si>
  <si>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</si>
  <si>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</si>
  <si>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</si>
  <si>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</si>
  <si>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</si>
  <si>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</si>
  <si>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</si>
  <si>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</si>
  <si>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</si>
  <si>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</si>
  <si>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</si>
  <si>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</si>
  <si>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</si>
  <si>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</si>
  <si>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</si>
  <si>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</si>
  <si>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</si>
  <si>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</si>
  <si>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</si>
  <si>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</si>
  <si>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</si>
  <si>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</si>
  <si>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</si>
  <si>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</si>
  <si>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</si>
  <si>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</si>
  <si>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</si>
  <si>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</si>
  <si>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</si>
  <si>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</si>
  <si>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</si>
  <si>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</si>
  <si>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</si>
  <si>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</si>
  <si>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</si>
  <si>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</si>
  <si>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</si>
  <si>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</si>
  <si>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</si>
  <si>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</si>
  <si>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</si>
  <si>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</si>
  <si>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</si>
  <si>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</si>
  <si>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</si>
  <si>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</si>
  <si>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</si>
  <si>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</si>
  <si>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</si>
  <si>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</si>
  <si>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</si>
  <si>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</si>
  <si>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</si>
  <si>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</si>
  <si>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</si>
  <si>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</si>
  <si>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</si>
  <si>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</si>
  <si>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</si>
  <si>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</si>
  <si>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</si>
  <si>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</si>
  <si>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</si>
  <si>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</si>
  <si>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</si>
  <si>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</si>
  <si>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</si>
  <si>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</si>
  <si>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</si>
  <si>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</si>
  <si>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</si>
  <si>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</si>
  <si>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</si>
  <si>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</si>
  <si>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</si>
  <si>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</si>
  <si>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</si>
  <si>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</si>
  <si>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</si>
  <si>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</si>
  <si>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</si>
  <si>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</si>
  <si>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</si>
  <si>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</si>
  <si>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</si>
  <si>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</si>
  <si>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</si>
  <si>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</si>
  <si>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</si>
  <si>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</si>
  <si>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</si>
  <si>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</si>
  <si>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</si>
  <si>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</si>
  <si>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</si>
  <si>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</si>
  <si>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</si>
  <si>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</si>
  <si>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</si>
  <si>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</si>
  <si>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</si>
  <si>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</si>
  <si>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</si>
  <si>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</si>
  <si>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</si>
  <si>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</si>
  <si>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</si>
  <si>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</si>
  <si>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</si>
  <si>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</si>
  <si>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</si>
  <si>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</si>
  <si>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</si>
  <si>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</si>
  <si>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</si>
  <si>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</si>
  <si>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</si>
  <si>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</si>
  <si>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</si>
  <si>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</si>
  <si>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</si>
  <si>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</si>
  <si>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</si>
  <si>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</si>
  <si>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</si>
  <si>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</si>
  <si>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</si>
  <si>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</si>
  <si>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</si>
  <si>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</si>
  <si>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</si>
  <si>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</si>
  <si>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</si>
  <si>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</si>
  <si>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</si>
  <si>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</si>
  <si>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</si>
  <si>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</si>
  <si>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</si>
  <si>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</si>
  <si>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</si>
  <si>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</si>
  <si>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</si>
  <si>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</si>
  <si>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</si>
  <si>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</si>
  <si>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</si>
  <si>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</si>
  <si>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</si>
  <si>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</si>
  <si>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</si>
  <si>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</si>
  <si>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</si>
  <si>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</si>
  <si>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</si>
  <si>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</si>
  <si>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</si>
  <si>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</si>
  <si>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</si>
  <si>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</si>
  <si>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</si>
  <si>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</si>
  <si>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</si>
  <si>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</si>
  <si>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</si>
  <si>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</si>
  <si>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</si>
  <si>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</si>
  <si>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</si>
  <si>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</si>
  <si>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</si>
  <si>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</si>
  <si>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</si>
  <si>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</si>
  <si>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</si>
  <si>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</si>
  <si>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</si>
  <si>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</si>
  <si>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</si>
  <si>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</si>
  <si>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</si>
  <si>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</si>
  <si>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</si>
  <si>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</si>
  <si>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</si>
  <si>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</si>
  <si>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</si>
  <si>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</si>
  <si>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</si>
  <si>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</si>
  <si>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</si>
  <si>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</si>
  <si>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</si>
  <si>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</si>
  <si>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</si>
  <si>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</si>
  <si>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</si>
  <si>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</si>
  <si>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</si>
  <si>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</si>
  <si>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</si>
  <si>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</si>
  <si>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</si>
  <si>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</si>
  <si>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</si>
  <si>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</si>
  <si>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</si>
  <si>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</si>
  <si>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</si>
  <si>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</si>
  <si>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</si>
  <si>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</si>
  <si>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</si>
  <si>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</si>
  <si>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</si>
  <si>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</si>
  <si>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</si>
  <si>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</si>
  <si>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</si>
  <si>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</si>
  <si>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</si>
  <si>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</si>
  <si>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</si>
  <si>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</si>
  <si>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</si>
  <si>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</si>
  <si>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</si>
  <si>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</si>
  <si>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</si>
  <si>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</si>
  <si>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</si>
  <si>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</si>
  <si>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</si>
  <si>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</si>
  <si>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</si>
  <si>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</si>
  <si>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</si>
  <si>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</si>
  <si>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</si>
  <si>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</si>
  <si>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</si>
  <si>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</si>
  <si>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</si>
  <si>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</si>
  <si>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</si>
  <si>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</si>
  <si>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</si>
  <si>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</si>
  <si>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</si>
  <si>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</si>
  <si>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</si>
  <si>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</si>
  <si>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</si>
  <si>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</si>
  <si>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</si>
  <si>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</si>
  <si>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</si>
  <si>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</si>
  <si>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</si>
  <si>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</si>
  <si>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</si>
  <si>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</si>
  <si>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</si>
  <si>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</si>
  <si>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</si>
  <si>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</si>
  <si>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</si>
  <si>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</si>
  <si>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</si>
  <si>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</si>
  <si>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</si>
  <si>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</si>
  <si>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</si>
  <si>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</si>
  <si>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</si>
  <si>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</si>
  <si>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</si>
  <si>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</si>
  <si>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</si>
  <si>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</si>
  <si>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</si>
  <si>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</si>
  <si>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</si>
  <si>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</si>
  <si>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</si>
  <si>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</si>
  <si>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</si>
  <si>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</si>
  <si>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</si>
  <si>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</si>
  <si>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</si>
  <si>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</si>
  <si>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</si>
  <si>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</si>
  <si>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</si>
  <si>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</si>
  <si>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</si>
  <si>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</si>
  <si>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</si>
  <si>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</si>
  <si>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</si>
  <si>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</si>
  <si>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</si>
  <si>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</si>
  <si>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</si>
  <si>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</si>
  <si>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</si>
  <si>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</si>
  <si>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</si>
  <si>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</si>
  <si>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</si>
  <si>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</si>
  <si>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</si>
  <si>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</si>
  <si>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</si>
  <si>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</si>
  <si>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</si>
  <si>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</si>
  <si>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</si>
  <si>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</si>
  <si>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</si>
  <si>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</si>
  <si>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</si>
  <si>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</si>
  <si>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</si>
  <si>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</si>
  <si>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</si>
  <si>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</si>
  <si>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</si>
  <si>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</si>
  <si>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</si>
  <si>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</si>
  <si>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</si>
  <si>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</si>
  <si>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</si>
  <si>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</si>
  <si>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</si>
  <si>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</si>
  <si>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</si>
  <si>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</si>
  <si>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</si>
  <si>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</si>
  <si>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</si>
  <si>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</si>
  <si>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</si>
  <si>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</si>
  <si>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</si>
  <si>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</si>
  <si>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</si>
  <si>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</si>
  <si>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</si>
  <si>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</si>
  <si>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</si>
  <si>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</si>
  <si>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</si>
  <si>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</si>
  <si>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</si>
  <si>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</si>
  <si>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</si>
  <si>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</si>
  <si>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</si>
  <si>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</si>
  <si>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</si>
  <si>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</si>
  <si>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</si>
  <si>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</si>
  <si>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</si>
  <si>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</si>
  <si>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</si>
  <si>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</si>
  <si>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</si>
  <si>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</si>
  <si>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</si>
  <si>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</si>
  <si>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</si>
  <si>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</si>
  <si>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</si>
  <si>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</si>
  <si>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</si>
  <si>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</si>
  <si>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</si>
  <si>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</si>
  <si>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</si>
  <si>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</si>
  <si>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</si>
  <si>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</si>
  <si>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</si>
  <si>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</si>
  <si>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</si>
  <si>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</si>
  <si>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</si>
  <si>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</si>
  <si>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</si>
  <si>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</si>
  <si>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</si>
  <si>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</si>
  <si>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</si>
  <si>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</si>
  <si>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</si>
  <si>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</si>
  <si>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</si>
  <si>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</si>
  <si>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</si>
  <si>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</si>
  <si>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</si>
  <si>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</si>
  <si>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</si>
  <si>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</si>
  <si>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</si>
  <si>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</si>
  <si>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</si>
  <si>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</si>
  <si>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</si>
  <si>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</si>
  <si>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</si>
  <si>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</si>
  <si>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</si>
  <si>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</si>
  <si>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</si>
  <si>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</si>
  <si>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</si>
  <si>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</si>
  <si>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</si>
  <si>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</si>
  <si>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</si>
  <si>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</si>
  <si>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</si>
  <si>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</si>
  <si>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</si>
  <si>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</si>
  <si>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</si>
  <si>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</si>
  <si>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</si>
  <si>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</si>
  <si>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</si>
  <si>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</si>
  <si>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</si>
  <si>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</si>
  <si>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</si>
  <si>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</si>
  <si>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</si>
  <si>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</si>
  <si>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</si>
  <si>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</si>
  <si>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</si>
  <si>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</si>
  <si>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</si>
  <si>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</si>
  <si>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</si>
  <si>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</si>
  <si>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</si>
  <si>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</si>
  <si>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</si>
  <si>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</si>
  <si>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</si>
  <si>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</si>
  <si>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</si>
  <si>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</si>
  <si>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</si>
  <si>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</si>
  <si>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</si>
  <si>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</si>
  <si>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</si>
  <si>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</si>
  <si>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</si>
  <si>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</si>
  <si>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</si>
  <si>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</si>
  <si>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</si>
  <si>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</si>
  <si>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</si>
  <si>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</si>
  <si>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</si>
  <si>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</si>
  <si>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</si>
  <si>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</si>
  <si>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</si>
  <si>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</si>
  <si>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</si>
  <si>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</si>
  <si>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</si>
  <si>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</si>
  <si>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</si>
  <si>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</si>
  <si>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</si>
  <si>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</si>
  <si>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</si>
  <si>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</si>
  <si>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</si>
  <si>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</si>
  <si>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</si>
  <si>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</si>
  <si>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</si>
  <si>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</si>
  <si>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</si>
  <si>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</si>
  <si>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</si>
  <si>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</si>
  <si>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</si>
  <si>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</si>
  <si>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</si>
  <si>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</si>
  <si>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</si>
  <si>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</si>
  <si>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</si>
  <si>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</si>
  <si>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</si>
  <si>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</si>
  <si>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</si>
  <si>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</si>
  <si>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</si>
  <si>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</si>
  <si>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</si>
  <si>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</si>
  <si>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</si>
  <si>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</si>
  <si>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</si>
  <si>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</si>
  <si>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</si>
  <si>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</si>
  <si>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</si>
  <si>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</si>
  <si>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</si>
  <si>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</si>
  <si>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</si>
  <si>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</si>
  <si>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</si>
  <si>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</si>
  <si>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</si>
  <si>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</si>
  <si>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</si>
  <si>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</si>
  <si>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</si>
  <si>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</si>
  <si>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</si>
  <si>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</si>
  <si>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</si>
  <si>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</si>
  <si>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</si>
  <si>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</si>
  <si>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</si>
  <si>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</si>
  <si>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</si>
  <si>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</si>
  <si>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</si>
  <si>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</si>
  <si>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</si>
  <si>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</si>
  <si>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</si>
  <si>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</si>
  <si>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</si>
  <si>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</si>
  <si>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</si>
  <si>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</si>
  <si>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</si>
  <si>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</si>
  <si>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</si>
  <si>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</si>
  <si>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</si>
  <si>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</si>
  <si>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</si>
  <si>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</si>
  <si>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</si>
  <si>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</si>
  <si>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</si>
  <si>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</si>
  <si>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</si>
  <si>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</si>
  <si>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</si>
  <si>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</si>
  <si>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</si>
  <si>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</si>
  <si>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</si>
  <si>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</si>
  <si>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</si>
  <si>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</si>
  <si>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</si>
  <si>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</si>
  <si>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</si>
  <si>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</si>
  <si>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</si>
  <si>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</si>
  <si>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</si>
  <si>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</si>
  <si>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</si>
  <si>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</si>
  <si>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</si>
  <si>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</si>
  <si>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</si>
  <si>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</si>
  <si>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</si>
  <si>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</si>
  <si>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</si>
  <si>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</si>
  <si>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</si>
  <si>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</si>
  <si>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</si>
  <si>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</si>
  <si>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</si>
  <si>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</si>
  <si>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</si>
  <si>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</si>
  <si>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</si>
  <si>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</si>
  <si>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</si>
  <si>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</si>
  <si>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</si>
  <si>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</si>
  <si>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</si>
  <si>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</si>
  <si>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</si>
  <si>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</si>
  <si>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</si>
  <si>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</si>
  <si>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</si>
  <si>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</si>
  <si>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</si>
  <si>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</si>
  <si>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</si>
  <si>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</si>
  <si>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</si>
  <si>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</si>
  <si>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</si>
  <si>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</si>
  <si>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</si>
  <si>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</si>
  <si>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</si>
  <si>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</si>
  <si>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</si>
  <si>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</si>
  <si>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</si>
  <si>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</si>
  <si>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</si>
  <si>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</si>
  <si>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</si>
  <si>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</si>
  <si>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</si>
  <si>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</si>
  <si>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</si>
  <si>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</si>
  <si>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</si>
  <si>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</si>
  <si>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</si>
  <si>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</si>
  <si>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</si>
  <si>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</si>
  <si>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</si>
  <si>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</si>
  <si>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</si>
  <si>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</si>
  <si>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</si>
  <si>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</si>
  <si>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</si>
  <si>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</si>
  <si>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</si>
  <si>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</si>
  <si>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</si>
  <si>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</si>
  <si>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</si>
  <si>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</si>
  <si>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</si>
  <si>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</si>
  <si>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</si>
  <si>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</si>
  <si>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</si>
  <si>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</si>
  <si>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</si>
  <si>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</si>
  <si>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</si>
  <si>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</si>
  <si>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</si>
  <si>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</si>
  <si>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</si>
  <si>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</si>
  <si>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</si>
  <si>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</si>
  <si>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</si>
  <si>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</si>
  <si>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</si>
  <si>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</si>
  <si>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</si>
  <si>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</si>
  <si>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</si>
  <si>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</si>
  <si>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</si>
  <si>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</si>
  <si>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</si>
  <si>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</si>
  <si>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</si>
  <si>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</si>
  <si>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</si>
  <si>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</si>
  <si>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</si>
  <si>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</si>
  <si>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</si>
  <si>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</si>
  <si>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</si>
  <si>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</si>
  <si>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</si>
  <si>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</si>
  <si>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</si>
  <si>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</si>
  <si>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</si>
  <si>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</si>
  <si>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</si>
  <si>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</si>
  <si>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</si>
  <si>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</si>
  <si>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</si>
  <si>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</si>
  <si>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</si>
  <si>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</si>
  <si>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</si>
  <si>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</si>
  <si>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</si>
  <si>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</si>
  <si>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</si>
  <si>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</si>
  <si>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</si>
  <si>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</si>
  <si>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</si>
  <si>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</si>
  <si>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</si>
  <si>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</si>
  <si>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</si>
  <si>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</si>
  <si>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</si>
  <si>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</si>
  <si>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</si>
  <si>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</si>
  <si>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</si>
  <si>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</si>
  <si>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</si>
  <si>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</si>
  <si>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</si>
  <si>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</si>
  <si>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</si>
  <si>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</si>
  <si>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</si>
  <si>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</si>
  <si>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</si>
  <si>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</si>
  <si>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</si>
  <si>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</si>
  <si>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</si>
  <si>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</si>
  <si>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</si>
  <si>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</si>
  <si>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</si>
  <si>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</si>
  <si>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</si>
  <si>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</si>
  <si>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</si>
  <si>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</si>
  <si>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</si>
  <si>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</si>
  <si>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</si>
  <si>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</si>
  <si>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</si>
  <si>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</si>
  <si>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</si>
  <si>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</si>
  <si>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</si>
  <si>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</si>
  <si>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</si>
  <si>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</si>
  <si>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</si>
  <si>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</si>
  <si>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</si>
  <si>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</si>
  <si>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</si>
  <si>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</si>
  <si>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</si>
  <si>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</si>
  <si>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</si>
  <si>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</si>
  <si>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</si>
  <si>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</si>
  <si>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</si>
  <si>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</si>
  <si>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</si>
  <si>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</si>
  <si>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</si>
  <si>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</si>
  <si>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</si>
  <si>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</si>
  <si>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</si>
  <si>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</si>
  <si>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</si>
  <si>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</si>
  <si>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</si>
  <si>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</si>
  <si>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</si>
  <si>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</si>
  <si>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</si>
  <si>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</si>
  <si>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</si>
  <si>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</si>
  <si>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</si>
  <si>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</si>
  <si>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</si>
  <si>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</si>
  <si>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</si>
  <si>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</si>
  <si>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</si>
  <si>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</si>
  <si>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</si>
  <si>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</si>
  <si>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</si>
  <si>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</si>
  <si>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</si>
  <si>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</si>
  <si>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</si>
  <si>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</si>
  <si>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</si>
  <si>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</si>
  <si>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</si>
  <si>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</si>
  <si>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</si>
  <si>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</si>
  <si>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</si>
  <si>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</si>
  <si>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</si>
  <si>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</si>
  <si>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</si>
  <si>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</si>
  <si>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</si>
  <si>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</si>
  <si>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</si>
  <si>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</si>
  <si>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</si>
  <si>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</si>
  <si>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</si>
  <si>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</si>
  <si>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</si>
  <si>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</si>
  <si>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</si>
  <si>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</si>
  <si>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</si>
  <si>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</si>
  <si>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</si>
  <si>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</si>
  <si>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</si>
  <si>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</si>
  <si>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</si>
  <si>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</si>
  <si>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</si>
  <si>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</si>
  <si>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</si>
  <si>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</si>
  <si>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</si>
  <si>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</si>
  <si>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</si>
  <si>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</si>
  <si>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</si>
  <si>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</si>
  <si>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</si>
  <si>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</si>
  <si>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</si>
  <si>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</si>
  <si>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</si>
  <si>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</si>
  <si>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</si>
  <si>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</si>
  <si>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</si>
  <si>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</si>
  <si>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</si>
  <si>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</si>
  <si>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</si>
  <si>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</si>
  <si>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</si>
  <si>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</si>
  <si>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</si>
  <si>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</si>
  <si>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</si>
  <si>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</si>
  <si>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</si>
  <si>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</si>
  <si>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</si>
  <si>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</si>
  <si>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</si>
  <si>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</si>
  <si>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</si>
  <si>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</si>
  <si>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</si>
  <si>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</si>
  <si>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</si>
  <si>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</si>
  <si>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</si>
  <si>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</si>
  <si>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</si>
  <si>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</si>
  <si>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</si>
  <si>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</si>
  <si>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</si>
  <si>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</si>
  <si>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</si>
  <si>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</si>
  <si>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</si>
  <si>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</si>
  <si>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</si>
  <si>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</si>
  <si>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</si>
  <si>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</si>
  <si>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</si>
  <si>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</si>
  <si>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</si>
  <si>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</si>
  <si>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</si>
  <si>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</si>
  <si>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</si>
  <si>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</si>
  <si>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</si>
  <si>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</si>
  <si>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</si>
  <si>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</si>
  <si>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</si>
  <si>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</si>
  <si>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</si>
  <si>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</si>
  <si>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</si>
  <si>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</si>
  <si>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</si>
  <si>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</si>
  <si>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</si>
  <si>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</si>
  <si>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</si>
  <si>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</si>
  <si>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</si>
  <si>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</si>
  <si>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</si>
  <si>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</si>
  <si>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</si>
  <si>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</si>
  <si>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</si>
  <si>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</si>
  <si>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</si>
  <si>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</si>
  <si>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</si>
  <si>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</si>
  <si>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</si>
  <si>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</si>
  <si>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</si>
  <si>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</si>
  <si>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</si>
  <si>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</si>
  <si>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</si>
  <si>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</si>
  <si>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</si>
  <si>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</si>
  <si>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</si>
  <si>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</si>
  <si>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</si>
  <si>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</si>
  <si>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</si>
  <si>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</si>
  <si>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</si>
  <si>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</si>
  <si>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</si>
  <si>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</si>
  <si>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</si>
  <si>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</si>
  <si>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</si>
  <si>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</si>
  <si>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</si>
  <si>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</si>
  <si>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</si>
  <si>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</si>
  <si>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</si>
  <si>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</si>
  <si>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</si>
  <si>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</si>
  <si>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</si>
  <si>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</si>
  <si>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</si>
  <si>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</si>
  <si>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</si>
  <si>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</si>
  <si>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</si>
  <si>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</si>
  <si>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</si>
  <si>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</si>
  <si>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</si>
  <si>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</si>
  <si>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</si>
  <si>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</si>
  <si>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</si>
  <si>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</si>
  <si>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</si>
  <si>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</si>
  <si>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</si>
  <si>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</si>
  <si>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</si>
  <si>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</si>
  <si>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</si>
  <si>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</si>
  <si>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</si>
  <si>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</si>
  <si>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</si>
  <si>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</si>
  <si>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</si>
  <si>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</si>
  <si>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</si>
  <si>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</si>
  <si>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</si>
  <si>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</si>
  <si>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</si>
  <si>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</si>
  <si>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</si>
  <si>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</si>
  <si>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</si>
  <si>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</si>
  <si>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</si>
  <si>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</si>
  <si>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</si>
  <si>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</si>
  <si>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</si>
  <si>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</si>
  <si>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</si>
  <si>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</si>
  <si>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</si>
  <si>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</si>
  <si>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</si>
  <si>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</si>
  <si>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</si>
  <si>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</si>
  <si>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</si>
  <si>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</si>
  <si>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</si>
  <si>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</si>
  <si>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</si>
  <si>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</si>
  <si>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</si>
  <si>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</si>
  <si>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</si>
  <si>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</si>
  <si>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</si>
  <si>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</si>
  <si>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</si>
  <si>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</si>
  <si>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</si>
  <si>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</si>
  <si>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</si>
  <si>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</si>
  <si>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</si>
  <si>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</si>
  <si>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</si>
  <si>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</si>
  <si>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</si>
  <si>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</si>
  <si>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</si>
  <si>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</si>
  <si>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</si>
  <si>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</si>
  <si>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</si>
  <si>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</si>
  <si>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</si>
  <si>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</si>
  <si>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</si>
  <si>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</si>
  <si>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</si>
  <si>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</si>
  <si>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</si>
  <si>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</si>
  <si>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</si>
  <si>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</si>
  <si>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</si>
  <si>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</si>
  <si>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</si>
  <si>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</si>
  <si>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</si>
  <si>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</si>
  <si>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</si>
  <si>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</si>
  <si>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</si>
  <si>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</si>
  <si>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</si>
  <si>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</si>
  <si>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</si>
  <si>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</si>
  <si>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</si>
  <si>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</si>
  <si>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</si>
  <si>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</si>
  <si>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</si>
  <si>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</si>
  <si>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</si>
  <si>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</si>
  <si>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</si>
  <si>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</si>
  <si>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</si>
  <si>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</si>
  <si>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</si>
  <si>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</si>
  <si>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</si>
  <si>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</si>
  <si>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</si>
  <si>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</si>
  <si>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</si>
  <si>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</si>
  <si>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</si>
  <si>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</si>
  <si>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</si>
  <si>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</si>
  <si>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</si>
  <si>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</si>
  <si>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</si>
  <si>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</si>
  <si>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</si>
  <si>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</si>
  <si>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</si>
  <si>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</si>
  <si>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</si>
  <si>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</si>
  <si>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</si>
  <si>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</si>
  <si>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</si>
  <si>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</si>
  <si>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</si>
  <si>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</si>
  <si>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</si>
  <si>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</si>
  <si>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</si>
  <si>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</si>
  <si>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</si>
  <si>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</si>
  <si>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</si>
  <si>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</si>
  <si>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</si>
  <si>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</si>
  <si>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</si>
  <si>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</si>
  <si>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</si>
  <si>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</si>
  <si>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</si>
  <si>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</si>
  <si>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</si>
  <si>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</si>
  <si>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</si>
  <si>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</si>
  <si>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</si>
  <si>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</si>
  <si>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</si>
  <si>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</si>
  <si>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</si>
  <si>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</si>
  <si>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</si>
  <si>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</si>
  <si>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</si>
  <si>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</si>
  <si>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</si>
  <si>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</si>
  <si>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</si>
  <si>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</si>
  <si>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</si>
  <si>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</si>
  <si>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</si>
  <si>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</si>
  <si>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</si>
  <si>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</si>
  <si>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</si>
  <si>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</si>
  <si>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</si>
  <si>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</si>
  <si>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</si>
  <si>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</si>
  <si>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</si>
  <si>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</si>
  <si>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</si>
  <si>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</si>
  <si>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</si>
  <si>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</si>
  <si>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</si>
  <si>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</si>
  <si>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</si>
  <si>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</si>
  <si>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</si>
  <si>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</si>
  <si>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</si>
  <si>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</si>
  <si>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</si>
  <si>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</si>
  <si>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</si>
  <si>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</si>
  <si>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</si>
  <si>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</si>
  <si>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</si>
  <si>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</si>
  <si>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</si>
  <si>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</si>
  <si>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</si>
  <si>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</si>
  <si>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</si>
  <si>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</si>
  <si>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</si>
  <si>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</si>
  <si>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</si>
  <si>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</si>
  <si>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</si>
  <si>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</si>
  <si>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</si>
  <si>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</si>
  <si>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</si>
  <si>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</si>
  <si>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</si>
  <si>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</si>
  <si>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</si>
  <si>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</si>
  <si>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</si>
  <si>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</si>
  <si>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</si>
  <si>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</si>
  <si>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</si>
  <si>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</si>
  <si>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</si>
  <si>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</si>
  <si>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</si>
  <si>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</si>
  <si>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</si>
  <si>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</si>
  <si>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</si>
  <si>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</si>
  <si>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</si>
  <si>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</si>
  <si>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</si>
  <si>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</si>
  <si>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</si>
  <si>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</si>
  <si>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</si>
  <si>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</si>
  <si>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</si>
  <si>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</si>
  <si>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</si>
  <si>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</si>
  <si>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</si>
  <si>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</si>
  <si>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</si>
  <si>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</si>
  <si>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</si>
  <si>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</si>
  <si>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</si>
  <si>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</si>
  <si>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</si>
  <si>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</si>
  <si>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</si>
  <si>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</si>
  <si>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</si>
  <si>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</si>
  <si>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</si>
  <si>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</si>
  <si>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</si>
  <si>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</si>
  <si>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</si>
  <si>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</si>
  <si>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</si>
  <si>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</si>
  <si>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</si>
  <si>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</si>
  <si>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</si>
  <si>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</si>
  <si>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</si>
  <si>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</si>
  <si>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</si>
  <si>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</si>
  <si>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</si>
  <si>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</si>
  <si>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</si>
  <si>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</si>
  <si>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</si>
  <si>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</si>
  <si>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</si>
  <si>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</si>
  <si>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</si>
  <si>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</si>
  <si>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</si>
  <si>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</si>
  <si>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</si>
  <si>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</si>
  <si>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</si>
  <si>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</si>
  <si>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</si>
  <si>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</si>
  <si>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</si>
  <si>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</si>
  <si>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</si>
  <si>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</si>
  <si>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</si>
  <si>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</si>
  <si>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</si>
  <si>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</si>
  <si>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</si>
  <si>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</si>
  <si>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</si>
  <si>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</si>
  <si>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</si>
  <si>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</si>
  <si>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</si>
  <si>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</si>
  <si>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</si>
  <si>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</si>
  <si>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</si>
  <si>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</si>
  <si>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</si>
  <si>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</si>
  <si>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</si>
  <si>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</si>
  <si>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</si>
  <si>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</si>
  <si>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</si>
  <si>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</si>
  <si>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</si>
  <si>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</si>
  <si>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</si>
  <si>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</si>
  <si>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</si>
  <si>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</si>
  <si>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</si>
  <si>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</si>
  <si>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</si>
  <si>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</si>
  <si>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</si>
  <si>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</si>
  <si>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</si>
  <si>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</si>
  <si>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</si>
  <si>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</si>
  <si>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</si>
  <si>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</si>
  <si>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</si>
  <si>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</si>
  <si>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</si>
  <si>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</si>
  <si>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</si>
  <si>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</si>
  <si>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</si>
  <si>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</si>
  <si>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</si>
  <si>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</si>
  <si>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</si>
  <si>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</si>
  <si>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</si>
  <si>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</si>
  <si>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</si>
  <si>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</si>
  <si>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</si>
  <si>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</si>
  <si>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</si>
  <si>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</si>
  <si>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</si>
  <si>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</si>
  <si>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</si>
  <si>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</si>
  <si>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</si>
  <si>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</si>
  <si>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</si>
  <si>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</si>
  <si>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</si>
  <si>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</si>
  <si>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</si>
  <si>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</si>
  <si>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</si>
  <si>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</si>
  <si>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</si>
  <si>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</si>
  <si>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</si>
  <si>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</si>
  <si>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</si>
  <si>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</si>
  <si>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</si>
  <si>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</si>
  <si>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</si>
  <si>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</si>
  <si>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</si>
  <si>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</si>
  <si>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</si>
  <si>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</si>
  <si>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</si>
  <si>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</si>
  <si>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</si>
  <si>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</si>
  <si>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</si>
  <si>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</si>
  <si>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</si>
  <si>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</si>
  <si>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</si>
  <si>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</si>
  <si>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</si>
  <si>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</si>
  <si>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</si>
  <si>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</si>
  <si>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</si>
  <si>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</si>
  <si>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</si>
  <si>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</si>
  <si>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</si>
  <si>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</si>
  <si>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</si>
  <si>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</si>
  <si>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</si>
  <si>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</si>
  <si>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</si>
  <si>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</si>
  <si>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</si>
  <si>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</si>
  <si>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</si>
  <si>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</si>
  <si>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</si>
  <si>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</si>
  <si>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</si>
  <si>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</si>
  <si>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</si>
  <si>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</si>
  <si>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</si>
  <si>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</si>
  <si>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</si>
  <si>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</si>
  <si>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</si>
  <si>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</si>
  <si>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</si>
  <si>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</si>
  <si>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</si>
  <si>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</si>
  <si>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</si>
  <si>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</si>
  <si>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</si>
  <si>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</si>
  <si>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</si>
  <si>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</si>
  <si>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</si>
  <si>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</si>
  <si>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</si>
  <si>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</si>
  <si>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</si>
  <si>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</si>
  <si>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</si>
  <si>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</si>
  <si>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</si>
  <si>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</si>
  <si>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</si>
  <si>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</si>
  <si>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</si>
  <si>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</si>
  <si>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</si>
  <si>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</si>
  <si>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</si>
  <si>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</si>
  <si>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</si>
  <si>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</si>
  <si>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</si>
  <si>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</si>
  <si>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</si>
  <si>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</si>
  <si>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</si>
  <si>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</si>
  <si>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</si>
  <si>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</si>
  <si>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</si>
  <si>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</si>
  <si>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</si>
  <si>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</si>
  <si>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</si>
  <si>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</si>
  <si>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</si>
  <si>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</si>
  <si>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</si>
  <si>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</si>
  <si>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</si>
  <si>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</si>
  <si>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</si>
  <si>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</si>
  <si>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</si>
  <si>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</si>
  <si>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</si>
  <si>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</si>
  <si>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</si>
  <si>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</si>
  <si>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</si>
  <si>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</si>
  <si>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</si>
  <si>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</si>
  <si>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</si>
  <si>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</si>
  <si>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</si>
  <si>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</si>
  <si>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</si>
  <si>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</si>
  <si>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</si>
  <si>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</si>
  <si>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</si>
  <si>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</si>
  <si>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</si>
  <si>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</si>
  <si>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</si>
  <si>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</si>
  <si>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</si>
  <si>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</si>
  <si>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</si>
  <si>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</si>
  <si>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</si>
  <si>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</si>
  <si>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</si>
  <si>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</si>
  <si>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</si>
  <si>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</si>
  <si>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</si>
  <si>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</si>
  <si>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</si>
  <si>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</si>
  <si>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</si>
  <si>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</si>
  <si>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</si>
  <si>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</si>
  <si>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</si>
  <si>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</si>
  <si>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</si>
  <si>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</si>
  <si>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</si>
  <si>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</si>
  <si>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</si>
  <si>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</si>
  <si>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</si>
  <si>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</si>
  <si>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</si>
  <si>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</si>
  <si>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</si>
  <si>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</si>
  <si>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</si>
  <si>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</si>
  <si>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</si>
  <si>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</si>
  <si>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</si>
  <si>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</si>
  <si>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</si>
  <si>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</si>
  <si>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</si>
  <si>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</si>
  <si>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</si>
  <si>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</si>
  <si>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</si>
  <si>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</si>
  <si>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</si>
  <si>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</si>
  <si>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</si>
  <si>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</si>
  <si>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</si>
  <si>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</si>
  <si>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</si>
  <si>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</si>
  <si>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</si>
  <si>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</si>
  <si>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</si>
  <si>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</si>
  <si>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</si>
  <si>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</si>
  <si>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</si>
  <si>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</si>
  <si>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</si>
  <si>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</si>
  <si>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</si>
  <si>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</si>
  <si>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</si>
  <si>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</si>
  <si>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</si>
  <si>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</si>
  <si>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</si>
  <si>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</si>
  <si>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</si>
  <si>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</si>
  <si>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</si>
  <si>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</si>
  <si>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</si>
  <si>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</si>
  <si>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</si>
  <si>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</si>
  <si>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</si>
  <si>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</si>
  <si>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</si>
  <si>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</si>
  <si>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</si>
  <si>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</si>
  <si>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</si>
  <si>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</si>
  <si>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</si>
  <si>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</si>
  <si>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</si>
  <si>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</si>
  <si>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</si>
  <si>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</si>
  <si>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</si>
  <si>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</si>
  <si>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</si>
  <si>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</si>
  <si>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</si>
  <si>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</si>
  <si>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</si>
  <si>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</si>
  <si>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</si>
  <si>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</si>
  <si>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</si>
  <si>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</si>
  <si>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</si>
  <si>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</si>
  <si>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</si>
  <si>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</si>
  <si>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</si>
  <si>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</si>
  <si>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</si>
  <si>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</si>
  <si>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</si>
  <si>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</si>
  <si>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</si>
  <si>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</si>
  <si>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</si>
  <si>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</si>
  <si>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</si>
  <si>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</si>
  <si>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</si>
  <si>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</si>
  <si>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</si>
  <si>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</si>
  <si>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</si>
  <si>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</si>
  <si>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</si>
  <si>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</si>
  <si>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</si>
  <si>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</si>
  <si>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</si>
  <si>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</si>
  <si>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</si>
  <si>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</si>
  <si>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</si>
  <si>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</si>
  <si>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</si>
  <si>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</si>
  <si>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</si>
  <si>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</si>
  <si>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</si>
  <si>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</si>
  <si>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</si>
  <si>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</si>
  <si>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</si>
  <si>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</si>
  <si>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</si>
  <si>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</si>
  <si>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</si>
  <si>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</si>
  <si>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</si>
  <si>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</si>
  <si>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</si>
  <si>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</si>
  <si>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</si>
  <si>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</si>
  <si>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</si>
  <si>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</si>
  <si>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</si>
  <si>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</si>
  <si>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</si>
  <si>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</si>
  <si>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</si>
  <si>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</si>
  <si>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</si>
  <si>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</si>
  <si>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</si>
  <si>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</si>
  <si>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</si>
  <si>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</si>
  <si>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</si>
  <si>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</si>
  <si>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</si>
  <si>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</si>
  <si>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</si>
  <si>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</si>
  <si>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</si>
  <si>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</si>
  <si>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</si>
  <si>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</si>
  <si>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</si>
  <si>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</si>
  <si>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</si>
  <si>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</si>
  <si>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</si>
  <si>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</si>
  <si>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</si>
  <si>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</si>
  <si>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</si>
  <si>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</si>
  <si>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</si>
  <si>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</si>
  <si>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</si>
  <si>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</si>
  <si>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</si>
  <si>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</si>
  <si>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</si>
  <si>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</si>
  <si>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</si>
  <si>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</si>
  <si>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</si>
  <si>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</si>
  <si>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</si>
  <si>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</si>
  <si>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</si>
  <si>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</si>
  <si>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</si>
  <si>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</si>
  <si>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</si>
  <si>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</si>
  <si>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</si>
  <si>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</si>
  <si>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</si>
  <si>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</si>
  <si>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</si>
  <si>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</si>
  <si>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</si>
  <si>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</si>
  <si>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</si>
  <si>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</si>
  <si>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</si>
  <si>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</si>
  <si>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</si>
  <si>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</si>
  <si>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</si>
  <si>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</si>
  <si>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</si>
  <si>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</si>
  <si>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</si>
  <si>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</si>
  <si>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</si>
  <si>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</si>
  <si>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</si>
  <si>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</si>
  <si>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</si>
  <si>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</si>
  <si>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</si>
  <si>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</si>
  <si>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</si>
  <si>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</si>
  <si>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</si>
  <si>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</si>
  <si>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</si>
  <si>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</si>
  <si>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</si>
  <si>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</si>
  <si>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</si>
  <si>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</si>
  <si>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</si>
  <si>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</si>
  <si>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</si>
  <si>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</si>
  <si>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</si>
  <si>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</si>
  <si>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</si>
  <si>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</si>
  <si>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</si>
  <si>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</si>
  <si>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</si>
  <si>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</si>
  <si>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</si>
  <si>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</si>
  <si>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</si>
  <si>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</si>
  <si>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</si>
  <si>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</si>
  <si>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</si>
  <si>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</si>
  <si>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</si>
  <si>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</si>
  <si>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</si>
  <si>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</si>
  <si>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</si>
  <si>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</si>
  <si>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</si>
  <si>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</si>
  <si>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</si>
  <si>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</si>
  <si>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</si>
  <si>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</si>
  <si>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</si>
  <si>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</si>
  <si>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</si>
  <si>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</si>
  <si>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</si>
  <si>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</si>
  <si>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</si>
  <si>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</si>
  <si>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</si>
  <si>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</si>
  <si>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</si>
  <si>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</si>
  <si>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</si>
  <si>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</si>
  <si>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</si>
  <si>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</si>
  <si>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</si>
  <si>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</si>
  <si>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</si>
  <si>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</si>
  <si>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</si>
  <si>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</si>
  <si>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</si>
  <si>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</si>
  <si>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</si>
  <si>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</si>
  <si>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</si>
  <si>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</si>
  <si>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</si>
  <si>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</si>
  <si>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</si>
  <si>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</si>
  <si>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</si>
  <si>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</si>
  <si>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</si>
  <si>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</si>
  <si>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</si>
  <si>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</si>
  <si>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</si>
  <si>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</si>
  <si>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</si>
  <si>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</si>
  <si>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</si>
  <si>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</si>
  <si>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</si>
  <si>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</si>
  <si>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</si>
  <si>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</si>
  <si>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</si>
  <si>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</si>
  <si>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</si>
  <si>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</si>
  <si>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</si>
  <si>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</si>
  <si>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</si>
  <si>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</si>
  <si>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</si>
  <si>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</si>
  <si>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</si>
  <si>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</si>
  <si>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</si>
  <si>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</si>
  <si>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</si>
  <si>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</si>
  <si>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</si>
  <si>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</si>
  <si>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</si>
  <si>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</si>
  <si>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</si>
  <si>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</si>
  <si>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</si>
  <si>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</si>
  <si>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</si>
  <si>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</si>
  <si>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</si>
  <si>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</si>
  <si>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</si>
  <si>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</si>
  <si>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</si>
  <si>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</si>
  <si>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</si>
  <si>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</si>
  <si>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</si>
  <si>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</si>
  <si>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</si>
  <si>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</si>
  <si>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</si>
  <si>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</si>
  <si>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</si>
  <si>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</si>
  <si>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</si>
  <si>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</si>
  <si>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</si>
  <si>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</si>
  <si>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</si>
  <si>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</si>
  <si>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</si>
  <si>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</si>
  <si>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</si>
  <si>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</si>
  <si>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</si>
  <si>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</si>
  <si>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</si>
  <si>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</si>
  <si>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</si>
  <si>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</si>
  <si>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</si>
  <si>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</si>
  <si>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</si>
  <si>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</si>
  <si>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</si>
  <si>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</si>
  <si>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</si>
  <si>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</si>
  <si>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</si>
  <si>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</si>
  <si>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</si>
  <si>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</si>
  <si>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</si>
  <si>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</si>
  <si>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</si>
  <si>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</si>
  <si>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</si>
  <si>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</si>
  <si>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</si>
  <si>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</si>
  <si>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</si>
  <si>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</si>
  <si>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</si>
  <si>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</si>
  <si>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</si>
  <si>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</si>
  <si>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</si>
  <si>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</si>
  <si>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</si>
  <si>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</si>
  <si>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</si>
  <si>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</si>
  <si>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</si>
  <si>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</si>
  <si>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</si>
  <si>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</si>
  <si>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</si>
  <si>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</si>
  <si>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</si>
  <si>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</si>
  <si>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</si>
  <si>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</si>
  <si>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</si>
  <si>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</si>
  <si>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</si>
  <si>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</si>
  <si>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</si>
  <si>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</si>
  <si>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</si>
  <si>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</si>
  <si>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</si>
  <si>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</si>
  <si>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</si>
  <si>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</si>
  <si>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</si>
  <si>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</si>
  <si>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</si>
  <si>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</si>
  <si>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</si>
  <si>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</si>
  <si>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</si>
  <si>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</si>
  <si>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</si>
  <si>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</si>
  <si>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</si>
  <si>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</si>
  <si>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</si>
  <si>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</si>
  <si>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</si>
  <si>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</si>
  <si>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</si>
  <si>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</si>
  <si>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</si>
  <si>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</si>
  <si>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</si>
  <si>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</si>
  <si>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</si>
  <si>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</si>
  <si>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</si>
  <si>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</si>
  <si>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</si>
  <si>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</si>
  <si>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</si>
  <si>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</si>
  <si>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</si>
  <si>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</si>
  <si>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</si>
  <si>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</si>
  <si>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</si>
  <si>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</si>
  <si>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</si>
  <si>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</si>
  <si>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</si>
  <si>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</si>
  <si>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</si>
  <si>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</si>
  <si>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</si>
  <si>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</si>
  <si>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</si>
  <si>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</si>
  <si>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</si>
  <si>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</si>
  <si>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</si>
  <si>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</si>
  <si>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</si>
  <si>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</si>
  <si>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</si>
  <si>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</si>
  <si>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</si>
  <si>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</si>
  <si>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</si>
  <si>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</si>
  <si>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</si>
  <si>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</si>
  <si>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</si>
  <si>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</si>
  <si>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</si>
  <si>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</si>
  <si>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</si>
  <si>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</si>
  <si>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</si>
  <si>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</si>
  <si>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</si>
  <si>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</si>
  <si>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</si>
  <si>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</si>
  <si>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</si>
  <si>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</si>
  <si>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</si>
  <si>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</si>
  <si>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</si>
  <si>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</si>
  <si>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</si>
  <si>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</si>
  <si>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</si>
  <si>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</si>
  <si>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</si>
  <si>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</si>
  <si>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</si>
  <si>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</si>
  <si>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</si>
  <si>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</si>
  <si>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</si>
  <si>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</si>
  <si>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</si>
  <si>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</si>
  <si>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</si>
  <si>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</si>
  <si>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</si>
  <si>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</si>
  <si>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</si>
  <si>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</si>
  <si>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</si>
  <si>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</si>
  <si>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</si>
  <si>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</si>
  <si>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</si>
  <si>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</si>
  <si>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</si>
  <si>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</si>
  <si>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</si>
  <si>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</si>
  <si>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</si>
  <si>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</si>
  <si>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</si>
  <si>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</si>
  <si>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</si>
  <si>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</si>
  <si>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</si>
  <si>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</si>
  <si>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</si>
  <si>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</si>
  <si>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</si>
  <si>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</si>
  <si>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</si>
  <si>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</si>
  <si>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</si>
  <si>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</si>
  <si>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</si>
  <si>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</si>
  <si>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</si>
  <si>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</si>
  <si>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</si>
  <si>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</si>
  <si>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</si>
  <si>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</si>
  <si>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</si>
  <si>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</si>
  <si>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</si>
  <si>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</si>
  <si>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</si>
  <si>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</si>
  <si>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</si>
  <si>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</si>
  <si>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</si>
  <si>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</si>
  <si>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</si>
  <si>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</si>
  <si>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</si>
  <si>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</si>
  <si>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</si>
  <si>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</si>
  <si>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</si>
  <si>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</si>
  <si>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</si>
  <si>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</si>
  <si>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</si>
  <si>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</si>
  <si>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</si>
  <si>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</si>
  <si>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</si>
  <si>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</si>
  <si>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</si>
  <si>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</si>
  <si>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</si>
  <si>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</si>
  <si>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</si>
  <si>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</si>
  <si>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</si>
  <si>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</si>
  <si>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</si>
  <si>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</si>
  <si>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</si>
  <si>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</si>
  <si>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</si>
  <si>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</si>
  <si>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</si>
  <si>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</si>
  <si>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</si>
  <si>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</si>
  <si>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</si>
  <si>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</si>
  <si>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</si>
  <si>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</si>
  <si>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</si>
  <si>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</si>
  <si>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</si>
  <si>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</si>
  <si>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</si>
  <si>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</si>
  <si>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</si>
  <si>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</si>
  <si>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</si>
  <si>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</si>
  <si>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</si>
  <si>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</si>
  <si>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</si>
  <si>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</si>
  <si>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</si>
  <si>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</si>
  <si>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</si>
  <si>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</si>
  <si>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</si>
  <si>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</si>
  <si>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</si>
  <si>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</si>
  <si>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</si>
  <si>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</si>
  <si>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</si>
  <si>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</si>
  <si>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</si>
  <si>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</si>
  <si>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</si>
  <si>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</si>
  <si>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</si>
  <si>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</si>
  <si>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</si>
  <si>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</si>
  <si>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</si>
  <si>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</si>
  <si>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</si>
  <si>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</si>
  <si>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</si>
  <si>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</si>
  <si>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</si>
  <si>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</si>
  <si>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</si>
  <si>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</si>
  <si>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</si>
  <si>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</si>
  <si>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</si>
  <si>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</si>
  <si>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</si>
  <si>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</si>
  <si>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</si>
  <si>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</si>
  <si>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</si>
  <si>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</si>
  <si>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</si>
  <si>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</si>
  <si>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</si>
  <si>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</si>
  <si>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</si>
  <si>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</si>
  <si>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</si>
  <si>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</si>
  <si>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</si>
  <si>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</si>
  <si>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</si>
  <si>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</si>
  <si>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</si>
  <si>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</si>
  <si>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</si>
  <si>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</si>
  <si>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</si>
  <si>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</si>
  <si>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</si>
  <si>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</si>
  <si>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</si>
  <si>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</si>
  <si>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</si>
  <si>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</si>
  <si>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</si>
  <si>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</si>
  <si>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</si>
  <si>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</si>
  <si>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</si>
  <si>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</si>
  <si>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</si>
  <si>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</si>
  <si>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</si>
  <si>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</si>
  <si>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</si>
  <si>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</si>
  <si>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</si>
  <si>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</si>
  <si>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</si>
  <si>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</si>
  <si>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</si>
  <si>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</si>
  <si>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</si>
  <si>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</si>
  <si>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</si>
  <si>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</si>
  <si>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</si>
  <si>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</si>
  <si>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</si>
  <si>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</si>
  <si>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</si>
  <si>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</si>
  <si>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</si>
  <si>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</si>
  <si>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</si>
  <si>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</si>
  <si>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</si>
  <si>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</si>
  <si>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</si>
  <si>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</si>
  <si>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</si>
  <si>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</si>
  <si>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</si>
  <si>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</si>
  <si>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</si>
  <si>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</si>
  <si>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</si>
  <si>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</si>
  <si>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</si>
  <si>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</si>
  <si>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</si>
  <si>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</si>
  <si>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</si>
  <si>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</si>
  <si>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</si>
  <si>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</si>
  <si>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</si>
  <si>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</si>
  <si>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</si>
  <si>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</si>
  <si>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</si>
  <si>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</si>
  <si>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</si>
  <si>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</si>
  <si>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</si>
  <si>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</si>
  <si>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</si>
  <si>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</si>
  <si>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</si>
  <si>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</si>
  <si>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</si>
  <si>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</si>
  <si>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</si>
  <si>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</si>
  <si>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</si>
  <si>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</si>
  <si>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</si>
  <si>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</si>
  <si>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</si>
  <si>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</si>
  <si>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</si>
  <si>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</si>
  <si>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</si>
  <si>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</si>
  <si>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</si>
  <si>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</si>
  <si>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</si>
  <si>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</si>
  <si>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</si>
  <si>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</si>
  <si>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</si>
  <si>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</si>
  <si>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</si>
  <si>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</si>
  <si>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</si>
  <si>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</si>
  <si>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</si>
  <si>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</si>
  <si>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</si>
  <si>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</si>
  <si>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</si>
  <si>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</si>
  <si>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</si>
  <si>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</si>
  <si>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</si>
  <si>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</si>
  <si>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</si>
  <si>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</si>
  <si>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</si>
  <si>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</si>
  <si>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</si>
  <si>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</si>
  <si>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</si>
  <si>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</si>
  <si>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</si>
  <si>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</si>
  <si>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</si>
  <si>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</si>
  <si>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</si>
  <si>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</si>
  <si>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</si>
  <si>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</si>
  <si>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</si>
  <si>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</si>
  <si>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</si>
  <si>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</si>
  <si>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</si>
  <si>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</si>
  <si>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</si>
  <si>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</si>
  <si>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</si>
  <si>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</si>
  <si>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</si>
  <si>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</si>
  <si>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</si>
  <si>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</si>
  <si>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</si>
  <si>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</si>
  <si>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</si>
  <si>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</si>
  <si>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</si>
  <si>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</si>
  <si>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</si>
  <si>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</si>
  <si>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</si>
  <si>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</si>
  <si>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</si>
  <si>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</si>
  <si>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</si>
  <si>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</si>
  <si>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</si>
  <si>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</si>
  <si>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</si>
  <si>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</si>
  <si>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</si>
  <si>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</si>
  <si>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</si>
  <si>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</si>
  <si>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</si>
  <si>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</si>
  <si>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</si>
  <si>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</si>
  <si>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</si>
  <si>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</si>
  <si>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</si>
  <si>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</si>
  <si>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</si>
  <si>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</si>
  <si>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</si>
  <si>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</si>
  <si>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</si>
  <si>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</si>
  <si>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</si>
  <si>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</si>
  <si>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</si>
  <si>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</si>
  <si>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</si>
  <si>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</si>
  <si>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</si>
  <si>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</si>
  <si>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</si>
  <si>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</si>
  <si>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</si>
  <si>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</si>
  <si>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</si>
  <si>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</si>
  <si>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</si>
  <si>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</si>
  <si>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</si>
  <si>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</si>
  <si>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</si>
  <si>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</si>
  <si>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</si>
  <si>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</si>
  <si>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</si>
  <si>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</si>
  <si>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</si>
  <si>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</si>
  <si>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</si>
  <si>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</si>
  <si>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</si>
  <si>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</si>
  <si>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</si>
  <si>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</si>
  <si>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</si>
  <si>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</si>
  <si>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</si>
  <si>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</si>
  <si>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</si>
  <si>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</si>
  <si>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</si>
  <si>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</si>
  <si>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</si>
  <si>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</si>
  <si>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</si>
  <si>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</si>
  <si>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</si>
  <si>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</si>
  <si>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</si>
  <si>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</si>
  <si>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</si>
  <si>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</si>
  <si>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</si>
  <si>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</si>
  <si>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</si>
  <si>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</si>
  <si>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</si>
  <si>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</si>
  <si>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</si>
  <si>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</si>
  <si>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</si>
  <si>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</si>
  <si>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</si>
  <si>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</si>
  <si>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</si>
  <si>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</si>
  <si>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</si>
  <si>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</si>
  <si>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</si>
  <si>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</si>
  <si>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</si>
  <si>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</si>
  <si>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</si>
  <si>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</si>
  <si>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</si>
  <si>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</si>
  <si>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</si>
  <si>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</si>
  <si>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</si>
  <si>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</si>
  <si>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</si>
  <si>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</si>
  <si>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</si>
  <si>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</si>
  <si>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</si>
  <si>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</si>
  <si>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</si>
  <si>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</si>
  <si>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</si>
  <si>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</si>
  <si>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</si>
  <si>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</si>
  <si>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</si>
  <si>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</si>
  <si>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</si>
  <si>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</si>
  <si>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</si>
  <si>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</si>
  <si>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</si>
  <si>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</si>
  <si>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</si>
  <si>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</si>
  <si>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</si>
  <si>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</si>
  <si>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</si>
  <si>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</si>
  <si>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</si>
  <si>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</si>
  <si>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</si>
  <si>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</si>
  <si>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</si>
  <si>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</si>
  <si>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</si>
  <si>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</si>
  <si>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</si>
  <si>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</si>
  <si>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</si>
  <si>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</si>
  <si>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</si>
  <si>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</si>
  <si>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</si>
  <si>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</si>
  <si>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</si>
  <si>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</si>
  <si>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</si>
  <si>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</si>
  <si>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</si>
  <si>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</si>
  <si>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</si>
  <si>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</si>
  <si>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</si>
  <si>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</si>
  <si>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</si>
  <si>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</si>
  <si>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</si>
  <si>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</si>
  <si>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</si>
  <si>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</si>
  <si>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</si>
  <si>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</si>
  <si>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</si>
  <si>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</si>
  <si>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</si>
  <si>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</si>
  <si>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</si>
  <si>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</si>
  <si>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</si>
  <si>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</si>
  <si>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</si>
  <si>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</si>
  <si>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</si>
  <si>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</si>
  <si>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</si>
  <si>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</si>
  <si>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</si>
  <si>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</si>
  <si>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</si>
  <si>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</si>
  <si>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</si>
  <si>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</si>
  <si>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</si>
  <si>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</si>
  <si>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</si>
  <si>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</si>
  <si>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</si>
  <si>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</si>
  <si>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</si>
  <si>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</si>
  <si>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</si>
  <si>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</si>
  <si>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</si>
  <si>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</si>
  <si>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</si>
  <si>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</si>
  <si>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</si>
  <si>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</si>
  <si>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</si>
  <si>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</si>
  <si>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</si>
  <si>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</si>
  <si>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</si>
  <si>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</si>
  <si>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</si>
  <si>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</si>
  <si>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</si>
  <si>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</si>
  <si>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</si>
  <si>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</si>
  <si>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</si>
  <si>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</si>
  <si>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</si>
  <si>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</si>
  <si>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</si>
  <si>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</si>
  <si>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</si>
  <si>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</si>
  <si>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</si>
  <si>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</si>
  <si>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</si>
  <si>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</si>
  <si>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</si>
  <si>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</si>
  <si>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</si>
  <si>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</si>
  <si>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</si>
  <si>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</si>
  <si>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</si>
  <si>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</si>
  <si>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</si>
  <si>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</si>
  <si>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</si>
  <si>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</si>
  <si>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</si>
  <si>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</si>
  <si>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</si>
  <si>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</si>
  <si>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</si>
  <si>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</si>
  <si>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</si>
  <si>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</si>
  <si>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</si>
  <si>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</si>
  <si>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</si>
  <si>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</si>
  <si>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</si>
  <si>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</si>
  <si>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</si>
  <si>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</si>
  <si>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</si>
  <si>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</si>
  <si>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</si>
  <si>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</si>
  <si>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</si>
  <si>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</si>
  <si>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</si>
  <si>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</si>
  <si>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</si>
  <si>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</si>
  <si>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</si>
  <si>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</si>
  <si>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</si>
  <si>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</si>
  <si>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</si>
  <si>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</si>
  <si>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</si>
  <si>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</si>
  <si>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</si>
  <si>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</si>
  <si>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</si>
  <si>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</si>
  <si>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</si>
  <si>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</si>
  <si>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</si>
  <si>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</si>
  <si>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</si>
  <si>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</si>
  <si>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</si>
  <si>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</si>
  <si>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</si>
  <si>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</si>
  <si>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</si>
  <si>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</si>
  <si>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</si>
  <si>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</si>
  <si>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</si>
  <si>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</si>
  <si>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</si>
  <si>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</si>
  <si>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</si>
  <si>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</si>
  <si>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</si>
  <si>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</si>
  <si>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</si>
  <si>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</si>
  <si>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</si>
  <si>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</si>
  <si>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</si>
  <si>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</si>
  <si>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</si>
  <si>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</si>
  <si>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</si>
  <si>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</si>
  <si>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</si>
  <si>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</si>
  <si>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</si>
  <si>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</si>
  <si>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</si>
  <si>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</si>
  <si>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</si>
  <si>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</si>
  <si>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</si>
  <si>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</si>
  <si>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</si>
  <si>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</si>
  <si>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</si>
  <si>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</si>
  <si>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</si>
  <si>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</si>
  <si>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</si>
  <si>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</si>
  <si>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</si>
  <si>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</si>
  <si>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</si>
  <si>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</si>
  <si>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</si>
  <si>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</si>
  <si>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</si>
  <si>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</si>
  <si>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</si>
  <si>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</si>
  <si>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</si>
  <si>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</si>
  <si>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</si>
  <si>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</si>
  <si>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</si>
  <si>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</si>
  <si>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</si>
  <si>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</si>
  <si>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</si>
  <si>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</si>
  <si>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</si>
  <si>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</si>
  <si>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</si>
  <si>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</si>
  <si>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</si>
  <si>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</si>
  <si>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</si>
  <si>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</si>
  <si>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</si>
  <si>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</si>
  <si>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</si>
  <si>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</si>
  <si>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</si>
  <si>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</si>
  <si>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</si>
  <si>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</si>
  <si>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</si>
  <si>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</si>
  <si>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</si>
  <si>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</si>
  <si>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</si>
  <si>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</si>
  <si>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</si>
  <si>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</si>
  <si>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</si>
  <si>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</si>
  <si>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</si>
  <si>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</si>
  <si>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</si>
  <si>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</si>
  <si>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</si>
  <si>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</si>
  <si>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</si>
  <si>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</si>
  <si>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</si>
  <si>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</si>
  <si>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</si>
  <si>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</si>
  <si>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</si>
  <si>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</si>
  <si>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</si>
  <si>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</si>
  <si>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</si>
  <si>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</si>
  <si>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</si>
  <si>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</si>
  <si>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</si>
  <si>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</si>
  <si>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</si>
  <si>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</si>
  <si>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</si>
  <si>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</si>
  <si>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</si>
  <si>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</si>
  <si>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</si>
  <si>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</si>
  <si>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</si>
  <si>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</si>
  <si>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</si>
  <si>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</si>
  <si>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</si>
  <si>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</si>
  <si>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</si>
  <si>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</si>
  <si>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</si>
  <si>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</si>
  <si>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</si>
  <si>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</si>
  <si>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</si>
  <si>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</si>
  <si>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</si>
  <si>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</si>
  <si>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</si>
  <si>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</si>
  <si>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</si>
  <si>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</si>
  <si>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</si>
  <si>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</si>
  <si>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</si>
  <si>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</si>
  <si>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</si>
  <si>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</si>
  <si>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</si>
  <si>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</si>
  <si>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</si>
  <si>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</si>
  <si>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</si>
  <si>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</si>
  <si>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</si>
  <si>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</si>
  <si>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</si>
  <si>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</si>
  <si>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</si>
  <si>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</si>
  <si>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</si>
  <si>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</si>
  <si>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</si>
  <si>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</si>
  <si>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</si>
  <si>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</si>
  <si>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</si>
  <si>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</si>
  <si>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</si>
  <si>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</si>
  <si>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</si>
  <si>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</si>
  <si>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</si>
  <si>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</si>
  <si>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</si>
  <si>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</si>
  <si>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</si>
  <si>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</si>
  <si>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</si>
  <si>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</si>
  <si>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</si>
  <si>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</si>
  <si>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</si>
  <si>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</si>
  <si>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</si>
  <si>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</si>
  <si>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</si>
  <si>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</si>
  <si>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</si>
  <si>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</si>
  <si>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</si>
  <si>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</si>
  <si>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</si>
  <si>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</si>
  <si>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</si>
  <si>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</si>
  <si>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</si>
  <si>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</si>
  <si>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</si>
  <si>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</si>
  <si>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</si>
  <si>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</si>
  <si>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</si>
  <si>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</si>
  <si>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</si>
  <si>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</si>
  <si>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</si>
  <si>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</si>
  <si>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</si>
  <si>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</si>
  <si>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</si>
  <si>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</si>
  <si>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</si>
  <si>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</si>
  <si>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</si>
  <si>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</si>
  <si>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</si>
  <si>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</si>
  <si>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</si>
  <si>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</si>
  <si>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</si>
  <si>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</si>
  <si>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</si>
  <si>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</si>
  <si>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</si>
  <si>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</si>
  <si>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</si>
  <si>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</si>
  <si>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</si>
  <si>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</si>
  <si>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</si>
  <si>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</si>
  <si>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</si>
  <si>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</si>
  <si>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</si>
  <si>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</si>
  <si>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</si>
  <si>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</si>
  <si>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</si>
  <si>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</si>
  <si>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</si>
  <si>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</si>
  <si>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</si>
  <si>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</si>
  <si>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</si>
  <si>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</si>
  <si>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</si>
  <si>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</si>
  <si>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</si>
  <si>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</si>
  <si>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</si>
  <si>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</si>
  <si>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</si>
  <si>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</si>
  <si>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</si>
  <si>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</si>
  <si>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</si>
  <si>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</si>
  <si>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</si>
  <si>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</si>
  <si>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</si>
  <si>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</si>
  <si>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</si>
  <si>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</si>
  <si>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</si>
  <si>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</si>
  <si>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</si>
  <si>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</si>
  <si>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</si>
  <si>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</si>
  <si>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</si>
  <si>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</si>
  <si>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</si>
  <si>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</si>
  <si>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</si>
  <si>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</si>
  <si>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</si>
  <si>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</si>
  <si>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</si>
  <si>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</si>
  <si>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</si>
  <si>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</si>
  <si>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</si>
  <si>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</si>
  <si>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</si>
  <si>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</si>
  <si>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</si>
  <si>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</si>
  <si>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</si>
  <si>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</si>
  <si>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</si>
  <si>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</si>
  <si>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</si>
  <si>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</si>
  <si>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</si>
  <si>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</si>
  <si>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</si>
  <si>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</si>
  <si>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</si>
  <si>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</si>
  <si>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</si>
  <si>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</si>
  <si>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</si>
  <si>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</si>
  <si>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</si>
  <si>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</si>
  <si>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</si>
  <si>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</si>
  <si>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</si>
  <si>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</si>
  <si>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</si>
  <si>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</si>
  <si>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</si>
  <si>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</si>
  <si>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</si>
  <si>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</si>
  <si>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</si>
  <si>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</si>
  <si>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</si>
  <si>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</si>
  <si>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</si>
  <si>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</si>
  <si>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</si>
  <si>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</si>
  <si>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</si>
  <si>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</si>
  <si>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</si>
  <si>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</si>
  <si>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</si>
  <si>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</si>
  <si>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</si>
  <si>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</si>
  <si>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</si>
  <si>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</si>
  <si>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</si>
  <si>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</si>
  <si>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</si>
  <si>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</si>
  <si>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</si>
  <si>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</si>
  <si>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</si>
  <si>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</si>
  <si>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</si>
  <si>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</si>
  <si>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</si>
  <si>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</si>
  <si>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</si>
  <si>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</si>
  <si>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</si>
  <si>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</si>
  <si>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</si>
  <si>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</si>
  <si>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</si>
  <si>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</si>
  <si>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</si>
  <si>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</si>
  <si>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</si>
  <si>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</si>
  <si>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</si>
  <si>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</si>
  <si>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</si>
  <si>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</si>
  <si>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</si>
  <si>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</si>
  <si>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</si>
  <si>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</si>
  <si>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</si>
  <si>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</si>
  <si>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</si>
  <si>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</si>
  <si>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</si>
  <si>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</si>
  <si>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</si>
  <si>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</si>
  <si>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</si>
  <si>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</si>
  <si>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</si>
  <si>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</si>
  <si>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</si>
  <si>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</si>
  <si>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</si>
  <si>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</si>
  <si>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</si>
  <si>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</si>
  <si>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</si>
  <si>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</si>
  <si>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</si>
  <si>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</si>
  <si>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</si>
  <si>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</si>
  <si>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</si>
  <si>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</si>
  <si>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</si>
  <si>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</si>
  <si>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</si>
  <si>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</si>
  <si>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</si>
  <si>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</si>
  <si>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</si>
  <si>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</si>
  <si>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</si>
  <si>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</si>
  <si>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</si>
  <si>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</si>
  <si>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</si>
  <si>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</si>
  <si>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</si>
  <si>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</si>
  <si>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</si>
  <si>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</si>
  <si>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</si>
  <si>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</si>
  <si>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</si>
  <si>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</si>
  <si>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</si>
  <si>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</si>
  <si>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</si>
  <si>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</si>
  <si>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</si>
  <si>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</si>
  <si>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</si>
  <si>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</si>
  <si>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</si>
  <si>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</si>
  <si>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</si>
  <si>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</si>
  <si>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</si>
  <si>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</si>
  <si>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</si>
  <si>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</si>
  <si>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</si>
  <si>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</si>
  <si>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</si>
  <si>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</si>
  <si>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</si>
  <si>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</si>
  <si>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</si>
  <si>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</si>
  <si>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</si>
  <si>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</si>
  <si>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</si>
  <si>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</si>
  <si>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</si>
  <si>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</si>
  <si>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</si>
  <si>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</si>
  <si>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</si>
  <si>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</si>
  <si>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</si>
  <si>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</si>
  <si>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</si>
  <si>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</si>
  <si>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</si>
  <si>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</si>
  <si>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</si>
  <si>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</si>
  <si>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</si>
  <si>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</si>
  <si>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</si>
  <si>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</si>
  <si>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</si>
  <si>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</si>
  <si>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</si>
  <si>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</si>
  <si>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</si>
  <si>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</si>
  <si>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</si>
  <si>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</si>
  <si>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</si>
  <si>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</si>
  <si>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</si>
  <si>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</si>
  <si>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</si>
  <si>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</si>
  <si>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</si>
  <si>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</si>
  <si>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</si>
  <si>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</si>
  <si>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</si>
  <si>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</si>
  <si>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</si>
  <si>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</si>
  <si>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</si>
  <si>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</si>
  <si>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</si>
  <si>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</si>
  <si>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</si>
  <si>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</si>
  <si>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</si>
  <si>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</si>
  <si>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</si>
  <si>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</si>
  <si>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</si>
  <si>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</si>
  <si>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</si>
  <si>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</si>
  <si>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</si>
  <si>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</si>
  <si>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</si>
  <si>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</si>
  <si>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</si>
  <si>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</si>
  <si>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</si>
  <si>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</si>
  <si>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</si>
  <si>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</si>
  <si>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</si>
  <si>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</si>
  <si>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</si>
  <si>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</si>
  <si>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</si>
  <si>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</si>
  <si>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</si>
  <si>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</si>
  <si>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</si>
  <si>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</si>
  <si>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</si>
  <si>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</si>
  <si>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</si>
  <si>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</si>
  <si>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</si>
  <si>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</si>
  <si>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</si>
  <si>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</si>
  <si>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</si>
  <si>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</si>
  <si>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Gestão Pública (Passou)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</si>
  <si>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</si>
  <si>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</si>
  <si>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</si>
  <si>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</si>
  <si>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</si>
  <si>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</si>
  <si>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</si>
  <si>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</si>
  <si>
    <t>2026-074</t>
  </si>
  <si>
    <t>2026-075</t>
  </si>
  <si>
    <t>2026-076</t>
  </si>
  <si>
    <t>2026-077</t>
  </si>
  <si>
    <t>2026-078</t>
  </si>
  <si>
    <t>2026-079</t>
  </si>
  <si>
    <t>Painel Felipe</t>
  </si>
  <si>
    <t>Café e Tertúlia: Gincana dos Neurotransmissores</t>
  </si>
  <si>
    <t>220/26</t>
  </si>
  <si>
    <t>220/2026</t>
  </si>
  <si>
    <t>Isac Mendes Caixeta de Pamplona Araújo; Valéria Feitoza; Cinthia Thais de Carvalho Luz Thomazi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</si>
</sst>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9" fillId="0" borderId="1" xfId="0" applyNumberFormat="1" applyFont="1" applyFill="1" applyBorder="1" applyAlignment="1">
      <alignment vertical="center"/>
    </xf>
    <xf numFmtId="1" fontId="48" fillId="0" borderId="1" xfId="0" applyNumberFormat="1" applyFont="1" applyFill="1" applyBorder="1" applyAlignment="1">
      <alignment horizontal="center" vertical="center"/>
    </xf>
    <xf numFmtId="170" fontId="48" fillId="0" borderId="1" xfId="0" applyNumberFormat="1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horizontal="center" vertical="center"/>
    </xf>
    <xf numFmtId="0" fontId="49" fillId="0" borderId="1" xfId="0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vertical="center"/>
    </xf>
    <xf numFmtId="49" fontId="48" fillId="0" borderId="1" xfId="0" applyNumberFormat="1" applyFont="1" applyFill="1" applyBorder="1" applyAlignment="1">
      <alignment horizontal="center" vertical="center"/>
    </xf>
    <xf numFmtId="14" fontId="48" fillId="0" borderId="1" xfId="0" applyNumberFormat="1" applyFont="1" applyFill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Fill="1" applyBorder="1" applyAlignment="1">
      <alignment horizontal="center" vertical="center"/>
    </xf>
    <xf numFmtId="3" fontId="48" fillId="0" borderId="1" xfId="0" applyNumberFormat="1" applyFont="1" applyFill="1" applyBorder="1" applyAlignment="1">
      <alignment horizontal="center" vertical="center"/>
    </xf>
    <xf numFmtId="1" fontId="48" fillId="0" borderId="2" xfId="0" applyNumberFormat="1" applyFont="1" applyFill="1" applyBorder="1" applyAlignment="1">
      <alignment horizontal="center" vertical="center"/>
    </xf>
    <xf numFmtId="170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49" fontId="49" fillId="0" borderId="2" xfId="0" applyNumberFormat="1" applyFont="1" applyFill="1" applyBorder="1" applyAlignment="1">
      <alignment vertical="center"/>
    </xf>
    <xf numFmtId="0" fontId="49" fillId="0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vertical="center"/>
    </xf>
    <xf numFmtId="49" fontId="48" fillId="0" borderId="2" xfId="0" applyNumberFormat="1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Fill="1" applyBorder="1" applyAlignment="1">
      <alignment horizontal="center" vertical="center"/>
    </xf>
    <xf numFmtId="3" fontId="48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05" activePane="bottomLeft" state="frozen"/>
      <selection pane="bottomLeft" activeCell="E735" sqref="E735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2026-080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734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4" t="s">
        <v>3165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4" t="s">
        <v>3166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3167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0" t="s">
        <v>3168</v>
      </c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3174</v>
      </c>
      <c r="B730" s="183">
        <v>2026</v>
      </c>
      <c r="C730" s="183"/>
      <c r="D730" s="183"/>
      <c r="E730" s="252" t="s">
        <v>3169</v>
      </c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21:R749" si="12">IF(B730="","",SUM(O730:Q730))</f>
        <v>0</v>
      </c>
      <c r="S730" s="183"/>
      <c r="T730" s="186"/>
    </row>
    <row r="731" spans="1:20" ht="15" x14ac:dyDescent="0.25">
      <c r="A731" s="191" t="s">
        <v>3175</v>
      </c>
      <c r="B731" s="183">
        <v>2026</v>
      </c>
      <c r="C731" s="183"/>
      <c r="D731" s="183"/>
      <c r="E731" s="252" t="s">
        <v>3171</v>
      </c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2"/>
        <v>0</v>
      </c>
      <c r="S731" s="183"/>
      <c r="T731" s="186"/>
    </row>
    <row r="732" spans="1:20" ht="15" x14ac:dyDescent="0.25">
      <c r="A732" s="191" t="s">
        <v>3176</v>
      </c>
      <c r="B732" s="183">
        <v>2026</v>
      </c>
      <c r="C732" s="183"/>
      <c r="D732" s="183"/>
      <c r="E732" s="237" t="s">
        <v>3170</v>
      </c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2"/>
        <v>0</v>
      </c>
      <c r="S732" s="183"/>
      <c r="T732" s="186"/>
    </row>
    <row r="733" spans="1:20" ht="15" x14ac:dyDescent="0.25">
      <c r="A733" s="191" t="s">
        <v>3177</v>
      </c>
      <c r="B733" s="183">
        <v>2026</v>
      </c>
      <c r="C733" s="183"/>
      <c r="D733" s="183"/>
      <c r="E733" s="252" t="s">
        <v>3172</v>
      </c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2"/>
        <v>0</v>
      </c>
      <c r="S733" s="183"/>
      <c r="T733" s="186"/>
    </row>
    <row r="734" spans="1:20" ht="15" x14ac:dyDescent="0.25">
      <c r="A734" s="191" t="s">
        <v>3178</v>
      </c>
      <c r="B734" s="183">
        <v>2026</v>
      </c>
      <c r="C734" s="183"/>
      <c r="D734" s="183"/>
      <c r="E734" s="237" t="s">
        <v>3173</v>
      </c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2"/>
        <v>0</v>
      </c>
      <c r="S734" s="183"/>
      <c r="T734" s="186"/>
    </row>
    <row r="735" spans="1:20" ht="15" x14ac:dyDescent="0.25">
      <c r="A735" s="191" t="s">
        <v>3179</v>
      </c>
      <c r="B735" s="183">
        <v>2026</v>
      </c>
      <c r="C735" s="183" t="s">
        <v>22</v>
      </c>
      <c r="D735" s="183" t="s">
        <v>3182</v>
      </c>
      <c r="E735" s="184" t="s">
        <v>3181</v>
      </c>
      <c r="F735" s="185"/>
      <c r="G735" s="186" t="s">
        <v>206</v>
      </c>
      <c r="H735" s="191" t="s">
        <v>3183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2"/>
        <v>0</v>
      </c>
      <c r="S735" s="183">
        <v>2</v>
      </c>
      <c r="T735" s="186" t="s">
        <v>3184</v>
      </c>
    </row>
    <row r="736" spans="1:20" ht="15" hidden="1" x14ac:dyDescent="0.25">
      <c r="A736" s="191"/>
      <c r="B736" s="183"/>
      <c r="C736" s="183"/>
      <c r="D736" s="183"/>
      <c r="E736" s="184" t="s">
        <v>3180</v>
      </c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50"/>
      <c r="C2002" s="251"/>
      <c r="D2002" s="251"/>
      <c r="E2002" s="237"/>
      <c r="F2002" s="253"/>
      <c r="G2002" s="254"/>
      <c r="H2002" s="255"/>
      <c r="I2002" s="256"/>
      <c r="J2002" s="256"/>
      <c r="K2002" s="257"/>
      <c r="L2002" s="258"/>
      <c r="M2002" s="259"/>
      <c r="N2002" s="260"/>
      <c r="O2002" s="249"/>
      <c r="P2002" s="249"/>
      <c r="Q2002" s="249"/>
      <c r="R2002" s="249"/>
      <c r="S2002" s="251"/>
      <c r="T2002" s="254"/>
    </row>
    <row r="2003" spans="1:20" ht="15" hidden="1" x14ac:dyDescent="0.25">
      <c r="A2003" s="175"/>
      <c r="B2003" s="250"/>
      <c r="C2003" s="251"/>
      <c r="D2003" s="251"/>
      <c r="E2003" s="237"/>
      <c r="F2003" s="253"/>
      <c r="G2003" s="254"/>
      <c r="H2003" s="255"/>
      <c r="I2003" s="256"/>
      <c r="J2003" s="256"/>
      <c r="K2003" s="257"/>
      <c r="L2003" s="258"/>
      <c r="M2003" s="259"/>
      <c r="N2003" s="260"/>
      <c r="O2003" s="249"/>
      <c r="P2003" s="249"/>
      <c r="Q2003" s="249"/>
      <c r="R2003" s="249"/>
      <c r="S2003" s="251"/>
      <c r="T2003" s="254"/>
    </row>
    <row r="2004" spans="1:20" ht="22.5" hidden="1" customHeight="1" x14ac:dyDescent="0.25">
      <c r="A2004" s="175"/>
      <c r="B2004" s="239"/>
      <c r="C2004" s="240"/>
      <c r="D2004" s="240"/>
      <c r="E2004" s="237"/>
      <c r="F2004" s="241"/>
      <c r="G2004" s="242"/>
      <c r="H2004" s="243"/>
      <c r="I2004" s="244"/>
      <c r="J2004" s="244"/>
      <c r="K2004" s="245"/>
      <c r="L2004" s="246"/>
      <c r="M2004" s="247"/>
      <c r="N2004" s="248"/>
      <c r="O2004" s="238"/>
      <c r="P2004" s="238"/>
      <c r="Q2004" s="238"/>
      <c r="R2004" s="238"/>
      <c r="S2004" s="240"/>
      <c r="T2004" s="242"/>
    </row>
    <row r="2005" spans="1:20" ht="22.5" hidden="1" customHeight="1" x14ac:dyDescent="0.25">
      <c r="A2005" s="175"/>
      <c r="B2005" s="250"/>
      <c r="C2005" s="251"/>
      <c r="D2005" s="251"/>
      <c r="E2005" s="237"/>
      <c r="F2005" s="253"/>
      <c r="G2005" s="254"/>
      <c r="H2005" s="255"/>
      <c r="I2005" s="256"/>
      <c r="J2005" s="256"/>
      <c r="K2005" s="257"/>
      <c r="L2005" s="258"/>
      <c r="M2005" s="259"/>
      <c r="N2005" s="260"/>
      <c r="O2005" s="249"/>
      <c r="P2005" s="249"/>
      <c r="Q2005" s="249"/>
      <c r="R2005" s="249"/>
      <c r="S2005" s="251"/>
      <c r="T2005" s="254"/>
    </row>
    <row r="2006" spans="1:20" ht="22.5" hidden="1" customHeight="1" x14ac:dyDescent="0.25">
      <c r="A2006" s="175"/>
      <c r="B2006" s="239"/>
      <c r="C2006" s="240"/>
      <c r="D2006" s="240"/>
      <c r="E2006" s="237"/>
      <c r="F2006" s="241"/>
      <c r="G2006" s="242"/>
      <c r="H2006" s="243"/>
      <c r="I2006" s="244"/>
      <c r="J2006" s="244"/>
      <c r="K2006" s="245"/>
      <c r="L2006" s="246"/>
      <c r="M2006" s="247"/>
      <c r="N2006" s="248"/>
      <c r="O2006" s="238"/>
      <c r="P2006" s="238"/>
      <c r="Q2006" s="238"/>
      <c r="R2006" s="238"/>
      <c r="S2006" s="240"/>
      <c r="T2006" s="242"/>
    </row>
    <row r="2007" spans="1:20" ht="22.5" hidden="1" customHeight="1" x14ac:dyDescent="0.25">
      <c r="A2007" s="249"/>
      <c r="B2007" s="250"/>
      <c r="C2007" s="251"/>
      <c r="D2007" s="251"/>
      <c r="E2007" s="252"/>
      <c r="F2007" s="253"/>
      <c r="G2007" s="254"/>
      <c r="H2007" s="255"/>
      <c r="I2007" s="256"/>
      <c r="J2007" s="256"/>
      <c r="K2007" s="257"/>
      <c r="L2007" s="258"/>
      <c r="M2007" s="259"/>
      <c r="N2007" s="260"/>
      <c r="O2007" s="249"/>
      <c r="P2007" s="249"/>
      <c r="Q2007" s="249"/>
      <c r="R2007" s="249"/>
      <c r="S2007" s="251"/>
      <c r="T2007" s="25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7" priority="3">
      <formula>TRIM(C2)="Realizado"</formula>
    </cfRule>
  </conditionalFormatting>
  <conditionalFormatting sqref="C2:C2007">
    <cfRule type="expression" dxfId="6" priority="4">
      <formula>TRIM(C2)="Cancelado"</formula>
    </cfRule>
  </conditionalFormatting>
  <conditionalFormatting sqref="C2:C2007">
    <cfRule type="expression" dxfId="5" priority="5">
      <formula>TRIM(C2)="Em andamento"</formula>
    </cfRule>
  </conditionalFormatting>
  <conditionalFormatting sqref="C2:C2007">
    <cfRule type="expression" dxfId="4" priority="6">
      <formula>TRIM(C2)="Adiado"</formula>
    </cfRule>
  </conditionalFormatting>
  <conditionalFormatting sqref="A2:A2007">
    <cfRule type="expression" dxfId="3" priority="7">
      <formula>AND($B2&lt;&gt;"",$A2="")</formula>
    </cfRule>
  </conditionalFormatting>
  <conditionalFormatting sqref="L2:M2007">
    <cfRule type="expression" dxfId="2" priority="8">
      <formula>L2=""</formula>
    </cfRule>
  </conditionalFormatting>
  <conditionalFormatting sqref="A2:T726 A727:C727 E727:T727 A2002:A2006 E2007 A728:T2001">
    <cfRule type="expression" dxfId="1" priority="9">
      <formula>MOD(ROW(),2)=0</formula>
    </cfRule>
  </conditionalFormatting>
  <conditionalFormatting sqref="A2:T726 A727:C727 E727:T727 A2002:A2006 E2007 A728:T2001">
    <cfRule type="expression" dxfId="0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5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13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4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7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8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L57">
        <v>2026</v>
      </c>
      <c r="M57" t="str">
        <v>2026-079</v>
      </c>
      <c r="N57" t="str">
        <v>Realizado</v>
      </c>
      <c r="O57" t="str">
        <v>Café e Tertúlia: Gincana dos Neurotransmissores</v>
      </c>
      <c r="P57">
        <v>2</v>
      </c>
      <c r="Q57" t="str">
        <v>Isac Mendes Caixeta de Pamplona Araújo; Valéria Feitoza; Cinthia Thais de Carvalho Luz Thomazi</v>
      </c>
      <c r="R57">
        <v>3</v>
      </c>
      <c r="S57">
        <v>113</v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T58">
        <v>113</v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2026-079</v>
      </c>
      <c r="C112" t="str">
        <v>Realizado</v>
      </c>
      <c r="D112" t="str">
        <v>Café e Tertúlia: Gincana dos Neurotransmissores</v>
      </c>
      <c r="E112">
        <v>2</v>
      </c>
      <c r="F112" t="str">
        <v>Isac Mendes Caixeta de Pamplona Araújo</v>
      </c>
      <c r="G112">
        <v>3</v>
      </c>
      <c r="H112">
        <v>2</v>
      </c>
      <c r="I112">
        <v>0.6</v>
      </c>
      <c r="J112">
        <v>2.6</v>
      </c>
      <c r="R112" t="str">
        <v/>
      </c>
      <c r="S112" t="str">
        <v/>
      </c>
    </row>
    <row r="113" spans="1:19" x14ac:dyDescent="0.25">
      <c r="A113">
        <v>2026</v>
      </c>
      <c r="B113" t="str">
        <v>2026-079</v>
      </c>
      <c r="C113" t="str">
        <v>Realizado</v>
      </c>
      <c r="D113" t="str">
        <v>Café e Tertúlia: Gincana dos Neurotransmissores</v>
      </c>
      <c r="E113">
        <v>2</v>
      </c>
      <c r="F113" t="str">
        <v>Valéria Feitoza</v>
      </c>
      <c r="G113">
        <v>3</v>
      </c>
      <c r="H113">
        <v>2</v>
      </c>
      <c r="I113">
        <v>0.6</v>
      </c>
      <c r="J113">
        <v>2.6</v>
      </c>
      <c r="R113" t="str">
        <v/>
      </c>
      <c r="S113" t="str">
        <v/>
      </c>
    </row>
    <row r="114" spans="1:19" x14ac:dyDescent="0.25">
      <c r="A114">
        <v>2026</v>
      </c>
      <c r="B114" t="str">
        <v>2026-079</v>
      </c>
      <c r="C114" t="str">
        <v>Realizado</v>
      </c>
      <c r="D114" t="str">
        <v>Café e Tertúlia: Gincana dos Neurotransmissores</v>
      </c>
      <c r="E114">
        <v>2</v>
      </c>
      <c r="F114" t="str">
        <v>Cinthia Thais de Carvalho Luz Thomazi</v>
      </c>
      <c r="G114">
        <v>3</v>
      </c>
      <c r="H114">
        <v>2</v>
      </c>
      <c r="I114">
        <v>0.6</v>
      </c>
      <c r="J114">
        <v>2.6</v>
      </c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79</v>
      </c>
      <c r="B5" s="36" t="s">
        <v>3060</v>
      </c>
      <c r="D5" s="43">
        <f>COUNTIFS('Ações InCompany'!B:B,2026,'Ações InCompany'!C:C,"Realizado")</f>
        <v>39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0.31818181818181818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4.5454545454545456E-2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9.0909090909090912E-2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3.0303030303030304E-2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2</v>
      </c>
      <c r="D37" s="37">
        <f t="shared" si="0"/>
        <v>5</v>
      </c>
      <c r="E37" s="38">
        <f t="shared" si="1"/>
        <v>7.575757575757576E-2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0.21212121212121213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6.0606060606060608E-2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3.0303030303030304E-2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0.10606060606060606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3.0303030303030304E-2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39</v>
      </c>
      <c r="C45" s="41">
        <f>SUM(C33:C44)</f>
        <v>27</v>
      </c>
      <c r="D45" s="41">
        <f>SUM(D33:D44)</f>
        <v>66</v>
      </c>
      <c r="E45" s="42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39</v>
      </c>
      <c r="C14" s="26">
        <f>IF($A14="","",SUMIFS('GECC 2026'!I$2:I$200,'GECC 2026'!F$2:F$200,$A14))</f>
        <v>8.1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47.100000000000009</v>
      </c>
      <c r="F14" s="24">
        <f>IF($A14="","",COUNTIFS('GECC 2026'!F$2:F$200,$A14))</f>
        <v>8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2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2.6</v>
      </c>
      <c r="F32" s="24">
        <f>IF($A32="","",COUNTIFS('GECC 2026'!F$2:F$200,$A32))</f>
        <v>2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2</v>
      </c>
      <c r="C54" s="26">
        <f>IF($A54="","",SUMIFS('GECC 2026'!I$2:I$200,'GECC 2026'!F$2:F$200,$A54))</f>
        <v>0.6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2.6</v>
      </c>
      <c r="F54" s="24">
        <f>IF($A54="","",COUNTIFS('GECC 2026'!F$2:F$200,$A54))</f>
        <v>2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685</v>
      </c>
      <c r="C105" s="95">
        <f>SUM(C5:C100)</f>
        <v>376.34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11" priority="1">
      <formula>$J2="CORRIGIR"</formula>
    </cfRule>
  </conditionalFormatting>
  <conditionalFormatting sqref="A2:L65">
    <cfRule type="expression" dxfId="10" priority="2">
      <formula>$J2="REVISAR"</formula>
    </cfRule>
  </conditionalFormatting>
  <conditionalFormatting sqref="A2:L65">
    <cfRule type="expression" dxfId="9" priority="3">
      <formula>$J2="OK"</formula>
    </cfRule>
  </conditionalFormatting>
  <conditionalFormatting sqref="I2:I65">
    <cfRule type="containsText" dxfId="8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e686eaa-0658-4f15-b230-9e46c4d089fd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2026-08-05T16:40:40Z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