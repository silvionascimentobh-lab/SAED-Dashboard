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65" documentId="13_ncr:1_{6A2CC3E2-FAFB-4D8F-B284-5E8FB5045DFE}" xr6:coauthVersionLast="47" xr6:coauthVersionMax="47" xr10:uidLastSave="{00DA100D-094C-4A43-B1AA-4B2CE8FF3344}"/>
  <bookViews>
    <workbookView xWindow="2868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<sst xmlns="http://schemas.openxmlformats.org/spreadsheetml/2006/main" count="7457" uniqueCount="3278">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</sst>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1" dataDxfId="50" totalsRowDxfId="49" totalsRowBorderDxfId="48">
  <autoFilter ref="A1:U2005" xr:uid="{D1BD5F14-CD6F-4B62-85D2-128A9D3B5FF1}">
    <filterColumn colId="8">
      <filters>
        <dateGroupItem year="2026" month="10" day="21" dateTimeGrouping="day"/>
      </filters>
    </filterColumn>
  </autoFilter>
  <tableColumns count="21">
    <tableColumn id="1" xr3:uid="{022FA08A-515E-453B-85A4-E200B40364EE}" name="ID" dataDxfId="46" totalsRowDxfId="47"/>
    <tableColumn id="2" xr3:uid="{19532738-24D5-4BD5-BE04-C19DCC5894A1}" name="Ano" dataDxfId="44" totalsRowDxfId="45"/>
    <tableColumn id="3" xr3:uid="{8DE0B36A-F0DC-47A1-A74E-F4BE63A4FB1D}" name="Status Evento" dataDxfId="42" totalsRowDxfId="43"/>
    <tableColumn id="4" xr3:uid="{C1159FBD-CCD0-4CA2-BB8C-598E3AB5DDD8}" name="Processo" dataDxfId="40" totalsRowDxfId="41"/>
    <tableColumn id="5" xr3:uid="{A32670A4-BE4F-480D-8DE9-8FF18024C829}" name="Curso" dataDxfId="38" totalsRowDxfId="39"/>
    <tableColumn id="8" xr3:uid="{905DEA0A-D099-47EA-972D-1012D71C7792}" name="Público-Alvo" dataDxfId="36" totalsRowDxfId="37"/>
    <tableColumn id="9" xr3:uid="{7DC0A0BE-8030-47CA-AF56-2C13C9FF7AE5}" name="Programa" dataDxfId="34" totalsRowDxfId="35"/>
    <tableColumn id="11" xr3:uid="{2B799ACD-69E4-46A5-9A4F-F7E3D7A47CE9}" name="Data TXT" dataDxfId="32" totalsRowDxfId="33"/>
    <tableColumn id="12" xr3:uid="{62016C67-3729-4C41-B72D-09D6616B7474}" name="Início" dataDxfId="30" totalsRowDxfId="31"/>
    <tableColumn id="13" xr3:uid="{E4F20518-0042-40C0-B590-B7616F2843A5}" name="Término" dataDxfId="28" totalsRowDxfId="29"/>
    <tableColumn id="14" xr3:uid="{4D6C4412-CFEE-4506-830E-F79FD008371B}" name="Modalidade" dataDxfId="26" totalsRowDxfId="27"/>
    <tableColumn id="15" xr3:uid="{12EC931A-E71B-4AEB-B20B-0F9EA63D0C71}" name="Valor instrutoria" dataDxfId="24" totalsRowDxfId="25" dataCellStyle="Moeda"/>
    <tableColumn id="17" xr3:uid="{8FCDFADA-4FA3-41E0-86FF-E623116BAFEB}" name="Nota Av. Reação" dataDxfId="22" totalsRowDxfId="23"/>
    <tableColumn id="19" xr3:uid="{316EB379-BB97-4F60-9566-576B25A26B0E}" name="Qtd Vagas" dataDxfId="20" totalsRowDxfId="21"/>
    <tableColumn id="20" xr3:uid="{59A9FB16-6726-411C-88B5-8165DD520DA3}" name="P. Servidores" dataDxfId="18" totalsRowDxfId="19"/>
    <tableColumn id="21" xr3:uid="{0246E091-ADCD-4F62-8F95-84B21E8A7BE1}" name="P. Jurisdicionados" dataDxfId="16" totalsRowDxfId="17"/>
    <tableColumn id="22" xr3:uid="{1B6DBD6D-C072-4600-81C1-69D6F4422D7D}" name="P. Sociedade" dataDxfId="14" totalsRowDxfId="15"/>
    <tableColumn id="23" xr3:uid="{109F7E4E-776C-4249-88BE-FEC3A375D7D9}" name="Total Part." dataDxfId="12" totalsRowDxfId="13"/>
    <tableColumn id="24" xr3:uid="{C67AA4C6-834C-4EBB-839B-EF0CDD50F649}" name="C.H." dataDxfId="10" totalsRowDxfId="11"/>
    <tableColumn id="26" xr3:uid="{973608F6-3E97-493C-AC61-980F73C13CD6}" name="Instrutor" dataDxfId="8" totalsRowDxfId="9"/>
    <tableColumn id="6" xr3:uid="{F31C00D3-B2F3-431E-B544-9F6C588B52B0}" name="Coluna1" dataDxfId="6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7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9" activePane="bottomLeft" state="frozen"/>
      <selection pane="bottomLeft" activeCell="A2006" sqref="A200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hidden="1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hidden="1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 x14ac:dyDescent="0.25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hidden="1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hidden="1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hidden="1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hidden="1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hidden="1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hidden="1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hidden="1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hidden="1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hidden="1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hidden="1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hidden="1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hidden="1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hidden="1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hidden="1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hidden="1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hidden="1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hidden="1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hidden="1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hidden="1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hidden="1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hidden="1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hidden="1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hidden="1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hidden="1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hidden="1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hidden="1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hidden="1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hidden="1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hidden="1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hidden="1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hidden="1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hidden="1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hidden="1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hidden="1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hidden="1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hidden="1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hidden="1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hidden="1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hidden="1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hidden="1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hidden="1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hidden="1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hidden="1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hidden="1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hidden="1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hidden="1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hidden="1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hidden="1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hidden="1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hidden="1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hidden="1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hidden="1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hidden="1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hidden="1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hidden="1" x14ac:dyDescent="0.25">
      <c r="A719" s="153" t="s">
        <v>2948</v>
      </c>
      <c r="B719" s="134">
        <v>2026</v>
      </c>
      <c r="C719" s="151" t="s">
        <v>2949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hidden="1" x14ac:dyDescent="0.25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hidden="1" customHeight="1" x14ac:dyDescent="0.25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hidden="1" customHeight="1" x14ac:dyDescent="0.25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hidden="1" x14ac:dyDescent="0.25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hidden="1" x14ac:dyDescent="0.25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hidden="1" x14ac:dyDescent="0.25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hidden="1" x14ac:dyDescent="0.25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43" si="15">IF(B726="","",SUM(O726:Q726))</f>
        <v>40</v>
      </c>
      <c r="S726" s="151">
        <v>5</v>
      </c>
      <c r="T726" s="152" t="s">
        <v>2981</v>
      </c>
      <c r="U726" s="208"/>
    </row>
    <row r="727" spans="1:21" ht="15" hidden="1" x14ac:dyDescent="0.25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hidden="1" x14ac:dyDescent="0.25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2949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si="15"/>
        <v>20</v>
      </c>
      <c r="S729" s="151">
        <v>3</v>
      </c>
      <c r="T729" s="152" t="s">
        <v>1922</v>
      </c>
      <c r="U729" s="208"/>
    </row>
    <row r="730" spans="1:21" ht="15" hidden="1" x14ac:dyDescent="0.25">
      <c r="A730" s="153" t="s">
        <v>2991</v>
      </c>
      <c r="B730" s="151">
        <v>2026</v>
      </c>
      <c r="C730" s="151" t="s">
        <v>2949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5"/>
        <v>80</v>
      </c>
      <c r="S730" s="151">
        <v>4</v>
      </c>
      <c r="T730" s="152"/>
      <c r="U730" s="208"/>
    </row>
    <row r="731" spans="1:21" ht="15" hidden="1" x14ac:dyDescent="0.25">
      <c r="A731" s="153" t="s">
        <v>2995</v>
      </c>
      <c r="B731" s="151">
        <v>2026</v>
      </c>
      <c r="C731" s="151" t="s">
        <v>2949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5"/>
        <v>100</v>
      </c>
      <c r="S731" s="151">
        <v>3</v>
      </c>
      <c r="T731" s="152"/>
      <c r="U731" s="208"/>
    </row>
    <row r="732" spans="1:21" ht="15" hidden="1" x14ac:dyDescent="0.25">
      <c r="A732" s="153" t="s">
        <v>2998</v>
      </c>
      <c r="B732" s="151">
        <v>2026</v>
      </c>
      <c r="C732" s="151" t="s">
        <v>2949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5"/>
        <v>50</v>
      </c>
      <c r="S732" s="151"/>
      <c r="T732" s="152"/>
      <c r="U732" s="208"/>
    </row>
    <row r="733" spans="1:21" ht="15" hidden="1" x14ac:dyDescent="0.25">
      <c r="A733" s="153" t="s">
        <v>3002</v>
      </c>
      <c r="B733" s="151">
        <v>2026</v>
      </c>
      <c r="C733" s="151" t="s">
        <v>2949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5"/>
        <v>0</v>
      </c>
      <c r="S733" s="151">
        <v>8</v>
      </c>
      <c r="T733" s="152" t="s">
        <v>2829</v>
      </c>
      <c r="U733" s="208"/>
    </row>
    <row r="734" spans="1:21" ht="15" hidden="1" x14ac:dyDescent="0.25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5"/>
        <v>0</v>
      </c>
      <c r="S734" s="151"/>
      <c r="T734" s="152"/>
      <c r="U734" s="208"/>
    </row>
    <row r="735" spans="1:21" ht="15" hidden="1" x14ac:dyDescent="0.25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5"/>
        <v>30</v>
      </c>
      <c r="S735" s="151">
        <v>8</v>
      </c>
      <c r="T735" s="152" t="s">
        <v>2893</v>
      </c>
      <c r="U735" s="208"/>
    </row>
    <row r="736" spans="1:21" ht="15" hidden="1" x14ac:dyDescent="0.25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5"/>
        <v>21</v>
      </c>
      <c r="S736" s="151">
        <v>12</v>
      </c>
      <c r="T736" s="152" t="s">
        <v>3017</v>
      </c>
      <c r="U736" s="208"/>
    </row>
    <row r="737" spans="1:21" ht="15" hidden="1" x14ac:dyDescent="0.25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5"/>
        <v>20</v>
      </c>
      <c r="S737" s="151">
        <v>9</v>
      </c>
      <c r="T737" s="152" t="s">
        <v>219</v>
      </c>
      <c r="U737" s="208"/>
    </row>
    <row r="738" spans="1:21" ht="15" hidden="1" x14ac:dyDescent="0.25">
      <c r="A738" s="153" t="s">
        <v>3022</v>
      </c>
      <c r="B738" s="115">
        <v>2026</v>
      </c>
      <c r="C738" s="151" t="s">
        <v>2949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5"/>
        <v>0</v>
      </c>
      <c r="S738" s="151">
        <v>10</v>
      </c>
      <c r="T738" s="152" t="s">
        <v>3026</v>
      </c>
      <c r="U738" s="209"/>
    </row>
    <row r="739" spans="1:21" ht="15" hidden="1" x14ac:dyDescent="0.25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5"/>
        <v>21</v>
      </c>
      <c r="S739" s="151">
        <v>8</v>
      </c>
      <c r="T739" s="152" t="s">
        <v>2829</v>
      </c>
      <c r="U739" s="208"/>
    </row>
    <row r="740" spans="1:21" ht="15" hidden="1" x14ac:dyDescent="0.25">
      <c r="A740" s="153" t="s">
        <v>3030</v>
      </c>
      <c r="B740" s="151">
        <v>2026</v>
      </c>
      <c r="C740" s="151" t="s">
        <v>2949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5"/>
        <v>0</v>
      </c>
      <c r="S740" s="151">
        <v>16</v>
      </c>
      <c r="T740" s="152" t="s">
        <v>804</v>
      </c>
      <c r="U740" s="208"/>
    </row>
    <row r="741" spans="1:21" ht="15" hidden="1" x14ac:dyDescent="0.25">
      <c r="A741" s="153" t="s">
        <v>3033</v>
      </c>
      <c r="B741" s="151">
        <v>2026</v>
      </c>
      <c r="C741" s="151" t="s">
        <v>2949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5"/>
        <v>0</v>
      </c>
      <c r="S741" s="151">
        <v>4</v>
      </c>
      <c r="T741" s="152" t="s">
        <v>1910</v>
      </c>
      <c r="U741" s="208"/>
    </row>
    <row r="742" spans="1:21" ht="15" hidden="1" x14ac:dyDescent="0.25">
      <c r="A742" s="153" t="s">
        <v>3037</v>
      </c>
      <c r="B742" s="115">
        <v>2026</v>
      </c>
      <c r="C742" s="151" t="s">
        <v>2949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5"/>
        <v>0</v>
      </c>
      <c r="S742" s="151">
        <v>9.66</v>
      </c>
      <c r="T742" s="152" t="s">
        <v>2893</v>
      </c>
      <c r="U742" s="208"/>
    </row>
    <row r="743" spans="1:21" ht="15" hidden="1" x14ac:dyDescent="0.25">
      <c r="A743" s="153" t="s">
        <v>3040</v>
      </c>
      <c r="B743" s="115">
        <v>2026</v>
      </c>
      <c r="C743" s="151" t="s">
        <v>2949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5"/>
        <v>0</v>
      </c>
      <c r="S743" s="151">
        <v>20</v>
      </c>
      <c r="T743" s="152" t="s">
        <v>557</v>
      </c>
      <c r="U743" s="208"/>
    </row>
    <row r="744" spans="1:21" ht="15" hidden="1" x14ac:dyDescent="0.25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ref="R744:R747" si="16">IF(B744="","",SUM(O744:Q744))</f>
        <v>0</v>
      </c>
      <c r="S744" s="151">
        <v>20</v>
      </c>
      <c r="T744" s="152" t="s">
        <v>3048</v>
      </c>
      <c r="U744" s="208"/>
    </row>
    <row r="745" spans="1:21" ht="15" hidden="1" x14ac:dyDescent="0.25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ref="R745" si="17">IF(B745="","",SUM(O745:Q745))</f>
        <v>80</v>
      </c>
      <c r="S745" s="151">
        <v>2</v>
      </c>
      <c r="T745" s="152"/>
      <c r="U745" s="208"/>
    </row>
    <row r="746" spans="1:21" ht="15" hidden="1" x14ac:dyDescent="0.25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 x14ac:dyDescent="0.25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hidden="1" x14ac:dyDescent="0.25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>IF(B748="","",SUM(O748:Q748))</f>
        <v>34</v>
      </c>
      <c r="S748" s="151">
        <v>20</v>
      </c>
      <c r="T748" s="152" t="s">
        <v>3066</v>
      </c>
      <c r="U748" s="208"/>
    </row>
    <row r="749" spans="1:21" ht="15" hidden="1" x14ac:dyDescent="0.25">
      <c r="A749" s="153" t="s">
        <v>3067</v>
      </c>
      <c r="B749" s="151">
        <v>2026</v>
      </c>
      <c r="C749" s="151" t="s">
        <v>2949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>IF(B749="","",SUM(O749:Q749))</f>
        <v>0</v>
      </c>
      <c r="S749" s="151">
        <v>20</v>
      </c>
      <c r="T749" s="152" t="s">
        <v>3066</v>
      </c>
      <c r="U749" s="208"/>
    </row>
    <row r="750" spans="1:21" ht="15" hidden="1" x14ac:dyDescent="0.25">
      <c r="A750" s="153" t="s">
        <v>3070</v>
      </c>
      <c r="B750" s="151">
        <v>2026</v>
      </c>
      <c r="C750" s="151" t="s">
        <v>2949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>IF(B750="","",SUM(O750:Q750))</f>
        <v>0</v>
      </c>
      <c r="S750" s="151">
        <v>8</v>
      </c>
      <c r="T750" s="152" t="s">
        <v>3074</v>
      </c>
      <c r="U750" s="208"/>
    </row>
    <row r="751" spans="1:21" ht="15" x14ac:dyDescent="0.2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>IF(B751="","",SUM(O751:Q751))</f>
        <v>0</v>
      </c>
      <c r="S751" s="151">
        <v>5</v>
      </c>
      <c r="T751" s="152" t="s">
        <v>2797</v>
      </c>
      <c r="U751" s="208"/>
    </row>
    <row r="752" spans="1:21" ht="15" hidden="1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5" priority="3">
      <formula>TRIM(C2)="Realizado"</formula>
    </cfRule>
  </conditionalFormatting>
  <conditionalFormatting sqref="C2:C2005">
    <cfRule type="expression" dxfId="4" priority="4">
      <formula>TRIM(C2)="Cancelado"</formula>
    </cfRule>
  </conditionalFormatting>
  <conditionalFormatting sqref="C2:C2005">
    <cfRule type="expression" dxfId="3" priority="5">
      <formula>TRIM(C2)="Em andamento"</formula>
    </cfRule>
  </conditionalFormatting>
  <conditionalFormatting sqref="C2:C2005">
    <cfRule type="expression" dxfId="2" priority="6">
      <formula>TRIM(C2)="Adiado"</formula>
    </cfRule>
  </conditionalFormatting>
  <conditionalFormatting sqref="A2:A2005">
    <cfRule type="expression" dxfId="1" priority="7">
      <formula>AND($B2&lt;&gt;"",$A2="")</formula>
    </cfRule>
  </conditionalFormatting>
  <conditionalFormatting sqref="L2:M2005">
    <cfRule type="expression" dxfId="0" priority="8">
      <formula>L2=""</formula>
    </cfRule>
  </conditionalFormatting>
  <conditionalFormatting sqref="A2000:A2004 E2005 A714:S715 A2:T713 A716:T1999">
    <cfRule type="expression" dxfId="60" priority="9">
      <formula>MOD(ROW(),2)=0</formula>
    </cfRule>
  </conditionalFormatting>
  <conditionalFormatting sqref="A2000:A2004 E2005 A714:S715 A2:T713 A716:T1999">
    <cfRule type="expression" dxfId="59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3078</v>
      </c>
      <c r="H1" s="165" t="s">
        <v>3079</v>
      </c>
    </row>
    <row r="2" spans="1:8" x14ac:dyDescent="0.25">
      <c r="H2" s="164" t="s">
        <v>3080</v>
      </c>
    </row>
    <row r="3" spans="1:8" x14ac:dyDescent="0.25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 x14ac:dyDescent="0.25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 x14ac:dyDescent="0.25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 x14ac:dyDescent="0.25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 x14ac:dyDescent="0.25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8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3093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3111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3093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3111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3093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3111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3115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3105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3105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3105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3170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3171</v>
      </c>
      <c r="B4" s="223"/>
      <c r="D4" s="224" t="s">
        <v>3172</v>
      </c>
      <c r="E4" s="225"/>
      <c r="G4" s="44" t="s">
        <v>3173</v>
      </c>
    </row>
    <row r="5" spans="1:7" ht="54.95" customHeight="1" thickBot="1" x14ac:dyDescent="0.75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72</v>
      </c>
      <c r="E5" s="43" t="s">
        <v>3174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3175</v>
      </c>
      <c r="B8" s="219"/>
      <c r="D8" s="219" t="s">
        <v>3176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3180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3182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3183</v>
      </c>
      <c r="B14" s="33">
        <f>SUM(B11:B13)</f>
        <v>72</v>
      </c>
      <c r="D14" s="32" t="s">
        <v>3184</v>
      </c>
      <c r="E14" s="33">
        <f>SUM(E11:E13)</f>
        <v>3647</v>
      </c>
    </row>
    <row r="30" spans="1:5" ht="17.25" x14ac:dyDescent="0.3">
      <c r="A30" s="219" t="s">
        <v>3185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3183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 x14ac:dyDescent="0.25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 x14ac:dyDescent="0.25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 x14ac:dyDescent="0.25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 x14ac:dyDescent="0.25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 x14ac:dyDescent="0.25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 x14ac:dyDescent="0.25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 x14ac:dyDescent="0.25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 x14ac:dyDescent="0.25">
      <c r="A2" s="218" t="s">
        <v>25</v>
      </c>
      <c r="B2" s="218" t="s">
        <v>39</v>
      </c>
      <c r="C2" s="11" t="s">
        <v>3220</v>
      </c>
      <c r="D2" s="11" t="s">
        <v>2949</v>
      </c>
    </row>
    <row r="3" spans="1:4" ht="21" customHeight="1" x14ac:dyDescent="0.25">
      <c r="A3" s="11" t="s">
        <v>70</v>
      </c>
      <c r="B3" s="218" t="s">
        <v>28</v>
      </c>
      <c r="C3" s="11" t="s">
        <v>3221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 x14ac:dyDescent="0.25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 x14ac:dyDescent="0.25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 x14ac:dyDescent="0.25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 x14ac:dyDescent="0.25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 x14ac:dyDescent="0.25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 x14ac:dyDescent="0.25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 x14ac:dyDescent="0.25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 x14ac:dyDescent="0.25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 x14ac:dyDescent="0.25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 x14ac:dyDescent="0.25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 x14ac:dyDescent="0.25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3236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3237</v>
      </c>
    </row>
    <row r="4" spans="1:8" ht="21.95" customHeight="1" x14ac:dyDescent="0.25">
      <c r="A4" s="227" t="s">
        <v>3238</v>
      </c>
      <c r="B4" s="228"/>
      <c r="D4" s="227" t="s">
        <v>3239</v>
      </c>
      <c r="E4" s="228"/>
      <c r="G4" s="227" t="s">
        <v>3240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6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3246</v>
      </c>
      <c r="B1" s="232"/>
      <c r="C1" s="232"/>
      <c r="D1" s="232"/>
      <c r="E1" s="232"/>
      <c r="F1" s="232"/>
    </row>
    <row r="2" spans="1:7" x14ac:dyDescent="0.25">
      <c r="A2" s="233" t="s">
        <v>3247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55" priority="1">
      <formula>$J2="CORRIGIR"</formula>
    </cfRule>
  </conditionalFormatting>
  <conditionalFormatting sqref="A2:L65">
    <cfRule type="expression" dxfId="54" priority="2">
      <formula>$J2="REVISAR"</formula>
    </cfRule>
  </conditionalFormatting>
  <conditionalFormatting sqref="A2:L65">
    <cfRule type="expression" dxfId="53" priority="3">
      <formula>$J2="OK"</formula>
    </cfRule>
  </conditionalFormatting>
  <conditionalFormatting sqref="I2:I65">
    <cfRule type="containsText" dxfId="52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www.w3.org/XML/1998/namespace"/>
    <ds:schemaRef ds:uri="http://schemas.microsoft.com/office/infopath/2007/PartnerControls"/>
    <ds:schemaRef ds:uri="91ce1707-6d34-452b-b217-9734c03e6729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2026-10-28T18:21:10Z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