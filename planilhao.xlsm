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76" documentId="8_{454372C2-A99E-4E47-A759-72B38925853E}" xr6:coauthVersionLast="47" xr6:coauthVersionMax="47" xr10:uidLastSave="{39CDB8D9-D6C5-4D99-A2B6-74667F460857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E105" i="23" l="1"/>
  <c r="A5" i="23" a="1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<sst xmlns="http://schemas.openxmlformats.org/spreadsheetml/2006/main" count="6269" uniqueCount="2418">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</sst>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705" activePane="bottomLeft" state="frozen"/>
      <selection pane="bottomLeft" activeCell="E724" sqref="E724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20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37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38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2026-057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2026-046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2026-047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2026-048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2026-051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2026-052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2026-053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2026-053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2026-053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2026-053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2026-054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2026-054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2026-054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1.5</v>
      </c>
      <c r="J105">
        <v>21.5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20</v>
      </c>
      <c r="I106">
        <v>1.5</v>
      </c>
      <c r="J106">
        <v>21.5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20</v>
      </c>
      <c r="I107">
        <v>1.5</v>
      </c>
      <c r="J107">
        <v>21.5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20</v>
      </c>
      <c r="I108">
        <v>1.5</v>
      </c>
      <c r="J108">
        <v>21.5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2026-058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2026-058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2026-058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2026-059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2026-059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2026-059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2026-059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2026-060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2026-060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2026-060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2026-060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2291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2292</v>
      </c>
      <c r="B4" s="326"/>
      <c r="D4" s="327" t="s">
        <v>2293</v>
      </c>
      <c r="E4" s="328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25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2296</v>
      </c>
      <c r="B8" s="322"/>
      <c r="D8" s="322" t="s">
        <v>2297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2" t="s">
        <v>2306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0.33870967741935482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4.8387096774193547E-2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9.6774193548387094E-2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3.2258064516129031E-2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3.2258064516129031E-2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0.22580645161290322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6.4516129032258063E-2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1.6129032258064516E-2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0.11290322580645161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3.2258064516129031E-2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25</v>
      </c>
      <c r="D45" s="119">
        <f>SUM(D33:D44)</f>
        <v>62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2356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2357</v>
      </c>
    </row>
    <row r="4" spans="1:8" ht="21.95" customHeight="1" x14ac:dyDescent="0.25">
      <c r="A4" s="330" t="s">
        <v>2358</v>
      </c>
      <c r="B4" s="331"/>
      <c r="D4" s="330" t="s">
        <v>2359</v>
      </c>
      <c r="E4" s="331"/>
      <c r="G4" s="330" t="s">
        <v>2360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2366</v>
      </c>
      <c r="B1" s="335"/>
      <c r="C1" s="335"/>
      <c r="D1" s="335"/>
      <c r="E1" s="335"/>
      <c r="F1" s="335"/>
    </row>
    <row r="2" spans="1:7" x14ac:dyDescent="0.25">
      <c r="A2" s="336" t="s">
        <v>2367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20</v>
      </c>
      <c r="C9" s="101">
        <f>IF($A9="","",SUMIFS('GECC 2026'!I$2:I$200,'GECC 2026'!F$2:F$200,$A9))</f>
        <v>1.5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21.5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20</v>
      </c>
      <c r="C19" s="101">
        <f>IF($A19="","",SUMIFS('GECC 2026'!I$2:I$200,'GECC 2026'!F$2:F$200,$A19))</f>
        <v>1.5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21.5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20</v>
      </c>
      <c r="C48" s="101">
        <f>IF($A48="","",SUMIFS('GECC 2026'!I$2:I$200,'GECC 2026'!F$2:F$200,$A48))</f>
        <v>1.5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21.5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77.899999999999991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153.89999999999998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1046.9000000000001</v>
      </c>
      <c r="C105" s="205">
        <f>SUM(C5:C100)</f>
        <v>308.05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2026-07-28T17:29:15Z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