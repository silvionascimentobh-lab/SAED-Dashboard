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5" documentId="13_ncr:1_{6A2CC3E2-FAFB-4D8F-B284-5E8FB5045DFE}" xr6:coauthVersionLast="47" xr6:coauthVersionMax="47" xr10:uidLastSave="{11EE23B0-C46B-4B65-A0E2-911A472524F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<sst xmlns="http://schemas.openxmlformats.org/spreadsheetml/2006/main" count="7396" uniqueCount="3251">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</sst>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14" activePane="bottomLeft" state="frozen"/>
      <selection pane="bottomLeft" activeCell="C627" sqref="C62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 x14ac:dyDescent="0.2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 x14ac:dyDescent="0.2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 x14ac:dyDescent="0.2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3052</v>
      </c>
      <c r="H1" s="168" t="s">
        <v>3053</v>
      </c>
    </row>
    <row r="2" spans="1:8" x14ac:dyDescent="0.25">
      <c r="H2" s="167" t="s">
        <v>3054</v>
      </c>
    </row>
    <row r="3" spans="1:8" x14ac:dyDescent="0.25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 x14ac:dyDescent="0.25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 x14ac:dyDescent="0.25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 x14ac:dyDescent="0.25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 x14ac:dyDescent="0.25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6" t="s">
        <v>3143</v>
      </c>
      <c r="B1" s="216"/>
      <c r="C1" s="216"/>
      <c r="D1" s="216"/>
      <c r="E1" s="216"/>
      <c r="F1" s="216"/>
      <c r="G1" s="216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7" t="s">
        <v>3144</v>
      </c>
      <c r="B4" s="218"/>
      <c r="D4" s="219" t="s">
        <v>3145</v>
      </c>
      <c r="E4" s="220"/>
      <c r="G4" s="44" t="s">
        <v>3146</v>
      </c>
    </row>
    <row r="5" spans="1:7" ht="54.95" customHeight="1" thickBot="1" x14ac:dyDescent="0.75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4" t="s">
        <v>3148</v>
      </c>
      <c r="B8" s="214"/>
      <c r="D8" s="214" t="s">
        <v>3149</v>
      </c>
      <c r="E8" s="214"/>
    </row>
    <row r="9" spans="1:7" ht="5.0999999999999996" customHeight="1" x14ac:dyDescent="0.25">
      <c r="A9" s="215"/>
      <c r="B9" s="215"/>
      <c r="D9" s="215"/>
      <c r="E9" s="215"/>
    </row>
    <row r="10" spans="1:7" ht="24.95" customHeight="1" x14ac:dyDescent="0.25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 x14ac:dyDescent="0.3">
      <c r="A30" s="214" t="s">
        <v>3158</v>
      </c>
      <c r="B30" s="214"/>
      <c r="C30" s="214"/>
      <c r="D30" s="214"/>
      <c r="E30" s="214"/>
    </row>
    <row r="31" spans="1:5" ht="5.0999999999999996" customHeight="1" x14ac:dyDescent="0.25">
      <c r="A31" s="215"/>
      <c r="B31" s="215"/>
      <c r="C31" s="215"/>
      <c r="D31" s="215"/>
      <c r="E31" s="215"/>
    </row>
    <row r="32" spans="1:5" ht="24.95" customHeight="1" x14ac:dyDescent="0.25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 x14ac:dyDescent="0.25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 x14ac:dyDescent="0.25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 x14ac:dyDescent="0.25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 x14ac:dyDescent="0.25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 x14ac:dyDescent="0.25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 x14ac:dyDescent="0.25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 x14ac:dyDescent="0.25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 x14ac:dyDescent="0.25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 x14ac:dyDescent="0.25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 x14ac:dyDescent="0.25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 x14ac:dyDescent="0.25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 x14ac:dyDescent="0.25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 x14ac:dyDescent="0.25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 x14ac:dyDescent="0.25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 x14ac:dyDescent="0.25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 x14ac:dyDescent="0.25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1" t="s">
        <v>3209</v>
      </c>
      <c r="B1" s="221"/>
      <c r="C1" s="221"/>
      <c r="D1" s="221"/>
      <c r="E1" s="221"/>
      <c r="F1" s="221"/>
      <c r="G1" s="221"/>
      <c r="H1" s="221"/>
    </row>
    <row r="2" spans="1:8" x14ac:dyDescent="0.25">
      <c r="A2" s="48" t="s">
        <v>3210</v>
      </c>
    </row>
    <row r="4" spans="1:8" ht="21.95" customHeight="1" x14ac:dyDescent="0.25">
      <c r="A4" s="222" t="s">
        <v>3211</v>
      </c>
      <c r="B4" s="223"/>
      <c r="D4" s="222" t="s">
        <v>3212</v>
      </c>
      <c r="E4" s="223"/>
      <c r="G4" s="222" t="s">
        <v>3213</v>
      </c>
      <c r="H4" s="223"/>
    </row>
    <row r="5" spans="1:8" ht="35.1" customHeight="1" x14ac:dyDescent="0.25">
      <c r="A5" s="226">
        <f>COUNTIF('Ações InCompany'!E:E,"*maratona*")</f>
        <v>13</v>
      </c>
      <c r="B5" s="225"/>
      <c r="D5" s="224">
        <f>SUM(H8:H100)</f>
        <v>1762</v>
      </c>
      <c r="E5" s="225"/>
      <c r="G5" s="224">
        <f>IFERROR(ROUND(D5/A5,0),"-")</f>
        <v>136</v>
      </c>
      <c r="H5" s="225"/>
    </row>
    <row r="6" spans="1:8" ht="9.9499999999999993" customHeight="1" x14ac:dyDescent="0.25"/>
    <row r="7" spans="1:8" ht="24.95" customHeight="1" thickBot="1" x14ac:dyDescent="0.3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12" t="s">
        <v>3219</v>
      </c>
      <c r="B1" s="212"/>
      <c r="C1" s="212"/>
      <c r="D1" s="212"/>
      <c r="E1" s="212"/>
      <c r="F1" s="212"/>
    </row>
    <row r="2" spans="1:7" x14ac:dyDescent="0.25">
      <c r="A2" s="213" t="s">
        <v>3220</v>
      </c>
      <c r="B2" s="213"/>
      <c r="C2" s="213"/>
      <c r="D2" s="213"/>
      <c r="E2" s="213"/>
      <c r="F2" s="213"/>
    </row>
    <row r="4" spans="1:7" x14ac:dyDescent="0.25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2026-09-16T18:53:30Z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