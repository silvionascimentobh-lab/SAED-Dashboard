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28" documentId="8_{454372C2-A99E-4E47-A759-72B38925853E}" xr6:coauthVersionLast="47" xr6:coauthVersionMax="47" xr10:uidLastSave="{8E122F0E-66BF-4849-927D-B9F07CD89D80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s="1" a="1"/>
  <c r="E105" i="23" l="1"/>
  <c r="A5" i="23" a="1"/>
  <c r="D56" i="23" l="1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<sst xmlns="http://schemas.openxmlformats.org/spreadsheetml/2006/main" count="6298" uniqueCount="2426">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</sst>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>
    <filterColumn colId="18">
      <filters>
        <filter val="Felipe da Costa Malaquias"/>
        <filter val="Flávio José Fonseca de Souza; Felipe da Costa Malaquias"/>
      </filters>
    </filterColumn>
  </autoFilter>
  <sortState xmlns:xlrd2="http://schemas.microsoft.com/office/spreadsheetml/2017/richdata2" ref="B536:T676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702" activePane="bottomLeft" state="frozen"/>
      <selection pane="bottomLeft" activeCell="D722" sqref="D72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 t="shared" ref="R2:R65" si="0">SUM(O2:Q2)</f>
        <v>20</v>
      </c>
      <c r="S2" s="20">
        <v>20</v>
      </c>
      <c r="T2" s="18"/>
    </row>
    <row r="3" spans="1:20" ht="22.5" hidden="1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 t="shared" si="0"/>
        <v>16</v>
      </c>
      <c r="S3" s="22">
        <v>16</v>
      </c>
      <c r="T3" s="19"/>
    </row>
    <row r="4" spans="1:20" ht="22.5" hidden="1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 t="shared" si="0"/>
        <v>24</v>
      </c>
      <c r="S4" s="20">
        <v>24</v>
      </c>
      <c r="T4" s="18"/>
    </row>
    <row r="5" spans="1:20" ht="22.5" hidden="1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 t="shared" si="0"/>
        <v>16</v>
      </c>
      <c r="S5" s="22">
        <v>16</v>
      </c>
      <c r="T5" s="19"/>
    </row>
    <row r="6" spans="1:20" ht="22.5" hidden="1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 t="shared" si="0"/>
        <v>40</v>
      </c>
      <c r="S6" s="20">
        <v>40</v>
      </c>
      <c r="T6" s="18"/>
    </row>
    <row r="7" spans="1:20" ht="22.5" hidden="1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 t="shared" si="0"/>
        <v>30</v>
      </c>
      <c r="S7" s="22">
        <v>30</v>
      </c>
      <c r="T7" s="19"/>
    </row>
    <row r="8" spans="1:20" ht="22.5" hidden="1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 t="shared" si="0"/>
        <v>24</v>
      </c>
      <c r="S8" s="20">
        <v>24</v>
      </c>
      <c r="T8" s="18"/>
    </row>
    <row r="9" spans="1:20" ht="22.5" hidden="1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 t="shared" si="0"/>
        <v>37</v>
      </c>
      <c r="S9" s="22">
        <v>8</v>
      </c>
      <c r="T9" s="19"/>
    </row>
    <row r="10" spans="1:20" ht="22.5" hidden="1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 t="shared" si="0"/>
        <v>58</v>
      </c>
      <c r="S10" s="20">
        <v>20</v>
      </c>
      <c r="T10" s="18"/>
    </row>
    <row r="11" spans="1:20" ht="22.5" hidden="1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 t="shared" si="0"/>
        <v>25</v>
      </c>
      <c r="S11" s="22">
        <v>20</v>
      </c>
      <c r="T11" s="19" t="s">
        <v>48</v>
      </c>
    </row>
    <row r="12" spans="1:20" ht="22.5" hidden="1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 t="shared" si="0"/>
        <v>85</v>
      </c>
      <c r="S12" s="20">
        <v>20</v>
      </c>
      <c r="T12" s="18" t="s">
        <v>53</v>
      </c>
    </row>
    <row r="13" spans="1:20" ht="22.5" hidden="1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 t="shared" si="0"/>
        <v>19</v>
      </c>
      <c r="S13" s="22">
        <v>40</v>
      </c>
      <c r="T13" s="19" t="s">
        <v>57</v>
      </c>
    </row>
    <row r="14" spans="1:20" ht="22.5" hidden="1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 t="shared" si="0"/>
        <v>89</v>
      </c>
      <c r="S14" s="20">
        <v>20</v>
      </c>
      <c r="T14" s="18" t="s">
        <v>61</v>
      </c>
    </row>
    <row r="15" spans="1:20" ht="22.5" hidden="1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 t="shared" si="0"/>
        <v>37</v>
      </c>
      <c r="S15" s="22">
        <v>30</v>
      </c>
      <c r="T15" s="19" t="s">
        <v>61</v>
      </c>
    </row>
    <row r="16" spans="1:20" ht="22.5" hidden="1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 t="shared" si="0"/>
        <v>0</v>
      </c>
      <c r="S16" s="20">
        <v>5</v>
      </c>
      <c r="T16" s="18"/>
    </row>
    <row r="17" spans="1:20" ht="22.5" hidden="1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 t="shared" si="0"/>
        <v>30</v>
      </c>
      <c r="S17" s="22">
        <v>16</v>
      </c>
      <c r="T17" s="19" t="s">
        <v>72</v>
      </c>
    </row>
    <row r="18" spans="1:20" ht="22.5" hidden="1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 t="shared" si="0"/>
        <v>30</v>
      </c>
      <c r="S18" s="20">
        <v>20</v>
      </c>
      <c r="T18" s="18" t="s">
        <v>76</v>
      </c>
    </row>
    <row r="19" spans="1:20" ht="22.5" hidden="1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 t="shared" si="0"/>
        <v>15</v>
      </c>
      <c r="S19" s="22">
        <v>8</v>
      </c>
      <c r="T19" s="19" t="s">
        <v>80</v>
      </c>
    </row>
    <row r="20" spans="1:20" ht="22.5" hidden="1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 t="shared" si="0"/>
        <v>14</v>
      </c>
      <c r="S20" s="20">
        <v>24</v>
      </c>
      <c r="T20" s="18" t="s">
        <v>84</v>
      </c>
    </row>
    <row r="21" spans="1:20" ht="22.5" hidden="1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 t="shared" si="0"/>
        <v>14</v>
      </c>
      <c r="S21" s="22">
        <v>20</v>
      </c>
      <c r="T21" s="19" t="s">
        <v>88</v>
      </c>
    </row>
    <row r="22" spans="1:20" ht="22.5" hidden="1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 t="shared" si="0"/>
        <v>49</v>
      </c>
      <c r="S22" s="20">
        <v>20</v>
      </c>
      <c r="T22" s="18" t="s">
        <v>92</v>
      </c>
    </row>
    <row r="23" spans="1:20" ht="22.5" hidden="1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 t="shared" si="0"/>
        <v>43</v>
      </c>
      <c r="S23" s="22">
        <v>8</v>
      </c>
      <c r="T23" s="19" t="s">
        <v>96</v>
      </c>
    </row>
    <row r="24" spans="1:20" ht="22.5" hidden="1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 t="shared" si="0"/>
        <v>25</v>
      </c>
      <c r="S24" s="20">
        <v>20</v>
      </c>
      <c r="T24" s="18" t="s">
        <v>100</v>
      </c>
    </row>
    <row r="25" spans="1:20" ht="22.5" hidden="1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 t="shared" si="0"/>
        <v>35</v>
      </c>
      <c r="S25" s="22">
        <v>20</v>
      </c>
      <c r="T25" s="19" t="s">
        <v>104</v>
      </c>
    </row>
    <row r="26" spans="1:20" ht="22.5" hidden="1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 t="shared" si="0"/>
        <v>35</v>
      </c>
      <c r="S26" s="20">
        <v>25</v>
      </c>
      <c r="T26" s="18" t="s">
        <v>108</v>
      </c>
    </row>
    <row r="27" spans="1:20" ht="22.5" hidden="1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 t="shared" si="0"/>
        <v>87</v>
      </c>
      <c r="S27" s="22"/>
      <c r="T27" s="19"/>
    </row>
    <row r="28" spans="1:20" ht="22.5" hidden="1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 t="shared" si="0"/>
        <v>46</v>
      </c>
      <c r="S28" s="20">
        <v>20</v>
      </c>
      <c r="T28" s="18" t="s">
        <v>113</v>
      </c>
    </row>
    <row r="29" spans="1:20" ht="22.5" hidden="1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 t="shared" si="0"/>
        <v>15</v>
      </c>
      <c r="S29" s="22">
        <v>20</v>
      </c>
      <c r="T29" s="30" t="s">
        <v>117</v>
      </c>
    </row>
    <row r="30" spans="1:20" ht="22.5" hidden="1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 t="shared" si="0"/>
        <v>54</v>
      </c>
      <c r="S30" s="20">
        <v>20</v>
      </c>
      <c r="T30" s="18" t="s">
        <v>92</v>
      </c>
    </row>
    <row r="31" spans="1:20" ht="22.5" hidden="1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 t="shared" si="0"/>
        <v>52</v>
      </c>
      <c r="S31" s="22">
        <v>0</v>
      </c>
      <c r="T31" s="19"/>
    </row>
    <row r="32" spans="1:20" ht="22.5" hidden="1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 t="shared" si="0"/>
        <v>46</v>
      </c>
      <c r="S32" s="20">
        <v>20</v>
      </c>
      <c r="T32" s="18" t="s">
        <v>113</v>
      </c>
    </row>
    <row r="33" spans="1:20" ht="22.5" hidden="1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 t="shared" si="0"/>
        <v>14</v>
      </c>
      <c r="S33" s="22">
        <v>8</v>
      </c>
      <c r="T33" s="19" t="s">
        <v>125</v>
      </c>
    </row>
    <row r="34" spans="1:20" ht="22.5" hidden="1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 t="shared" si="0"/>
        <v>25</v>
      </c>
      <c r="S34" s="20">
        <v>20</v>
      </c>
      <c r="T34" s="18"/>
    </row>
    <row r="35" spans="1:20" ht="22.5" hidden="1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 t="shared" si="0"/>
        <v>17</v>
      </c>
      <c r="S35" s="22">
        <v>20</v>
      </c>
      <c r="T35" s="19" t="s">
        <v>129</v>
      </c>
    </row>
    <row r="36" spans="1:20" ht="22.5" hidden="1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 t="shared" si="0"/>
        <v>75</v>
      </c>
      <c r="S36" s="20">
        <v>20</v>
      </c>
      <c r="T36" s="18" t="s">
        <v>61</v>
      </c>
    </row>
    <row r="37" spans="1:20" ht="22.5" hidden="1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 t="shared" si="0"/>
        <v>18</v>
      </c>
      <c r="S37" s="22">
        <v>3</v>
      </c>
      <c r="T37" s="30" t="s">
        <v>136</v>
      </c>
    </row>
    <row r="38" spans="1:20" ht="22.5" hidden="1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 t="shared" si="0"/>
        <v>33</v>
      </c>
      <c r="S38" s="20">
        <v>10</v>
      </c>
      <c r="T38" s="18" t="s">
        <v>140</v>
      </c>
    </row>
    <row r="39" spans="1:20" ht="22.5" hidden="1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 t="shared" si="0"/>
        <v>55</v>
      </c>
      <c r="S39" s="22">
        <v>20</v>
      </c>
      <c r="T39" s="19" t="s">
        <v>92</v>
      </c>
    </row>
    <row r="40" spans="1:20" ht="22.5" hidden="1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 t="shared" si="0"/>
        <v>45</v>
      </c>
      <c r="S40" s="20">
        <v>20</v>
      </c>
      <c r="T40" s="18" t="s">
        <v>147</v>
      </c>
    </row>
    <row r="41" spans="1:20" ht="22.5" hidden="1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 t="shared" si="0"/>
        <v>15</v>
      </c>
      <c r="S41" s="22">
        <v>20</v>
      </c>
      <c r="T41" s="19" t="s">
        <v>150</v>
      </c>
    </row>
    <row r="42" spans="1:20" ht="22.5" hidden="1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 t="shared" si="0"/>
        <v>21</v>
      </c>
      <c r="S42" s="20">
        <v>8</v>
      </c>
      <c r="T42" s="31" t="s">
        <v>154</v>
      </c>
    </row>
    <row r="43" spans="1:20" ht="22.5" hidden="1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 t="shared" si="0"/>
        <v>40</v>
      </c>
      <c r="S43" s="22">
        <v>9</v>
      </c>
      <c r="T43" s="19" t="s">
        <v>159</v>
      </c>
    </row>
    <row r="44" spans="1:20" ht="22.5" hidden="1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 t="shared" si="0"/>
        <v>45</v>
      </c>
      <c r="S44" s="20">
        <v>8</v>
      </c>
      <c r="T44" s="18" t="s">
        <v>163</v>
      </c>
    </row>
    <row r="45" spans="1:20" ht="22.5" hidden="1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 t="shared" si="0"/>
        <v>13</v>
      </c>
      <c r="S45" s="22">
        <v>20</v>
      </c>
      <c r="T45" s="30" t="s">
        <v>167</v>
      </c>
    </row>
    <row r="46" spans="1:20" ht="22.5" hidden="1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 t="shared" si="0"/>
        <v>35</v>
      </c>
      <c r="S46" s="20">
        <v>20</v>
      </c>
      <c r="T46" s="18" t="s">
        <v>171</v>
      </c>
    </row>
    <row r="47" spans="1:20" ht="22.5" hidden="1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 t="shared" si="0"/>
        <v>71</v>
      </c>
      <c r="S47" s="22">
        <v>20</v>
      </c>
      <c r="T47" s="19" t="s">
        <v>175</v>
      </c>
    </row>
    <row r="48" spans="1:20" ht="22.5" hidden="1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 t="shared" si="0"/>
        <v>329</v>
      </c>
      <c r="S48" s="20">
        <v>8</v>
      </c>
      <c r="T48" s="18" t="s">
        <v>180</v>
      </c>
    </row>
    <row r="49" spans="1:20" ht="22.5" hidden="1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 t="shared" si="0"/>
        <v>26</v>
      </c>
      <c r="S49" s="22">
        <v>20</v>
      </c>
      <c r="T49" s="19" t="s">
        <v>184</v>
      </c>
    </row>
    <row r="50" spans="1:20" ht="22.5" hidden="1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 t="shared" si="0"/>
        <v>35</v>
      </c>
      <c r="S50" s="20">
        <v>20</v>
      </c>
      <c r="T50" s="18" t="s">
        <v>188</v>
      </c>
    </row>
    <row r="51" spans="1:20" ht="22.5" hidden="1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 t="shared" si="0"/>
        <v>46</v>
      </c>
      <c r="S51" s="22">
        <v>20</v>
      </c>
      <c r="T51" s="19" t="s">
        <v>92</v>
      </c>
    </row>
    <row r="52" spans="1:20" ht="22.5" hidden="1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 t="shared" si="0"/>
        <v>52</v>
      </c>
      <c r="S52" s="20">
        <v>20</v>
      </c>
      <c r="T52" s="18" t="s">
        <v>92</v>
      </c>
    </row>
    <row r="53" spans="1:20" ht="22.5" hidden="1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 t="shared" si="0"/>
        <v>34</v>
      </c>
      <c r="S53" s="22">
        <v>20</v>
      </c>
      <c r="T53" s="19" t="s">
        <v>195</v>
      </c>
    </row>
    <row r="54" spans="1:20" ht="22.5" hidden="1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 t="shared" si="0"/>
        <v>27</v>
      </c>
      <c r="S54" s="20">
        <v>15</v>
      </c>
      <c r="T54" s="18" t="s">
        <v>199</v>
      </c>
    </row>
    <row r="55" spans="1:20" ht="22.5" hidden="1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 t="shared" si="0"/>
        <v>16</v>
      </c>
      <c r="S55" s="22">
        <v>20</v>
      </c>
      <c r="T55" s="19" t="s">
        <v>129</v>
      </c>
    </row>
    <row r="56" spans="1:20" ht="22.5" hidden="1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 t="shared" si="0"/>
        <v>55</v>
      </c>
      <c r="S56" s="20">
        <v>12</v>
      </c>
      <c r="T56" s="18" t="s">
        <v>206</v>
      </c>
    </row>
    <row r="57" spans="1:20" ht="22.5" hidden="1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 t="shared" si="0"/>
        <v>14</v>
      </c>
      <c r="S57" s="22">
        <v>20</v>
      </c>
      <c r="T57" s="30" t="s">
        <v>167</v>
      </c>
    </row>
    <row r="58" spans="1:20" ht="22.5" hidden="1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 t="shared" si="0"/>
        <v>47</v>
      </c>
      <c r="S58" s="20">
        <v>20</v>
      </c>
      <c r="T58" s="18" t="s">
        <v>212</v>
      </c>
    </row>
    <row r="59" spans="1:20" ht="22.5" hidden="1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 t="shared" si="0"/>
        <v>31</v>
      </c>
      <c r="S59" s="22">
        <v>20</v>
      </c>
      <c r="T59" s="19" t="s">
        <v>216</v>
      </c>
    </row>
    <row r="60" spans="1:20" ht="22.5" hidden="1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 t="shared" si="0"/>
        <v>28</v>
      </c>
      <c r="S60" s="20">
        <v>20</v>
      </c>
      <c r="T60" s="18" t="s">
        <v>92</v>
      </c>
    </row>
    <row r="61" spans="1:20" ht="22.5" hidden="1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 t="shared" si="0"/>
        <v>34</v>
      </c>
      <c r="S61" s="22">
        <v>20</v>
      </c>
      <c r="T61" s="19" t="s">
        <v>92</v>
      </c>
    </row>
    <row r="62" spans="1:20" ht="22.5" hidden="1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 t="shared" si="0"/>
        <v>60</v>
      </c>
      <c r="S62" s="20">
        <v>20</v>
      </c>
      <c r="T62" s="18" t="s">
        <v>224</v>
      </c>
    </row>
    <row r="63" spans="1:20" ht="22.5" hidden="1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 t="shared" si="0"/>
        <v>29</v>
      </c>
      <c r="S63" s="22">
        <v>26</v>
      </c>
      <c r="T63" s="19" t="s">
        <v>227</v>
      </c>
    </row>
    <row r="64" spans="1:20" ht="22.5" hidden="1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 t="shared" si="0"/>
        <v>26</v>
      </c>
      <c r="S64" s="20">
        <v>30</v>
      </c>
      <c r="T64" s="18" t="s">
        <v>129</v>
      </c>
    </row>
    <row r="65" spans="1:20" ht="22.5" hidden="1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 t="shared" si="0"/>
        <v>47</v>
      </c>
      <c r="S65" s="22">
        <v>20</v>
      </c>
      <c r="T65" s="19" t="s">
        <v>92</v>
      </c>
    </row>
    <row r="66" spans="1:20" ht="22.5" hidden="1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 t="shared" ref="R66:R129" si="1">SUM(O66:Q66)</f>
        <v>20</v>
      </c>
      <c r="S66" s="20">
        <v>20</v>
      </c>
      <c r="T66" s="31" t="s">
        <v>167</v>
      </c>
    </row>
    <row r="67" spans="1:20" ht="22.5" hidden="1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 t="shared" si="1"/>
        <v>43</v>
      </c>
      <c r="S67" s="22">
        <v>20</v>
      </c>
      <c r="T67" s="19" t="s">
        <v>61</v>
      </c>
    </row>
    <row r="68" spans="1:20" ht="22.5" hidden="1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 t="shared" si="1"/>
        <v>15</v>
      </c>
      <c r="S68" s="20">
        <v>20</v>
      </c>
      <c r="T68" s="18" t="s">
        <v>195</v>
      </c>
    </row>
    <row r="69" spans="1:20" ht="22.5" hidden="1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 t="shared" si="1"/>
        <v>29</v>
      </c>
      <c r="S69" s="22">
        <v>20</v>
      </c>
      <c r="T69" s="19" t="s">
        <v>244</v>
      </c>
    </row>
    <row r="70" spans="1:20" ht="22.5" hidden="1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 t="shared" si="1"/>
        <v>46</v>
      </c>
      <c r="S70" s="20">
        <v>20</v>
      </c>
      <c r="T70" s="18" t="s">
        <v>92</v>
      </c>
    </row>
    <row r="71" spans="1:20" ht="22.5" hidden="1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 t="shared" si="1"/>
        <v>14</v>
      </c>
      <c r="S71" s="22">
        <v>26</v>
      </c>
      <c r="T71" s="19" t="s">
        <v>249</v>
      </c>
    </row>
    <row r="72" spans="1:20" ht="22.5" hidden="1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 t="shared" si="1"/>
        <v>12</v>
      </c>
      <c r="S72" s="20">
        <v>8</v>
      </c>
      <c r="T72" s="18" t="s">
        <v>125</v>
      </c>
    </row>
    <row r="73" spans="1:20" ht="22.5" hidden="1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 t="shared" si="1"/>
        <v>18</v>
      </c>
      <c r="S73" s="22">
        <v>20</v>
      </c>
      <c r="T73" s="30" t="s">
        <v>167</v>
      </c>
    </row>
    <row r="74" spans="1:20" ht="22.5" hidden="1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 t="shared" si="1"/>
        <v>30</v>
      </c>
      <c r="S74" s="20">
        <v>20</v>
      </c>
      <c r="T74" s="18" t="s">
        <v>72</v>
      </c>
    </row>
    <row r="75" spans="1:20" ht="22.5" hidden="1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 t="shared" si="1"/>
        <v>37</v>
      </c>
      <c r="S75" s="22">
        <v>20</v>
      </c>
      <c r="T75" s="19" t="s">
        <v>261</v>
      </c>
    </row>
    <row r="76" spans="1:20" ht="22.5" hidden="1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 t="shared" si="1"/>
        <v>47</v>
      </c>
      <c r="S76" s="20">
        <v>20</v>
      </c>
      <c r="T76" s="18" t="s">
        <v>212</v>
      </c>
    </row>
    <row r="77" spans="1:20" ht="22.5" hidden="1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 t="shared" si="1"/>
        <v>30</v>
      </c>
      <c r="S77" s="22">
        <v>16</v>
      </c>
      <c r="T77" s="19" t="s">
        <v>267</v>
      </c>
    </row>
    <row r="78" spans="1:20" ht="22.5" hidden="1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 t="shared" si="1"/>
        <v>19</v>
      </c>
      <c r="S78" s="20">
        <v>20</v>
      </c>
      <c r="T78" s="18" t="s">
        <v>216</v>
      </c>
    </row>
    <row r="79" spans="1:20" ht="22.5" hidden="1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 t="shared" si="1"/>
        <v>37</v>
      </c>
      <c r="S79" s="22">
        <v>16</v>
      </c>
      <c r="T79" s="19" t="s">
        <v>274</v>
      </c>
    </row>
    <row r="80" spans="1:20" ht="22.5" hidden="1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 t="shared" si="1"/>
        <v>19</v>
      </c>
      <c r="S80" s="20">
        <v>20</v>
      </c>
      <c r="T80" s="18" t="s">
        <v>216</v>
      </c>
    </row>
    <row r="81" spans="1:20" ht="22.5" hidden="1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 t="shared" si="1"/>
        <v>20</v>
      </c>
      <c r="S81" s="22">
        <v>20</v>
      </c>
      <c r="T81" s="19" t="s">
        <v>280</v>
      </c>
    </row>
    <row r="82" spans="1:20" ht="22.5" hidden="1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 t="shared" si="1"/>
        <v>50</v>
      </c>
      <c r="S82" s="20">
        <v>20</v>
      </c>
      <c r="T82" s="18" t="s">
        <v>285</v>
      </c>
    </row>
    <row r="83" spans="1:20" ht="22.5" hidden="1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 t="shared" si="1"/>
        <v>17</v>
      </c>
      <c r="S83" s="22">
        <v>20</v>
      </c>
      <c r="T83" s="19" t="s">
        <v>184</v>
      </c>
    </row>
    <row r="84" spans="1:20" ht="22.5" hidden="1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 t="shared" si="1"/>
        <v>25</v>
      </c>
      <c r="S84" s="20">
        <v>20</v>
      </c>
      <c r="T84" s="18" t="s">
        <v>61</v>
      </c>
    </row>
    <row r="85" spans="1:20" ht="22.5" hidden="1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 t="shared" si="1"/>
        <v>49</v>
      </c>
      <c r="S85" s="22">
        <v>20</v>
      </c>
      <c r="T85" s="19" t="s">
        <v>113</v>
      </c>
    </row>
    <row r="86" spans="1:20" ht="22.5" hidden="1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 t="shared" si="1"/>
        <v>34</v>
      </c>
      <c r="S86" s="20">
        <v>20</v>
      </c>
      <c r="T86" s="18" t="s">
        <v>61</v>
      </c>
    </row>
    <row r="87" spans="1:20" ht="22.5" hidden="1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 t="shared" si="1"/>
        <v>19</v>
      </c>
      <c r="S87" s="22">
        <v>20</v>
      </c>
      <c r="T87" s="30" t="s">
        <v>167</v>
      </c>
    </row>
    <row r="88" spans="1:20" ht="22.5" hidden="1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 t="shared" si="1"/>
        <v>312</v>
      </c>
      <c r="S88" s="20">
        <v>8</v>
      </c>
      <c r="T88" s="18" t="s">
        <v>301</v>
      </c>
    </row>
    <row r="89" spans="1:20" ht="22.5" hidden="1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 t="shared" si="1"/>
        <v>57</v>
      </c>
      <c r="S89" s="22">
        <v>20</v>
      </c>
      <c r="T89" s="19" t="s">
        <v>92</v>
      </c>
    </row>
    <row r="90" spans="1:20" ht="22.5" hidden="1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 t="shared" si="1"/>
        <v>50</v>
      </c>
      <c r="S90" s="20">
        <v>20</v>
      </c>
      <c r="T90" s="18" t="s">
        <v>92</v>
      </c>
    </row>
    <row r="91" spans="1:20" ht="22.5" hidden="1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 t="shared" si="1"/>
        <v>18</v>
      </c>
      <c r="S91" s="22">
        <v>20</v>
      </c>
      <c r="T91" s="19" t="s">
        <v>57</v>
      </c>
    </row>
    <row r="92" spans="1:20" ht="22.5" hidden="1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 t="shared" si="1"/>
        <v>18</v>
      </c>
      <c r="S92" s="20">
        <v>20</v>
      </c>
      <c r="T92" s="18" t="s">
        <v>314</v>
      </c>
    </row>
    <row r="93" spans="1:20" ht="22.5" hidden="1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 t="shared" si="1"/>
        <v>40</v>
      </c>
      <c r="S93" s="22">
        <v>20</v>
      </c>
      <c r="T93" s="19" t="s">
        <v>317</v>
      </c>
    </row>
    <row r="94" spans="1:20" ht="22.5" hidden="1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 t="shared" si="1"/>
        <v>37</v>
      </c>
      <c r="S94" s="20">
        <v>16</v>
      </c>
      <c r="T94" s="18" t="s">
        <v>321</v>
      </c>
    </row>
    <row r="95" spans="1:20" ht="22.5" hidden="1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 t="shared" si="1"/>
        <v>96</v>
      </c>
      <c r="S95" s="22">
        <v>20</v>
      </c>
      <c r="T95" s="30" t="s">
        <v>324</v>
      </c>
    </row>
    <row r="96" spans="1:20" ht="22.5" hidden="1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 t="shared" si="1"/>
        <v>19</v>
      </c>
      <c r="S96" s="20">
        <v>20</v>
      </c>
      <c r="T96" s="18" t="s">
        <v>88</v>
      </c>
    </row>
    <row r="97" spans="1:20" ht="22.5" hidden="1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 t="shared" si="1"/>
        <v>65</v>
      </c>
      <c r="S97" s="22">
        <v>20</v>
      </c>
      <c r="T97" s="19" t="s">
        <v>92</v>
      </c>
    </row>
    <row r="98" spans="1:20" ht="22.5" hidden="1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 t="shared" si="1"/>
        <v>19</v>
      </c>
      <c r="S98" s="20">
        <v>8</v>
      </c>
      <c r="T98" s="18" t="s">
        <v>88</v>
      </c>
    </row>
    <row r="99" spans="1:20" ht="22.5" hidden="1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 t="shared" si="1"/>
        <v>19</v>
      </c>
      <c r="S99" s="22">
        <v>16</v>
      </c>
      <c r="T99" s="19" t="s">
        <v>216</v>
      </c>
    </row>
    <row r="100" spans="1:20" ht="22.5" hidden="1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 t="shared" si="1"/>
        <v>20</v>
      </c>
      <c r="S100" s="20">
        <v>20</v>
      </c>
      <c r="T100" s="18" t="s">
        <v>88</v>
      </c>
    </row>
    <row r="101" spans="1:20" ht="22.5" hidden="1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 t="shared" si="1"/>
        <v>63</v>
      </c>
      <c r="S101" s="22">
        <v>20</v>
      </c>
      <c r="T101" s="19" t="s">
        <v>342</v>
      </c>
    </row>
    <row r="102" spans="1:20" ht="22.5" hidden="1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 t="shared" si="1"/>
        <v>18</v>
      </c>
      <c r="S102" s="20">
        <v>20</v>
      </c>
      <c r="T102" s="18" t="s">
        <v>150</v>
      </c>
    </row>
    <row r="103" spans="1:20" ht="22.5" hidden="1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 t="shared" si="1"/>
        <v>31</v>
      </c>
      <c r="S103" s="22">
        <v>20</v>
      </c>
      <c r="T103" s="19" t="s">
        <v>347</v>
      </c>
    </row>
    <row r="104" spans="1:20" ht="22.5" hidden="1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 t="shared" si="1"/>
        <v>59</v>
      </c>
      <c r="S104" s="20">
        <v>20</v>
      </c>
      <c r="T104" s="18" t="s">
        <v>212</v>
      </c>
    </row>
    <row r="105" spans="1:20" ht="22.5" hidden="1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 t="shared" si="1"/>
        <v>25</v>
      </c>
      <c r="S105" s="22">
        <v>24</v>
      </c>
      <c r="T105" s="19" t="s">
        <v>355</v>
      </c>
    </row>
    <row r="106" spans="1:20" ht="22.5" hidden="1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 t="shared" si="1"/>
        <v>34</v>
      </c>
      <c r="S106" s="20">
        <v>20</v>
      </c>
      <c r="T106" s="18" t="s">
        <v>359</v>
      </c>
    </row>
    <row r="107" spans="1:20" ht="22.5" hidden="1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 t="shared" si="1"/>
        <v>19</v>
      </c>
      <c r="S107" s="22">
        <v>16</v>
      </c>
      <c r="T107" s="19" t="s">
        <v>216</v>
      </c>
    </row>
    <row r="108" spans="1:20" ht="22.5" hidden="1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 t="shared" si="1"/>
        <v>353</v>
      </c>
      <c r="S108" s="20">
        <v>8</v>
      </c>
      <c r="T108" s="18" t="s">
        <v>365</v>
      </c>
    </row>
    <row r="109" spans="1:20" ht="22.5" hidden="1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 t="shared" si="1"/>
        <v>28</v>
      </c>
      <c r="S109" s="22">
        <v>20</v>
      </c>
      <c r="T109" s="19" t="s">
        <v>347</v>
      </c>
    </row>
    <row r="110" spans="1:20" ht="22.5" hidden="1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 t="shared" si="1"/>
        <v>215</v>
      </c>
      <c r="S110" s="20">
        <v>2</v>
      </c>
      <c r="T110" s="18" t="s">
        <v>371</v>
      </c>
    </row>
    <row r="111" spans="1:20" ht="22.5" hidden="1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 t="shared" si="1"/>
        <v>55</v>
      </c>
      <c r="S111" s="22">
        <v>47</v>
      </c>
      <c r="T111" s="19" t="s">
        <v>375</v>
      </c>
    </row>
    <row r="112" spans="1:20" ht="22.5" hidden="1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 t="shared" si="1"/>
        <v>11</v>
      </c>
      <c r="S112" s="20">
        <v>3.5</v>
      </c>
      <c r="T112" s="18" t="s">
        <v>379</v>
      </c>
    </row>
    <row r="113" spans="1:20" ht="22.5" hidden="1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 t="shared" si="1"/>
        <v>26</v>
      </c>
      <c r="S113" s="22">
        <v>14</v>
      </c>
      <c r="T113" s="19" t="s">
        <v>383</v>
      </c>
    </row>
    <row r="114" spans="1:20" ht="22.5" hidden="1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 t="shared" si="1"/>
        <v>8</v>
      </c>
      <c r="S114" s="20">
        <v>3.5</v>
      </c>
      <c r="T114" s="18" t="s">
        <v>386</v>
      </c>
    </row>
    <row r="115" spans="1:20" ht="22.5" hidden="1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 t="shared" si="1"/>
        <v>38</v>
      </c>
      <c r="S115" s="22">
        <v>4</v>
      </c>
      <c r="T115" s="19" t="s">
        <v>390</v>
      </c>
    </row>
    <row r="116" spans="1:20" ht="22.5" hidden="1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 t="shared" si="1"/>
        <v>18</v>
      </c>
      <c r="S116" s="20">
        <v>20</v>
      </c>
      <c r="T116" s="18" t="s">
        <v>394</v>
      </c>
    </row>
    <row r="117" spans="1:20" ht="22.5" hidden="1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 t="shared" si="1"/>
        <v>45</v>
      </c>
      <c r="S117" s="22">
        <v>18</v>
      </c>
      <c r="T117" s="19" t="s">
        <v>398</v>
      </c>
    </row>
    <row r="118" spans="1:20" ht="22.5" hidden="1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 t="shared" si="1"/>
        <v>45</v>
      </c>
      <c r="S118" s="20">
        <v>20</v>
      </c>
      <c r="T118" s="18" t="s">
        <v>402</v>
      </c>
    </row>
    <row r="119" spans="1:20" ht="22.5" hidden="1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 t="shared" si="1"/>
        <v>44</v>
      </c>
      <c r="S119" s="22">
        <v>12</v>
      </c>
      <c r="T119" s="19" t="s">
        <v>406</v>
      </c>
    </row>
    <row r="120" spans="1:20" ht="22.5" hidden="1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 t="shared" si="1"/>
        <v>50</v>
      </c>
      <c r="S120" s="20">
        <v>4</v>
      </c>
      <c r="T120" s="18" t="s">
        <v>410</v>
      </c>
    </row>
    <row r="121" spans="1:20" ht="22.5" hidden="1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 t="shared" si="1"/>
        <v>41</v>
      </c>
      <c r="S121" s="22">
        <v>12</v>
      </c>
      <c r="T121" s="19" t="s">
        <v>413</v>
      </c>
    </row>
    <row r="122" spans="1:20" ht="22.5" hidden="1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 t="shared" si="1"/>
        <v>44</v>
      </c>
      <c r="S122" s="20">
        <v>4</v>
      </c>
      <c r="T122" s="18" t="s">
        <v>410</v>
      </c>
    </row>
    <row r="123" spans="1:20" ht="22.5" hidden="1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 t="shared" si="1"/>
        <v>40</v>
      </c>
      <c r="S123" s="22">
        <v>4</v>
      </c>
      <c r="T123" s="19" t="s">
        <v>410</v>
      </c>
    </row>
    <row r="124" spans="1:20" ht="22.5" hidden="1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 t="shared" si="1"/>
        <v>12</v>
      </c>
      <c r="S124" s="20">
        <v>8</v>
      </c>
      <c r="T124" s="18" t="s">
        <v>421</v>
      </c>
    </row>
    <row r="125" spans="1:20" ht="22.5" hidden="1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 t="shared" si="1"/>
        <v>19</v>
      </c>
      <c r="S125" s="22">
        <v>12</v>
      </c>
      <c r="T125" s="19" t="s">
        <v>425</v>
      </c>
    </row>
    <row r="126" spans="1:20" ht="22.5" hidden="1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 t="shared" si="1"/>
        <v>14</v>
      </c>
      <c r="S126" s="20">
        <v>12</v>
      </c>
      <c r="T126" s="18" t="s">
        <v>429</v>
      </c>
    </row>
    <row r="127" spans="1:20" ht="22.5" hidden="1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 t="shared" si="1"/>
        <v>19</v>
      </c>
      <c r="S127" s="22">
        <v>12</v>
      </c>
      <c r="T127" s="19" t="s">
        <v>425</v>
      </c>
    </row>
    <row r="128" spans="1:20" ht="22.5" hidden="1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 t="shared" si="1"/>
        <v>9</v>
      </c>
      <c r="S128" s="20">
        <v>8</v>
      </c>
      <c r="T128" s="18" t="s">
        <v>421</v>
      </c>
    </row>
    <row r="129" spans="1:20" ht="22.5" hidden="1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 t="shared" si="1"/>
        <v>45</v>
      </c>
      <c r="S129" s="22">
        <v>4</v>
      </c>
      <c r="T129" s="19" t="s">
        <v>410</v>
      </c>
    </row>
    <row r="130" spans="1:20" ht="22.5" hidden="1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 t="shared" ref="R130:R193" si="2">SUM(O130:Q130)</f>
        <v>25</v>
      </c>
      <c r="S130" s="20">
        <v>12</v>
      </c>
      <c r="T130" s="18" t="s">
        <v>425</v>
      </c>
    </row>
    <row r="131" spans="1:20" ht="22.5" hidden="1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 t="shared" si="2"/>
        <v>15</v>
      </c>
      <c r="S131" s="22">
        <v>12</v>
      </c>
      <c r="T131" s="19" t="s">
        <v>441</v>
      </c>
    </row>
    <row r="132" spans="1:20" ht="22.5" hidden="1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 t="shared" si="2"/>
        <v>26</v>
      </c>
      <c r="S132" s="20">
        <v>16</v>
      </c>
      <c r="T132" s="18" t="s">
        <v>359</v>
      </c>
    </row>
    <row r="133" spans="1:20" ht="22.5" hidden="1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 t="shared" si="2"/>
        <v>16</v>
      </c>
      <c r="S133" s="22">
        <v>8</v>
      </c>
      <c r="T133" s="19" t="s">
        <v>448</v>
      </c>
    </row>
    <row r="134" spans="1:20" ht="22.5" hidden="1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 t="shared" si="2"/>
        <v>15</v>
      </c>
      <c r="S134" s="20">
        <v>8</v>
      </c>
      <c r="T134" s="18" t="s">
        <v>451</v>
      </c>
    </row>
    <row r="135" spans="1:20" ht="22.5" hidden="1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 t="shared" si="2"/>
        <v>14</v>
      </c>
      <c r="S135" s="22">
        <v>12</v>
      </c>
      <c r="T135" s="19" t="s">
        <v>441</v>
      </c>
    </row>
    <row r="136" spans="1:20" ht="22.5" hidden="1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 t="shared" si="2"/>
        <v>182</v>
      </c>
      <c r="S136" s="20">
        <v>8</v>
      </c>
      <c r="T136" s="18" t="s">
        <v>457</v>
      </c>
    </row>
    <row r="137" spans="1:20" ht="22.5" hidden="1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 t="shared" si="2"/>
        <v>34</v>
      </c>
      <c r="S137" s="22">
        <v>16</v>
      </c>
      <c r="T137" s="19" t="s">
        <v>359</v>
      </c>
    </row>
    <row r="138" spans="1:20" ht="22.5" hidden="1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 t="shared" si="2"/>
        <v>17</v>
      </c>
      <c r="S138" s="20">
        <v>16</v>
      </c>
      <c r="T138" s="18" t="s">
        <v>463</v>
      </c>
    </row>
    <row r="139" spans="1:20" ht="22.5" hidden="1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 t="shared" si="2"/>
        <v>20</v>
      </c>
      <c r="S139" s="22">
        <v>20</v>
      </c>
      <c r="T139" s="19" t="s">
        <v>394</v>
      </c>
    </row>
    <row r="140" spans="1:20" ht="22.5" hidden="1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 t="shared" si="2"/>
        <v>40</v>
      </c>
      <c r="S140" s="20">
        <v>20</v>
      </c>
      <c r="T140" s="18" t="s">
        <v>468</v>
      </c>
    </row>
    <row r="141" spans="1:20" ht="22.5" hidden="1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 t="shared" si="2"/>
        <v>12</v>
      </c>
      <c r="S141" s="22">
        <v>12</v>
      </c>
      <c r="T141" s="19" t="s">
        <v>472</v>
      </c>
    </row>
    <row r="142" spans="1:20" ht="22.5" hidden="1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 t="shared" si="2"/>
        <v>12</v>
      </c>
      <c r="S142" s="20">
        <v>16</v>
      </c>
      <c r="T142" s="18" t="s">
        <v>476</v>
      </c>
    </row>
    <row r="143" spans="1:20" ht="22.5" hidden="1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 t="shared" si="2"/>
        <v>19</v>
      </c>
      <c r="S143" s="22">
        <v>12</v>
      </c>
      <c r="T143" s="19" t="s">
        <v>425</v>
      </c>
    </row>
    <row r="144" spans="1:20" ht="22.5" hidden="1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 t="shared" si="2"/>
        <v>12</v>
      </c>
      <c r="S144" s="20">
        <v>20</v>
      </c>
      <c r="T144" s="18" t="s">
        <v>61</v>
      </c>
    </row>
    <row r="145" spans="1:20" ht="22.5" hidden="1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 t="shared" si="2"/>
        <v>31</v>
      </c>
      <c r="S145" s="22">
        <v>12</v>
      </c>
      <c r="T145" s="19" t="s">
        <v>485</v>
      </c>
    </row>
    <row r="146" spans="1:20" ht="22.5" hidden="1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 t="shared" si="2"/>
        <v>27</v>
      </c>
      <c r="S146" s="20">
        <v>16</v>
      </c>
      <c r="T146" s="18" t="s">
        <v>359</v>
      </c>
    </row>
    <row r="147" spans="1:20" ht="22.5" hidden="1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 t="shared" si="2"/>
        <v>54</v>
      </c>
      <c r="S147" s="22">
        <v>1.5</v>
      </c>
      <c r="T147" s="19" t="s">
        <v>490</v>
      </c>
    </row>
    <row r="148" spans="1:20" ht="22.5" hidden="1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 t="shared" si="2"/>
        <v>9</v>
      </c>
      <c r="S148" s="20">
        <v>12</v>
      </c>
      <c r="T148" s="18" t="s">
        <v>494</v>
      </c>
    </row>
    <row r="149" spans="1:20" ht="22.5" hidden="1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 t="shared" si="2"/>
        <v>38</v>
      </c>
      <c r="S149" s="22">
        <v>4</v>
      </c>
      <c r="T149" s="19" t="s">
        <v>497</v>
      </c>
    </row>
    <row r="150" spans="1:20" ht="22.5" hidden="1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 t="shared" si="2"/>
        <v>62</v>
      </c>
      <c r="S150" s="20">
        <v>4</v>
      </c>
      <c r="T150" s="18" t="s">
        <v>497</v>
      </c>
    </row>
    <row r="151" spans="1:20" ht="22.5" hidden="1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 t="shared" si="2"/>
        <v>13</v>
      </c>
      <c r="S151" s="22">
        <v>16</v>
      </c>
      <c r="T151" s="19" t="s">
        <v>441</v>
      </c>
    </row>
    <row r="152" spans="1:20" ht="22.5" hidden="1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 t="shared" si="2"/>
        <v>8</v>
      </c>
      <c r="S152" s="20">
        <v>12</v>
      </c>
      <c r="T152" s="18" t="s">
        <v>494</v>
      </c>
    </row>
    <row r="153" spans="1:20" ht="22.5" hidden="1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 t="shared" si="2"/>
        <v>20</v>
      </c>
      <c r="S153" s="22">
        <v>20</v>
      </c>
      <c r="T153" s="19" t="s">
        <v>507</v>
      </c>
    </row>
    <row r="154" spans="1:20" ht="22.5" hidden="1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 t="shared" si="2"/>
        <v>74</v>
      </c>
      <c r="S154" s="20">
        <v>1.5</v>
      </c>
      <c r="T154" s="18" t="s">
        <v>511</v>
      </c>
    </row>
    <row r="155" spans="1:20" ht="22.5" hidden="1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 t="shared" si="2"/>
        <v>24</v>
      </c>
      <c r="S155" s="22">
        <v>20</v>
      </c>
      <c r="T155" s="19" t="s">
        <v>507</v>
      </c>
    </row>
    <row r="156" spans="1:20" ht="22.5" hidden="1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 t="shared" si="2"/>
        <v>21</v>
      </c>
      <c r="S156" s="20">
        <v>2</v>
      </c>
      <c r="T156" s="18" t="s">
        <v>517</v>
      </c>
    </row>
    <row r="157" spans="1:20" ht="22.5" hidden="1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 t="shared" si="2"/>
        <v>21</v>
      </c>
      <c r="S157" s="22">
        <v>20</v>
      </c>
      <c r="T157" s="19" t="s">
        <v>521</v>
      </c>
    </row>
    <row r="158" spans="1:20" ht="22.5" hidden="1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 t="shared" si="2"/>
        <v>13</v>
      </c>
      <c r="S158" s="20">
        <v>2</v>
      </c>
      <c r="T158" s="18" t="s">
        <v>525</v>
      </c>
    </row>
    <row r="159" spans="1:20" ht="22.5" hidden="1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 t="shared" si="2"/>
        <v>117</v>
      </c>
      <c r="S159" s="22">
        <v>14</v>
      </c>
      <c r="T159" s="19" t="s">
        <v>365</v>
      </c>
    </row>
    <row r="160" spans="1:20" ht="22.5" hidden="1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 t="shared" si="2"/>
        <v>20</v>
      </c>
      <c r="S160" s="20">
        <v>20</v>
      </c>
      <c r="T160" s="18" t="s">
        <v>521</v>
      </c>
    </row>
    <row r="161" spans="1:20" ht="22.5" hidden="1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 t="shared" si="2"/>
        <v>22</v>
      </c>
      <c r="S161" s="22">
        <v>24</v>
      </c>
      <c r="T161" s="19" t="s">
        <v>534</v>
      </c>
    </row>
    <row r="162" spans="1:20" ht="22.5" hidden="1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 t="shared" si="2"/>
        <v>21</v>
      </c>
      <c r="S162" s="20">
        <v>12</v>
      </c>
      <c r="T162" s="31" t="s">
        <v>167</v>
      </c>
    </row>
    <row r="163" spans="1:20" ht="22.5" hidden="1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 t="shared" si="2"/>
        <v>59</v>
      </c>
      <c r="S163" s="22">
        <v>1.5</v>
      </c>
      <c r="T163" s="19" t="s">
        <v>472</v>
      </c>
    </row>
    <row r="164" spans="1:20" ht="22.5" hidden="1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 t="shared" si="2"/>
        <v>24</v>
      </c>
      <c r="S164" s="20">
        <v>20</v>
      </c>
      <c r="T164" s="18" t="s">
        <v>521</v>
      </c>
    </row>
    <row r="165" spans="1:20" ht="22.5" hidden="1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 t="shared" si="2"/>
        <v>41</v>
      </c>
      <c r="S165" s="22">
        <v>1.5</v>
      </c>
      <c r="T165" s="19" t="s">
        <v>546</v>
      </c>
    </row>
    <row r="166" spans="1:20" ht="22.5" hidden="1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 t="shared" si="2"/>
        <v>35</v>
      </c>
      <c r="S166" s="20">
        <v>1.5</v>
      </c>
      <c r="T166" s="18" t="s">
        <v>517</v>
      </c>
    </row>
    <row r="167" spans="1:20" ht="22.5" hidden="1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 t="shared" si="2"/>
        <v>15</v>
      </c>
      <c r="S167" s="22">
        <v>16</v>
      </c>
      <c r="T167" s="19" t="s">
        <v>441</v>
      </c>
    </row>
    <row r="168" spans="1:20" ht="22.5" hidden="1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 t="shared" si="2"/>
        <v>23</v>
      </c>
      <c r="S168" s="20">
        <v>16</v>
      </c>
      <c r="T168" s="31" t="s">
        <v>167</v>
      </c>
    </row>
    <row r="169" spans="1:20" ht="22.5" hidden="1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 t="shared" si="2"/>
        <v>36</v>
      </c>
      <c r="S169" s="22">
        <v>1.5</v>
      </c>
      <c r="T169" s="19" t="s">
        <v>558</v>
      </c>
    </row>
    <row r="170" spans="1:20" ht="22.5" hidden="1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 t="shared" si="2"/>
        <v>84</v>
      </c>
      <c r="S170" s="20">
        <v>1.5</v>
      </c>
      <c r="T170" s="18" t="s">
        <v>558</v>
      </c>
    </row>
    <row r="171" spans="1:20" ht="22.5" hidden="1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 t="shared" si="2"/>
        <v>40</v>
      </c>
      <c r="S171" s="22">
        <v>1.5</v>
      </c>
      <c r="T171" s="19" t="s">
        <v>563</v>
      </c>
    </row>
    <row r="172" spans="1:20" ht="22.5" hidden="1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 t="shared" si="2"/>
        <v>40</v>
      </c>
      <c r="S172" s="20">
        <v>1.5</v>
      </c>
      <c r="T172" s="18" t="s">
        <v>566</v>
      </c>
    </row>
    <row r="173" spans="1:20" ht="22.5" hidden="1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 t="shared" si="2"/>
        <v>44</v>
      </c>
      <c r="S173" s="22">
        <v>1.5</v>
      </c>
      <c r="T173" s="19" t="s">
        <v>569</v>
      </c>
    </row>
    <row r="174" spans="1:20" ht="22.5" hidden="1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 t="shared" si="2"/>
        <v>31</v>
      </c>
      <c r="S174" s="20">
        <v>24</v>
      </c>
      <c r="T174" s="18" t="s">
        <v>573</v>
      </c>
    </row>
    <row r="175" spans="1:20" ht="22.5" hidden="1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 t="shared" si="2"/>
        <v>29</v>
      </c>
      <c r="S175" s="22">
        <v>15</v>
      </c>
      <c r="T175" s="19" t="s">
        <v>61</v>
      </c>
    </row>
    <row r="176" spans="1:20" ht="22.5" hidden="1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 t="shared" si="2"/>
        <v>119</v>
      </c>
      <c r="S176" s="20">
        <v>10</v>
      </c>
      <c r="T176" s="18" t="s">
        <v>365</v>
      </c>
    </row>
    <row r="177" spans="1:20" ht="22.5" hidden="1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 t="shared" si="2"/>
        <v>122</v>
      </c>
      <c r="S177" s="22">
        <v>1</v>
      </c>
      <c r="T177" s="19" t="s">
        <v>583</v>
      </c>
    </row>
    <row r="178" spans="1:20" ht="22.5" hidden="1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 t="shared" si="2"/>
        <v>116</v>
      </c>
      <c r="S178" s="20">
        <v>1</v>
      </c>
      <c r="T178" s="18" t="s">
        <v>583</v>
      </c>
    </row>
    <row r="179" spans="1:20" ht="22.5" hidden="1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 t="shared" si="2"/>
        <v>83</v>
      </c>
      <c r="S179" s="22">
        <v>1</v>
      </c>
      <c r="T179" s="19" t="s">
        <v>588</v>
      </c>
    </row>
    <row r="180" spans="1:20" ht="22.5" hidden="1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 t="shared" si="2"/>
        <v>69</v>
      </c>
      <c r="S180" s="20">
        <v>1</v>
      </c>
      <c r="T180" s="18" t="s">
        <v>583</v>
      </c>
    </row>
    <row r="181" spans="1:20" ht="22.5" hidden="1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 t="shared" si="2"/>
        <v>48</v>
      </c>
      <c r="S181" s="22">
        <v>2.5</v>
      </c>
      <c r="T181" s="19" t="s">
        <v>594</v>
      </c>
    </row>
    <row r="182" spans="1:20" ht="22.5" hidden="1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 t="shared" si="2"/>
        <v>19</v>
      </c>
      <c r="S182" s="20">
        <v>1.5</v>
      </c>
      <c r="T182" s="31" t="s">
        <v>597</v>
      </c>
    </row>
    <row r="183" spans="1:20" ht="22.5" hidden="1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 t="shared" si="2"/>
        <v>73</v>
      </c>
      <c r="S183" s="22">
        <v>1.5</v>
      </c>
      <c r="T183" s="19" t="s">
        <v>76</v>
      </c>
    </row>
    <row r="184" spans="1:20" ht="22.5" hidden="1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 t="shared" si="2"/>
        <v>94</v>
      </c>
      <c r="S184" s="20">
        <v>1</v>
      </c>
      <c r="T184" s="18" t="s">
        <v>604</v>
      </c>
    </row>
    <row r="185" spans="1:20" ht="22.5" hidden="1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 t="shared" si="2"/>
        <v>42</v>
      </c>
      <c r="S185" s="22">
        <v>20</v>
      </c>
      <c r="T185" s="19" t="s">
        <v>607</v>
      </c>
    </row>
    <row r="186" spans="1:20" ht="22.5" hidden="1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 t="shared" si="2"/>
        <v>32</v>
      </c>
      <c r="S186" s="20">
        <v>15</v>
      </c>
      <c r="T186" s="18" t="s">
        <v>611</v>
      </c>
    </row>
    <row r="187" spans="1:20" ht="22.5" hidden="1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 t="shared" si="2"/>
        <v>22</v>
      </c>
      <c r="S187" s="22">
        <v>12</v>
      </c>
      <c r="T187" s="19" t="s">
        <v>425</v>
      </c>
    </row>
    <row r="188" spans="1:20" ht="22.5" hidden="1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 t="shared" si="2"/>
        <v>590</v>
      </c>
      <c r="S188" s="20">
        <v>20</v>
      </c>
      <c r="T188" s="18" t="s">
        <v>618</v>
      </c>
    </row>
    <row r="189" spans="1:20" ht="22.5" hidden="1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 t="shared" si="2"/>
        <v>41</v>
      </c>
      <c r="S189" s="22">
        <v>20</v>
      </c>
      <c r="T189" s="19" t="s">
        <v>621</v>
      </c>
    </row>
    <row r="190" spans="1:20" ht="22.5" hidden="1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 t="shared" si="2"/>
        <v>80</v>
      </c>
      <c r="S190" s="20">
        <v>1.5</v>
      </c>
      <c r="T190" s="18" t="s">
        <v>624</v>
      </c>
    </row>
    <row r="191" spans="1:20" ht="22.5" hidden="1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 t="shared" si="2"/>
        <v>36</v>
      </c>
      <c r="S191" s="22">
        <v>2</v>
      </c>
      <c r="T191" s="19" t="s">
        <v>628</v>
      </c>
    </row>
    <row r="192" spans="1:20" ht="22.5" hidden="1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 t="shared" si="2"/>
        <v>70</v>
      </c>
      <c r="S192" s="20">
        <v>8</v>
      </c>
      <c r="T192" s="18" t="s">
        <v>632</v>
      </c>
    </row>
    <row r="193" spans="1:20" ht="22.5" hidden="1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 t="shared" si="2"/>
        <v>21</v>
      </c>
      <c r="S193" s="22">
        <v>15</v>
      </c>
      <c r="T193" s="19" t="s">
        <v>636</v>
      </c>
    </row>
    <row r="194" spans="1:20" ht="22.5" hidden="1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 t="shared" ref="R194:R257" si="3">SUM(O194:Q194)</f>
        <v>20</v>
      </c>
      <c r="S194" s="20">
        <v>14</v>
      </c>
      <c r="T194" s="18" t="s">
        <v>624</v>
      </c>
    </row>
    <row r="195" spans="1:20" ht="22.5" hidden="1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 t="shared" si="3"/>
        <v>28</v>
      </c>
      <c r="S195" s="22">
        <v>20</v>
      </c>
      <c r="T195" s="19" t="s">
        <v>621</v>
      </c>
    </row>
    <row r="196" spans="1:20" ht="22.5" hidden="1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 t="shared" si="3"/>
        <v>25</v>
      </c>
      <c r="S196" s="20">
        <v>24</v>
      </c>
      <c r="T196" s="18" t="s">
        <v>642</v>
      </c>
    </row>
    <row r="197" spans="1:20" ht="22.5" hidden="1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 t="shared" si="3"/>
        <v>14</v>
      </c>
      <c r="S197" s="22">
        <v>12</v>
      </c>
      <c r="T197" s="19" t="s">
        <v>646</v>
      </c>
    </row>
    <row r="198" spans="1:20" ht="22.5" hidden="1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 t="shared" si="3"/>
        <v>46</v>
      </c>
      <c r="S198" s="20">
        <v>2</v>
      </c>
      <c r="T198" s="18" t="s">
        <v>451</v>
      </c>
    </row>
    <row r="199" spans="1:20" ht="22.5" hidden="1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 t="shared" si="3"/>
        <v>98</v>
      </c>
      <c r="S199" s="22">
        <v>2</v>
      </c>
      <c r="T199" s="19" t="s">
        <v>652</v>
      </c>
    </row>
    <row r="200" spans="1:20" ht="22.5" hidden="1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 t="shared" si="3"/>
        <v>50</v>
      </c>
      <c r="S200" s="20">
        <v>9</v>
      </c>
      <c r="T200" s="18" t="s">
        <v>656</v>
      </c>
    </row>
    <row r="201" spans="1:20" ht="22.5" hidden="1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 t="shared" si="3"/>
        <v>17</v>
      </c>
      <c r="S201" s="22">
        <v>15</v>
      </c>
      <c r="T201" s="19" t="s">
        <v>611</v>
      </c>
    </row>
    <row r="202" spans="1:20" ht="22.5" hidden="1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 t="shared" si="3"/>
        <v>53</v>
      </c>
      <c r="S202" s="20">
        <v>8</v>
      </c>
      <c r="T202" s="18" t="s">
        <v>662</v>
      </c>
    </row>
    <row r="203" spans="1:20" ht="22.5" hidden="1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 t="shared" si="3"/>
        <v>16</v>
      </c>
      <c r="S203" s="22">
        <v>15</v>
      </c>
      <c r="T203" s="19" t="s">
        <v>636</v>
      </c>
    </row>
    <row r="204" spans="1:20" ht="22.5" hidden="1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 t="shared" si="3"/>
        <v>59</v>
      </c>
      <c r="S204" s="20">
        <v>12</v>
      </c>
      <c r="T204" s="18" t="s">
        <v>261</v>
      </c>
    </row>
    <row r="205" spans="1:20" ht="22.5" hidden="1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 t="shared" si="3"/>
        <v>76</v>
      </c>
      <c r="S205" s="22">
        <v>2</v>
      </c>
      <c r="T205" s="19" t="s">
        <v>652</v>
      </c>
    </row>
    <row r="206" spans="1:20" ht="22.5" hidden="1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 t="shared" si="3"/>
        <v>33</v>
      </c>
      <c r="S206" s="20">
        <v>2</v>
      </c>
      <c r="T206" s="31" t="s">
        <v>167</v>
      </c>
    </row>
    <row r="207" spans="1:20" ht="22.5" hidden="1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 t="shared" si="3"/>
        <v>58</v>
      </c>
      <c r="S207" s="22">
        <v>8</v>
      </c>
      <c r="T207" s="19" t="s">
        <v>676</v>
      </c>
    </row>
    <row r="208" spans="1:20" ht="22.5" hidden="1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 t="shared" si="3"/>
        <v>60</v>
      </c>
      <c r="S208" s="20">
        <v>9</v>
      </c>
      <c r="T208" s="18" t="s">
        <v>656</v>
      </c>
    </row>
    <row r="209" spans="1:20" ht="22.5" hidden="1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 t="shared" si="3"/>
        <v>13</v>
      </c>
      <c r="S209" s="22">
        <v>20</v>
      </c>
      <c r="T209" s="19" t="s">
        <v>521</v>
      </c>
    </row>
    <row r="210" spans="1:20" ht="22.5" hidden="1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 t="shared" si="3"/>
        <v>14</v>
      </c>
      <c r="S210" s="20">
        <v>8</v>
      </c>
      <c r="T210" s="18" t="s">
        <v>685</v>
      </c>
    </row>
    <row r="211" spans="1:20" ht="22.5" hidden="1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 t="shared" si="3"/>
        <v>53</v>
      </c>
      <c r="S211" s="22">
        <v>16</v>
      </c>
      <c r="T211" s="19" t="s">
        <v>321</v>
      </c>
    </row>
    <row r="212" spans="1:20" ht="22.5" hidden="1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 t="shared" si="3"/>
        <v>105</v>
      </c>
      <c r="S212" s="20">
        <v>1.5</v>
      </c>
      <c r="T212" s="18" t="s">
        <v>692</v>
      </c>
    </row>
    <row r="213" spans="1:20" ht="22.5" hidden="1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 t="shared" si="3"/>
        <v>635</v>
      </c>
      <c r="S213" s="22">
        <v>4</v>
      </c>
      <c r="T213" s="19" t="s">
        <v>696</v>
      </c>
    </row>
    <row r="214" spans="1:20" ht="22.5" hidden="1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 t="shared" si="3"/>
        <v>34</v>
      </c>
      <c r="S214" s="20">
        <v>2</v>
      </c>
      <c r="T214" s="18" t="s">
        <v>700</v>
      </c>
    </row>
    <row r="215" spans="1:20" ht="22.5" hidden="1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 t="shared" si="3"/>
        <v>32</v>
      </c>
      <c r="S215" s="22">
        <v>4</v>
      </c>
      <c r="T215" s="19" t="s">
        <v>703</v>
      </c>
    </row>
    <row r="216" spans="1:20" ht="22.5" hidden="1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 t="shared" si="3"/>
        <v>10</v>
      </c>
      <c r="S216" s="20">
        <v>10.5</v>
      </c>
      <c r="T216" s="18" t="s">
        <v>707</v>
      </c>
    </row>
    <row r="217" spans="1:20" ht="22.5" hidden="1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 t="shared" si="3"/>
        <v>16</v>
      </c>
      <c r="S217" s="22">
        <v>20</v>
      </c>
      <c r="T217" s="19" t="s">
        <v>521</v>
      </c>
    </row>
    <row r="218" spans="1:20" ht="22.5" hidden="1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 t="shared" si="3"/>
        <v>20</v>
      </c>
      <c r="S218" s="20">
        <v>8</v>
      </c>
      <c r="T218" s="18" t="s">
        <v>713</v>
      </c>
    </row>
    <row r="219" spans="1:20" ht="22.5" hidden="1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 t="shared" si="3"/>
        <v>59</v>
      </c>
      <c r="S219" s="22">
        <v>1</v>
      </c>
      <c r="T219" s="19" t="s">
        <v>717</v>
      </c>
    </row>
    <row r="220" spans="1:20" ht="22.5" hidden="1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 t="shared" si="3"/>
        <v>70</v>
      </c>
      <c r="S220" s="20">
        <v>2</v>
      </c>
      <c r="T220" s="18" t="s">
        <v>652</v>
      </c>
    </row>
    <row r="221" spans="1:20" ht="22.5" hidden="1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 t="shared" si="3"/>
        <v>30</v>
      </c>
      <c r="S221" s="22">
        <v>1</v>
      </c>
      <c r="T221" s="19" t="s">
        <v>717</v>
      </c>
    </row>
    <row r="222" spans="1:20" ht="22.5" hidden="1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 t="shared" si="3"/>
        <v>14</v>
      </c>
      <c r="S222" s="20">
        <v>2</v>
      </c>
      <c r="T222" s="18" t="s">
        <v>725</v>
      </c>
    </row>
    <row r="223" spans="1:20" ht="22.5" hidden="1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 t="shared" si="3"/>
        <v>29</v>
      </c>
      <c r="S223" s="22">
        <v>12</v>
      </c>
      <c r="T223" s="19" t="s">
        <v>729</v>
      </c>
    </row>
    <row r="224" spans="1:20" ht="22.5" hidden="1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 t="shared" si="3"/>
        <v>37</v>
      </c>
      <c r="S224" s="20">
        <v>2</v>
      </c>
      <c r="T224" s="18" t="s">
        <v>733</v>
      </c>
    </row>
    <row r="225" spans="1:20" ht="22.5" hidden="1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 t="shared" si="3"/>
        <v>24</v>
      </c>
      <c r="S225" s="22">
        <v>24</v>
      </c>
      <c r="T225" s="19" t="s">
        <v>737</v>
      </c>
    </row>
    <row r="226" spans="1:20" ht="22.5" hidden="1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 t="shared" si="3"/>
        <v>32</v>
      </c>
      <c r="S226" s="20">
        <v>1.5</v>
      </c>
      <c r="T226" s="18" t="s">
        <v>741</v>
      </c>
    </row>
    <row r="227" spans="1:20" ht="22.5" hidden="1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 t="shared" si="3"/>
        <v>14</v>
      </c>
      <c r="S227" s="22">
        <v>1</v>
      </c>
      <c r="T227" s="19" t="s">
        <v>744</v>
      </c>
    </row>
    <row r="228" spans="1:20" ht="22.5" hidden="1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 t="shared" si="3"/>
        <v>31</v>
      </c>
      <c r="S228" s="20">
        <v>10</v>
      </c>
      <c r="T228" s="18" t="s">
        <v>741</v>
      </c>
    </row>
    <row r="229" spans="1:20" ht="22.5" hidden="1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 t="shared" si="3"/>
        <v>30</v>
      </c>
      <c r="S229" s="22">
        <v>4</v>
      </c>
      <c r="T229" s="19" t="s">
        <v>425</v>
      </c>
    </row>
    <row r="230" spans="1:20" ht="22.5" hidden="1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 t="shared" si="3"/>
        <v>52</v>
      </c>
      <c r="S230" s="20">
        <v>16</v>
      </c>
      <c r="T230" s="18" t="s">
        <v>321</v>
      </c>
    </row>
    <row r="231" spans="1:20" ht="22.5" hidden="1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 t="shared" si="3"/>
        <v>89</v>
      </c>
      <c r="S231" s="22">
        <v>2</v>
      </c>
      <c r="T231" s="19" t="s">
        <v>652</v>
      </c>
    </row>
    <row r="232" spans="1:20" ht="22.5" hidden="1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 t="shared" si="3"/>
        <v>13</v>
      </c>
      <c r="S232" s="20">
        <v>24</v>
      </c>
      <c r="T232" s="18" t="s">
        <v>757</v>
      </c>
    </row>
    <row r="233" spans="1:20" ht="22.5" hidden="1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 t="shared" si="3"/>
        <v>38</v>
      </c>
      <c r="S233" s="22">
        <v>2</v>
      </c>
      <c r="T233" s="19" t="s">
        <v>451</v>
      </c>
    </row>
    <row r="234" spans="1:20" ht="22.5" hidden="1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 t="shared" si="3"/>
        <v>44</v>
      </c>
      <c r="S234" s="20">
        <v>2</v>
      </c>
      <c r="T234" s="18" t="s">
        <v>764</v>
      </c>
    </row>
    <row r="235" spans="1:20" ht="22.5" hidden="1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 t="shared" si="3"/>
        <v>21</v>
      </c>
      <c r="S235" s="22">
        <v>4</v>
      </c>
      <c r="T235" s="19" t="s">
        <v>425</v>
      </c>
    </row>
    <row r="236" spans="1:20" ht="22.5" hidden="1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 t="shared" si="3"/>
        <v>45</v>
      </c>
      <c r="S236" s="20">
        <v>2</v>
      </c>
      <c r="T236" s="18" t="s">
        <v>770</v>
      </c>
    </row>
    <row r="237" spans="1:20" ht="22.5" hidden="1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 t="shared" si="3"/>
        <v>70</v>
      </c>
      <c r="S237" s="22">
        <v>2</v>
      </c>
      <c r="T237" s="19" t="s">
        <v>546</v>
      </c>
    </row>
    <row r="238" spans="1:20" ht="22.5" hidden="1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 t="shared" si="3"/>
        <v>15</v>
      </c>
      <c r="S238" s="20">
        <v>20</v>
      </c>
      <c r="T238" s="18" t="s">
        <v>776</v>
      </c>
    </row>
    <row r="239" spans="1:20" ht="22.5" hidden="1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 t="shared" si="3"/>
        <v>51</v>
      </c>
      <c r="S239" s="22">
        <v>2</v>
      </c>
      <c r="T239" s="19" t="s">
        <v>780</v>
      </c>
    </row>
    <row r="240" spans="1:20" ht="22.5" hidden="1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 t="shared" si="3"/>
        <v>31</v>
      </c>
      <c r="S240" s="20">
        <v>1</v>
      </c>
      <c r="T240" s="18" t="s">
        <v>784</v>
      </c>
    </row>
    <row r="241" spans="1:20" ht="22.5" hidden="1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 t="shared" si="3"/>
        <v>140</v>
      </c>
      <c r="S241" s="22">
        <v>20</v>
      </c>
      <c r="T241" s="19" t="s">
        <v>788</v>
      </c>
    </row>
    <row r="242" spans="1:20" ht="22.5" hidden="1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 t="shared" si="3"/>
        <v>15</v>
      </c>
      <c r="S242" s="20">
        <v>21</v>
      </c>
      <c r="T242" s="18" t="s">
        <v>636</v>
      </c>
    </row>
    <row r="243" spans="1:20" ht="22.5" hidden="1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 t="shared" si="3"/>
        <v>18</v>
      </c>
      <c r="S243" s="22">
        <v>12</v>
      </c>
      <c r="T243" s="19" t="s">
        <v>713</v>
      </c>
    </row>
    <row r="244" spans="1:20" ht="22.5" hidden="1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 t="shared" si="3"/>
        <v>55</v>
      </c>
      <c r="S244" s="20">
        <v>2</v>
      </c>
      <c r="T244" s="18" t="s">
        <v>546</v>
      </c>
    </row>
    <row r="245" spans="1:20" ht="22.5" hidden="1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 t="shared" si="3"/>
        <v>120</v>
      </c>
      <c r="S245" s="22">
        <v>1</v>
      </c>
      <c r="T245" s="19" t="s">
        <v>798</v>
      </c>
    </row>
    <row r="246" spans="1:20" ht="22.5" hidden="1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 t="shared" si="3"/>
        <v>34</v>
      </c>
      <c r="S246" s="20">
        <v>24</v>
      </c>
      <c r="T246" s="18" t="s">
        <v>801</v>
      </c>
    </row>
    <row r="247" spans="1:20" ht="22.5" hidden="1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 t="shared" si="3"/>
        <v>37</v>
      </c>
      <c r="S247" s="22">
        <v>4</v>
      </c>
      <c r="T247" s="19" t="s">
        <v>425</v>
      </c>
    </row>
    <row r="248" spans="1:20" ht="22.5" hidden="1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 t="shared" si="3"/>
        <v>6</v>
      </c>
      <c r="S248" s="20">
        <v>2</v>
      </c>
      <c r="T248" s="18" t="s">
        <v>808</v>
      </c>
    </row>
    <row r="249" spans="1:20" ht="22.5" hidden="1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 t="shared" si="3"/>
        <v>25</v>
      </c>
      <c r="S249" s="22">
        <v>8</v>
      </c>
      <c r="T249" s="19" t="s">
        <v>812</v>
      </c>
    </row>
    <row r="250" spans="1:20" ht="22.5" hidden="1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 t="shared" si="3"/>
        <v>26</v>
      </c>
      <c r="S250" s="20">
        <v>20</v>
      </c>
      <c r="T250" s="18" t="s">
        <v>816</v>
      </c>
    </row>
    <row r="251" spans="1:20" ht="22.5" hidden="1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 t="shared" si="3"/>
        <v>56</v>
      </c>
      <c r="S251" s="22">
        <v>2</v>
      </c>
      <c r="T251" s="19" t="s">
        <v>425</v>
      </c>
    </row>
    <row r="252" spans="1:20" ht="22.5" hidden="1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 t="shared" si="3"/>
        <v>26</v>
      </c>
      <c r="S252" s="20">
        <v>4.5</v>
      </c>
      <c r="T252" s="18" t="s">
        <v>823</v>
      </c>
    </row>
    <row r="253" spans="1:20" ht="22.5" hidden="1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 t="shared" si="3"/>
        <v>26</v>
      </c>
      <c r="S253" s="22">
        <v>1</v>
      </c>
      <c r="T253" s="19" t="s">
        <v>451</v>
      </c>
    </row>
    <row r="254" spans="1:20" ht="22.5" hidden="1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 t="shared" si="3"/>
        <v>11</v>
      </c>
      <c r="S254" s="20">
        <v>66</v>
      </c>
      <c r="T254" s="18" t="s">
        <v>830</v>
      </c>
    </row>
    <row r="255" spans="1:20" ht="22.5" hidden="1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 t="shared" si="3"/>
        <v>14</v>
      </c>
      <c r="S255" s="22">
        <v>7</v>
      </c>
      <c r="T255" s="19" t="s">
        <v>833</v>
      </c>
    </row>
    <row r="256" spans="1:20" ht="22.5" hidden="1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 t="shared" si="3"/>
        <v>49</v>
      </c>
      <c r="S256" s="20">
        <v>10.5</v>
      </c>
      <c r="T256" s="18" t="s">
        <v>656</v>
      </c>
    </row>
    <row r="257" spans="1:20" ht="22.5" hidden="1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 t="shared" si="3"/>
        <v>27</v>
      </c>
      <c r="S257" s="22">
        <v>6</v>
      </c>
      <c r="T257" s="19" t="s">
        <v>840</v>
      </c>
    </row>
    <row r="258" spans="1:20" ht="22.5" hidden="1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 t="shared" ref="R258:R321" si="4">SUM(O258:Q258)</f>
        <v>22</v>
      </c>
      <c r="S258" s="20">
        <v>2</v>
      </c>
      <c r="T258" s="18" t="s">
        <v>685</v>
      </c>
    </row>
    <row r="259" spans="1:20" ht="22.5" hidden="1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 t="shared" si="4"/>
        <v>18</v>
      </c>
      <c r="S259" s="22">
        <v>6</v>
      </c>
      <c r="T259" s="19" t="s">
        <v>847</v>
      </c>
    </row>
    <row r="260" spans="1:20" ht="22.5" hidden="1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 t="shared" si="4"/>
        <v>31</v>
      </c>
      <c r="S260" s="20">
        <v>2</v>
      </c>
      <c r="T260" s="18" t="s">
        <v>851</v>
      </c>
    </row>
    <row r="261" spans="1:20" ht="22.5" hidden="1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 t="shared" si="4"/>
        <v>25</v>
      </c>
      <c r="S261" s="22">
        <v>20</v>
      </c>
      <c r="T261" s="19" t="s">
        <v>558</v>
      </c>
    </row>
    <row r="262" spans="1:20" ht="22.5" hidden="1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 t="shared" si="4"/>
        <v>9</v>
      </c>
      <c r="S262" s="20">
        <v>20</v>
      </c>
      <c r="T262" s="18" t="s">
        <v>521</v>
      </c>
    </row>
    <row r="263" spans="1:20" ht="22.5" hidden="1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 t="shared" si="4"/>
        <v>8</v>
      </c>
      <c r="S263" s="22">
        <v>6</v>
      </c>
      <c r="T263" s="19" t="s">
        <v>858</v>
      </c>
    </row>
    <row r="264" spans="1:20" ht="22.5" hidden="1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 t="shared" si="4"/>
        <v>29</v>
      </c>
      <c r="S264" s="20">
        <v>1</v>
      </c>
      <c r="T264" s="18" t="s">
        <v>784</v>
      </c>
    </row>
    <row r="265" spans="1:20" ht="22.5" hidden="1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 t="shared" si="4"/>
        <v>24</v>
      </c>
      <c r="S265" s="22">
        <v>4</v>
      </c>
      <c r="T265" s="19" t="s">
        <v>365</v>
      </c>
    </row>
    <row r="266" spans="1:20" ht="22.5" hidden="1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 t="shared" si="4"/>
        <v>66</v>
      </c>
      <c r="S266" s="20">
        <v>1.5</v>
      </c>
      <c r="T266" s="31" t="s">
        <v>167</v>
      </c>
    </row>
    <row r="267" spans="1:20" ht="22.5" hidden="1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 t="shared" si="4"/>
        <v>20</v>
      </c>
      <c r="S267" s="22">
        <v>3</v>
      </c>
      <c r="T267" s="19" t="s">
        <v>798</v>
      </c>
    </row>
    <row r="268" spans="1:20" ht="22.5" hidden="1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 t="shared" si="4"/>
        <v>13</v>
      </c>
      <c r="S268" s="20">
        <v>20</v>
      </c>
      <c r="T268" s="18" t="s">
        <v>521</v>
      </c>
    </row>
    <row r="269" spans="1:20" ht="22.5" hidden="1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 t="shared" si="4"/>
        <v>15</v>
      </c>
      <c r="S269" s="22">
        <v>8</v>
      </c>
      <c r="T269" s="19" t="s">
        <v>812</v>
      </c>
    </row>
    <row r="270" spans="1:20" ht="22.5" hidden="1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 t="shared" si="4"/>
        <v>5</v>
      </c>
      <c r="S270" s="20">
        <v>30</v>
      </c>
      <c r="T270" s="18" t="s">
        <v>741</v>
      </c>
    </row>
    <row r="271" spans="1:20" ht="22.5" hidden="1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 t="shared" si="4"/>
        <v>18</v>
      </c>
      <c r="S271" s="22">
        <v>12</v>
      </c>
      <c r="T271" s="19" t="s">
        <v>421</v>
      </c>
    </row>
    <row r="272" spans="1:20" ht="22.5" hidden="1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 t="shared" si="4"/>
        <v>8</v>
      </c>
      <c r="S272" s="20">
        <v>12</v>
      </c>
      <c r="T272" s="18" t="s">
        <v>421</v>
      </c>
    </row>
    <row r="273" spans="1:20" ht="22.5" hidden="1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 t="shared" si="4"/>
        <v>83</v>
      </c>
      <c r="S273" s="22">
        <v>16</v>
      </c>
      <c r="T273" s="19" t="s">
        <v>887</v>
      </c>
    </row>
    <row r="274" spans="1:20" ht="22.5" hidden="1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 t="shared" si="4"/>
        <v>24</v>
      </c>
      <c r="S274" s="20">
        <v>2</v>
      </c>
      <c r="T274" s="18" t="s">
        <v>891</v>
      </c>
    </row>
    <row r="275" spans="1:20" ht="22.5" hidden="1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 t="shared" si="4"/>
        <v>20</v>
      </c>
      <c r="S275" s="22">
        <v>20</v>
      </c>
      <c r="T275" s="19" t="s">
        <v>521</v>
      </c>
    </row>
    <row r="276" spans="1:20" ht="22.5" hidden="1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 t="shared" si="4"/>
        <v>39</v>
      </c>
      <c r="S276" s="20">
        <v>12</v>
      </c>
      <c r="T276" s="18" t="s">
        <v>897</v>
      </c>
    </row>
    <row r="277" spans="1:20" ht="22.5" hidden="1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 t="shared" si="4"/>
        <v>39</v>
      </c>
      <c r="S277" s="22">
        <v>1</v>
      </c>
      <c r="T277" s="19" t="s">
        <v>901</v>
      </c>
    </row>
    <row r="278" spans="1:20" ht="22.5" hidden="1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 t="shared" si="4"/>
        <v>277</v>
      </c>
      <c r="S278" s="20">
        <v>6</v>
      </c>
      <c r="T278" s="52" t="s">
        <v>905</v>
      </c>
    </row>
    <row r="279" spans="1:20" ht="22.5" hidden="1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 t="shared" si="4"/>
        <v>43</v>
      </c>
      <c r="S279" s="22">
        <v>8</v>
      </c>
      <c r="T279" s="19" t="s">
        <v>909</v>
      </c>
    </row>
    <row r="280" spans="1:20" ht="22.5" hidden="1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 t="shared" si="4"/>
        <v>21</v>
      </c>
      <c r="S280" s="20">
        <v>2</v>
      </c>
      <c r="T280" s="18" t="s">
        <v>808</v>
      </c>
    </row>
    <row r="281" spans="1:20" ht="22.5" hidden="1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 t="shared" si="4"/>
        <v>144</v>
      </c>
      <c r="S281" s="22">
        <v>2</v>
      </c>
      <c r="T281" s="19" t="s">
        <v>67</v>
      </c>
    </row>
    <row r="282" spans="1:20" ht="22.5" hidden="1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 t="shared" si="4"/>
        <v>19</v>
      </c>
      <c r="S282" s="20">
        <v>30</v>
      </c>
      <c r="T282" s="18" t="s">
        <v>741</v>
      </c>
    </row>
    <row r="283" spans="1:20" ht="22.5" hidden="1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 t="shared" si="4"/>
        <v>65</v>
      </c>
      <c r="S283" s="22">
        <v>16</v>
      </c>
      <c r="T283" s="19" t="s">
        <v>324</v>
      </c>
    </row>
    <row r="284" spans="1:20" ht="22.5" hidden="1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 t="shared" si="4"/>
        <v>72</v>
      </c>
      <c r="S284" s="20">
        <v>2</v>
      </c>
      <c r="T284" s="18" t="s">
        <v>924</v>
      </c>
    </row>
    <row r="285" spans="1:20" ht="22.5" hidden="1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 t="shared" si="4"/>
        <v>193</v>
      </c>
      <c r="S285" s="22">
        <v>20</v>
      </c>
      <c r="T285" s="19" t="s">
        <v>67</v>
      </c>
    </row>
    <row r="286" spans="1:20" ht="22.5" hidden="1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 t="shared" si="4"/>
        <v>46</v>
      </c>
      <c r="S286" s="20">
        <v>2</v>
      </c>
      <c r="T286" s="18" t="s">
        <v>931</v>
      </c>
    </row>
    <row r="287" spans="1:20" ht="22.5" hidden="1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 t="shared" si="4"/>
        <v>20</v>
      </c>
      <c r="S287" s="22">
        <v>4</v>
      </c>
      <c r="T287" s="19" t="s">
        <v>798</v>
      </c>
    </row>
    <row r="288" spans="1:20" ht="22.5" hidden="1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 t="shared" si="4"/>
        <v>23</v>
      </c>
      <c r="S288" s="20">
        <v>2</v>
      </c>
      <c r="T288" s="18"/>
    </row>
    <row r="289" spans="1:20" ht="22.5" hidden="1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 t="shared" si="4"/>
        <v>80</v>
      </c>
      <c r="S289" s="22">
        <v>16</v>
      </c>
      <c r="T289" s="19" t="s">
        <v>939</v>
      </c>
    </row>
    <row r="290" spans="1:20" ht="22.5" hidden="1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 t="shared" si="4"/>
        <v>21</v>
      </c>
      <c r="S290" s="20">
        <v>21</v>
      </c>
      <c r="T290" s="18" t="s">
        <v>943</v>
      </c>
    </row>
    <row r="291" spans="1:20" ht="22.5" hidden="1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 t="shared" si="4"/>
        <v>28</v>
      </c>
      <c r="S291" s="22">
        <v>20</v>
      </c>
      <c r="T291" s="19" t="s">
        <v>324</v>
      </c>
    </row>
    <row r="292" spans="1:20" ht="22.5" hidden="1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 t="shared" si="4"/>
        <v>35</v>
      </c>
      <c r="S292" s="20">
        <v>10.5</v>
      </c>
      <c r="T292" s="18" t="s">
        <v>948</v>
      </c>
    </row>
    <row r="293" spans="1:20" ht="22.5" hidden="1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 t="shared" si="4"/>
        <v>20</v>
      </c>
      <c r="S293" s="22">
        <v>12</v>
      </c>
      <c r="T293" s="19" t="s">
        <v>425</v>
      </c>
    </row>
    <row r="294" spans="1:20" ht="22.5" hidden="1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 t="shared" si="4"/>
        <v>188</v>
      </c>
      <c r="S294" s="20">
        <v>2</v>
      </c>
      <c r="T294" s="18" t="s">
        <v>955</v>
      </c>
    </row>
    <row r="295" spans="1:20" ht="22.5" hidden="1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 t="shared" si="4"/>
        <v>42</v>
      </c>
      <c r="S295" s="22">
        <v>2</v>
      </c>
      <c r="T295" s="19" t="s">
        <v>959</v>
      </c>
    </row>
    <row r="296" spans="1:20" ht="22.5" hidden="1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 t="shared" si="4"/>
        <v>31</v>
      </c>
      <c r="S296" s="20">
        <v>26</v>
      </c>
      <c r="T296" s="18" t="s">
        <v>963</v>
      </c>
    </row>
    <row r="297" spans="1:20" ht="22.5" hidden="1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 t="shared" si="4"/>
        <v>20</v>
      </c>
      <c r="S297" s="22">
        <v>20</v>
      </c>
      <c r="T297" s="19" t="s">
        <v>61</v>
      </c>
    </row>
    <row r="298" spans="1:20" ht="22.5" hidden="1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 t="shared" si="4"/>
        <v>70</v>
      </c>
      <c r="S298" s="20">
        <v>1.5</v>
      </c>
      <c r="T298" s="18" t="s">
        <v>969</v>
      </c>
    </row>
    <row r="299" spans="1:20" ht="22.5" hidden="1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 t="shared" si="4"/>
        <v>85</v>
      </c>
      <c r="S299" s="22">
        <v>8</v>
      </c>
      <c r="T299" s="19" t="s">
        <v>972</v>
      </c>
    </row>
    <row r="300" spans="1:20" ht="22.5" hidden="1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 t="shared" si="4"/>
        <v>54</v>
      </c>
      <c r="S300" s="20">
        <v>2</v>
      </c>
      <c r="T300" s="18" t="s">
        <v>976</v>
      </c>
    </row>
    <row r="301" spans="1:20" ht="22.5" hidden="1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 t="shared" si="4"/>
        <v>153</v>
      </c>
      <c r="S301" s="22">
        <v>2</v>
      </c>
      <c r="T301" s="19" t="s">
        <v>980</v>
      </c>
    </row>
    <row r="302" spans="1:20" ht="22.5" hidden="1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 t="shared" si="4"/>
        <v>19</v>
      </c>
      <c r="S302" s="20">
        <v>16</v>
      </c>
      <c r="T302" s="18" t="s">
        <v>425</v>
      </c>
    </row>
    <row r="303" spans="1:20" ht="22.5" hidden="1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 t="shared" si="4"/>
        <v>20</v>
      </c>
      <c r="S303" s="22">
        <v>2</v>
      </c>
      <c r="T303" s="19" t="s">
        <v>987</v>
      </c>
    </row>
    <row r="304" spans="1:20" ht="22.5" hidden="1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 t="shared" si="4"/>
        <v>25</v>
      </c>
      <c r="S304" s="20">
        <v>2</v>
      </c>
      <c r="T304" s="18" t="s">
        <v>990</v>
      </c>
    </row>
    <row r="305" spans="1:20" ht="22.5" hidden="1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 t="shared" si="4"/>
        <v>70</v>
      </c>
      <c r="S305" s="22">
        <v>2</v>
      </c>
      <c r="T305" s="19" t="s">
        <v>994</v>
      </c>
    </row>
    <row r="306" spans="1:20" ht="22.5" hidden="1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 t="shared" si="4"/>
        <v>17</v>
      </c>
      <c r="S306" s="20">
        <v>20</v>
      </c>
      <c r="T306" s="18"/>
    </row>
    <row r="307" spans="1:20" ht="22.5" hidden="1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 t="shared" si="4"/>
        <v>24</v>
      </c>
      <c r="S307" s="22">
        <v>20</v>
      </c>
      <c r="T307" s="19" t="s">
        <v>558</v>
      </c>
    </row>
    <row r="308" spans="1:20" ht="22.5" hidden="1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 t="shared" si="4"/>
        <v>17</v>
      </c>
      <c r="S308" s="20">
        <v>6.5</v>
      </c>
      <c r="T308" s="18" t="s">
        <v>1003</v>
      </c>
    </row>
    <row r="309" spans="1:20" ht="22.5" hidden="1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 t="shared" si="4"/>
        <v>17</v>
      </c>
      <c r="S309" s="22">
        <v>16</v>
      </c>
      <c r="T309" s="19" t="s">
        <v>425</v>
      </c>
    </row>
    <row r="310" spans="1:20" ht="22.5" hidden="1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 t="shared" si="4"/>
        <v>45</v>
      </c>
      <c r="S310" s="20">
        <v>1</v>
      </c>
      <c r="T310" s="31" t="s">
        <v>117</v>
      </c>
    </row>
    <row r="311" spans="1:20" ht="22.5" hidden="1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 t="shared" si="4"/>
        <v>26</v>
      </c>
      <c r="S311" s="22">
        <v>2</v>
      </c>
      <c r="T311" s="19" t="s">
        <v>1013</v>
      </c>
    </row>
    <row r="312" spans="1:20" ht="22.5" hidden="1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 t="shared" si="4"/>
        <v>17</v>
      </c>
      <c r="S312" s="20">
        <v>75</v>
      </c>
      <c r="T312" s="52" t="s">
        <v>1016</v>
      </c>
    </row>
    <row r="313" spans="1:20" ht="22.5" hidden="1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 t="shared" si="4"/>
        <v>30</v>
      </c>
      <c r="S313" s="22">
        <v>2</v>
      </c>
      <c r="T313" s="19" t="s">
        <v>685</v>
      </c>
    </row>
    <row r="314" spans="1:20" ht="22.5" hidden="1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 t="shared" si="4"/>
        <v>20</v>
      </c>
      <c r="S314" s="20">
        <v>20</v>
      </c>
      <c r="T314" s="18" t="s">
        <v>61</v>
      </c>
    </row>
    <row r="315" spans="1:20" ht="22.5" hidden="1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 t="shared" si="4"/>
        <v>33</v>
      </c>
      <c r="S315" s="22">
        <v>2</v>
      </c>
      <c r="T315" s="19" t="s">
        <v>1024</v>
      </c>
    </row>
    <row r="316" spans="1:20" ht="22.5" hidden="1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 t="shared" si="4"/>
        <v>17</v>
      </c>
      <c r="S316" s="20">
        <v>5</v>
      </c>
      <c r="T316" s="31" t="s">
        <v>1028</v>
      </c>
    </row>
    <row r="317" spans="1:20" ht="22.5" hidden="1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 t="shared" si="4"/>
        <v>15</v>
      </c>
      <c r="S317" s="22">
        <v>24</v>
      </c>
      <c r="T317" s="19" t="s">
        <v>1032</v>
      </c>
    </row>
    <row r="318" spans="1:20" ht="22.5" hidden="1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 t="shared" si="4"/>
        <v>19</v>
      </c>
      <c r="S318" s="20">
        <v>4</v>
      </c>
      <c r="T318" s="18" t="s">
        <v>324</v>
      </c>
    </row>
    <row r="319" spans="1:20" ht="22.5" hidden="1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 t="shared" si="4"/>
        <v>16</v>
      </c>
      <c r="S319" s="22">
        <v>2</v>
      </c>
      <c r="T319" s="19" t="s">
        <v>1040</v>
      </c>
    </row>
    <row r="320" spans="1:20" ht="22.5" hidden="1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 t="shared" si="4"/>
        <v>49</v>
      </c>
      <c r="S320" s="20">
        <v>2</v>
      </c>
      <c r="T320" s="18" t="s">
        <v>1040</v>
      </c>
    </row>
    <row r="321" spans="1:20" ht="22.5" hidden="1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 t="shared" si="4"/>
        <v>126</v>
      </c>
      <c r="S321" s="22">
        <v>2</v>
      </c>
      <c r="T321" s="19" t="s">
        <v>1040</v>
      </c>
    </row>
    <row r="322" spans="1:20" ht="22.5" hidden="1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 t="shared" ref="R322:R385" si="5">SUM(O322:Q322)</f>
        <v>40</v>
      </c>
      <c r="S322" s="20">
        <v>1</v>
      </c>
      <c r="T322" s="18" t="s">
        <v>1046</v>
      </c>
    </row>
    <row r="323" spans="1:20" ht="22.5" hidden="1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 t="shared" si="5"/>
        <v>40</v>
      </c>
      <c r="S323" s="22">
        <v>1</v>
      </c>
      <c r="T323" s="19" t="s">
        <v>1046</v>
      </c>
    </row>
    <row r="324" spans="1:20" ht="22.5" hidden="1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 t="shared" si="5"/>
        <v>60</v>
      </c>
      <c r="S324" s="20">
        <v>1</v>
      </c>
      <c r="T324" s="18" t="s">
        <v>1046</v>
      </c>
    </row>
    <row r="325" spans="1:20" ht="22.5" hidden="1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 t="shared" si="5"/>
        <v>30</v>
      </c>
      <c r="S325" s="22">
        <v>1</v>
      </c>
      <c r="T325" s="19" t="s">
        <v>1046</v>
      </c>
    </row>
    <row r="326" spans="1:20" ht="22.5" hidden="1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 t="shared" si="5"/>
        <v>21</v>
      </c>
      <c r="S326" s="20">
        <v>30</v>
      </c>
      <c r="T326" s="18" t="s">
        <v>741</v>
      </c>
    </row>
    <row r="327" spans="1:20" ht="22.5" hidden="1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 t="shared" si="5"/>
        <v>20</v>
      </c>
      <c r="S327" s="22">
        <v>20</v>
      </c>
      <c r="T327" s="19" t="s">
        <v>61</v>
      </c>
    </row>
    <row r="328" spans="1:20" ht="22.5" hidden="1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 t="shared" si="5"/>
        <v>40</v>
      </c>
      <c r="S328" s="20">
        <v>9</v>
      </c>
      <c r="T328" s="52" t="s">
        <v>1059</v>
      </c>
    </row>
    <row r="329" spans="1:20" ht="22.5" hidden="1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 t="shared" si="5"/>
        <v>80</v>
      </c>
      <c r="S329" s="22">
        <v>8</v>
      </c>
      <c r="T329" s="19" t="s">
        <v>1063</v>
      </c>
    </row>
    <row r="330" spans="1:20" ht="22.5" hidden="1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 t="shared" si="5"/>
        <v>26</v>
      </c>
      <c r="S330" s="20">
        <v>16</v>
      </c>
      <c r="T330" s="18" t="s">
        <v>425</v>
      </c>
    </row>
    <row r="331" spans="1:20" ht="22.5" hidden="1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 t="shared" si="5"/>
        <v>15</v>
      </c>
      <c r="S331" s="22">
        <v>16</v>
      </c>
      <c r="T331" s="19" t="s">
        <v>1070</v>
      </c>
    </row>
    <row r="332" spans="1:20" ht="22.5" hidden="1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 t="shared" si="5"/>
        <v>23</v>
      </c>
      <c r="S332" s="20">
        <v>46</v>
      </c>
      <c r="T332" s="18" t="s">
        <v>1073</v>
      </c>
    </row>
    <row r="333" spans="1:20" ht="22.5" hidden="1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 t="shared" si="5"/>
        <v>207</v>
      </c>
      <c r="S333" s="22">
        <v>1.5</v>
      </c>
      <c r="T333" s="19" t="s">
        <v>1077</v>
      </c>
    </row>
    <row r="334" spans="1:20" ht="22.5" hidden="1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 t="shared" si="5"/>
        <v>13</v>
      </c>
      <c r="S334" s="20">
        <v>30</v>
      </c>
      <c r="T334" s="18" t="s">
        <v>741</v>
      </c>
    </row>
    <row r="335" spans="1:20" ht="22.5" hidden="1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 t="shared" si="5"/>
        <v>184</v>
      </c>
      <c r="S335" s="22">
        <v>10</v>
      </c>
      <c r="T335" s="19" t="s">
        <v>1083</v>
      </c>
    </row>
    <row r="336" spans="1:20" ht="22.5" hidden="1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 t="shared" si="5"/>
        <v>46</v>
      </c>
      <c r="S336" s="20">
        <v>20</v>
      </c>
      <c r="T336" s="18" t="s">
        <v>1087</v>
      </c>
    </row>
    <row r="337" spans="1:20" ht="22.5" hidden="1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 t="shared" si="5"/>
        <v>60</v>
      </c>
      <c r="S337" s="22">
        <v>2</v>
      </c>
      <c r="T337" s="19" t="s">
        <v>1090</v>
      </c>
    </row>
    <row r="338" spans="1:20" ht="22.5" hidden="1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 t="shared" si="5"/>
        <v>48</v>
      </c>
      <c r="S338" s="20">
        <v>20</v>
      </c>
      <c r="T338" s="18" t="s">
        <v>324</v>
      </c>
    </row>
    <row r="339" spans="1:20" ht="22.5" hidden="1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 t="shared" si="5"/>
        <v>40</v>
      </c>
      <c r="S339" s="22">
        <v>2</v>
      </c>
      <c r="T339" s="19" t="s">
        <v>784</v>
      </c>
    </row>
    <row r="340" spans="1:20" ht="22.5" hidden="1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 t="shared" si="5"/>
        <v>150</v>
      </c>
      <c r="S340" s="20">
        <v>2</v>
      </c>
      <c r="T340" s="18" t="s">
        <v>1100</v>
      </c>
    </row>
    <row r="341" spans="1:20" ht="22.5" hidden="1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 t="shared" si="5"/>
        <v>20</v>
      </c>
      <c r="S341" s="22">
        <v>7</v>
      </c>
      <c r="T341" s="19" t="s">
        <v>808</v>
      </c>
    </row>
    <row r="342" spans="1:20" ht="22.5" hidden="1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 t="shared" si="5"/>
        <v>30</v>
      </c>
      <c r="S342" s="20">
        <v>2</v>
      </c>
      <c r="T342" s="18" t="s">
        <v>784</v>
      </c>
    </row>
    <row r="343" spans="1:20" ht="22.5" hidden="1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 t="shared" si="5"/>
        <v>67</v>
      </c>
      <c r="S343" s="22">
        <v>18</v>
      </c>
      <c r="T343" s="19" t="s">
        <v>1110</v>
      </c>
    </row>
    <row r="344" spans="1:20" ht="22.5" hidden="1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 t="shared" si="5"/>
        <v>67</v>
      </c>
      <c r="S344" s="20">
        <v>2</v>
      </c>
      <c r="T344" s="18" t="s">
        <v>1113</v>
      </c>
    </row>
    <row r="345" spans="1:20" ht="22.5" hidden="1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 t="shared" si="5"/>
        <v>57</v>
      </c>
      <c r="S345" s="22">
        <v>2</v>
      </c>
      <c r="T345" s="19" t="s">
        <v>1113</v>
      </c>
    </row>
    <row r="346" spans="1:20" ht="22.5" hidden="1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 t="shared" si="5"/>
        <v>20</v>
      </c>
      <c r="S346" s="20">
        <v>26</v>
      </c>
      <c r="T346" s="18" t="s">
        <v>1117</v>
      </c>
    </row>
    <row r="347" spans="1:20" ht="22.5" hidden="1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 t="shared" si="5"/>
        <v>315</v>
      </c>
      <c r="S347" s="22">
        <v>8</v>
      </c>
      <c r="T347" s="19" t="s">
        <v>1121</v>
      </c>
    </row>
    <row r="348" spans="1:20" ht="22.5" hidden="1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 t="shared" si="5"/>
        <v>35</v>
      </c>
      <c r="S348" s="20">
        <v>8</v>
      </c>
      <c r="T348" s="18" t="s">
        <v>1125</v>
      </c>
    </row>
    <row r="349" spans="1:20" ht="22.5" hidden="1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 t="shared" si="5"/>
        <v>17</v>
      </c>
      <c r="S349" s="22">
        <f>5*17</f>
        <v>85</v>
      </c>
      <c r="T349" s="19" t="s">
        <v>741</v>
      </c>
    </row>
    <row r="350" spans="1:20" ht="22.5" hidden="1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 t="shared" si="5"/>
        <v>27</v>
      </c>
      <c r="S350" s="20">
        <v>8</v>
      </c>
      <c r="T350" s="18" t="s">
        <v>717</v>
      </c>
    </row>
    <row r="351" spans="1:20" ht="22.5" hidden="1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 t="shared" si="5"/>
        <v>45</v>
      </c>
      <c r="S351" s="22">
        <v>4</v>
      </c>
      <c r="T351" s="19" t="s">
        <v>1135</v>
      </c>
    </row>
    <row r="352" spans="1:20" ht="22.5" hidden="1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 t="shared" si="5"/>
        <v>51</v>
      </c>
      <c r="S352" s="20">
        <v>4</v>
      </c>
      <c r="T352" s="18" t="s">
        <v>1139</v>
      </c>
    </row>
    <row r="353" spans="1:20" ht="22.5" hidden="1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 t="shared" si="5"/>
        <v>5</v>
      </c>
      <c r="S353" s="22">
        <v>28</v>
      </c>
      <c r="T353" s="19" t="s">
        <v>1073</v>
      </c>
    </row>
    <row r="354" spans="1:20" ht="22.5" hidden="1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 t="shared" si="5"/>
        <v>16</v>
      </c>
      <c r="S354" s="20">
        <v>24</v>
      </c>
      <c r="T354" s="18" t="s">
        <v>1032</v>
      </c>
    </row>
    <row r="355" spans="1:20" ht="22.5" hidden="1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 t="shared" si="5"/>
        <v>30</v>
      </c>
      <c r="S355" s="22">
        <v>12</v>
      </c>
      <c r="T355" s="19" t="s">
        <v>1147</v>
      </c>
    </row>
    <row r="356" spans="1:20" ht="22.5" hidden="1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 t="shared" si="5"/>
        <v>64</v>
      </c>
      <c r="S356" s="20">
        <v>12</v>
      </c>
      <c r="T356" s="18"/>
    </row>
    <row r="357" spans="1:20" ht="22.5" hidden="1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 t="shared" si="5"/>
        <v>57</v>
      </c>
      <c r="S357" s="22">
        <v>20</v>
      </c>
      <c r="T357" s="19" t="s">
        <v>1110</v>
      </c>
    </row>
    <row r="358" spans="1:20" ht="22.5" hidden="1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 t="shared" si="5"/>
        <v>39</v>
      </c>
      <c r="S358" s="20">
        <v>25</v>
      </c>
      <c r="T358" s="18" t="s">
        <v>1156</v>
      </c>
    </row>
    <row r="359" spans="1:20" ht="22.5" hidden="1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 t="shared" si="5"/>
        <v>16</v>
      </c>
      <c r="S359" s="22">
        <v>24</v>
      </c>
      <c r="T359" s="19" t="s">
        <v>441</v>
      </c>
    </row>
    <row r="360" spans="1:20" ht="22.5" hidden="1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 t="shared" si="5"/>
        <v>47</v>
      </c>
      <c r="S360" s="20">
        <v>20</v>
      </c>
      <c r="T360" s="18" t="s">
        <v>1087</v>
      </c>
    </row>
    <row r="361" spans="1:20" ht="22.5" hidden="1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 t="shared" si="5"/>
        <v>13</v>
      </c>
      <c r="S361" s="22">
        <v>16</v>
      </c>
      <c r="T361" s="19" t="s">
        <v>1166</v>
      </c>
    </row>
    <row r="362" spans="1:20" ht="22.5" hidden="1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 t="shared" si="5"/>
        <v>26</v>
      </c>
      <c r="S362" s="20">
        <v>30</v>
      </c>
      <c r="T362" s="18" t="s">
        <v>741</v>
      </c>
    </row>
    <row r="363" spans="1:20" ht="22.5" hidden="1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 t="shared" si="5"/>
        <v>43</v>
      </c>
      <c r="S363" s="22">
        <v>12</v>
      </c>
      <c r="T363" s="19" t="s">
        <v>897</v>
      </c>
    </row>
    <row r="364" spans="1:20" ht="22.5" hidden="1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 t="shared" si="5"/>
        <v>11</v>
      </c>
      <c r="S364" s="20">
        <v>24</v>
      </c>
      <c r="T364" s="18" t="s">
        <v>1032</v>
      </c>
    </row>
    <row r="365" spans="1:20" ht="22.5" hidden="1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 t="shared" si="5"/>
        <v>11</v>
      </c>
      <c r="S365" s="22">
        <v>24</v>
      </c>
      <c r="T365" s="19" t="s">
        <v>1176</v>
      </c>
    </row>
    <row r="366" spans="1:20" ht="22.5" hidden="1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 t="shared" si="5"/>
        <v>57</v>
      </c>
      <c r="S366" s="20">
        <v>16</v>
      </c>
      <c r="T366" s="31" t="s">
        <v>324</v>
      </c>
    </row>
    <row r="367" spans="1:20" ht="22.5" hidden="1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 t="shared" si="5"/>
        <v>22</v>
      </c>
      <c r="S367" s="22">
        <v>20</v>
      </c>
      <c r="T367" s="19" t="s">
        <v>1182</v>
      </c>
    </row>
    <row r="368" spans="1:20" ht="22.5" hidden="1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 t="shared" si="5"/>
        <v>176</v>
      </c>
      <c r="S368" s="20">
        <v>2</v>
      </c>
      <c r="T368" s="18"/>
    </row>
    <row r="369" spans="1:20" ht="22.5" hidden="1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 t="shared" si="5"/>
        <v>56</v>
      </c>
      <c r="S369" s="22">
        <v>4</v>
      </c>
      <c r="T369" s="19" t="s">
        <v>1188</v>
      </c>
    </row>
    <row r="370" spans="1:20" ht="22.5" hidden="1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 t="shared" si="5"/>
        <v>23</v>
      </c>
      <c r="S370" s="20">
        <v>8</v>
      </c>
      <c r="T370" s="18" t="s">
        <v>1192</v>
      </c>
    </row>
    <row r="371" spans="1:20" ht="22.5" hidden="1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 t="shared" si="5"/>
        <v>39</v>
      </c>
      <c r="S371" s="22">
        <v>1</v>
      </c>
      <c r="T371" s="19" t="s">
        <v>511</v>
      </c>
    </row>
    <row r="372" spans="1:20" ht="22.5" hidden="1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 t="shared" si="5"/>
        <v>47</v>
      </c>
      <c r="S372" s="20">
        <v>2</v>
      </c>
      <c r="T372" s="18"/>
    </row>
    <row r="373" spans="1:20" ht="22.5" hidden="1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 t="shared" si="5"/>
        <v>53</v>
      </c>
      <c r="S373" s="22">
        <v>16</v>
      </c>
      <c r="T373" s="30" t="s">
        <v>324</v>
      </c>
    </row>
    <row r="374" spans="1:20" ht="22.5" hidden="1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 t="shared" si="5"/>
        <v>28</v>
      </c>
      <c r="S374" s="20">
        <v>2</v>
      </c>
      <c r="T374" s="18" t="s">
        <v>1176</v>
      </c>
    </row>
    <row r="375" spans="1:20" ht="22.5" hidden="1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 t="shared" si="5"/>
        <v>18</v>
      </c>
      <c r="S375" s="22">
        <v>3</v>
      </c>
      <c r="T375" s="19" t="s">
        <v>1182</v>
      </c>
    </row>
    <row r="376" spans="1:20" ht="22.5" hidden="1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 t="shared" si="5"/>
        <v>53</v>
      </c>
      <c r="S376" s="20">
        <v>16</v>
      </c>
      <c r="T376" s="31" t="s">
        <v>324</v>
      </c>
    </row>
    <row r="377" spans="1:20" ht="22.5" hidden="1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 t="shared" si="5"/>
        <v>10</v>
      </c>
      <c r="S377" s="22">
        <v>3</v>
      </c>
      <c r="T377" s="19" t="s">
        <v>1182</v>
      </c>
    </row>
    <row r="378" spans="1:20" ht="22.5" hidden="1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 t="shared" si="5"/>
        <v>34</v>
      </c>
      <c r="S378" s="20">
        <v>3</v>
      </c>
      <c r="T378" s="18" t="s">
        <v>1182</v>
      </c>
    </row>
    <row r="379" spans="1:20" ht="22.5" hidden="1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 t="shared" si="5"/>
        <v>0</v>
      </c>
      <c r="S379" s="22"/>
      <c r="T379" s="19"/>
    </row>
    <row r="380" spans="1:20" ht="22.5" hidden="1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 t="shared" si="5"/>
        <v>15</v>
      </c>
      <c r="S380" s="20">
        <v>2</v>
      </c>
      <c r="T380" s="18" t="s">
        <v>1216</v>
      </c>
    </row>
    <row r="381" spans="1:20" ht="22.5" hidden="1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 t="shared" si="5"/>
        <v>21</v>
      </c>
      <c r="S381" s="22">
        <v>3</v>
      </c>
      <c r="T381" s="19"/>
    </row>
    <row r="382" spans="1:20" ht="22.5" hidden="1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 t="shared" si="5"/>
        <v>17</v>
      </c>
      <c r="S382" s="20">
        <v>16</v>
      </c>
      <c r="T382" s="31" t="s">
        <v>324</v>
      </c>
    </row>
    <row r="383" spans="1:20" ht="22.5" hidden="1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 t="shared" si="5"/>
        <v>13</v>
      </c>
      <c r="S383" s="22">
        <v>3</v>
      </c>
      <c r="T383" s="19" t="s">
        <v>1182</v>
      </c>
    </row>
    <row r="384" spans="1:20" ht="22.5" hidden="1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 t="shared" si="5"/>
        <v>114</v>
      </c>
      <c r="S384" s="20">
        <v>2</v>
      </c>
      <c r="T384" s="18"/>
    </row>
    <row r="385" spans="1:20" ht="22.5" hidden="1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 t="shared" si="5"/>
        <v>5</v>
      </c>
      <c r="S385" s="22">
        <v>16</v>
      </c>
      <c r="T385" s="19" t="s">
        <v>1070</v>
      </c>
    </row>
    <row r="386" spans="1:20" ht="22.5" hidden="1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 t="shared" ref="R386:R449" si="6">SUM(O386:Q386)</f>
        <v>49</v>
      </c>
      <c r="S386" s="20">
        <v>2</v>
      </c>
      <c r="T386" s="18" t="s">
        <v>1230</v>
      </c>
    </row>
    <row r="387" spans="1:20" ht="22.5" hidden="1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 t="shared" si="6"/>
        <v>22</v>
      </c>
      <c r="S387" s="22">
        <v>2</v>
      </c>
      <c r="T387" s="19" t="s">
        <v>365</v>
      </c>
    </row>
    <row r="388" spans="1:20" ht="22.5" hidden="1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 t="shared" si="6"/>
        <v>91</v>
      </c>
      <c r="S388" s="20">
        <v>8</v>
      </c>
      <c r="T388" s="18" t="s">
        <v>365</v>
      </c>
    </row>
    <row r="389" spans="1:20" ht="22.5" hidden="1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 t="shared" si="6"/>
        <v>5</v>
      </c>
      <c r="S389" s="22">
        <v>16</v>
      </c>
      <c r="T389" s="30" t="s">
        <v>324</v>
      </c>
    </row>
    <row r="390" spans="1:20" ht="22.5" hidden="1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 t="shared" si="6"/>
        <v>181</v>
      </c>
      <c r="S390" s="20">
        <v>1</v>
      </c>
      <c r="T390" s="18" t="s">
        <v>61</v>
      </c>
    </row>
    <row r="391" spans="1:20" ht="22.5" hidden="1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 t="shared" si="6"/>
        <v>7</v>
      </c>
      <c r="S391" s="22">
        <v>16</v>
      </c>
      <c r="T391" s="30" t="s">
        <v>324</v>
      </c>
    </row>
    <row r="392" spans="1:20" ht="22.5" hidden="1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 t="shared" si="6"/>
        <v>9</v>
      </c>
      <c r="S392" s="20">
        <v>16</v>
      </c>
      <c r="T392" s="18" t="s">
        <v>1246</v>
      </c>
    </row>
    <row r="393" spans="1:20" ht="22.5" hidden="1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hidden="1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 t="shared" ref="R394:R457" si="7">SUM(O394:Q394)</f>
        <v>31</v>
      </c>
      <c r="S394" s="20">
        <v>16</v>
      </c>
      <c r="T394" s="31" t="s">
        <v>324</v>
      </c>
    </row>
    <row r="395" spans="1:20" ht="22.5" hidden="1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 t="shared" si="7"/>
        <v>19</v>
      </c>
      <c r="S395" s="22">
        <v>2</v>
      </c>
      <c r="T395" s="19" t="s">
        <v>741</v>
      </c>
    </row>
    <row r="396" spans="1:20" ht="22.5" hidden="1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 t="shared" si="7"/>
        <v>45</v>
      </c>
      <c r="S396" s="20">
        <v>8</v>
      </c>
      <c r="T396" s="18" t="s">
        <v>1125</v>
      </c>
    </row>
    <row r="397" spans="1:20" ht="22.5" hidden="1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 t="shared" si="7"/>
        <v>0</v>
      </c>
      <c r="S397" s="22">
        <v>2</v>
      </c>
      <c r="T397" s="19" t="s">
        <v>365</v>
      </c>
    </row>
    <row r="398" spans="1:20" ht="22.5" hidden="1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 t="shared" si="7"/>
        <v>85</v>
      </c>
      <c r="S398" s="20">
        <v>8</v>
      </c>
      <c r="T398" s="18" t="s">
        <v>365</v>
      </c>
    </row>
    <row r="399" spans="1:20" ht="22.5" hidden="1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 t="shared" si="7"/>
        <v>7</v>
      </c>
      <c r="S399" s="22">
        <v>1</v>
      </c>
      <c r="T399" s="19" t="s">
        <v>1265</v>
      </c>
    </row>
    <row r="400" spans="1:20" ht="22.5" hidden="1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 t="shared" si="7"/>
        <v>30</v>
      </c>
      <c r="S400" s="20">
        <v>4</v>
      </c>
      <c r="T400" s="18"/>
    </row>
    <row r="401" spans="1:20" ht="22.5" hidden="1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 t="shared" si="7"/>
        <v>62</v>
      </c>
      <c r="S401" s="22">
        <v>1.5</v>
      </c>
      <c r="T401" s="19" t="s">
        <v>1271</v>
      </c>
    </row>
    <row r="402" spans="1:20" ht="22.5" hidden="1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 t="shared" si="7"/>
        <v>68</v>
      </c>
      <c r="S402" s="20">
        <v>4</v>
      </c>
      <c r="T402" s="18" t="s">
        <v>1275</v>
      </c>
    </row>
    <row r="403" spans="1:20" ht="22.5" hidden="1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 t="shared" si="7"/>
        <v>2</v>
      </c>
      <c r="S403" s="22">
        <v>48</v>
      </c>
      <c r="T403" s="19" t="s">
        <v>167</v>
      </c>
    </row>
    <row r="404" spans="1:20" ht="22.5" hidden="1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 t="shared" si="7"/>
        <v>36</v>
      </c>
      <c r="S404" s="20">
        <v>16</v>
      </c>
      <c r="T404" s="18" t="s">
        <v>1282</v>
      </c>
    </row>
    <row r="405" spans="1:20" ht="22.5" hidden="1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 t="shared" si="7"/>
        <v>14</v>
      </c>
      <c r="S405" s="22">
        <v>16</v>
      </c>
      <c r="T405" s="19" t="s">
        <v>1113</v>
      </c>
    </row>
    <row r="406" spans="1:20" ht="22.5" hidden="1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 t="shared" si="7"/>
        <v>44</v>
      </c>
      <c r="S406" s="20">
        <v>5</v>
      </c>
      <c r="T406" s="52" t="s">
        <v>1289</v>
      </c>
    </row>
    <row r="407" spans="1:20" ht="22.5" hidden="1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 t="shared" si="7"/>
        <v>26</v>
      </c>
      <c r="S407" s="22">
        <v>20</v>
      </c>
      <c r="T407" s="19" t="s">
        <v>61</v>
      </c>
    </row>
    <row r="408" spans="1:20" ht="22.5" hidden="1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 t="shared" si="7"/>
        <v>23</v>
      </c>
      <c r="S408" s="20">
        <v>16</v>
      </c>
      <c r="T408" s="18" t="s">
        <v>1296</v>
      </c>
    </row>
    <row r="409" spans="1:20" ht="22.5" hidden="1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 t="shared" si="7"/>
        <v>20</v>
      </c>
      <c r="S409" s="22">
        <v>2</v>
      </c>
      <c r="T409" s="19" t="s">
        <v>1300</v>
      </c>
    </row>
    <row r="410" spans="1:20" ht="22.5" hidden="1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 t="shared" si="7"/>
        <v>0</v>
      </c>
      <c r="S410" s="20"/>
      <c r="T410" s="18"/>
    </row>
    <row r="411" spans="1:20" ht="22.5" hidden="1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 t="shared" si="7"/>
        <v>16</v>
      </c>
      <c r="S411" s="22">
        <v>16</v>
      </c>
      <c r="T411" s="19" t="s">
        <v>1306</v>
      </c>
    </row>
    <row r="412" spans="1:20" ht="22.5" hidden="1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 t="shared" si="7"/>
        <v>44</v>
      </c>
      <c r="S412" s="20">
        <v>20</v>
      </c>
      <c r="T412" s="18" t="s">
        <v>324</v>
      </c>
    </row>
    <row r="413" spans="1:20" ht="22.5" hidden="1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 t="shared" si="7"/>
        <v>105</v>
      </c>
      <c r="S413" s="22">
        <v>4</v>
      </c>
      <c r="T413" s="19" t="s">
        <v>1313</v>
      </c>
    </row>
    <row r="414" spans="1:20" ht="22.5" hidden="1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 t="shared" si="7"/>
        <v>50</v>
      </c>
      <c r="S414" s="20">
        <v>4</v>
      </c>
      <c r="T414" s="18" t="s">
        <v>1318</v>
      </c>
    </row>
    <row r="415" spans="1:20" ht="22.5" hidden="1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 t="shared" si="7"/>
        <v>25</v>
      </c>
      <c r="S415" s="22">
        <v>20</v>
      </c>
      <c r="T415" s="19" t="s">
        <v>931</v>
      </c>
    </row>
    <row r="416" spans="1:20" ht="22.5" hidden="1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 t="shared" si="7"/>
        <v>9</v>
      </c>
      <c r="S416" s="20">
        <v>20</v>
      </c>
      <c r="T416" s="18" t="s">
        <v>1306</v>
      </c>
    </row>
    <row r="417" spans="1:20" ht="22.5" hidden="1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 t="shared" si="7"/>
        <v>25</v>
      </c>
      <c r="S417" s="22">
        <v>16</v>
      </c>
      <c r="T417" s="19" t="s">
        <v>1327</v>
      </c>
    </row>
    <row r="418" spans="1:20" ht="22.5" hidden="1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 t="shared" si="7"/>
        <v>13</v>
      </c>
      <c r="S418" s="20">
        <v>19</v>
      </c>
      <c r="T418" s="18" t="s">
        <v>1331</v>
      </c>
    </row>
    <row r="419" spans="1:20" ht="22.5" hidden="1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 t="shared" si="7"/>
        <v>49</v>
      </c>
      <c r="S419" s="22">
        <v>16</v>
      </c>
      <c r="T419" s="19" t="s">
        <v>1334</v>
      </c>
    </row>
    <row r="420" spans="1:20" ht="22.5" hidden="1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 t="shared" si="7"/>
        <v>128</v>
      </c>
      <c r="S420" s="20">
        <v>4</v>
      </c>
      <c r="T420" s="18" t="s">
        <v>1338</v>
      </c>
    </row>
    <row r="421" spans="1:20" ht="22.5" hidden="1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 t="shared" si="7"/>
        <v>21</v>
      </c>
      <c r="S421" s="22">
        <v>20</v>
      </c>
      <c r="T421" s="19" t="s">
        <v>61</v>
      </c>
    </row>
    <row r="422" spans="1:20" ht="22.5" hidden="1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 t="shared" si="7"/>
        <v>8</v>
      </c>
      <c r="S422" s="20">
        <v>16</v>
      </c>
      <c r="T422" s="18" t="s">
        <v>1344</v>
      </c>
    </row>
    <row r="423" spans="1:20" ht="22.5" hidden="1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 t="shared" si="7"/>
        <v>93</v>
      </c>
      <c r="S423" s="22">
        <v>4</v>
      </c>
      <c r="T423" s="19" t="s">
        <v>1338</v>
      </c>
    </row>
    <row r="424" spans="1:20" ht="22.5" hidden="1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 t="shared" si="7"/>
        <v>6</v>
      </c>
      <c r="S424" s="20">
        <v>24</v>
      </c>
      <c r="T424" s="18" t="s">
        <v>963</v>
      </c>
    </row>
    <row r="425" spans="1:20" ht="22.5" hidden="1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 t="shared" si="7"/>
        <v>80</v>
      </c>
      <c r="S425" s="22">
        <v>4</v>
      </c>
      <c r="T425" s="19" t="s">
        <v>365</v>
      </c>
    </row>
    <row r="426" spans="1:20" ht="22.5" hidden="1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 t="shared" si="7"/>
        <v>8</v>
      </c>
      <c r="S426" s="20">
        <v>4</v>
      </c>
      <c r="T426" s="18" t="s">
        <v>1355</v>
      </c>
    </row>
    <row r="427" spans="1:20" ht="22.5" hidden="1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 t="shared" si="7"/>
        <v>10</v>
      </c>
      <c r="S427" s="22">
        <v>16</v>
      </c>
      <c r="T427" s="19" t="s">
        <v>1359</v>
      </c>
    </row>
    <row r="428" spans="1:20" ht="22.5" hidden="1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 t="shared" si="7"/>
        <v>80</v>
      </c>
      <c r="S428" s="20">
        <v>4</v>
      </c>
      <c r="T428" s="18" t="s">
        <v>1046</v>
      </c>
    </row>
    <row r="429" spans="1:20" ht="22.5" hidden="1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 t="shared" si="7"/>
        <v>80</v>
      </c>
      <c r="S429" s="22">
        <v>4</v>
      </c>
      <c r="T429" s="19" t="s">
        <v>1046</v>
      </c>
    </row>
    <row r="430" spans="1:20" ht="22.5" hidden="1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 t="shared" si="7"/>
        <v>80</v>
      </c>
      <c r="S430" s="20">
        <v>4</v>
      </c>
      <c r="T430" s="18" t="s">
        <v>1046</v>
      </c>
    </row>
    <row r="431" spans="1:20" ht="22.5" hidden="1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 t="shared" si="7"/>
        <v>80</v>
      </c>
      <c r="S431" s="22">
        <v>4</v>
      </c>
      <c r="T431" s="19" t="s">
        <v>1046</v>
      </c>
    </row>
    <row r="432" spans="1:20" ht="22.5" hidden="1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 t="shared" si="7"/>
        <v>80</v>
      </c>
      <c r="S432" s="20">
        <v>4</v>
      </c>
      <c r="T432" s="18" t="s">
        <v>1046</v>
      </c>
    </row>
    <row r="433" spans="1:20" ht="22.5" hidden="1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 t="shared" si="7"/>
        <v>33</v>
      </c>
      <c r="S433" s="22">
        <v>4</v>
      </c>
      <c r="T433" s="19" t="s">
        <v>1355</v>
      </c>
    </row>
    <row r="434" spans="1:20" ht="22.5" hidden="1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 t="shared" si="7"/>
        <v>0</v>
      </c>
      <c r="S434" s="20"/>
      <c r="T434" s="18"/>
    </row>
    <row r="435" spans="1:20" ht="22.5" hidden="1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 t="shared" si="7"/>
        <v>62</v>
      </c>
      <c r="S435" s="22">
        <v>20</v>
      </c>
      <c r="T435" s="19" t="s">
        <v>324</v>
      </c>
    </row>
    <row r="436" spans="1:20" ht="22.5" hidden="1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 t="shared" si="7"/>
        <v>42</v>
      </c>
      <c r="S436" s="20">
        <v>4</v>
      </c>
      <c r="T436" s="18" t="s">
        <v>1375</v>
      </c>
    </row>
    <row r="437" spans="1:20" ht="22.5" hidden="1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 t="shared" si="7"/>
        <v>6</v>
      </c>
      <c r="S437" s="22">
        <v>4</v>
      </c>
      <c r="T437" s="19" t="s">
        <v>1375</v>
      </c>
    </row>
    <row r="438" spans="1:20" ht="22.5" hidden="1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 t="shared" si="7"/>
        <v>49</v>
      </c>
      <c r="S438" s="20">
        <v>4</v>
      </c>
      <c r="T438" s="18" t="s">
        <v>1375</v>
      </c>
    </row>
    <row r="439" spans="1:20" ht="22.5" hidden="1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 t="shared" si="7"/>
        <v>20</v>
      </c>
      <c r="S439" s="22">
        <v>4</v>
      </c>
      <c r="T439" s="19" t="s">
        <v>1375</v>
      </c>
    </row>
    <row r="440" spans="1:20" ht="22.5" hidden="1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 t="shared" si="7"/>
        <v>28</v>
      </c>
      <c r="S440" s="20">
        <v>12</v>
      </c>
      <c r="T440" s="18" t="s">
        <v>425</v>
      </c>
    </row>
    <row r="441" spans="1:20" ht="22.5" hidden="1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 t="shared" si="7"/>
        <v>17</v>
      </c>
      <c r="S441" s="22">
        <v>20</v>
      </c>
      <c r="T441" s="19" t="s">
        <v>611</v>
      </c>
    </row>
    <row r="442" spans="1:20" ht="22.5" hidden="1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 t="shared" si="7"/>
        <v>17</v>
      </c>
      <c r="S442" s="20">
        <v>20</v>
      </c>
      <c r="T442" s="18" t="s">
        <v>1390</v>
      </c>
    </row>
    <row r="443" spans="1:20" ht="22.5" hidden="1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 t="shared" si="7"/>
        <v>24</v>
      </c>
      <c r="S443" s="22">
        <v>20</v>
      </c>
      <c r="T443" s="19" t="s">
        <v>729</v>
      </c>
    </row>
    <row r="444" spans="1:20" ht="22.5" hidden="1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 t="shared" si="7"/>
        <v>16</v>
      </c>
      <c r="S444" s="20">
        <v>8</v>
      </c>
      <c r="T444" s="18" t="s">
        <v>812</v>
      </c>
    </row>
    <row r="445" spans="1:20" ht="22.5" hidden="1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 t="shared" si="7"/>
        <v>155</v>
      </c>
      <c r="S445" s="22">
        <v>8</v>
      </c>
      <c r="T445" s="19" t="s">
        <v>365</v>
      </c>
    </row>
    <row r="446" spans="1:20" ht="22.5" hidden="1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 t="shared" si="7"/>
        <v>8</v>
      </c>
      <c r="S446" s="20">
        <v>4</v>
      </c>
      <c r="T446" s="18" t="s">
        <v>1355</v>
      </c>
    </row>
    <row r="447" spans="1:20" ht="22.5" hidden="1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 t="shared" si="7"/>
        <v>10</v>
      </c>
      <c r="S447" s="22">
        <v>16</v>
      </c>
      <c r="T447" s="19" t="s">
        <v>1327</v>
      </c>
    </row>
    <row r="448" spans="1:20" ht="22.5" hidden="1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 t="shared" si="7"/>
        <v>15</v>
      </c>
      <c r="S448" s="20">
        <v>16</v>
      </c>
      <c r="T448" s="18" t="s">
        <v>1359</v>
      </c>
    </row>
    <row r="449" spans="1:20" ht="22.5" hidden="1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 t="shared" si="7"/>
        <v>51</v>
      </c>
      <c r="S449" s="22">
        <v>16</v>
      </c>
      <c r="T449" s="19" t="s">
        <v>365</v>
      </c>
    </row>
    <row r="450" spans="1:20" ht="22.5" hidden="1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 t="shared" si="7"/>
        <v>52</v>
      </c>
      <c r="S450" s="20">
        <v>16</v>
      </c>
      <c r="T450" s="18" t="s">
        <v>1331</v>
      </c>
    </row>
    <row r="451" spans="1:20" ht="22.5" hidden="1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 t="shared" si="7"/>
        <v>13</v>
      </c>
      <c r="S451" s="22">
        <v>4</v>
      </c>
      <c r="T451" s="19" t="s">
        <v>1355</v>
      </c>
    </row>
    <row r="452" spans="1:20" ht="22.5" hidden="1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 t="shared" si="7"/>
        <v>90</v>
      </c>
      <c r="S452" s="20">
        <v>3</v>
      </c>
      <c r="T452" s="18" t="s">
        <v>1306</v>
      </c>
    </row>
    <row r="453" spans="1:20" ht="22.5" hidden="1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 t="shared" si="7"/>
        <v>11</v>
      </c>
      <c r="S453" s="22">
        <v>2</v>
      </c>
      <c r="T453" s="19" t="s">
        <v>167</v>
      </c>
    </row>
    <row r="454" spans="1:20" ht="22.5" hidden="1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 t="shared" si="7"/>
        <v>50</v>
      </c>
      <c r="S454" s="20">
        <v>2</v>
      </c>
      <c r="T454" s="210" t="s">
        <v>1420</v>
      </c>
    </row>
    <row r="455" spans="1:20" ht="22.5" hidden="1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 t="shared" si="7"/>
        <v>8</v>
      </c>
      <c r="S455" s="22">
        <v>4</v>
      </c>
      <c r="T455" s="19" t="s">
        <v>1355</v>
      </c>
    </row>
    <row r="456" spans="1:20" ht="22.5" hidden="1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 t="shared" si="7"/>
        <v>0</v>
      </c>
      <c r="S456" s="20"/>
      <c r="T456" s="18"/>
    </row>
    <row r="457" spans="1:20" ht="22.5" hidden="1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 t="shared" si="7"/>
        <v>23</v>
      </c>
      <c r="S457" s="22">
        <v>20</v>
      </c>
      <c r="T457" s="19" t="s">
        <v>1359</v>
      </c>
    </row>
    <row r="458" spans="1:20" ht="22.5" hidden="1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 t="shared" ref="R458:R521" si="8">SUM(O458:Q458)</f>
        <v>23</v>
      </c>
      <c r="S458" s="20">
        <v>76</v>
      </c>
      <c r="T458" s="18" t="s">
        <v>365</v>
      </c>
    </row>
    <row r="459" spans="1:20" ht="22.5" hidden="1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 t="shared" si="8"/>
        <v>89</v>
      </c>
      <c r="S459" s="22">
        <v>12</v>
      </c>
      <c r="T459" s="211" t="s">
        <v>1432</v>
      </c>
    </row>
    <row r="460" spans="1:20" ht="22.5" hidden="1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 t="shared" si="8"/>
        <v>22</v>
      </c>
      <c r="S460" s="20">
        <v>19</v>
      </c>
      <c r="T460" s="18" t="s">
        <v>573</v>
      </c>
    </row>
    <row r="461" spans="1:20" ht="22.5" hidden="1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 t="shared" si="8"/>
        <v>11</v>
      </c>
      <c r="S461" s="22">
        <v>4</v>
      </c>
      <c r="T461" s="19" t="s">
        <v>1355</v>
      </c>
    </row>
    <row r="462" spans="1:20" ht="22.5" hidden="1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 t="shared" si="8"/>
        <v>21</v>
      </c>
      <c r="S462" s="20">
        <v>12</v>
      </c>
      <c r="T462" s="18" t="s">
        <v>1441</v>
      </c>
    </row>
    <row r="463" spans="1:20" ht="22.5" hidden="1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 t="shared" si="8"/>
        <v>51</v>
      </c>
      <c r="S463" s="22">
        <v>16</v>
      </c>
      <c r="T463" s="211" t="s">
        <v>425</v>
      </c>
    </row>
    <row r="464" spans="1:20" ht="22.5" hidden="1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 t="shared" si="8"/>
        <v>7</v>
      </c>
      <c r="S464" s="20">
        <v>4</v>
      </c>
      <c r="T464" s="18" t="s">
        <v>1355</v>
      </c>
    </row>
    <row r="465" spans="1:20" ht="22.5" hidden="1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 t="shared" si="8"/>
        <v>22</v>
      </c>
      <c r="S465" s="22">
        <v>12</v>
      </c>
      <c r="T465" s="19" t="s">
        <v>1450</v>
      </c>
    </row>
    <row r="466" spans="1:20" ht="22.5" hidden="1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 t="shared" si="8"/>
        <v>213</v>
      </c>
      <c r="S466" s="20">
        <v>24</v>
      </c>
      <c r="T466" s="18" t="s">
        <v>365</v>
      </c>
    </row>
    <row r="467" spans="1:20" ht="22.5" hidden="1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 t="shared" si="8"/>
        <v>92</v>
      </c>
      <c r="S467" s="22">
        <v>8</v>
      </c>
      <c r="T467" s="19" t="s">
        <v>365</v>
      </c>
    </row>
    <row r="468" spans="1:20" ht="22.5" hidden="1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 t="shared" si="8"/>
        <v>18</v>
      </c>
      <c r="S468" s="20">
        <v>4</v>
      </c>
      <c r="T468" s="18" t="s">
        <v>1459</v>
      </c>
    </row>
    <row r="469" spans="1:20" ht="22.5" hidden="1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 t="shared" si="8"/>
        <v>8</v>
      </c>
      <c r="S469" s="22">
        <v>4</v>
      </c>
      <c r="T469" s="19" t="s">
        <v>1355</v>
      </c>
    </row>
    <row r="470" spans="1:20" ht="22.5" hidden="1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 t="shared" si="8"/>
        <v>8</v>
      </c>
      <c r="S470" s="20">
        <v>4</v>
      </c>
      <c r="T470" s="18" t="s">
        <v>1355</v>
      </c>
    </row>
    <row r="471" spans="1:20" ht="22.5" hidden="1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 t="shared" si="8"/>
        <v>384</v>
      </c>
      <c r="S471" s="22">
        <v>8</v>
      </c>
      <c r="T471" s="19" t="s">
        <v>365</v>
      </c>
    </row>
    <row r="472" spans="1:20" ht="22.5" hidden="1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 t="shared" si="8"/>
        <v>24</v>
      </c>
      <c r="S472" s="20">
        <v>12</v>
      </c>
      <c r="T472" s="18" t="s">
        <v>1470</v>
      </c>
    </row>
    <row r="473" spans="1:20" ht="22.5" hidden="1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 t="shared" si="8"/>
        <v>35</v>
      </c>
      <c r="S473" s="22">
        <v>20</v>
      </c>
      <c r="T473" s="19" t="s">
        <v>1474</v>
      </c>
    </row>
    <row r="474" spans="1:20" ht="22.5" hidden="1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 t="shared" si="8"/>
        <v>53</v>
      </c>
      <c r="S474" s="20">
        <v>4</v>
      </c>
      <c r="T474" s="18" t="s">
        <v>1478</v>
      </c>
    </row>
    <row r="475" spans="1:20" ht="22.5" hidden="1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 t="shared" si="8"/>
        <v>12</v>
      </c>
      <c r="S475" s="22">
        <v>8</v>
      </c>
      <c r="T475" s="19" t="s">
        <v>1482</v>
      </c>
    </row>
    <row r="476" spans="1:20" ht="22.5" hidden="1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 t="shared" si="8"/>
        <v>60</v>
      </c>
      <c r="S476" s="20">
        <v>4</v>
      </c>
      <c r="T476" s="18" t="s">
        <v>1486</v>
      </c>
    </row>
    <row r="477" spans="1:20" ht="22.5" hidden="1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 t="shared" si="8"/>
        <v>14</v>
      </c>
      <c r="S477" s="22">
        <v>4</v>
      </c>
      <c r="T477" s="19" t="s">
        <v>808</v>
      </c>
    </row>
    <row r="478" spans="1:20" ht="22.5" hidden="1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 t="shared" si="8"/>
        <v>20</v>
      </c>
      <c r="S478" s="20">
        <v>12</v>
      </c>
      <c r="T478" s="18" t="s">
        <v>1450</v>
      </c>
    </row>
    <row r="479" spans="1:20" ht="22.5" hidden="1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 t="shared" si="8"/>
        <v>56</v>
      </c>
      <c r="S479" s="22">
        <v>20</v>
      </c>
      <c r="T479" s="19" t="s">
        <v>1496</v>
      </c>
    </row>
    <row r="480" spans="1:20" ht="22.5" hidden="1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 t="shared" si="8"/>
        <v>38</v>
      </c>
      <c r="S480" s="20">
        <v>12</v>
      </c>
      <c r="T480" s="18" t="s">
        <v>808</v>
      </c>
    </row>
    <row r="481" spans="1:20" ht="22.5" hidden="1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 t="shared" si="8"/>
        <v>13</v>
      </c>
      <c r="S481" s="22">
        <v>16</v>
      </c>
      <c r="T481" s="19" t="s">
        <v>1502</v>
      </c>
    </row>
    <row r="482" spans="1:20" ht="22.5" hidden="1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 t="shared" si="8"/>
        <v>24</v>
      </c>
      <c r="S482" s="20">
        <v>18</v>
      </c>
      <c r="T482" s="18" t="s">
        <v>1506</v>
      </c>
    </row>
    <row r="483" spans="1:20" ht="22.5" hidden="1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 t="shared" si="8"/>
        <v>19</v>
      </c>
      <c r="S483" s="22">
        <v>16</v>
      </c>
      <c r="T483" s="19" t="s">
        <v>1306</v>
      </c>
    </row>
    <row r="484" spans="1:20" ht="22.5" hidden="1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 t="shared" si="8"/>
        <v>10</v>
      </c>
      <c r="S484" s="20">
        <v>4</v>
      </c>
      <c r="T484" s="18" t="s">
        <v>808</v>
      </c>
    </row>
    <row r="485" spans="1:20" ht="22.5" hidden="1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 t="shared" si="8"/>
        <v>5</v>
      </c>
      <c r="S485" s="22">
        <v>4</v>
      </c>
      <c r="T485" s="19" t="s">
        <v>1355</v>
      </c>
    </row>
    <row r="486" spans="1:20" ht="22.5" hidden="1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 t="shared" si="8"/>
        <v>21</v>
      </c>
      <c r="S486" s="20">
        <v>24</v>
      </c>
      <c r="T486" s="18" t="s">
        <v>963</v>
      </c>
    </row>
    <row r="487" spans="1:20" ht="22.5" hidden="1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 t="shared" si="8"/>
        <v>19</v>
      </c>
      <c r="S487" s="22">
        <v>20</v>
      </c>
      <c r="T487" s="19" t="s">
        <v>167</v>
      </c>
    </row>
    <row r="488" spans="1:20" ht="22.5" hidden="1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 t="shared" si="8"/>
        <v>7</v>
      </c>
      <c r="S488" s="20">
        <v>4</v>
      </c>
      <c r="T488" s="18" t="s">
        <v>1355</v>
      </c>
    </row>
    <row r="489" spans="1:20" ht="22.5" hidden="1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 t="shared" si="8"/>
        <v>19</v>
      </c>
      <c r="S489" s="62">
        <v>20</v>
      </c>
      <c r="T489" s="43" t="s">
        <v>61</v>
      </c>
    </row>
    <row r="490" spans="1:20" ht="22.5" hidden="1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 t="shared" si="8"/>
        <v>61</v>
      </c>
      <c r="S490" s="68">
        <v>20</v>
      </c>
      <c r="T490" s="65" t="s">
        <v>1496</v>
      </c>
    </row>
    <row r="491" spans="1:20" ht="22.5" hidden="1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 t="shared" si="8"/>
        <v>32</v>
      </c>
      <c r="S491" s="62">
        <v>8</v>
      </c>
      <c r="T491" s="43" t="s">
        <v>1524</v>
      </c>
    </row>
    <row r="492" spans="1:20" ht="22.5" hidden="1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 t="shared" si="8"/>
        <v>43</v>
      </c>
      <c r="S492" s="68">
        <v>20</v>
      </c>
      <c r="T492" s="65" t="s">
        <v>1528</v>
      </c>
    </row>
    <row r="493" spans="1:20" ht="22.5" hidden="1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 t="shared" si="8"/>
        <v>8</v>
      </c>
      <c r="S493" s="62">
        <v>8</v>
      </c>
      <c r="T493" s="43" t="s">
        <v>365</v>
      </c>
    </row>
    <row r="494" spans="1:20" ht="22.5" hidden="1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 t="shared" si="8"/>
        <v>80</v>
      </c>
      <c r="S494" s="68">
        <v>2</v>
      </c>
      <c r="T494" s="65" t="s">
        <v>1535</v>
      </c>
    </row>
    <row r="495" spans="1:20" ht="22.5" hidden="1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 t="shared" si="8"/>
        <v>0</v>
      </c>
      <c r="S495" s="22"/>
      <c r="T495" s="211"/>
    </row>
    <row r="496" spans="1:20" ht="22.5" hidden="1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 t="shared" si="8"/>
        <v>170</v>
      </c>
      <c r="S496" s="68">
        <v>1</v>
      </c>
      <c r="T496" s="65" t="s">
        <v>1542</v>
      </c>
    </row>
    <row r="497" spans="1:20" ht="22.5" hidden="1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 t="shared" si="8"/>
        <v>31</v>
      </c>
      <c r="S497" s="62">
        <v>4</v>
      </c>
      <c r="T497" s="43" t="s">
        <v>1459</v>
      </c>
    </row>
    <row r="498" spans="1:20" ht="22.5" hidden="1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 t="shared" si="8"/>
        <v>11</v>
      </c>
      <c r="S498" s="68">
        <v>16</v>
      </c>
      <c r="T498" s="65" t="s">
        <v>1359</v>
      </c>
    </row>
    <row r="499" spans="1:20" ht="22.5" hidden="1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 t="shared" si="8"/>
        <v>45</v>
      </c>
      <c r="S499" s="62">
        <v>1</v>
      </c>
      <c r="T499" s="43" t="s">
        <v>1550</v>
      </c>
    </row>
    <row r="500" spans="1:20" ht="22.5" hidden="1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 t="shared" si="8"/>
        <v>40</v>
      </c>
      <c r="S500" s="68">
        <v>4</v>
      </c>
      <c r="T500" s="65" t="s">
        <v>1554</v>
      </c>
    </row>
    <row r="501" spans="1:20" ht="22.5" hidden="1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 t="shared" si="8"/>
        <v>0</v>
      </c>
      <c r="S501" s="62">
        <v>4</v>
      </c>
      <c r="T501" s="43" t="s">
        <v>1355</v>
      </c>
    </row>
    <row r="502" spans="1:20" ht="22.5" hidden="1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 t="shared" si="8"/>
        <v>34</v>
      </c>
      <c r="S502" s="68">
        <v>16</v>
      </c>
      <c r="T502" s="65" t="s">
        <v>1560</v>
      </c>
    </row>
    <row r="503" spans="1:20" ht="22.5" hidden="1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 t="shared" si="8"/>
        <v>21</v>
      </c>
      <c r="S503" s="62">
        <v>16</v>
      </c>
      <c r="T503" s="43" t="s">
        <v>1306</v>
      </c>
    </row>
    <row r="504" spans="1:20" ht="22.5" hidden="1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 t="shared" si="8"/>
        <v>16</v>
      </c>
      <c r="S504" s="68">
        <v>24</v>
      </c>
      <c r="T504" s="65" t="s">
        <v>1390</v>
      </c>
    </row>
    <row r="505" spans="1:20" ht="22.5" hidden="1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 t="shared" si="8"/>
        <v>20</v>
      </c>
      <c r="S505" s="22">
        <v>4</v>
      </c>
      <c r="T505" s="19" t="s">
        <v>1570</v>
      </c>
    </row>
    <row r="506" spans="1:20" ht="22.5" hidden="1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 t="shared" si="8"/>
        <v>8</v>
      </c>
      <c r="S506" s="20">
        <v>4</v>
      </c>
      <c r="T506" s="18" t="s">
        <v>1355</v>
      </c>
    </row>
    <row r="507" spans="1:20" ht="22.5" hidden="1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 t="shared" si="8"/>
        <v>0</v>
      </c>
      <c r="S507" s="22">
        <v>20</v>
      </c>
      <c r="T507" s="19" t="s">
        <v>1576</v>
      </c>
    </row>
    <row r="508" spans="1:20" ht="22.5" hidden="1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 t="shared" si="8"/>
        <v>13</v>
      </c>
      <c r="S508" s="20">
        <v>48</v>
      </c>
      <c r="T508" s="18" t="s">
        <v>741</v>
      </c>
    </row>
    <row r="509" spans="1:20" ht="22.5" hidden="1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 t="shared" si="8"/>
        <v>170</v>
      </c>
      <c r="S509" s="22">
        <v>1</v>
      </c>
      <c r="T509" s="19" t="s">
        <v>1581</v>
      </c>
    </row>
    <row r="510" spans="1:20" ht="22.5" hidden="1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 t="shared" si="8"/>
        <v>66</v>
      </c>
      <c r="S510" s="20">
        <v>20</v>
      </c>
      <c r="T510" s="18" t="s">
        <v>1496</v>
      </c>
    </row>
    <row r="511" spans="1:20" ht="22.5" hidden="1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 t="shared" si="8"/>
        <v>140</v>
      </c>
      <c r="S511" s="22">
        <v>1</v>
      </c>
      <c r="T511" s="19" t="s">
        <v>1587</v>
      </c>
    </row>
    <row r="512" spans="1:20" ht="22.5" hidden="1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 t="shared" si="8"/>
        <v>45</v>
      </c>
      <c r="S512" s="20">
        <v>12</v>
      </c>
      <c r="T512" s="18" t="s">
        <v>1591</v>
      </c>
    </row>
    <row r="513" spans="1:20" ht="22.5" hidden="1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 t="shared" si="8"/>
        <v>19</v>
      </c>
      <c r="S513" s="22">
        <v>4</v>
      </c>
      <c r="T513" s="19" t="s">
        <v>1595</v>
      </c>
    </row>
    <row r="514" spans="1:20" ht="22.5" hidden="1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 t="shared" si="8"/>
        <v>15</v>
      </c>
      <c r="S514" s="20">
        <v>20</v>
      </c>
      <c r="T514" s="18" t="s">
        <v>167</v>
      </c>
    </row>
    <row r="515" spans="1:20" ht="22.5" hidden="1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 t="shared" si="8"/>
        <v>41</v>
      </c>
      <c r="S515" s="22">
        <v>16</v>
      </c>
      <c r="T515" s="19" t="s">
        <v>1601</v>
      </c>
    </row>
    <row r="516" spans="1:20" ht="22.5" hidden="1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 t="shared" si="8"/>
        <v>96</v>
      </c>
      <c r="S516" s="20">
        <v>2</v>
      </c>
      <c r="T516" s="18" t="s">
        <v>365</v>
      </c>
    </row>
    <row r="517" spans="1:20" ht="22.5" hidden="1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 t="shared" si="8"/>
        <v>6</v>
      </c>
      <c r="S517" s="22">
        <v>4</v>
      </c>
      <c r="T517" s="19" t="s">
        <v>1607</v>
      </c>
    </row>
    <row r="518" spans="1:20" ht="22.5" hidden="1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 t="shared" si="8"/>
        <v>47</v>
      </c>
      <c r="S518" s="20">
        <v>12</v>
      </c>
      <c r="T518" s="18" t="s">
        <v>1611</v>
      </c>
    </row>
    <row r="519" spans="1:20" ht="22.5" hidden="1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 t="shared" si="8"/>
        <v>37</v>
      </c>
      <c r="S519" s="22">
        <v>12</v>
      </c>
      <c r="T519" s="19" t="s">
        <v>1125</v>
      </c>
    </row>
    <row r="520" spans="1:20" ht="22.5" hidden="1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 t="shared" si="8"/>
        <v>20</v>
      </c>
      <c r="S520" s="20">
        <v>16</v>
      </c>
      <c r="T520" s="18" t="s">
        <v>1296</v>
      </c>
    </row>
    <row r="521" spans="1:20" ht="22.5" hidden="1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 t="shared" si="8"/>
        <v>19</v>
      </c>
      <c r="S521" s="22">
        <v>16</v>
      </c>
      <c r="T521" s="19" t="s">
        <v>425</v>
      </c>
    </row>
    <row r="522" spans="1:20" ht="22.5" hidden="1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 t="shared" ref="R522:R585" si="9">SUM(O522:Q522)</f>
        <v>0</v>
      </c>
      <c r="S522" s="20">
        <v>21</v>
      </c>
      <c r="T522" s="18" t="s">
        <v>1046</v>
      </c>
    </row>
    <row r="523" spans="1:20" ht="22.5" hidden="1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 t="shared" si="9"/>
        <v>0</v>
      </c>
      <c r="S523" s="22">
        <v>6</v>
      </c>
      <c r="T523" s="19" t="s">
        <v>1625</v>
      </c>
    </row>
    <row r="524" spans="1:20" ht="22.5" hidden="1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 t="shared" si="9"/>
        <v>6</v>
      </c>
      <c r="S524" s="20"/>
      <c r="T524" s="18"/>
    </row>
    <row r="525" spans="1:20" ht="22.5" hidden="1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 t="shared" si="9"/>
        <v>46</v>
      </c>
      <c r="S525" s="22">
        <v>16</v>
      </c>
      <c r="T525" s="19" t="s">
        <v>1630</v>
      </c>
    </row>
    <row r="526" spans="1:20" ht="22.5" hidden="1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 t="shared" si="9"/>
        <v>20</v>
      </c>
      <c r="S526" s="20">
        <v>16</v>
      </c>
      <c r="T526" s="18" t="s">
        <v>1306</v>
      </c>
    </row>
    <row r="527" spans="1:20" ht="22.5" hidden="1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 t="shared" si="9"/>
        <v>0</v>
      </c>
      <c r="S527" s="22"/>
      <c r="T527" s="19" t="s">
        <v>1633</v>
      </c>
    </row>
    <row r="528" spans="1:20" ht="22.5" hidden="1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 t="shared" si="9"/>
        <v>20</v>
      </c>
      <c r="S528" s="20">
        <v>8</v>
      </c>
      <c r="T528" s="18" t="s">
        <v>1637</v>
      </c>
    </row>
    <row r="529" spans="1:20" ht="22.5" hidden="1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 t="shared" si="9"/>
        <v>28</v>
      </c>
      <c r="S529" s="22">
        <v>20</v>
      </c>
      <c r="T529" s="19"/>
    </row>
    <row r="530" spans="1:20" ht="22.5" hidden="1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 t="shared" si="9"/>
        <v>138</v>
      </c>
      <c r="S530" s="20">
        <v>8</v>
      </c>
      <c r="T530" s="18" t="s">
        <v>365</v>
      </c>
    </row>
    <row r="531" spans="1:20" ht="22.5" hidden="1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 t="shared" si="9"/>
        <v>19</v>
      </c>
      <c r="S531" s="22">
        <v>12</v>
      </c>
      <c r="T531" s="19" t="s">
        <v>1432</v>
      </c>
    </row>
    <row r="532" spans="1:20" ht="22.5" hidden="1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 t="shared" si="9"/>
        <v>118</v>
      </c>
      <c r="S532" s="20">
        <v>1</v>
      </c>
      <c r="T532" s="18" t="s">
        <v>1649</v>
      </c>
    </row>
    <row r="533" spans="1:20" ht="22.5" hidden="1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 t="shared" si="9"/>
        <v>4</v>
      </c>
      <c r="S533" s="22">
        <v>4</v>
      </c>
      <c r="T533" s="19" t="s">
        <v>1355</v>
      </c>
    </row>
    <row r="534" spans="1:20" ht="22.5" hidden="1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 t="shared" si="9"/>
        <v>49</v>
      </c>
      <c r="S534" s="20">
        <v>4</v>
      </c>
      <c r="T534" s="18" t="s">
        <v>1654</v>
      </c>
    </row>
    <row r="535" spans="1:20" ht="22.5" hidden="1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 t="shared" si="9"/>
        <v>94</v>
      </c>
      <c r="S535" s="22">
        <v>20</v>
      </c>
      <c r="T535" s="19" t="s">
        <v>1496</v>
      </c>
    </row>
    <row r="536" spans="1:20" ht="22.5" hidden="1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hidden="1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hidden="1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hidden="1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hidden="1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hidden="1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hidden="1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hidden="1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hidden="1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hidden="1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hidden="1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hidden="1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hidden="1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hidden="1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hidden="1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hidden="1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hidden="1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hidden="1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hidden="1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hidden="1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hidden="1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hidden="1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hidden="1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hidden="1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hidden="1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hidden="1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hidden="1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hidden="1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hidden="1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hidden="1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hidden="1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hidden="1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hidden="1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hidden="1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hidden="1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hidden="1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hidden="1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hidden="1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hidden="1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hidden="1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hidden="1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hidden="1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hidden="1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hidden="1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hidden="1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hidden="1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hidden="1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hidden="1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hidden="1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hidden="1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hidden="1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hidden="1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hidden="1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hidden="1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hidden="1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hidden="1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hidden="1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hidden="1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hidden="1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hidden="1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hidden="1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hidden="1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hidden="1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hidden="1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hidden="1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hidden="1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hidden="1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hidden="1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hidden="1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hidden="1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hidden="1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hidden="1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hidden="1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hidden="1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hidden="1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hidden="1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hidden="1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hidden="1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hidden="1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hidden="1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hidden="1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hidden="1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hidden="1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hidden="1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hidden="1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hidden="1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hidden="1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hidden="1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hidden="1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hidden="1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hidden="1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hidden="1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hidden="1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hidden="1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hidden="1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hidden="1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hidden="1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hidden="1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hidden="1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hidden="1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hidden="1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hidden="1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hidden="1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hidden="1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hidden="1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hidden="1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hidden="1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hidden="1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hidden="1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hidden="1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hidden="1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hidden="1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hidden="1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hidden="1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hidden="1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hidden="1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hidden="1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hidden="1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hidden="1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hidden="1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hidden="1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hidden="1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hidden="1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hidden="1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hidden="1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hidden="1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hidden="1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hidden="1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hidden="1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hidden="1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hidden="1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hidden="1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hidden="1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hidden="1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hidden="1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hidden="1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hidden="1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hidden="1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hidden="1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hidden="1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hidden="1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hidden="1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hidden="1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hidden="1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hidden="1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hidden="1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hidden="1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hidden="1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hidden="1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hidden="1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hidden="1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hidden="1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hidden="1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hidden="1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hidden="1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hidden="1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hidden="1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hidden="1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hidden="1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hidden="1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hidden="1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hidden="1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 t="shared" ref="R697:R713" si="10">IF(B697="","",SUM(O697:Q697))</f>
        <v>0</v>
      </c>
      <c r="S697" s="224">
        <v>24</v>
      </c>
      <c r="T697" s="232" t="s">
        <v>2130</v>
      </c>
    </row>
    <row r="698" spans="1:20" ht="22.5" hidden="1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 t="shared" si="10"/>
        <v>48</v>
      </c>
      <c r="S698" s="223">
        <v>20</v>
      </c>
      <c r="T698" s="231" t="s">
        <v>324</v>
      </c>
    </row>
    <row r="699" spans="1:20" ht="22.5" hidden="1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 t="shared" si="10"/>
        <v>220</v>
      </c>
      <c r="S699" s="224">
        <v>4</v>
      </c>
      <c r="T699" s="232" t="s">
        <v>365</v>
      </c>
    </row>
    <row r="700" spans="1:20" ht="22.5" hidden="1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 t="shared" si="10"/>
        <v>0</v>
      </c>
      <c r="S700" s="223">
        <v>8</v>
      </c>
      <c r="T700" s="231" t="s">
        <v>2167</v>
      </c>
    </row>
    <row r="701" spans="1:20" ht="22.5" hidden="1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 t="shared" si="10"/>
        <v>0</v>
      </c>
      <c r="S701" s="223">
        <v>15</v>
      </c>
      <c r="T701" s="231" t="s">
        <v>2043</v>
      </c>
    </row>
    <row r="702" spans="1:20" ht="22.5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 t="shared" si="10"/>
        <v>0</v>
      </c>
      <c r="S702" s="224">
        <v>8</v>
      </c>
      <c r="T702" s="248" t="s">
        <v>2172</v>
      </c>
    </row>
    <row r="703" spans="1:20" ht="22.5" hidden="1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 t="shared" si="10"/>
        <v>0</v>
      </c>
      <c r="S703" s="223">
        <v>4</v>
      </c>
      <c r="T703" s="231" t="s">
        <v>1848</v>
      </c>
    </row>
    <row r="704" spans="1:20" ht="22.5" hidden="1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 t="shared" si="10"/>
        <v>0</v>
      </c>
      <c r="S704" s="224">
        <v>4</v>
      </c>
      <c r="T704" s="232" t="s">
        <v>2178</v>
      </c>
    </row>
    <row r="705" spans="1:21" ht="22.5" hidden="1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 t="shared" si="10"/>
        <v>0</v>
      </c>
      <c r="S705" s="223">
        <v>4</v>
      </c>
      <c r="T705" s="231" t="s">
        <v>1856</v>
      </c>
    </row>
    <row r="706" spans="1:21" ht="22.5" hidden="1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 t="shared" si="10"/>
        <v>0</v>
      </c>
      <c r="S706" s="224">
        <v>4</v>
      </c>
      <c r="T706" s="232" t="s">
        <v>1478</v>
      </c>
    </row>
    <row r="707" spans="1:21" ht="22.5" hidden="1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 t="shared" si="10"/>
        <v>0</v>
      </c>
      <c r="S707" s="224">
        <v>4</v>
      </c>
      <c r="T707" s="232" t="s">
        <v>2187</v>
      </c>
    </row>
    <row r="708" spans="1:21" ht="22.5" hidden="1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 t="shared" si="10"/>
        <v>0</v>
      </c>
      <c r="S708" s="223">
        <v>4</v>
      </c>
      <c r="T708" s="231" t="s">
        <v>2191</v>
      </c>
    </row>
    <row r="709" spans="1:21" ht="22.5" hidden="1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 t="shared" si="10"/>
        <v>0</v>
      </c>
      <c r="S709" s="223">
        <v>4</v>
      </c>
      <c r="T709" s="231" t="s">
        <v>2194</v>
      </c>
      <c r="U709" s="218"/>
    </row>
    <row r="710" spans="1:21" ht="22.5" hidden="1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 t="shared" si="10"/>
        <v>0</v>
      </c>
      <c r="S710" s="223">
        <v>2</v>
      </c>
      <c r="T710" s="247" t="s">
        <v>2198</v>
      </c>
    </row>
    <row r="711" spans="1:21" ht="22.5" hidden="1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 t="shared" si="10"/>
        <v>0</v>
      </c>
      <c r="S711" s="223">
        <v>4</v>
      </c>
      <c r="T711" s="247" t="s">
        <v>2201</v>
      </c>
    </row>
    <row r="712" spans="1:21" ht="22.5" hidden="1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 t="shared" si="10"/>
        <v>0</v>
      </c>
      <c r="S712" s="224">
        <v>4</v>
      </c>
      <c r="T712" s="248" t="s">
        <v>2203</v>
      </c>
    </row>
    <row r="713" spans="1:21" ht="22.5" hidden="1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 t="shared" si="10"/>
        <v>0</v>
      </c>
      <c r="S713" s="224">
        <v>20</v>
      </c>
      <c r="T713" s="232" t="s">
        <v>2207</v>
      </c>
    </row>
    <row r="714" spans="1:21" ht="22.5" hidden="1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hidden="1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hidden="1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hidden="1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hidden="1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hidden="1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hidden="1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hidden="1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 t="shared" ref="R721:R749" si="11">IF(B721="","",SUM(O721:Q721))</f>
        <v>0</v>
      </c>
      <c r="S721" s="272">
        <v>10</v>
      </c>
      <c r="T721" s="274" t="s">
        <v>2225</v>
      </c>
    </row>
    <row r="722" spans="1:20" ht="22.5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 t="shared" si="11"/>
        <v>0</v>
      </c>
      <c r="S722" s="223">
        <v>17.45</v>
      </c>
      <c r="T722" s="231" t="s">
        <v>2230</v>
      </c>
    </row>
    <row r="723" spans="1:20" ht="22.5" hidden="1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 t="shared" si="11"/>
        <v>0</v>
      </c>
      <c r="S723" s="223">
        <v>1</v>
      </c>
      <c r="T723" s="231" t="s">
        <v>2236</v>
      </c>
    </row>
    <row r="724" spans="1:20" ht="22.5" hidden="1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 t="shared" si="11"/>
        <v>0</v>
      </c>
      <c r="S724" s="224">
        <v>4</v>
      </c>
      <c r="T724" s="232" t="s">
        <v>2233</v>
      </c>
    </row>
    <row r="725" spans="1:20" ht="22.5" hidden="1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 t="shared" si="11"/>
        <v/>
      </c>
      <c r="S725" s="224"/>
      <c r="T725" s="232"/>
    </row>
    <row r="726" spans="1:20" ht="22.5" hidden="1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 t="shared" si="11"/>
        <v/>
      </c>
      <c r="S726" s="223"/>
      <c r="T726" s="231"/>
    </row>
    <row r="727" spans="1:20" ht="22.5" hidden="1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 t="shared" si="11"/>
        <v/>
      </c>
      <c r="S727" s="224"/>
      <c r="T727" s="232"/>
    </row>
    <row r="728" spans="1:20" ht="22.5" hidden="1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 t="shared" si="11"/>
        <v/>
      </c>
      <c r="S728" s="223"/>
      <c r="T728" s="231"/>
    </row>
    <row r="729" spans="1:20" ht="22.5" hidden="1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 t="shared" si="11"/>
        <v/>
      </c>
      <c r="S729" s="224"/>
      <c r="T729" s="232"/>
    </row>
    <row r="730" spans="1:20" ht="22.5" hidden="1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 t="shared" si="11"/>
        <v/>
      </c>
      <c r="S730" s="223"/>
      <c r="T730" s="231"/>
    </row>
    <row r="731" spans="1:20" ht="22.5" hidden="1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 t="shared" si="11"/>
        <v/>
      </c>
      <c r="S731" s="224"/>
      <c r="T731" s="232"/>
    </row>
    <row r="732" spans="1:20" ht="22.5" hidden="1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 t="shared" si="11"/>
        <v/>
      </c>
      <c r="S732" s="223"/>
      <c r="T732" s="231"/>
    </row>
    <row r="733" spans="1:20" ht="22.5" hidden="1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 t="shared" si="11"/>
        <v/>
      </c>
      <c r="S733" s="224"/>
      <c r="T733" s="232"/>
    </row>
    <row r="734" spans="1:20" ht="22.5" hidden="1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 t="shared" si="11"/>
        <v/>
      </c>
      <c r="S734" s="223"/>
      <c r="T734" s="231"/>
    </row>
    <row r="735" spans="1:20" ht="22.5" hidden="1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 t="shared" si="11"/>
        <v/>
      </c>
      <c r="S735" s="224"/>
      <c r="T735" s="232"/>
    </row>
    <row r="736" spans="1:20" ht="22.5" hidden="1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 t="shared" si="11"/>
        <v/>
      </c>
      <c r="S736" s="223"/>
      <c r="T736" s="231"/>
    </row>
    <row r="737" spans="1:20" ht="22.5" hidden="1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 t="shared" si="11"/>
        <v/>
      </c>
      <c r="S737" s="224"/>
      <c r="T737" s="232"/>
    </row>
    <row r="738" spans="1:20" ht="22.5" hidden="1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 t="shared" si="11"/>
        <v/>
      </c>
      <c r="S738" s="223"/>
      <c r="T738" s="231"/>
    </row>
    <row r="739" spans="1:20" ht="22.5" hidden="1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 t="shared" si="11"/>
        <v/>
      </c>
      <c r="S739" s="224"/>
      <c r="T739" s="232"/>
    </row>
    <row r="740" spans="1:20" ht="22.5" hidden="1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 t="shared" si="11"/>
        <v/>
      </c>
      <c r="S740" s="223"/>
      <c r="T740" s="231"/>
    </row>
    <row r="741" spans="1:20" ht="22.5" hidden="1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 t="shared" si="11"/>
        <v/>
      </c>
      <c r="S741" s="224"/>
      <c r="T741" s="232"/>
    </row>
    <row r="742" spans="1:20" ht="22.5" hidden="1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 t="shared" si="11"/>
        <v/>
      </c>
      <c r="S742" s="223"/>
      <c r="T742" s="231"/>
    </row>
    <row r="743" spans="1:20" ht="22.5" hidden="1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 t="shared" si="11"/>
        <v/>
      </c>
      <c r="S743" s="224"/>
      <c r="T743" s="232"/>
    </row>
    <row r="744" spans="1:20" ht="22.5" hidden="1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 t="shared" si="11"/>
        <v/>
      </c>
      <c r="S744" s="223"/>
      <c r="T744" s="231"/>
    </row>
    <row r="745" spans="1:20" ht="22.5" hidden="1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 t="shared" si="11"/>
        <v/>
      </c>
      <c r="S745" s="224"/>
      <c r="T745" s="232"/>
    </row>
    <row r="746" spans="1:20" ht="22.5" hidden="1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 t="shared" si="11"/>
        <v/>
      </c>
      <c r="S746" s="223"/>
      <c r="T746" s="231"/>
    </row>
    <row r="747" spans="1:20" ht="22.5" hidden="1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 t="shared" si="11"/>
        <v/>
      </c>
      <c r="S747" s="224"/>
      <c r="T747" s="232"/>
    </row>
    <row r="748" spans="1:20" ht="22.5" hidden="1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 t="shared" si="11"/>
        <v/>
      </c>
      <c r="S748" s="223"/>
      <c r="T748" s="231"/>
    </row>
    <row r="749" spans="1:20" ht="22.5" hidden="1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 t="shared" si="11"/>
        <v/>
      </c>
      <c r="S749" s="224"/>
      <c r="T749" s="232"/>
    </row>
    <row r="750" spans="1:20" ht="22.5" hidden="1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hidden="1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hidden="1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hidden="1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hidden="1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hidden="1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hidden="1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hidden="1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hidden="1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hidden="1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hidden="1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hidden="1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hidden="1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hidden="1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hidden="1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hidden="1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hidden="1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hidden="1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hidden="1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hidden="1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hidden="1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hidden="1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hidden="1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hidden="1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hidden="1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hidden="1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hidden="1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hidden="1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hidden="1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hidden="1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hidden="1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hidden="1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hidden="1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hidden="1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hidden="1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hidden="1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hidden="1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hidden="1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hidden="1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hidden="1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hidden="1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hidden="1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hidden="1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hidden="1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hidden="1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hidden="1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hidden="1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hidden="1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hidden="1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hidden="1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hidden="1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hidden="1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hidden="1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hidden="1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hidden="1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hidden="1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hidden="1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hidden="1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hidden="1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hidden="1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hidden="1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hidden="1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hidden="1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hidden="1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hidden="1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hidden="1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hidden="1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hidden="1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hidden="1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hidden="1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hidden="1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hidden="1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hidden="1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hidden="1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hidden="1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hidden="1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hidden="1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hidden="1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hidden="1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hidden="1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hidden="1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hidden="1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hidden="1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hidden="1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hidden="1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hidden="1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hidden="1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hidden="1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hidden="1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hidden="1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hidden="1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hidden="1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hidden="1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hidden="1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hidden="1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hidden="1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hidden="1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hidden="1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hidden="1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hidden="1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hidden="1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hidden="1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hidden="1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hidden="1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hidden="1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hidden="1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hidden="1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hidden="1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hidden="1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hidden="1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hidden="1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hidden="1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hidden="1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hidden="1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hidden="1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hidden="1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hidden="1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hidden="1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hidden="1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hidden="1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hidden="1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hidden="1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hidden="1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hidden="1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hidden="1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hidden="1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hidden="1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hidden="1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hidden="1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hidden="1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hidden="1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hidden="1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hidden="1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hidden="1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hidden="1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hidden="1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hidden="1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hidden="1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hidden="1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hidden="1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hidden="1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hidden="1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hidden="1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hidden="1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hidden="1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hidden="1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hidden="1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hidden="1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hidden="1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hidden="1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hidden="1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hidden="1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hidden="1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hidden="1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hidden="1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hidden="1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hidden="1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hidden="1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hidden="1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hidden="1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hidden="1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hidden="1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hidden="1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hidden="1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hidden="1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hidden="1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hidden="1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hidden="1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hidden="1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hidden="1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hidden="1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hidden="1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hidden="1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hidden="1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hidden="1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hidden="1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hidden="1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hidden="1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hidden="1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hidden="1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hidden="1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hidden="1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hidden="1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hidden="1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hidden="1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hidden="1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hidden="1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hidden="1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hidden="1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hidden="1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hidden="1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hidden="1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hidden="1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hidden="1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hidden="1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hidden="1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hidden="1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hidden="1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hidden="1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hidden="1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hidden="1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hidden="1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hidden="1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hidden="1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hidden="1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hidden="1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hidden="1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hidden="1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hidden="1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hidden="1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hidden="1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hidden="1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hidden="1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hidden="1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hidden="1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hidden="1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hidden="1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hidden="1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hidden="1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hidden="1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hidden="1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hidden="1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hidden="1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hidden="1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hidden="1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hidden="1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hidden="1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hidden="1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hidden="1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hidden="1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hidden="1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hidden="1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hidden="1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hidden="1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hidden="1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hidden="1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hidden="1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hidden="1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hidden="1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hidden="1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hidden="1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hidden="1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hidden="1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hidden="1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hidden="1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hidden="1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hidden="1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hidden="1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hidden="1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hidden="1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hidden="1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hidden="1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hidden="1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hidden="1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hidden="1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hidden="1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hidden="1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hidden="1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hidden="1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hidden="1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hidden="1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hidden="1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hidden="1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hidden="1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hidden="1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hidden="1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hidden="1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hidden="1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hidden="1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hidden="1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hidden="1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hidden="1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hidden="1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hidden="1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hidden="1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hidden="1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hidden="1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hidden="1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hidden="1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hidden="1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hidden="1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hidden="1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hidden="1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hidden="1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hidden="1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hidden="1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hidden="1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hidden="1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hidden="1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hidden="1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hidden="1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hidden="1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hidden="1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hidden="1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hidden="1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hidden="1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hidden="1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hidden="1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hidden="1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hidden="1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hidden="1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hidden="1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hidden="1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hidden="1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hidden="1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hidden="1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hidden="1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hidden="1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hidden="1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hidden="1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hidden="1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hidden="1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hidden="1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hidden="1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hidden="1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hidden="1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hidden="1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hidden="1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hidden="1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hidden="1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hidden="1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hidden="1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hidden="1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hidden="1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hidden="1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hidden="1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hidden="1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hidden="1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hidden="1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hidden="1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hidden="1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hidden="1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hidden="1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hidden="1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hidden="1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hidden="1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hidden="1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hidden="1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hidden="1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hidden="1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hidden="1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hidden="1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hidden="1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hidden="1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hidden="1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hidden="1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hidden="1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hidden="1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hidden="1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hidden="1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hidden="1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hidden="1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hidden="1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hidden="1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hidden="1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hidden="1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hidden="1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hidden="1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hidden="1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hidden="1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hidden="1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hidden="1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hidden="1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hidden="1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hidden="1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hidden="1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hidden="1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hidden="1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hidden="1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hidden="1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hidden="1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hidden="1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hidden="1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hidden="1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hidden="1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hidden="1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hidden="1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hidden="1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hidden="1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hidden="1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hidden="1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hidden="1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hidden="1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hidden="1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hidden="1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hidden="1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hidden="1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hidden="1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hidden="1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hidden="1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hidden="1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hidden="1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hidden="1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hidden="1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hidden="1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hidden="1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hidden="1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hidden="1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hidden="1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hidden="1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hidden="1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hidden="1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hidden="1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hidden="1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hidden="1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hidden="1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hidden="1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hidden="1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hidden="1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hidden="1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hidden="1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hidden="1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hidden="1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hidden="1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hidden="1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hidden="1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hidden="1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hidden="1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hidden="1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hidden="1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hidden="1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hidden="1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hidden="1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hidden="1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hidden="1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hidden="1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hidden="1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hidden="1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hidden="1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hidden="1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hidden="1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hidden="1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hidden="1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hidden="1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hidden="1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hidden="1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hidden="1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hidden="1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hidden="1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hidden="1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hidden="1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hidden="1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hidden="1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hidden="1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hidden="1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hidden="1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hidden="1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hidden="1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hidden="1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hidden="1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hidden="1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hidden="1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hidden="1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hidden="1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hidden="1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hidden="1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hidden="1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hidden="1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hidden="1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hidden="1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hidden="1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hidden="1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hidden="1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hidden="1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hidden="1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hidden="1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hidden="1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hidden="1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hidden="1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hidden="1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hidden="1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hidden="1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hidden="1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hidden="1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hidden="1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hidden="1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hidden="1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hidden="1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hidden="1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hidden="1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hidden="1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hidden="1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hidden="1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hidden="1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hidden="1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hidden="1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hidden="1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hidden="1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hidden="1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hidden="1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hidden="1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hidden="1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hidden="1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hidden="1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hidden="1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hidden="1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hidden="1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hidden="1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hidden="1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hidden="1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hidden="1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hidden="1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hidden="1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hidden="1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hidden="1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hidden="1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hidden="1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hidden="1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hidden="1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hidden="1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hidden="1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hidden="1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hidden="1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hidden="1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hidden="1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hidden="1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hidden="1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hidden="1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hidden="1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hidden="1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hidden="1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hidden="1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hidden="1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hidden="1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hidden="1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hidden="1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hidden="1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hidden="1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hidden="1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hidden="1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hidden="1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hidden="1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hidden="1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hidden="1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hidden="1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hidden="1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hidden="1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hidden="1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hidden="1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hidden="1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hidden="1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hidden="1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hidden="1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hidden="1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hidden="1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hidden="1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hidden="1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hidden="1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hidden="1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hidden="1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hidden="1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hidden="1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hidden="1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hidden="1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hidden="1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hidden="1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hidden="1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hidden="1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hidden="1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hidden="1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hidden="1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hidden="1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hidden="1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hidden="1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hidden="1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hidden="1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hidden="1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hidden="1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hidden="1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hidden="1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hidden="1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hidden="1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hidden="1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hidden="1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hidden="1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hidden="1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hidden="1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hidden="1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hidden="1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hidden="1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hidden="1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hidden="1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hidden="1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hidden="1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hidden="1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hidden="1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hidden="1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hidden="1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hidden="1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hidden="1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hidden="1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hidden="1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hidden="1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hidden="1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hidden="1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hidden="1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hidden="1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hidden="1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hidden="1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hidden="1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hidden="1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hidden="1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hidden="1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hidden="1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hidden="1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hidden="1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hidden="1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hidden="1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hidden="1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hidden="1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hidden="1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hidden="1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hidden="1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hidden="1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hidden="1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hidden="1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hidden="1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hidden="1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hidden="1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hidden="1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hidden="1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hidden="1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hidden="1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hidden="1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hidden="1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hidden="1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hidden="1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hidden="1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hidden="1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hidden="1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hidden="1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hidden="1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hidden="1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hidden="1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hidden="1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hidden="1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hidden="1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hidden="1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hidden="1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hidden="1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hidden="1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hidden="1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hidden="1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hidden="1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hidden="1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hidden="1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hidden="1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hidden="1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hidden="1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hidden="1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hidden="1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hidden="1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hidden="1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hidden="1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hidden="1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hidden="1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hidden="1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hidden="1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hidden="1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hidden="1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hidden="1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hidden="1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hidden="1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hidden="1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hidden="1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hidden="1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hidden="1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hidden="1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hidden="1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hidden="1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hidden="1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hidden="1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hidden="1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hidden="1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hidden="1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hidden="1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hidden="1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hidden="1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hidden="1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hidden="1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hidden="1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hidden="1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hidden="1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hidden="1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hidden="1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hidden="1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hidden="1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hidden="1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hidden="1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hidden="1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hidden="1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hidden="1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hidden="1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hidden="1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hidden="1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hidden="1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hidden="1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hidden="1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hidden="1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hidden="1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hidden="1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hidden="1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hidden="1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hidden="1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hidden="1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hidden="1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hidden="1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hidden="1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hidden="1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hidden="1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hidden="1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hidden="1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hidden="1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hidden="1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hidden="1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hidden="1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hidden="1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hidden="1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hidden="1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hidden="1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hidden="1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hidden="1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hidden="1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hidden="1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hidden="1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hidden="1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hidden="1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hidden="1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hidden="1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hidden="1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hidden="1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hidden="1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hidden="1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hidden="1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hidden="1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hidden="1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hidden="1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hidden="1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hidden="1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hidden="1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hidden="1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hidden="1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hidden="1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hidden="1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hidden="1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hidden="1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hidden="1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hidden="1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hidden="1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hidden="1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hidden="1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hidden="1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hidden="1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hidden="1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hidden="1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hidden="1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hidden="1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hidden="1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hidden="1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hidden="1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hidden="1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hidden="1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hidden="1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hidden="1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hidden="1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hidden="1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hidden="1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hidden="1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hidden="1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hidden="1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hidden="1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hidden="1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hidden="1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hidden="1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hidden="1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hidden="1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hidden="1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hidden="1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hidden="1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hidden="1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hidden="1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hidden="1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hidden="1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hidden="1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hidden="1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hidden="1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hidden="1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hidden="1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hidden="1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hidden="1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hidden="1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hidden="1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hidden="1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hidden="1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hidden="1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hidden="1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hidden="1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hidden="1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hidden="1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hidden="1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hidden="1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hidden="1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hidden="1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hidden="1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hidden="1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hidden="1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hidden="1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hidden="1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hidden="1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hidden="1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hidden="1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hidden="1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hidden="1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hidden="1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hidden="1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hidden="1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hidden="1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hidden="1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hidden="1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hidden="1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hidden="1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hidden="1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hidden="1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hidden="1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hidden="1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hidden="1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hidden="1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hidden="1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hidden="1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hidden="1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hidden="1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hidden="1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hidden="1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hidden="1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hidden="1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hidden="1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hidden="1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hidden="1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hidden="1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hidden="1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hidden="1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hidden="1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hidden="1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hidden="1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hidden="1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hidden="1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hidden="1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hidden="1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hidden="1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hidden="1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hidden="1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hidden="1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hidden="1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hidden="1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hidden="1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hidden="1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hidden="1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hidden="1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hidden="1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hidden="1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hidden="1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hidden="1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hidden="1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hidden="1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hidden="1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hidden="1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hidden="1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hidden="1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hidden="1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hidden="1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hidden="1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hidden="1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hidden="1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hidden="1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hidden="1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hidden="1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hidden="1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hidden="1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hidden="1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hidden="1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hidden="1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hidden="1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hidden="1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hidden="1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hidden="1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hidden="1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hidden="1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hidden="1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hidden="1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hidden="1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hidden="1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hidden="1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hidden="1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hidden="1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hidden="1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hidden="1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hidden="1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hidden="1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hidden="1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hidden="1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hidden="1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hidden="1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hidden="1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hidden="1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hidden="1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hidden="1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hidden="1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hidden="1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hidden="1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hidden="1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hidden="1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hidden="1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hidden="1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hidden="1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hidden="1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hidden="1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hidden="1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hidden="1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hidden="1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hidden="1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hidden="1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hidden="1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hidden="1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hidden="1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hidden="1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hidden="1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hidden="1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hidden="1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hidden="1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hidden="1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hidden="1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hidden="1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hidden="1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hidden="1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hidden="1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hidden="1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hidden="1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hidden="1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hidden="1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hidden="1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hidden="1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hidden="1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hidden="1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hidden="1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hidden="1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hidden="1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hidden="1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hidden="1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hidden="1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hidden="1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hidden="1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hidden="1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hidden="1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hidden="1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hidden="1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hidden="1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hidden="1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hidden="1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hidden="1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hidden="1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hidden="1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hidden="1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hidden="1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hidden="1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hidden="1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hidden="1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hidden="1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hidden="1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hidden="1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hidden="1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hidden="1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hidden="1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hidden="1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hidden="1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hidden="1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hidden="1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hidden="1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hidden="1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hidden="1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hidden="1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hidden="1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hidden="1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hidden="1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hidden="1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hidden="1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hidden="1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hidden="1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hidden="1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hidden="1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hidden="1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hidden="1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hidden="1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hidden="1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hidden="1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hidden="1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hidden="1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hidden="1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hidden="1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hidden="1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hidden="1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hidden="1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hidden="1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hidden="1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hidden="1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hidden="1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hidden="1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hidden="1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hidden="1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hidden="1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hidden="1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hidden="1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hidden="1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hidden="1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hidden="1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hidden="1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hidden="1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hidden="1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hidden="1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hidden="1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hidden="1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hidden="1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hidden="1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hidden="1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hidden="1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hidden="1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hidden="1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hidden="1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hidden="1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hidden="1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hidden="1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hidden="1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hidden="1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hidden="1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hidden="1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hidden="1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hidden="1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hidden="1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hidden="1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hidden="1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hidden="1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hidden="1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hidden="1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hidden="1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hidden="1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hidden="1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hidden="1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hidden="1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hidden="1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hidden="1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hidden="1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hidden="1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hidden="1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hidden="1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hidden="1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hidden="1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hidden="1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hidden="1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hidden="1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hidden="1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hidden="1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hidden="1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hidden="1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hidden="1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hidden="1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hidden="1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hidden="1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hidden="1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hidden="1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hidden="1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hidden="1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hidden="1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hidden="1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hidden="1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hidden="1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hidden="1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hidden="1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hidden="1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hidden="1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hidden="1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hidden="1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hidden="1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hidden="1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hidden="1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hidden="1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hidden="1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hidden="1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hidden="1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hidden="1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hidden="1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hidden="1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hidden="1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hidden="1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hidden="1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hidden="1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hidden="1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hidden="1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hidden="1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hidden="1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hidden="1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hidden="1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hidden="1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hidden="1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hidden="1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hidden="1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hidden="1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hidden="1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hidden="1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hidden="1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hidden="1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hidden="1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hidden="1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hidden="1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hidden="1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hidden="1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hidden="1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hidden="1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hidden="1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hidden="1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hidden="1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hidden="1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hidden="1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hidden="1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hidden="1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hidden="1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hidden="1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hidden="1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hidden="1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hidden="1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hidden="1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hidden="1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hidden="1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hidden="1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hidden="1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hidden="1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hidden="1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hidden="1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hidden="1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hidden="1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hidden="1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hidden="1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hidden="1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hidden="1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hidden="1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hidden="1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hidden="1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hidden="1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hidden="1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hidden="1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hidden="1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hidden="1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hidden="1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hidden="1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hidden="1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hidden="1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hidden="1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hidden="1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hidden="1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hidden="1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hidden="1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hidden="1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hidden="1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hidden="1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hidden="1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hidden="1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hidden="1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hidden="1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hidden="1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hidden="1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hidden="1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hidden="1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hidden="1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hidden="1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hidden="1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hidden="1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hidden="1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hidden="1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hidden="1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hidden="1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hidden="1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hidden="1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hidden="1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hidden="1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hidden="1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hidden="1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hidden="1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hidden="1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hidden="1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hidden="1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hidden="1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hidden="1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hidden="1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hidden="1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hidden="1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hidden="1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hidden="1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hidden="1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hidden="1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hidden="1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hidden="1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hidden="1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hidden="1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hidden="1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hidden="1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hidden="1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hidden="1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hidden="1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hidden="1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hidden="1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hidden="1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hidden="1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hidden="1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hidden="1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hidden="1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hidden="1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hidden="1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hidden="1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hidden="1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hidden="1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hidden="1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hidden="1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hidden="1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hidden="1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hidden="1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hidden="1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hidden="1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hidden="1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hidden="1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hidden="1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hidden="1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hidden="1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hidden="1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hidden="1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hidden="1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hidden="1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hidden="1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hidden="1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hidden="1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hidden="1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hidden="1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hidden="1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hidden="1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hidden="1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hidden="1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hidden="1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hidden="1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hidden="1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hidden="1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hidden="1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hidden="1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hidden="1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hidden="1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hidden="1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8" activePane="bottomLeft" state="frozen"/>
      <selection pane="bottomLeft" activeCell="AC72" sqref="AC7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4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</row>
    <row r="66" spans="1:24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24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4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4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4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4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4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4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4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4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4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4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4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4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4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17.45</v>
      </c>
      <c r="I134">
        <v>5.2349999999999994</v>
      </c>
      <c r="J134">
        <v>22.684999999999999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17.45</v>
      </c>
      <c r="I135">
        <v>5.2349999999999994</v>
      </c>
      <c r="J135">
        <v>22.684999999999999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2345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4" t="s">
        <v>2346</v>
      </c>
      <c r="B4" s="325"/>
      <c r="D4" s="326" t="s">
        <v>2347</v>
      </c>
      <c r="E4" s="327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28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1" t="s">
        <v>2350</v>
      </c>
      <c r="B8" s="321"/>
      <c r="D8" s="321" t="s">
        <v>2351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1" t="s">
        <v>2360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0.32307692307692309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4.6153846153846156E-2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9.2307692307692313E-2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1</v>
      </c>
      <c r="D36" s="113">
        <f t="shared" si="0"/>
        <v>3</v>
      </c>
      <c r="E36" s="114">
        <f t="shared" si="1"/>
        <v>4.6153846153846156E-2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6.1538461538461542E-2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0.2153846153846154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6.1538461538461542E-2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1.5384615384615385E-2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0.1076923076923077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3.0769230769230771E-2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28</v>
      </c>
      <c r="D45" s="115">
        <f>SUM(D33:D44)</f>
        <v>65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2411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3" t="s">
        <v>2412</v>
      </c>
    </row>
    <row r="4" spans="1:8" ht="21.95" customHeight="1" x14ac:dyDescent="0.25">
      <c r="A4" s="329" t="s">
        <v>2413</v>
      </c>
      <c r="B4" s="330"/>
      <c r="D4" s="329" t="s">
        <v>2414</v>
      </c>
      <c r="E4" s="330"/>
      <c r="G4" s="329" t="s">
        <v>2415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29" sqref="C2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2421</v>
      </c>
      <c r="B1" s="334"/>
      <c r="C1" s="334"/>
      <c r="D1" s="334"/>
      <c r="E1" s="334"/>
      <c r="F1" s="334"/>
    </row>
    <row r="2" spans="1:7" x14ac:dyDescent="0.25">
      <c r="A2" s="335" t="s">
        <v>2422</v>
      </c>
      <c r="B2" s="335"/>
      <c r="C2" s="335"/>
      <c r="D2" s="335"/>
      <c r="E2" s="335"/>
      <c r="F2" s="335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25.45</v>
      </c>
      <c r="C21" s="100">
        <f>IF($A21="","",SUMIFS('GECC 2026'!I$2:I$200,'GECC 2026'!F$2:F$200,$A21))</f>
        <v>7.6349999999999998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33.085000000000001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25.45</v>
      </c>
      <c r="C24" s="100">
        <f>IF($A24="","",SUMIFS('GECC 2026'!I$2:I$200,'GECC 2026'!F$2:F$200,$A24))</f>
        <v>7.6349999999999998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33.085000000000001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1061.9000000000001</v>
      </c>
      <c r="C105" s="197">
        <f>SUM(C5:C100)</f>
        <v>330.55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2026-07-29T17:01:53Z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