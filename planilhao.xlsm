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9" documentId="13_ncr:1_{6A2CC3E2-FAFB-4D8F-B284-5E8FB5045DFE}" xr6:coauthVersionLast="47" xr6:coauthVersionMax="47" xr10:uidLastSave="{4E36FD5B-7EDA-46DE-AD3F-E87BFC829EF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s="1" a="1"/>
  <c r="A5" i="23" l="1" a="1"/>
  <c r="E105" i="23"/>
  <c r="F6" i="23" l="1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<sst xmlns="http://schemas.openxmlformats.org/spreadsheetml/2006/main" count="7250" uniqueCount="3186">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</sst>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10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56" activePane="bottomLeft" state="frozen"/>
      <selection pane="bottomLeft" activeCell="K660" sqref="K660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2697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2697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2697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2697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2566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2697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2697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22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2697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2697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2697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2697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2697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2697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2697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2697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2697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2697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2697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2697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Em andamento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Em andamento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Realizado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Realizado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43</v>
      </c>
      <c r="E5" s="44" t="s">
        <v>3082</v>
      </c>
      <c r="G5" s="46">
        <f>COUNTIFS('Ações InCompany'!B:B,2026,'Ações InCompany'!C:C,"A realizar")</f>
        <v>33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16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41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10</v>
      </c>
      <c r="C33" s="47">
        <f>COUNTIFS('Ações InCompany'!B:B,2026,'Ações InCompany'!C:C,"A realizar",'Ações InCompany'!G:G,A33)</f>
        <v>10</v>
      </c>
      <c r="D33" s="37">
        <f t="shared" ref="D33:D44" si="0">B33+C33</f>
        <v>20</v>
      </c>
      <c r="E33" s="38">
        <f t="shared" ref="E33:E44" si="1">D33/$D$45</f>
        <v>0.26315789473684209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6.5789473684210523E-2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7.8947368421052627E-2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2.6315789473684209E-2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7.8947368421052627E-2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0.28947368421052633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5.2631578947368418E-2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2.6315789473684209E-2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9.2105263157894732E-2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2.6315789473684209E-2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43</v>
      </c>
      <c r="C45" s="41">
        <f>SUM(C33:C44)</f>
        <v>33</v>
      </c>
      <c r="D45" s="41">
        <f>SUM(D33:D44)</f>
        <v>76</v>
      </c>
      <c r="E45" s="4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2694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2026-08-11T16:44:28Z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