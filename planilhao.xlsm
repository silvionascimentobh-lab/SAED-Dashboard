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477" documentId="13_ncr:1_{6A2CC3E2-FAFB-4D8F-B284-5E8FB5045DFE}" xr6:coauthVersionLast="47" xr6:coauthVersionMax="47" xr10:uidLastSave="{5C9B4983-570E-4DC1-96FD-129CD2A19A80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 iterateDelta="1E-4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R4" i="20" s="1" a="1"/>
  <c r="S4" i="20" s="1" a="1"/>
  <c r="T4" i="20" l="1" a="1"/>
  <c r="A2" i="20" s="1" a="1"/>
  <c r="A5" i="23" l="1" a="1"/>
  <c r="E105" i="23"/>
  <c r="E56" i="23" l="1"/>
  <c r="E32" i="23"/>
  <c r="D50" i="23"/>
  <c r="F6" i="23"/>
  <c r="F11" i="23"/>
  <c r="E47" i="23"/>
  <c r="B53" i="23"/>
  <c r="C35" i="23"/>
  <c r="E37" i="23"/>
  <c r="C45" i="23"/>
  <c r="F24" i="23"/>
  <c r="E19" i="23"/>
  <c r="C24" i="23"/>
  <c r="C25" i="23"/>
  <c r="E30" i="23"/>
  <c r="E28" i="23"/>
  <c r="D16" i="23"/>
  <c r="E24" i="23"/>
  <c r="E15" i="23"/>
  <c r="E43" i="23"/>
  <c r="D36" i="23"/>
  <c r="D12" i="23"/>
  <c r="B33" i="23"/>
  <c r="E10" i="23"/>
  <c r="D9" i="23"/>
  <c r="E13" i="23"/>
  <c r="C10" i="23"/>
  <c r="C55" i="23"/>
  <c r="F23" i="23"/>
  <c r="F18" i="23"/>
  <c r="F31" i="23"/>
  <c r="B9" i="23"/>
  <c r="F40" i="23"/>
  <c r="D15" i="23"/>
  <c r="E11" i="23"/>
  <c r="C22" i="23"/>
  <c r="B27" i="23"/>
  <c r="C11" i="23"/>
  <c r="D43" i="23"/>
  <c r="E33" i="23"/>
  <c r="F20" i="23"/>
  <c r="C23" i="23"/>
  <c r="B15" i="23"/>
  <c r="D13" i="23"/>
  <c r="C49" i="23"/>
  <c r="E34" i="23"/>
  <c r="E50" i="23"/>
  <c r="E45" i="23"/>
  <c r="D56" i="23"/>
  <c r="C44" i="23"/>
  <c r="C53" i="23"/>
  <c r="E20" i="23"/>
  <c r="B24" i="23"/>
  <c r="F46" i="23"/>
  <c r="F35" i="23"/>
  <c r="E55" i="23"/>
  <c r="E7" i="23"/>
  <c r="C26" i="23"/>
  <c r="E42" i="23"/>
  <c r="D29" i="23"/>
  <c r="F52" i="23"/>
  <c r="D28" i="23"/>
  <c r="D37" i="23"/>
  <c r="B8" i="23"/>
  <c r="E12" i="23"/>
  <c r="F22" i="23"/>
  <c r="F36" i="23"/>
  <c r="E16" i="23"/>
  <c r="F38" i="23"/>
  <c r="B34" i="23"/>
  <c r="C46" i="23"/>
  <c r="F42" i="23"/>
  <c r="E8" i="23"/>
  <c r="F17" i="23"/>
  <c r="B36" i="23"/>
  <c r="E26" i="23"/>
  <c r="D18" i="23"/>
  <c r="D55" i="23"/>
  <c r="E39" i="23"/>
  <c r="C31" i="23"/>
  <c r="F10" i="23"/>
  <c r="F26" i="23"/>
  <c r="D27" i="23"/>
  <c r="F39" i="23"/>
  <c r="F19" i="23"/>
  <c r="F21" i="23"/>
  <c r="F30" i="23"/>
  <c r="C19" i="23"/>
  <c r="B20" i="23"/>
  <c r="C54" i="23"/>
  <c r="C50" i="23"/>
  <c r="B28" i="23"/>
  <c r="B40" i="23"/>
  <c r="C52" i="23"/>
  <c r="B25" i="23"/>
  <c r="D14" i="23"/>
  <c r="F53" i="23"/>
  <c r="D25" i="23"/>
  <c r="E22" i="23"/>
  <c r="F34" i="23"/>
  <c r="E44" i="23"/>
  <c r="C40" i="23"/>
  <c r="B6" i="23"/>
  <c r="D31" i="23"/>
  <c r="C36" i="23"/>
  <c r="E21" i="23"/>
  <c r="E35" i="23"/>
  <c r="C20" i="23"/>
  <c r="E14" i="23"/>
  <c r="B41" i="23"/>
  <c r="C14" i="23"/>
  <c r="C30" i="23"/>
  <c r="B14" i="23"/>
  <c r="D48" i="23"/>
  <c r="B21" i="23"/>
  <c r="C42" i="23"/>
  <c r="C33" i="23"/>
  <c r="D32" i="23"/>
  <c r="F12" i="23"/>
  <c r="D19" i="23"/>
  <c r="D33" i="23"/>
  <c r="D20" i="23"/>
  <c r="B52" i="23"/>
  <c r="B56" i="23"/>
  <c r="F49" i="23"/>
  <c r="F32" i="23"/>
  <c r="C41" i="23"/>
  <c r="D38" i="23"/>
  <c r="F16" i="23"/>
  <c r="D7" i="23"/>
  <c r="B47" i="23"/>
  <c r="D22" i="23"/>
  <c r="B39" i="23"/>
  <c r="D53" i="23"/>
  <c r="C56" i="23"/>
  <c r="B35" i="23"/>
  <c r="C39" i="23"/>
  <c r="B44" i="23"/>
  <c r="C27" i="23"/>
  <c r="F28" i="23"/>
  <c r="E27" i="23"/>
  <c r="D47" i="23"/>
  <c r="C32" i="23"/>
  <c r="C8" i="23"/>
  <c r="C48" i="23"/>
  <c r="B37" i="23"/>
  <c r="D10" i="23"/>
  <c r="B7" i="23"/>
  <c r="B29" i="23"/>
  <c r="B49" i="23"/>
  <c r="B10" i="23"/>
  <c r="F37" i="23"/>
  <c r="B45" i="23"/>
  <c r="C47" i="23"/>
  <c r="D8" i="23"/>
  <c r="F27" i="23"/>
  <c r="F7" i="23"/>
  <c r="E52" i="23"/>
  <c r="B12" i="23"/>
  <c r="F41" i="23"/>
  <c r="D51" i="23"/>
  <c r="F44" i="23"/>
  <c r="C37" i="23"/>
  <c r="E9" i="23"/>
  <c r="D42" i="23"/>
  <c r="D45" i="23"/>
  <c r="E49" i="23"/>
  <c r="B46" i="23"/>
  <c r="E46" i="23"/>
  <c r="F51" i="23"/>
  <c r="F56" i="23"/>
  <c r="E41" i="23"/>
  <c r="D21" i="23"/>
  <c r="F50" i="23"/>
  <c r="F45" i="23"/>
  <c r="C29" i="23"/>
  <c r="D17" i="23"/>
  <c r="F8" i="23"/>
  <c r="E23" i="23"/>
  <c r="B54" i="23"/>
  <c r="E38" i="23"/>
  <c r="C9" i="23"/>
  <c r="C28" i="23"/>
  <c r="B16" i="23"/>
  <c r="B42" i="23"/>
  <c r="B18" i="23"/>
  <c r="B38" i="23"/>
  <c r="B32" i="23"/>
  <c r="E18" i="23"/>
  <c r="C12" i="23"/>
  <c r="D26" i="23"/>
  <c r="E31" i="23"/>
  <c r="B48" i="23"/>
  <c r="E36" i="23"/>
  <c r="E53" i="23"/>
  <c r="B23" i="23"/>
  <c r="B13" i="23"/>
  <c r="D46" i="23"/>
  <c r="C6" i="23"/>
  <c r="E17" i="23"/>
  <c r="D11" i="23"/>
  <c r="E29" i="23"/>
  <c r="F14" i="23"/>
  <c r="E48" i="23"/>
  <c r="F15" i="23"/>
  <c r="D30" i="23"/>
  <c r="F54" i="23"/>
  <c r="B22" i="23"/>
  <c r="B11" i="23"/>
  <c r="B31" i="23"/>
  <c r="B50" i="23"/>
  <c r="F43" i="23"/>
  <c r="F29" i="23"/>
  <c r="C51" i="23"/>
  <c r="C7" i="23"/>
  <c r="F55" i="23"/>
  <c r="D24" i="23"/>
  <c r="D34" i="23"/>
  <c r="E25" i="23"/>
  <c r="D41" i="23"/>
  <c r="C15" i="23"/>
  <c r="C18" i="23"/>
  <c r="F33" i="23"/>
  <c r="B43" i="23"/>
  <c r="D39" i="23"/>
  <c r="B30" i="23"/>
  <c r="B51" i="23"/>
  <c r="F13" i="23"/>
  <c r="D49" i="23"/>
  <c r="D35" i="23"/>
  <c r="D52" i="23"/>
  <c r="E6" i="23"/>
  <c r="D54" i="23"/>
  <c r="B26" i="23"/>
  <c r="D44" i="23"/>
  <c r="C34" i="23"/>
  <c r="B55" i="23"/>
  <c r="E51" i="23"/>
  <c r="C43" i="23"/>
  <c r="C17" i="23"/>
  <c r="C21" i="23"/>
  <c r="D40" i="23"/>
  <c r="C13" i="23"/>
  <c r="F25" i="23"/>
  <c r="B19" i="23"/>
  <c r="B17" i="23"/>
  <c r="E54" i="23"/>
  <c r="F9" i="23"/>
  <c r="E40" i="23"/>
  <c r="D6" i="23"/>
  <c r="C38" i="23"/>
  <c r="D23" i="23"/>
  <c r="F47" i="23"/>
  <c r="C16" i="23"/>
  <c r="F48" i="23"/>
  <c r="B5" i="23" l="1"/>
  <c r="B105" i="23" s="1"/>
  <c r="D5" i="23"/>
  <c r="C5" i="23"/>
  <c r="C105" i="23" s="1"/>
  <c r="F5" i="23"/>
  <c r="F105" i="23" s="1"/>
  <c r="G5" i="23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<sst xmlns="http://schemas.openxmlformats.org/spreadsheetml/2006/main" count="7279" uniqueCount="3199">
  <si>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</si>
  <si>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</si>
  <si>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</si>
  <si>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</si>
  <si>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</si>
  <si>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</si>
  <si>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</si>
  <si>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</si>
  <si>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</si>
  <si>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</si>
  <si>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</si>
  <si>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</si>
  <si>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</si>
  <si>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</si>
  <si>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</si>
  <si>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</si>
  <si>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</si>
  <si>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</si>
  <si>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</si>
  <si>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</si>
  <si>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</si>
  <si>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</si>
  <si>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</si>
  <si>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</si>
  <si>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</si>
  <si>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</si>
  <si>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</si>
  <si>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</si>
  <si>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</si>
  <si>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</si>
  <si>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</si>
  <si>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</si>
  <si>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</si>
  <si>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</si>
  <si>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</si>
  <si>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</si>
  <si>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</si>
  <si>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</si>
  <si>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</si>
  <si>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</si>
  <si>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</si>
  <si>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</si>
  <si>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</si>
  <si>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</si>
  <si>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</si>
  <si>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</si>
  <si>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</si>
  <si>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</si>
  <si>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</si>
  <si>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</si>
  <si>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</si>
  <si>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</si>
  <si>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</si>
  <si>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</si>
  <si>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</si>
  <si>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</si>
  <si>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</si>
  <si>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</si>
  <si>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</si>
  <si>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</si>
  <si>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</si>
  <si>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</si>
  <si>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</si>
  <si>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</si>
  <si>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</si>
  <si>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</si>
  <si>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</si>
  <si>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</si>
  <si>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</si>
  <si>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</si>
  <si>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</si>
  <si>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</si>
  <si>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</si>
  <si>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</si>
  <si>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</si>
  <si>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</si>
  <si>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</si>
  <si>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</si>
  <si>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</si>
  <si>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</si>
  <si>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</si>
  <si>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</si>
  <si>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</si>
  <si>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</si>
  <si>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</si>
  <si>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</si>
  <si>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</si>
  <si>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</si>
  <si>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</si>
  <si>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</si>
  <si>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</si>
  <si>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</si>
  <si>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</si>
  <si>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</si>
  <si>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</si>
  <si>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</si>
  <si>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</si>
  <si>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</si>
  <si>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</si>
  <si>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</si>
  <si>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</si>
  <si>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</si>
  <si>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</si>
  <si>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</si>
  <si>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</si>
  <si>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</si>
  <si>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</si>
  <si>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</si>
  <si>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</si>
  <si>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</si>
  <si>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</si>
  <si>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</si>
  <si>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</si>
  <si>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</si>
  <si>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</si>
  <si>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</si>
  <si>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</si>
  <si>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</si>
  <si>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</si>
  <si>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</si>
  <si>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</si>
  <si>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</si>
  <si>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</si>
  <si>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</si>
  <si>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</si>
  <si>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</si>
  <si>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</si>
  <si>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</si>
  <si>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</si>
  <si>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</si>
  <si>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</si>
  <si>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</si>
  <si>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</si>
  <si>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</si>
  <si>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</si>
  <si>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</si>
  <si>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</si>
  <si>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</si>
  <si>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</si>
  <si>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</si>
  <si>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</si>
  <si>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</si>
  <si>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</si>
  <si>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</si>
  <si>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</si>
  <si>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</si>
  <si>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</si>
  <si>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</si>
  <si>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</si>
  <si>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</si>
  <si>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</si>
  <si>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</si>
  <si>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</si>
  <si>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</si>
  <si>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</si>
  <si>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</si>
  <si>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</si>
  <si>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</si>
  <si>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</si>
  <si>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</si>
  <si>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</si>
  <si>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</si>
  <si>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</si>
  <si>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</si>
  <si>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</si>
  <si>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</si>
  <si>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</si>
  <si>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</si>
  <si>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</si>
  <si>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</si>
  <si>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</si>
  <si>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</si>
  <si>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</si>
  <si>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</si>
  <si>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</si>
  <si>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</si>
  <si>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</si>
  <si>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</si>
  <si>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</si>
  <si>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</si>
  <si>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</si>
  <si>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</si>
  <si>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</si>
  <si>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</si>
  <si>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</si>
  <si>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</si>
  <si>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</si>
  <si>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</si>
  <si>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</si>
  <si>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</si>
  <si>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</si>
  <si>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</si>
  <si>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</si>
  <si>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</si>
  <si>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</si>
  <si>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</si>
  <si>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</si>
  <si>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</si>
  <si>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</si>
  <si>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</si>
  <si>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</si>
  <si>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</si>
  <si>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</si>
  <si>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</si>
  <si>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</si>
  <si>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</si>
  <si>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</si>
  <si>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</si>
  <si>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</si>
  <si>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</si>
  <si>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</si>
  <si>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</si>
  <si>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</si>
  <si>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</si>
  <si>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</si>
  <si>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</si>
  <si>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</si>
  <si>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</si>
  <si>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</si>
  <si>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</si>
  <si>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</si>
  <si>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</si>
  <si>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</si>
  <si>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</si>
  <si>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</si>
  <si>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</si>
  <si>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</si>
  <si>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</si>
  <si>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</si>
  <si>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</si>
  <si>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</si>
  <si>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</si>
  <si>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</si>
  <si>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</si>
  <si>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</si>
  <si>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</si>
  <si>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</si>
  <si>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</si>
  <si>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</si>
  <si>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</si>
  <si>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</si>
  <si>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</si>
  <si>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</si>
  <si>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</si>
  <si>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</si>
  <si>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</si>
  <si>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</si>
  <si>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</si>
  <si>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</si>
  <si>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</si>
  <si>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</si>
  <si>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</si>
  <si>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</si>
  <si>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</si>
  <si>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</si>
  <si>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</si>
  <si>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</si>
  <si>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</si>
  <si>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</si>
  <si>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</si>
  <si>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</si>
  <si>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</si>
  <si>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</si>
  <si>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</si>
  <si>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</si>
  <si>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</si>
  <si>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</si>
  <si>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</si>
  <si>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</si>
  <si>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</si>
  <si>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</si>
  <si>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</si>
  <si>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</si>
  <si>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</si>
  <si>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</si>
  <si>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</si>
  <si>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</si>
  <si>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</si>
  <si>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</si>
  <si>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</si>
  <si>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</si>
  <si>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</si>
  <si>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</si>
  <si>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</si>
  <si>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</si>
  <si>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</si>
  <si>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</si>
  <si>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</si>
  <si>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</si>
  <si>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</si>
  <si>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</si>
  <si>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</si>
  <si>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</si>
  <si>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</si>
  <si>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</si>
  <si>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</si>
  <si>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</si>
  <si>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</si>
  <si>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</si>
  <si>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</si>
  <si>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</si>
  <si>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</si>
  <si>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</si>
  <si>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</si>
  <si>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</si>
  <si>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</si>
  <si>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</si>
  <si>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</si>
  <si>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</si>
  <si>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</si>
  <si>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</si>
  <si>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</si>
  <si>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</si>
  <si>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</si>
  <si>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</si>
  <si>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</si>
  <si>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</si>
  <si>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</si>
  <si>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</si>
  <si>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</si>
  <si>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</si>
  <si>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</si>
  <si>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</si>
  <si>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</si>
  <si>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</si>
  <si>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</si>
  <si>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</si>
  <si>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</si>
  <si>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</si>
  <si>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</si>
  <si>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</si>
  <si>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</si>
  <si>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</si>
  <si>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</si>
  <si>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</si>
  <si>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</si>
  <si>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</si>
  <si>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</si>
  <si>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</si>
  <si>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</si>
  <si>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</si>
  <si>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</si>
  <si>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</si>
  <si>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</si>
  <si>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</si>
  <si>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</si>
  <si>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</si>
  <si>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</si>
  <si>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</si>
  <si>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</si>
  <si>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</si>
  <si>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</si>
  <si>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</si>
  <si>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</si>
  <si>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</si>
  <si>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</si>
  <si>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</si>
  <si>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</si>
  <si>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</si>
  <si>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</si>
  <si>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</si>
  <si>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</si>
  <si>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</si>
  <si>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</si>
  <si>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</si>
  <si>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</si>
  <si>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</si>
  <si>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</si>
  <si>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</si>
  <si>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</si>
  <si>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</si>
  <si>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</si>
  <si>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</si>
  <si>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</si>
  <si>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</si>
  <si>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</si>
  <si>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</si>
  <si>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</si>
  <si>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</si>
  <si>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</si>
  <si>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</si>
  <si>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</si>
  <si>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</si>
  <si>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</si>
  <si>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</si>
  <si>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</si>
  <si>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</si>
  <si>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</si>
  <si>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</si>
  <si>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</si>
  <si>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</si>
  <si>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</si>
  <si>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</si>
  <si>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</si>
  <si>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</si>
  <si>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</si>
  <si>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</si>
  <si>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</si>
  <si>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</si>
  <si>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</si>
  <si>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</si>
  <si>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</si>
  <si>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</si>
  <si>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</si>
  <si>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</si>
  <si>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</si>
  <si>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</si>
  <si>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</si>
  <si>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</si>
  <si>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</si>
  <si>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</si>
  <si>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</si>
  <si>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</si>
  <si>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</si>
  <si>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</si>
  <si>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</si>
  <si>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</si>
  <si>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</si>
  <si>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</si>
  <si>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</si>
  <si>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</si>
  <si>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</si>
  <si>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</si>
  <si>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</si>
  <si>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</si>
  <si>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</si>
  <si>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</si>
  <si>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</si>
  <si>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</si>
  <si>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</si>
  <si>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</si>
  <si>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</si>
  <si>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</si>
  <si>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</si>
  <si>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</si>
  <si>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</si>
  <si>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</si>
  <si>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</si>
  <si>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</si>
  <si>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</si>
  <si>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</si>
  <si>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</si>
  <si>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</si>
  <si>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</si>
  <si>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</si>
  <si>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</si>
  <si>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</si>
  <si>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</si>
  <si>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</si>
  <si>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</si>
  <si>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</si>
  <si>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</si>
  <si>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</si>
  <si>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</si>
  <si>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</si>
  <si>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</si>
  <si>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</si>
  <si>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</si>
  <si>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</si>
  <si>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</si>
  <si>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</si>
  <si>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</si>
  <si>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</si>
  <si>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</si>
  <si>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</si>
  <si>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</si>
  <si>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</si>
  <si>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</si>
  <si>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</si>
  <si>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</si>
  <si>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</si>
  <si>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</si>
  <si>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</si>
  <si>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</si>
  <si>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</si>
  <si>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</si>
  <si>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</si>
  <si>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</si>
  <si>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</si>
  <si>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</si>
  <si>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</si>
  <si>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</si>
  <si>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</si>
  <si>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</si>
  <si>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</si>
  <si>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</si>
  <si>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</si>
  <si>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</si>
  <si>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</si>
  <si>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</si>
  <si>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</si>
  <si>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</si>
  <si>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</si>
  <si>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</si>
  <si>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</si>
  <si>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</si>
  <si>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</si>
  <si>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</si>
  <si>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</si>
  <si>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</si>
  <si>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</si>
  <si>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</si>
  <si>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</si>
  <si>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</si>
  <si>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</si>
  <si>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</si>
  <si>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</si>
  <si>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</si>
  <si>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</si>
  <si>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</si>
  <si>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</si>
  <si>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</si>
  <si>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</si>
  <si>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</si>
  <si>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</si>
  <si>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</si>
  <si>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</si>
  <si>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</si>
  <si>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</si>
  <si>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</si>
  <si>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</si>
  <si>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</si>
  <si>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</si>
  <si>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</si>
  <si>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</si>
  <si>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</si>
  <si>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</si>
  <si>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</si>
  <si>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</si>
  <si>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</si>
  <si>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</si>
  <si>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</si>
  <si>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</si>
  <si>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</si>
  <si>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</si>
  <si>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</si>
  <si>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</si>
  <si>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</si>
  <si>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</si>
  <si>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</si>
  <si>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</si>
  <si>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</si>
  <si>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</si>
  <si>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</si>
  <si>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</si>
  <si>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</si>
  <si>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</si>
  <si>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</si>
  <si>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</si>
  <si>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</si>
  <si>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</si>
  <si>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</si>
  <si>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</si>
  <si>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</si>
  <si>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</si>
  <si>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</si>
  <si>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</si>
  <si>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</si>
  <si>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</si>
  <si>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</si>
  <si>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</si>
  <si>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</si>
  <si>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</si>
  <si>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</si>
  <si>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</si>
  <si>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</si>
  <si>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</si>
  <si>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</si>
  <si>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</si>
  <si>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</si>
  <si>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</si>
  <si>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</si>
  <si>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</si>
  <si>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</si>
  <si>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</si>
  <si>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</si>
  <si>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</si>
  <si>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</si>
  <si>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</si>
  <si>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</si>
  <si>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</si>
  <si>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</si>
  <si>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</si>
  <si>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</si>
  <si>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</si>
  <si>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</si>
  <si>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</si>
  <si>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</si>
  <si>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</si>
  <si>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</si>
  <si>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</si>
  <si>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</si>
  <si>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</si>
  <si>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</si>
  <si>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</si>
  <si>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</si>
  <si>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</si>
  <si>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</si>
  <si>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</si>
  <si>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</si>
  <si>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</si>
  <si>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</si>
  <si>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</si>
  <si>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</si>
  <si>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</si>
  <si>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</si>
  <si>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</si>
  <si>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</si>
  <si>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</si>
  <si>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</si>
  <si>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</si>
  <si>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</si>
  <si>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</si>
  <si>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</si>
  <si>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</si>
  <si>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</si>
  <si>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</si>
  <si>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</si>
  <si>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</si>
  <si>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</si>
  <si>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</si>
  <si>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</si>
  <si>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</si>
  <si>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</si>
  <si>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</si>
  <si>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</si>
  <si>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</si>
  <si>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</si>
  <si>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</si>
  <si>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</si>
  <si>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</si>
  <si>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</si>
  <si>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</si>
  <si>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</si>
  <si>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</si>
  <si>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</si>
  <si>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</si>
  <si>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</si>
  <si>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</si>
  <si>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</si>
  <si>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</si>
  <si>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</si>
  <si>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</si>
  <si>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</si>
  <si>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</si>
  <si>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</si>
  <si>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</si>
  <si>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</si>
  <si>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</si>
  <si>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</si>
  <si>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</si>
  <si>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</si>
  <si>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</si>
  <si>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</si>
  <si>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</si>
  <si>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</si>
  <si>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</si>
  <si>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</si>
  <si>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</si>
  <si>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</si>
  <si>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</si>
  <si>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</si>
  <si>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</si>
  <si>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</si>
  <si>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</si>
  <si>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</si>
  <si>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</si>
  <si>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</si>
  <si>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</si>
  <si>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</si>
  <si>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</si>
  <si>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</si>
  <si>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</si>
  <si>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</si>
  <si>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</si>
  <si>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</si>
  <si>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</si>
  <si>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</si>
  <si>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</si>
  <si>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</si>
  <si>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</si>
  <si>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</si>
  <si>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</si>
  <si>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</si>
  <si>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</si>
  <si>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</si>
  <si>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</si>
  <si>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</si>
  <si>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</si>
  <si>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</si>
  <si>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</si>
  <si>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</si>
  <si>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</si>
  <si>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</si>
  <si>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</si>
  <si>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</si>
  <si>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</si>
  <si>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</si>
  <si>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</si>
  <si>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</si>
  <si>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</si>
  <si>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</si>
  <si>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</si>
  <si>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</si>
  <si>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</si>
  <si>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</si>
  <si>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</si>
  <si>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</si>
  <si>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</si>
  <si>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</si>
  <si>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</si>
  <si>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</si>
  <si>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</si>
  <si>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</si>
  <si>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</si>
  <si>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</si>
  <si>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</si>
  <si>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</si>
  <si>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</si>
  <si>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</si>
  <si>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</si>
  <si>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</si>
  <si>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</si>
  <si>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</si>
  <si>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</si>
  <si>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</si>
  <si>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</si>
  <si>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</si>
  <si>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</si>
  <si>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</si>
  <si>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</si>
  <si>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</si>
  <si>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</si>
  <si>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</si>
  <si>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</si>
  <si>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</si>
  <si>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</si>
  <si>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</si>
  <si>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</si>
  <si>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</si>
  <si>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</si>
  <si>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</si>
  <si>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</si>
  <si>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</si>
  <si>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</si>
  <si>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</si>
  <si>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</si>
  <si>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</si>
  <si>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</si>
  <si>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</si>
  <si>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</si>
  <si>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</si>
  <si>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</si>
  <si>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</si>
  <si>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</si>
  <si>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</si>
  <si>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</si>
  <si>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</si>
  <si>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</si>
  <si>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</si>
  <si>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</si>
  <si>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</si>
  <si>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</si>
  <si>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</si>
  <si>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</si>
  <si>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</si>
  <si>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</si>
  <si>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</si>
  <si>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</si>
  <si>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</si>
  <si>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</si>
  <si>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</si>
  <si>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</si>
  <si>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</si>
  <si>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</si>
  <si>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</si>
  <si>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</si>
  <si>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</si>
  <si>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</si>
  <si>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</si>
  <si>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</si>
  <si>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</si>
  <si>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</si>
  <si>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</si>
  <si>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</si>
  <si>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</si>
  <si>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</si>
  <si>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</si>
  <si>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</si>
  <si>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</si>
  <si>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</si>
  <si>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</si>
  <si>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</si>
  <si>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</si>
  <si>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</si>
  <si>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</si>
  <si>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</si>
  <si>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</si>
  <si>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</si>
  <si>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</si>
  <si>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</si>
  <si>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</si>
  <si>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</si>
  <si>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</si>
  <si>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</si>
  <si>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</si>
  <si>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</si>
  <si>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</si>
  <si>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</si>
  <si>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</si>
  <si>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</si>
  <si>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</si>
  <si>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</si>
  <si>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</si>
  <si>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</si>
  <si>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</si>
  <si>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</si>
  <si>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</si>
  <si>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</si>
  <si>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</si>
  <si>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</si>
  <si>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</si>
  <si>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</si>
  <si>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</si>
  <si>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</si>
  <si>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</si>
  <si>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</si>
  <si>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</si>
  <si>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</si>
  <si>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</si>
  <si>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</si>
  <si>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</si>
  <si>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</si>
  <si>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</si>
  <si>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</si>
  <si>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</si>
  <si>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</si>
  <si>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</si>
  <si>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</si>
  <si>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</si>
  <si>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</si>
  <si>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</si>
  <si>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</si>
  <si>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</si>
  <si>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</si>
  <si>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</si>
  <si>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</si>
  <si>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</si>
  <si>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</si>
  <si>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</si>
  <si>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</si>
  <si>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</si>
  <si>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</si>
  <si>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</si>
  <si>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</si>
  <si>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</si>
  <si>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</si>
  <si>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</si>
  <si>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</si>
  <si>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</si>
  <si>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</si>
  <si>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</si>
  <si>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</si>
  <si>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</si>
  <si>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</si>
  <si>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</si>
  <si>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</si>
  <si>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</si>
  <si>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</si>
  <si>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</si>
  <si>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</si>
  <si>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</si>
  <si>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</si>
  <si>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</si>
  <si>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</si>
  <si>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</si>
  <si>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</si>
  <si>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</si>
  <si>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</si>
  <si>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</si>
  <si>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</si>
  <si>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</si>
  <si>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</si>
  <si>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</si>
  <si>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</si>
  <si>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</si>
  <si>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</si>
  <si>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</si>
  <si>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</si>
  <si>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</si>
  <si>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</si>
  <si>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</si>
  <si>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</si>
  <si>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</si>
  <si>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</si>
  <si>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</si>
  <si>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</si>
  <si>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</si>
  <si>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</si>
  <si>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</si>
  <si>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</si>
  <si>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</si>
  <si>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</si>
  <si>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</si>
  <si>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</si>
  <si>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</si>
  <si>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</si>
  <si>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</si>
  <si>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</si>
  <si>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</si>
  <si>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</si>
  <si>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</si>
  <si>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</si>
  <si>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</si>
  <si>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</si>
  <si>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</si>
  <si>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</si>
  <si>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</si>
  <si>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</si>
  <si>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</si>
  <si>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</si>
  <si>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</si>
  <si>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</si>
  <si>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</si>
  <si>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</si>
  <si>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</si>
  <si>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</si>
  <si>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</si>
  <si>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</si>
  <si>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</si>
  <si>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</si>
  <si>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</si>
  <si>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</si>
  <si>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</si>
  <si>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</si>
  <si>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</si>
  <si>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</si>
  <si>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</si>
  <si>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</si>
  <si>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</si>
  <si>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</si>
  <si>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</si>
  <si>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</si>
  <si>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</si>
  <si>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</si>
  <si>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</si>
  <si>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</si>
  <si>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</si>
  <si>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</si>
  <si>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</si>
  <si>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</si>
  <si>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</si>
  <si>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</si>
  <si>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</si>
  <si>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</si>
  <si>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</si>
  <si>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</si>
  <si>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</si>
  <si>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</si>
  <si>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</si>
  <si>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</si>
  <si>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</si>
  <si>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</si>
  <si>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</si>
  <si>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</si>
  <si>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</si>
  <si>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</si>
  <si>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</si>
  <si>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</si>
  <si>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</si>
  <si>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</si>
  <si>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</si>
  <si>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</si>
  <si>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</si>
  <si>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</si>
  <si>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</si>
  <si>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</si>
  <si>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</si>
  <si>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</si>
  <si>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</si>
  <si>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</si>
  <si>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</si>
  <si>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</si>
  <si>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</si>
  <si>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</si>
  <si>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</si>
  <si>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</si>
  <si>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</si>
  <si>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</si>
  <si>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</si>
  <si>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</si>
  <si>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</si>
  <si>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</si>
  <si>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</si>
  <si>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</si>
  <si>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</si>
  <si>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</si>
  <si>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</si>
  <si>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</si>
  <si>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</si>
  <si>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</si>
  <si>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</si>
  <si>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</si>
  <si>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</si>
  <si>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</si>
  <si>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</si>
  <si>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</si>
  <si>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</si>
  <si>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</si>
  <si>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</si>
  <si>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</si>
  <si>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</si>
  <si>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</si>
  <si>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</si>
  <si>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</si>
  <si>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</si>
  <si>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</si>
  <si>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</si>
  <si>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</si>
  <si>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</si>
  <si>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</si>
  <si>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</si>
  <si>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</si>
  <si>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</si>
  <si>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</si>
  <si>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</si>
  <si>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</si>
  <si>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</si>
  <si>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</si>
  <si>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</si>
  <si>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</si>
  <si>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</si>
  <si>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</si>
  <si>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</si>
  <si>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</si>
  <si>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</si>
  <si>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</si>
  <si>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</si>
  <si>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</si>
  <si>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</si>
  <si>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</si>
  <si>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</si>
  <si>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</si>
  <si>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</si>
  <si>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</si>
  <si>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</si>
  <si>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</si>
  <si>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</si>
  <si>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</si>
  <si>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</si>
  <si>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</si>
  <si>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</si>
  <si>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</si>
  <si>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</si>
  <si>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</si>
  <si>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</si>
  <si>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</si>
  <si>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</si>
  <si>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</si>
  <si>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</si>
  <si>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</si>
  <si>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</si>
  <si>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</si>
  <si>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</si>
  <si>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</si>
  <si>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</si>
  <si>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</si>
  <si>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</si>
  <si>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</si>
  <si>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</si>
  <si>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</si>
  <si>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</si>
  <si>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</si>
  <si>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</si>
  <si>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</si>
  <si>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</si>
  <si>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</si>
  <si>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</si>
  <si>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</si>
  <si>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</si>
  <si>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</si>
  <si>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</si>
  <si>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</si>
  <si>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</si>
  <si>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</si>
  <si>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</si>
  <si>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</si>
  <si>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</si>
  <si>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</si>
  <si>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</si>
  <si>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</si>
  <si>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</si>
  <si>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</si>
  <si>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</si>
  <si>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</si>
  <si>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</si>
  <si>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</si>
  <si>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</si>
  <si>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</si>
  <si>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</si>
  <si>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</si>
  <si>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</si>
  <si>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</si>
  <si>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</si>
  <si>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</si>
  <si>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</si>
  <si>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</si>
  <si>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</si>
  <si>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</si>
  <si>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</si>
  <si>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</si>
  <si>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</si>
  <si>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</si>
  <si>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</si>
  <si>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</si>
  <si>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</si>
  <si>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</si>
  <si>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</si>
  <si>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</si>
  <si>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</si>
  <si>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</si>
  <si>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</si>
  <si>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</si>
  <si>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</si>
  <si>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</si>
  <si>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</si>
  <si>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</si>
  <si>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</si>
  <si>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</si>
  <si>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</si>
  <si>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</si>
  <si>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</si>
  <si>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</si>
  <si>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</si>
  <si>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</si>
  <si>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</si>
  <si>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</si>
  <si>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</si>
  <si>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</si>
  <si>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</si>
  <si>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</si>
  <si>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</si>
  <si>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</si>
  <si>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</si>
  <si>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</si>
  <si>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</si>
  <si>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</si>
  <si>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</si>
  <si>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</si>
  <si>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</si>
  <si>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</si>
  <si>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</si>
  <si>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</si>
  <si>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</si>
  <si>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</si>
  <si>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</si>
  <si>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</si>
  <si>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</si>
  <si>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</si>
  <si>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</si>
  <si>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</si>
  <si>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</si>
  <si>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</si>
  <si>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</si>
  <si>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</si>
  <si>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</si>
  <si>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</si>
  <si>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</si>
  <si>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</si>
  <si>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</si>
  <si>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</si>
  <si>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</si>
  <si>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</si>
  <si>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</si>
  <si>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</si>
  <si>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</si>
  <si>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</si>
  <si>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</si>
  <si>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</si>
  <si>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</si>
  <si>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</si>
  <si>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</si>
  <si>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</si>
  <si>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</si>
  <si>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</si>
  <si>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</si>
  <si>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</si>
  <si>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</si>
  <si>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</si>
  <si>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</si>
  <si>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</si>
  <si>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</si>
  <si>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</si>
  <si>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</si>
  <si>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</si>
  <si>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</si>
  <si>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</si>
  <si>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</si>
  <si>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</si>
  <si>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</si>
  <si>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</si>
  <si>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</si>
  <si>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</si>
  <si>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</si>
  <si>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</si>
  <si>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</si>
  <si>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</si>
  <si>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</si>
  <si>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</si>
  <si>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</si>
  <si>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</si>
  <si>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</si>
  <si>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</si>
  <si>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</si>
  <si>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</si>
  <si>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</si>
  <si>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</si>
  <si>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</si>
  <si>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</si>
  <si>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</si>
  <si>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</si>
  <si>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</si>
  <si>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</si>
  <si>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</si>
  <si>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</si>
  <si>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</si>
  <si>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</si>
  <si>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</si>
  <si>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</si>
  <si>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</si>
  <si>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</si>
  <si>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</si>
  <si>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</si>
  <si>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</si>
  <si>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</si>
  <si>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</si>
  <si>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</si>
  <si>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</si>
  <si>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</si>
  <si>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</si>
  <si>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</si>
  <si>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</si>
  <si>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</si>
  <si>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</si>
  <si>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</si>
  <si>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</si>
  <si>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</si>
  <si>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</si>
  <si>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</si>
  <si>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</si>
  <si>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</si>
  <si>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</si>
  <si>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</si>
  <si>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</si>
  <si>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</si>
  <si>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</si>
  <si>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</si>
  <si>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</si>
  <si>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</si>
  <si>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</si>
  <si>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</si>
  <si>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</si>
  <si>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</si>
  <si>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</si>
  <si>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</si>
  <si>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</si>
  <si>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</si>
  <si>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</si>
  <si>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</si>
  <si>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</si>
  <si>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</si>
  <si>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</si>
  <si>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</si>
  <si>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</si>
  <si>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</si>
  <si>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</si>
  <si>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</si>
  <si>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</si>
  <si>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</si>
  <si>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</si>
  <si>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</si>
  <si>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</si>
  <si>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</si>
  <si>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</si>
  <si>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</si>
  <si>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</si>
  <si>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</si>
  <si>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</si>
  <si>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</si>
  <si>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</si>
  <si>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</si>
  <si>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</si>
  <si>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</si>
  <si>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</si>
  <si>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</si>
  <si>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</si>
  <si>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</si>
  <si>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</si>
  <si>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</si>
  <si>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</si>
  <si>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</si>
  <si>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</si>
  <si>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</si>
  <si>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</si>
  <si>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</si>
  <si>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</si>
  <si>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</si>
  <si>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</si>
  <si>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</si>
  <si>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</si>
  <si>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</si>
  <si>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</si>
  <si>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</si>
  <si>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</si>
  <si>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</si>
  <si>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</si>
  <si>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</si>
  <si>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</si>
  <si>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</si>
  <si>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</si>
  <si>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</si>
  <si>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</si>
  <si>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</si>
  <si>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</si>
  <si>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</si>
  <si>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</si>
  <si>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</si>
  <si>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</si>
  <si>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</si>
  <si>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</si>
  <si>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</si>
  <si>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</si>
  <si>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</si>
  <si>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</si>
  <si>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</si>
  <si>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</si>
  <si>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</si>
  <si>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</si>
  <si>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</si>
  <si>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</si>
  <si>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</si>
  <si>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</si>
  <si>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</si>
  <si>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</si>
  <si>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</si>
  <si>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</si>
  <si>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</si>
  <si>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</si>
  <si>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</si>
  <si>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</si>
  <si>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</si>
  <si>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</si>
  <si>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</si>
  <si>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</si>
  <si>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</si>
  <si>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</si>
  <si>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</si>
  <si>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</si>
  <si>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</si>
  <si>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</si>
  <si>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</si>
  <si>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</si>
  <si>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</si>
  <si>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</si>
  <si>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</si>
  <si>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</si>
  <si>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</si>
  <si>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</si>
  <si>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</si>
  <si>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</si>
  <si>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</si>
  <si>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</si>
  <si>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</si>
  <si>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</si>
  <si>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</si>
  <si>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</si>
  <si>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</si>
  <si>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</si>
  <si>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</si>
  <si>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</si>
  <si>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</si>
  <si>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</si>
  <si>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</si>
  <si>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</si>
  <si>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</si>
  <si>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</si>
  <si>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</si>
  <si>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</si>
  <si>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</si>
  <si>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</si>
  <si>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</si>
  <si>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</si>
  <si>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</si>
  <si>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</si>
  <si>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</si>
  <si>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</si>
  <si>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</si>
  <si>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</si>
  <si>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</si>
  <si>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</si>
  <si>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</si>
  <si>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</si>
  <si>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</si>
  <si>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</si>
  <si>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</si>
  <si>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</si>
  <si>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</si>
  <si>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</si>
  <si>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</si>
  <si>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</si>
  <si>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</si>
  <si>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</si>
  <si>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</si>
  <si>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</si>
  <si>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</si>
  <si>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</si>
  <si>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</si>
  <si>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</si>
  <si>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</si>
  <si>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</si>
  <si>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</si>
  <si>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</si>
  <si>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</si>
  <si>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</si>
  <si>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</si>
  <si>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</si>
  <si>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</si>
  <si>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</si>
  <si>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</si>
  <si>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</si>
  <si>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</si>
  <si>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</si>
  <si>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</si>
  <si>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</si>
  <si>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</si>
  <si>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</si>
  <si>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</si>
  <si>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</si>
  <si>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</si>
  <si>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</si>
  <si>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</si>
  <si>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</si>
  <si>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</si>
  <si>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</si>
  <si>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</si>
  <si>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</si>
  <si>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</si>
  <si>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</si>
  <si>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</si>
  <si>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</si>
  <si>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</si>
  <si>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</si>
  <si>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</si>
  <si>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</si>
  <si>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</si>
  <si>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</si>
  <si>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</si>
  <si>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</si>
  <si>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</si>
  <si>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</si>
  <si>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</si>
  <si>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</si>
  <si>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</si>
  <si>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</si>
  <si>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</si>
  <si>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</si>
  <si>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</si>
  <si>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</si>
  <si>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</si>
  <si>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</si>
  <si>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</si>
  <si>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</si>
  <si>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</si>
  <si>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</si>
  <si>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</si>
  <si>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</si>
  <si>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</si>
  <si>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</si>
  <si>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</si>
  <si>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</si>
  <si>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</si>
  <si>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</si>
  <si>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</si>
  <si>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</si>
  <si>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</si>
  <si>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</si>
  <si>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</si>
  <si>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</si>
  <si>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</si>
  <si>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</si>
  <si>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</si>
  <si>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</si>
  <si>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</si>
  <si>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</si>
  <si>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</si>
  <si>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</si>
  <si>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</si>
  <si>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</si>
  <si>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</si>
  <si>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</si>
  <si>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</si>
  <si>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</si>
  <si>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</si>
  <si>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</si>
  <si>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</si>
  <si>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</si>
  <si>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</si>
  <si>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</si>
  <si>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</si>
  <si>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</si>
  <si>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</si>
  <si>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</si>
  <si>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</si>
  <si>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</si>
  <si>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</si>
  <si>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</si>
  <si>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</si>
  <si>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</si>
  <si>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</si>
  <si>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</si>
  <si>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</si>
  <si>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</si>
  <si>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</si>
  <si>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</si>
  <si>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</si>
  <si>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</si>
  <si>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</si>
  <si>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</si>
  <si>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</si>
  <si>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</si>
  <si>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</si>
  <si>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</si>
  <si>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</si>
  <si>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</si>
  <si>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</si>
  <si>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</si>
  <si>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</si>
  <si>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</si>
  <si>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</si>
  <si>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</si>
  <si>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</si>
  <si>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</si>
  <si>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</si>
  <si>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</si>
  <si>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</si>
  <si>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</si>
  <si>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</si>
  <si>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</si>
  <si>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</si>
  <si>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</si>
  <si>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</si>
  <si>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</si>
  <si>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</si>
  <si>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</si>
  <si>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</si>
  <si>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</si>
  <si>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</si>
  <si>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</si>
  <si>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</si>
  <si>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</si>
  <si>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</si>
  <si>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</si>
  <si>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</si>
  <si>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</si>
  <si>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</si>
  <si>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</si>
  <si>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</si>
  <si>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</si>
  <si>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</si>
  <si>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</si>
  <si>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</si>
  <si>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</si>
  <si>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</si>
  <si>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</si>
  <si>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</si>
  <si>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</si>
  <si>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</si>
  <si>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</si>
  <si>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</si>
  <si>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</si>
  <si>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</si>
  <si>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</si>
  <si>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</si>
  <si>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</si>
  <si>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</si>
  <si>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</si>
  <si>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</si>
  <si>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</si>
  <si>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</si>
  <si>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</si>
  <si>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</si>
  <si>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</si>
  <si>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</si>
  <si>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</si>
  <si>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</si>
  <si>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</si>
  <si>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</si>
  <si>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</si>
  <si>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</si>
  <si>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</si>
  <si>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</si>
  <si>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</si>
  <si>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</si>
  <si>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</si>
  <si>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</si>
  <si>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</si>
  <si>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</si>
  <si>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</si>
  <si>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</si>
  <si>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</si>
  <si>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</si>
  <si>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</si>
  <si>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</si>
  <si>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</si>
  <si>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</si>
  <si>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</si>
  <si>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</si>
  <si>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</si>
  <si>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</si>
  <si>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</si>
  <si>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</si>
  <si>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</si>
  <si>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</si>
  <si>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</si>
  <si>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</si>
  <si>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</si>
  <si>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</si>
  <si>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</si>
  <si>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</si>
  <si>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</si>
  <si>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</si>
  <si>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</si>
  <si>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</si>
  <si>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</si>
  <si>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</si>
  <si>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</si>
  <si>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</si>
  <si>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</si>
  <si>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</si>
  <si>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</si>
  <si>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</si>
  <si>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</si>
  <si>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</si>
  <si>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</si>
  <si>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</si>
  <si>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</si>
  <si>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</si>
  <si>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</si>
  <si>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</si>
  <si>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</si>
  <si>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</si>
  <si>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</si>
  <si>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</si>
  <si>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</si>
  <si>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</si>
  <si>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</si>
  <si>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</si>
  <si>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</si>
  <si>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</si>
  <si>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</si>
  <si>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</si>
  <si>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</si>
  <si>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</si>
  <si>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</si>
  <si>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</si>
  <si>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</si>
  <si>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</si>
  <si>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</si>
  <si>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</si>
  <si>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</si>
  <si>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</si>
  <si>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</si>
  <si>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</si>
  <si>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</si>
  <si>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</si>
  <si>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</si>
  <si>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</si>
  <si>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</si>
  <si>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</si>
  <si>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</si>
  <si>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</si>
  <si>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</si>
  <si>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</si>
  <si>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</si>
  <si>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</si>
  <si>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</si>
  <si>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</si>
  <si>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</si>
  <si>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</si>
  <si>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</si>
  <si>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</si>
  <si>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</si>
  <si>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</si>
  <si>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</si>
  <si>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</si>
  <si>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</si>
  <si>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</si>
  <si>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</si>
  <si>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</si>
  <si>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</si>
  <si>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</si>
  <si>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</si>
  <si>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</si>
  <si>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</si>
  <si>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</si>
  <si>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</si>
  <si>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</si>
  <si>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</si>
  <si>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</si>
  <si>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</si>
  <si>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</si>
  <si>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</si>
  <si>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</si>
  <si>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</si>
  <si>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</si>
  <si>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</si>
  <si>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</si>
  <si>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</si>
  <si>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</si>
  <si>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</si>
  <si>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</si>
  <si>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</si>
  <si>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</si>
  <si>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</si>
  <si>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</si>
  <si>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</si>
  <si>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</si>
  <si>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</si>
  <si>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</si>
  <si>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</si>
  <si>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</si>
  <si>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</si>
  <si>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</si>
  <si>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</si>
  <si>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</si>
  <si>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</si>
  <si>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</si>
  <si>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</si>
  <si>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</si>
  <si>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</si>
  <si>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</si>
  <si>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</si>
  <si>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</si>
  <si>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</si>
  <si>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</si>
  <si>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</si>
  <si>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</si>
  <si>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</si>
  <si>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</si>
  <si>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</si>
  <si>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</si>
  <si>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</si>
  <si>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</si>
  <si>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</si>
  <si>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</si>
  <si>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</si>
  <si>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</si>
  <si>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</si>
  <si>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</si>
  <si>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</si>
  <si>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</si>
  <si>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</si>
  <si>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</si>
  <si>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</si>
  <si>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</si>
  <si>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</si>
  <si>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</si>
  <si>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</si>
  <si>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</si>
  <si>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</si>
  <si>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</si>
  <si>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</si>
  <si>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</si>
  <si>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</si>
  <si>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</si>
  <si>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</si>
  <si>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</si>
  <si>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</si>
  <si>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</si>
  <si>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</si>
  <si>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</si>
  <si>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</si>
  <si>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</si>
  <si>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</si>
  <si>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</si>
  <si>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</si>
  <si>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</si>
  <si>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</si>
  <si>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</si>
  <si>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</si>
  <si>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</si>
  <si>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</si>
  <si>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</si>
  <si>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</si>
  <si>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</si>
  <si>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</si>
  <si>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</si>
  <si>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</si>
  <si>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</si>
  <si>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</si>
  <si>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</si>
  <si>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</si>
  <si>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</si>
  <si>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</si>
  <si>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</si>
  <si>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</si>
  <si>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</si>
  <si>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</si>
  <si>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</si>
  <si>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</si>
  <si>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</si>
  <si>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</si>
  <si>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</si>
  <si>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</si>
  <si>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</si>
  <si>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</si>
  <si>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</si>
  <si>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</si>
  <si>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</si>
  <si>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</si>
  <si>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</si>
  <si>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</si>
  <si>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</si>
  <si>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</si>
  <si>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</si>
  <si>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</si>
  <si>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</si>
  <si>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</si>
  <si>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</si>
  <si>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</si>
  <si>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</si>
  <si>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</si>
  <si>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</si>
  <si>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</si>
  <si>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</si>
  <si>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</si>
  <si>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</si>
  <si>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</si>
  <si>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</si>
  <si>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</si>
  <si>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</si>
  <si>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</si>
  <si>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</si>
  <si>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</si>
  <si>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</si>
  <si>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</si>
  <si>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</si>
  <si>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</si>
  <si>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</si>
  <si>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</si>
  <si>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</si>
  <si>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</si>
  <si>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</si>
  <si>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</si>
  <si>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</si>
  <si>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</si>
  <si>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</si>
  <si>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</si>
  <si>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</si>
  <si>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</si>
  <si>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</si>
  <si>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</si>
  <si>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</si>
  <si>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</si>
  <si>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</si>
  <si>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</si>
  <si>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</si>
  <si>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</si>
  <si>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</si>
  <si>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</si>
  <si>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</si>
  <si>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</si>
  <si>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</si>
  <si>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</si>
  <si>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</si>
  <si>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</si>
  <si>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</si>
  <si>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</si>
  <si>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</si>
  <si>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</si>
  <si>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</si>
  <si>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</si>
  <si>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</si>
  <si>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</si>
  <si>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</si>
  <si>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</si>
  <si>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</si>
  <si>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</si>
  <si>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</si>
  <si>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</si>
  <si>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</si>
  <si>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</si>
  <si>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</si>
  <si>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</si>
  <si>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</si>
  <si>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</si>
  <si>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</si>
  <si>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</si>
  <si>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</si>
  <si>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</si>
  <si>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</si>
  <si>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</si>
  <si>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</si>
  <si>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</si>
  <si>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</si>
  <si>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</si>
  <si>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</si>
  <si>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</si>
  <si>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</si>
  <si>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</si>
  <si>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</si>
  <si>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</si>
  <si>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</si>
  <si>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</si>
  <si>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</si>
  <si>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</si>
  <si>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</si>
  <si>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</si>
  <si>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</si>
  <si>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</si>
  <si>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</si>
  <si>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</si>
  <si>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</si>
  <si>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</si>
  <si>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</si>
  <si>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</si>
  <si>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</si>
  <si>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</si>
  <si>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</si>
  <si>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</si>
  <si>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</si>
  <si>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</si>
  <si>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</si>
  <si>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</si>
  <si>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</si>
  <si>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</si>
  <si>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</si>
  <si>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</si>
  <si>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</si>
  <si>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</si>
  <si>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</si>
  <si>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</si>
  <si>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</si>
  <si>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</si>
  <si>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</si>
  <si>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</si>
  <si>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</si>
  <si>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</si>
  <si>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</si>
  <si>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</si>
  <si>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</si>
  <si>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</si>
  <si>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</si>
  <si>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</si>
  <si>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</si>
  <si>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</si>
  <si>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</si>
  <si>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</si>
  <si>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</si>
  <si>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</si>
  <si>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</si>
  <si>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</si>
  <si>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</si>
  <si>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</si>
  <si>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</si>
  <si>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</si>
  <si>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</si>
  <si>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</si>
  <si>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</si>
  <si>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</si>
  <si>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</si>
  <si>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</si>
  <si>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</si>
  <si>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</si>
  <si>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</si>
  <si>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</si>
  <si>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</si>
  <si>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</si>
  <si>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</si>
  <si>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</si>
  <si>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</si>
  <si>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</si>
  <si>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</si>
  <si>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</si>
  <si>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</si>
  <si>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</si>
  <si>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</si>
  <si>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</si>
  <si>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</si>
  <si>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</si>
  <si>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</si>
  <si>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</si>
  <si>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</si>
  <si>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</si>
  <si>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</si>
  <si>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</si>
  <si>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</si>
  <si>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</si>
  <si>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</si>
  <si>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</si>
  <si>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</si>
  <si>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</si>
  <si>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</si>
  <si>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</si>
  <si>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</si>
  <si>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</si>
  <si>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</si>
  <si>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</si>
  <si>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</si>
  <si>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</si>
  <si>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</si>
  <si>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</si>
  <si>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</si>
  <si>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</si>
  <si>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</si>
  <si>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</si>
  <si>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</si>
  <si>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</si>
  <si>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</si>
  <si>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</si>
  <si>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</si>
  <si>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</si>
  <si>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</si>
  <si>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</si>
  <si>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</si>
  <si>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</si>
  <si>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</si>
  <si>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</si>
  <si>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</si>
  <si>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</si>
  <si>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</si>
  <si>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</si>
  <si>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</si>
  <si>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</si>
  <si>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</si>
  <si>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</si>
  <si>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</si>
  <si>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</si>
  <si>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</si>
  <si>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</si>
  <si>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</si>
  <si>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</si>
  <si>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</si>
  <si>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</si>
  <si>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</si>
  <si>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</si>
  <si>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</si>
  <si>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</si>
  <si>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</si>
  <si>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</si>
  <si>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</si>
  <si>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</si>
  <si>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</si>
  <si>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</si>
  <si>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</si>
  <si>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</si>
  <si>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</si>
  <si>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</si>
  <si>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</si>
  <si>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</si>
  <si>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</si>
  <si>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</si>
  <si>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</si>
  <si>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</si>
  <si>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</si>
  <si>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</si>
  <si>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</si>
  <si>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</si>
  <si>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</si>
  <si>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</si>
  <si>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</si>
  <si>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</si>
  <si>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</si>
  <si>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</si>
  <si>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</si>
  <si>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</si>
  <si>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</si>
  <si>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</si>
  <si>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</si>
  <si>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</si>
  <si>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</si>
  <si>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</si>
  <si>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</si>
  <si>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</si>
  <si>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</si>
  <si>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</si>
  <si>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</si>
  <si>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</si>
  <si>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</si>
  <si>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</si>
  <si>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</si>
  <si>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</si>
  <si>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</si>
  <si>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</si>
  <si>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</si>
  <si>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</si>
  <si>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</si>
  <si>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</si>
  <si>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</si>
  <si>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</si>
  <si>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</si>
  <si>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</si>
  <si>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</si>
  <si>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</si>
  <si>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</si>
  <si>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</si>
  <si>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</si>
  <si>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</si>
  <si>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</si>
  <si>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</si>
  <si>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</si>
  <si>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</si>
  <si>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</si>
  <si>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</si>
  <si>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</si>
  <si>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</si>
  <si>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</si>
  <si>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</si>
  <si>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</si>
  <si>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</si>
  <si>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</si>
  <si>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</si>
  <si>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</si>
  <si>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</si>
  <si>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</si>
  <si>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</si>
  <si>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</si>
  <si>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</si>
  <si>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</si>
  <si>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</si>
  <si>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</si>
  <si>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</si>
  <si>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</si>
  <si>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</si>
  <si>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</si>
  <si>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</si>
  <si>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</si>
  <si>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</si>
  <si>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</si>
  <si>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</si>
  <si>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</si>
  <si>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</si>
  <si>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</si>
  <si>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</si>
  <si>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</si>
  <si>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</si>
  <si>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</si>
  <si>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</si>
  <si>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</si>
  <si>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</si>
  <si>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</si>
  <si>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</si>
  <si>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</si>
  <si>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</si>
  <si>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</si>
  <si>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</si>
  <si>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</si>
  <si>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</si>
  <si>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</si>
  <si>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</si>
  <si>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</si>
  <si>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</si>
  <si>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</si>
  <si>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</si>
  <si>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</si>
  <si>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</si>
  <si>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</si>
  <si>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</si>
  <si>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</si>
  <si>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</si>
  <si>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</si>
  <si>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</si>
  <si>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</si>
  <si>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</si>
  <si>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</si>
  <si>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</si>
  <si>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</si>
  <si>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</si>
  <si>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</si>
  <si>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</si>
  <si>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</si>
  <si>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</si>
  <si>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</si>
  <si>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</si>
  <si>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</si>
  <si>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</si>
  <si>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</si>
  <si>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</si>
  <si>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</si>
  <si>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</si>
  <si>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</si>
  <si>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</si>
  <si>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</si>
  <si>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</si>
  <si>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</si>
  <si>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</si>
  <si>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</si>
  <si>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</si>
  <si>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</si>
  <si>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</si>
  <si>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</si>
  <si>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</si>
  <si>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</si>
  <si>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</si>
  <si>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</si>
  <si>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</si>
  <si>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</si>
  <si>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</si>
  <si>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</si>
  <si>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</si>
  <si>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</si>
  <si>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</si>
  <si>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</si>
  <si>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</si>
  <si>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</si>
  <si>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</si>
  <si>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</si>
  <si>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</si>
  <si>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</si>
  <si>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</si>
  <si>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</si>
  <si>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</si>
  <si>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</si>
  <si>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</si>
  <si>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</si>
  <si>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</si>
  <si>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</si>
  <si>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</si>
  <si>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</si>
  <si>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</si>
  <si>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</si>
  <si>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</si>
  <si>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</si>
  <si>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</si>
  <si>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</si>
  <si>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</si>
  <si>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</si>
  <si>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</si>
  <si>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</si>
  <si>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</si>
  <si>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</si>
  <si>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</si>
  <si>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</si>
  <si>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</si>
  <si>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</si>
  <si>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</si>
  <si>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</si>
  <si>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</si>
  <si>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</si>
  <si>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</si>
  <si>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</si>
  <si>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</si>
  <si>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</si>
  <si>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</si>
  <si>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</si>
  <si>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</si>
  <si>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</si>
  <si>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</si>
  <si>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</si>
  <si>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</si>
  <si>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</si>
  <si>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</si>
  <si>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</si>
  <si>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</si>
  <si>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</si>
  <si>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</si>
  <si>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</si>
  <si>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</si>
  <si>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</si>
  <si>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</si>
  <si>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</si>
  <si>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</si>
  <si>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</si>
  <si>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</si>
  <si>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</si>
  <si>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</si>
  <si>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</si>
  <si>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</si>
  <si>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</si>
  <si>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</si>
  <si>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</si>
  <si>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</si>
  <si>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</si>
  <si>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</si>
  <si>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</si>
  <si>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</si>
  <si>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</si>
  <si>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</si>
  <si>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</si>
  <si>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</si>
  <si>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</si>
  <si>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</si>
  <si>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</si>
  <si>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</si>
  <si>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</si>
  <si>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</si>
  <si>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</si>
  <si>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</si>
  <si>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</si>
  <si>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</si>
  <si>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</si>
  <si>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</si>
  <si>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</si>
  <si>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</si>
  <si>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</si>
  <si>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</si>
  <si>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</si>
  <si>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</si>
  <si>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</si>
  <si>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</si>
  <si>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</si>
  <si>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</si>
  <si>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</si>
  <si>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</si>
  <si>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</si>
  <si>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</si>
  <si>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</si>
  <si>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</si>
  <si>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</si>
  <si>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</si>
  <si>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</si>
  <si>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</si>
  <si>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</si>
  <si>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</si>
  <si>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</si>
  <si>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</si>
  <si>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</si>
  <si>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</si>
  <si>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</si>
  <si>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</si>
  <si>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</si>
  <si>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</si>
  <si>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</si>
  <si>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</si>
  <si>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</si>
  <si>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</si>
  <si>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</si>
  <si>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</si>
  <si>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</si>
  <si>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</si>
  <si>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</si>
  <si>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</si>
  <si>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</si>
  <si>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</si>
  <si>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</si>
  <si>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</si>
  <si>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</si>
  <si>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</si>
  <si>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</si>
  <si>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</si>
  <si>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</si>
  <si>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</si>
  <si>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</si>
  <si>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</si>
  <si>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</si>
  <si>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</si>
  <si>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</si>
  <si>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</si>
  <si>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</si>
  <si>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</si>
  <si>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</si>
  <si>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</si>
  <si>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</si>
  <si>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</si>
  <si>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</si>
  <si>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</si>
  <si>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</si>
  <si>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</si>
  <si>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</si>
  <si>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</si>
  <si>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</si>
  <si>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</si>
  <si>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</si>
  <si>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</si>
  <si>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</si>
  <si>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</si>
  <si>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</si>
  <si>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</si>
  <si>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</si>
  <si>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</si>
  <si>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</si>
  <si>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</si>
  <si>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</si>
  <si>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</si>
  <si>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</si>
  <si>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</si>
  <si>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</si>
  <si>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</si>
  <si>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</si>
  <si>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</si>
  <si>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</si>
  <si>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</si>
  <si>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</si>
  <si>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</si>
  <si>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</si>
  <si>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</si>
  <si>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</si>
  <si>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</si>
  <si>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</si>
  <si>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</si>
  <si>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</si>
  <si>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</si>
  <si>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</si>
  <si>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</si>
  <si>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</si>
  <si>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</si>
  <si>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</si>
  <si>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</si>
  <si>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</si>
  <si>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</si>
  <si>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</si>
  <si>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</si>
  <si>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</si>
  <si>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</si>
  <si>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</si>
  <si>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</si>
  <si>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</si>
  <si>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</si>
  <si>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</si>
  <si>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</si>
  <si>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</si>
  <si>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</si>
  <si>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</si>
  <si>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</si>
  <si>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</si>
  <si>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</si>
  <si>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</si>
  <si>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</si>
  <si>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</si>
  <si>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</si>
  <si>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</si>
  <si>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</si>
  <si>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</si>
  <si>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</si>
  <si>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</si>
  <si>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</si>
  <si>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</si>
  <si>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</si>
  <si>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</si>
  <si>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</si>
  <si>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</si>
  <si>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</si>
  <si>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</si>
  <si>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</si>
  <si>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</si>
  <si>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</si>
  <si>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</si>
  <si>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</si>
  <si>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</si>
  <si>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</si>
  <si>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</si>
  <si>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</si>
  <si>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</si>
  <si>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</si>
  <si>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</si>
  <si>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</si>
  <si>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</si>
  <si>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</si>
  <si>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</si>
  <si>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</si>
  <si>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</si>
  <si>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</si>
  <si>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</si>
  <si>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</si>
  <si>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</si>
  <si>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</si>
  <si>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</si>
  <si>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</si>
  <si>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</si>
  <si>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</si>
  <si>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</si>
  <si>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</si>
  <si>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</si>
  <si>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</si>
  <si>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</si>
  <si>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</si>
  <si>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</si>
  <si>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</si>
  <si>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</si>
  <si>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</si>
  <si>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</si>
  <si>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</si>
  <si>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</si>
  <si>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</si>
  <si>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</si>
  <si>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</si>
  <si>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</si>
  <si>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</si>
  <si>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</si>
  <si>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</si>
  <si>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</si>
  <si>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</si>
  <si>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</si>
  <si>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</si>
  <si>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</si>
  <si>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</si>
  <si>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</si>
  <si>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</si>
  <si>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</si>
  <si>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</si>
  <si>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</si>
  <si>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</si>
  <si>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</si>
  <si>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</si>
  <si>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</si>
  <si>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</si>
  <si>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</si>
  <si>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</si>
  <si>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</si>
  <si>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</si>
  <si>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</si>
  <si>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</si>
  <si>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</si>
  <si>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</si>
  <si>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</si>
  <si>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</si>
  <si>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</si>
  <si>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</si>
  <si>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</si>
  <si>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</si>
  <si>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</si>
  <si>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</si>
  <si>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</si>
  <si>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</si>
  <si>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</si>
  <si>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</si>
  <si>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</si>
  <si>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</si>
  <si>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</si>
  <si>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</si>
  <si>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</si>
  <si>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</si>
  <si>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</si>
  <si>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</si>
  <si>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</si>
  <si>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</si>
  <si>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</si>
  <si>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</si>
  <si>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</si>
  <si>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</si>
  <si>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</si>
  <si>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</si>
  <si>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</si>
  <si>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</si>
  <si>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</si>
  <si>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</si>
  <si>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</si>
  <si>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</si>
  <si>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</si>
  <si>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</si>
  <si>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</si>
  <si>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</si>
  <si>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</si>
  <si>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</si>
  <si>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</si>
  <si>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</si>
  <si>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</si>
  <si>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</si>
  <si>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</si>
  <si>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</si>
  <si>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</si>
  <si>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</si>
  <si>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</si>
  <si>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</si>
  <si>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</si>
  <si>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</si>
  <si>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</si>
  <si>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</si>
  <si>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</si>
  <si>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</si>
  <si>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</si>
  <si>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</si>
  <si>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</si>
  <si>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</si>
  <si>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</si>
  <si>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</si>
  <si>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</si>
  <si>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</si>
  <si>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</si>
  <si>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</si>
  <si>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</si>
  <si>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</si>
  <si>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</si>
  <si>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</si>
  <si>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</si>
  <si>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</si>
  <si>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</si>
  <si>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</si>
  <si>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</si>
  <si>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</si>
  <si>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</si>
  <si>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</si>
  <si>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</si>
  <si>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</si>
  <si>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</si>
  <si>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</si>
  <si>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</si>
  <si>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</si>
  <si>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</si>
  <si>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</si>
  <si>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</si>
  <si>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</si>
  <si>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</si>
  <si>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</si>
  <si>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</si>
  <si>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</si>
  <si>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</si>
  <si>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</si>
  <si>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</si>
  <si>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</si>
  <si>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</si>
  <si>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</si>
  <si>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</si>
  <si>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</si>
  <si>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</si>
  <si>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</si>
  <si>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</si>
  <si>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</si>
  <si>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</si>
  <si>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</si>
  <si>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</si>
  <si>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</si>
  <si>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</si>
  <si>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</si>
  <si>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</si>
  <si>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</si>
  <si>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</si>
  <si>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</si>
  <si>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</si>
  <si>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</si>
  <si>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</si>
  <si>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</si>
  <si>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</si>
  <si>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</si>
  <si>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</si>
  <si>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</si>
  <si>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</si>
  <si>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</si>
  <si>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</si>
  <si>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</si>
  <si>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</si>
  <si>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</si>
  <si>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</si>
  <si>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</si>
  <si>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</si>
  <si>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</si>
  <si>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</si>
  <si>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</si>
  <si>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</si>
  <si>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</si>
  <si>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</si>
  <si>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</si>
  <si>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</si>
  <si>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</si>
  <si>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</si>
  <si>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</si>
  <si>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</si>
  <si>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</si>
  <si>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</si>
  <si>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</si>
  <si>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</si>
  <si>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</si>
  <si>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</si>
  <si>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</si>
  <si>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</si>
  <si>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</si>
  <si>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</si>
  <si>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</si>
  <si>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</si>
  <si>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</si>
  <si>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</si>
  <si>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</si>
  <si>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</si>
  <si>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</si>
  <si>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</si>
  <si>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</si>
  <si>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</si>
  <si>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</si>
  <si>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</si>
  <si>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</si>
  <si>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</si>
  <si>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</si>
  <si>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</si>
  <si>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</si>
  <si>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</si>
  <si>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</si>
  <si>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</si>
  <si>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</si>
  <si>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</si>
  <si>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</si>
  <si>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</si>
  <si>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</si>
  <si>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</si>
  <si>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</si>
  <si>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</si>
  <si>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</si>
  <si>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</si>
  <si>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</si>
  <si>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</si>
  <si>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</si>
  <si>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</si>
  <si>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</si>
  <si>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</si>
  <si>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</si>
  <si>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</si>
  <si>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</si>
  <si>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</si>
  <si>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</si>
  <si>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</si>
  <si>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</si>
  <si>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</si>
  <si>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</si>
  <si>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</si>
  <si>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</si>
  <si>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</si>
  <si>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</si>
  <si>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</si>
  <si>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</si>
  <si>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</si>
  <si>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</si>
  <si>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</si>
  <si>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</si>
  <si>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</si>
  <si>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</si>
  <si>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</si>
  <si>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</si>
  <si>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</si>
  <si>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</si>
  <si>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</si>
  <si>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</si>
  <si>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</si>
  <si>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</si>
  <si>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</si>
  <si>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</si>
  <si>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</si>
  <si>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</si>
  <si>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</si>
  <si>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</si>
  <si>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</si>
  <si>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</si>
  <si>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</si>
  <si>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</si>
  <si>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</si>
  <si>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</si>
  <si>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</si>
  <si>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</si>
  <si>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</si>
  <si>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</si>
  <si>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</si>
  <si>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</si>
  <si>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</si>
  <si>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</si>
  <si>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</si>
  <si>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</si>
  <si>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</si>
  <si>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</si>
  <si>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</si>
  <si>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</si>
  <si>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</si>
  <si>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</si>
  <si>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</si>
  <si>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</si>
  <si>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</si>
  <si>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</si>
  <si>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</si>
  <si>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</si>
  <si>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</si>
  <si>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</si>
  <si>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</si>
  <si>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</si>
  <si>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</si>
  <si>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</si>
  <si>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</si>
  <si>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</si>
  <si>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</si>
  <si>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</si>
  <si>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</si>
  <si>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</si>
  <si>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</si>
  <si>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</si>
  <si>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</si>
  <si>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</si>
  <si>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</si>
  <si>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</si>
  <si>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</si>
  <si>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</si>
  <si>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</si>
  <si>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</si>
  <si>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</si>
  <si>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</si>
  <si>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</si>
  <si>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</si>
  <si>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</si>
  <si>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</si>
  <si>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</si>
  <si>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</si>
  <si>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</si>
  <si>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</si>
  <si>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</si>
  <si>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</si>
  <si>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</si>
  <si>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</si>
  <si>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</si>
  <si>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</si>
  <si>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</si>
  <si>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</si>
  <si>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</si>
  <si>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</si>
  <si>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</si>
  <si>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</si>
  <si>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</si>
  <si>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</si>
  <si>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</si>
  <si>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</si>
  <si>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</si>
  <si>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</si>
  <si>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</si>
  <si>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</si>
  <si>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</si>
  <si>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</si>
  <si>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</si>
  <si>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</si>
  <si>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</si>
  <si>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</si>
  <si>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</si>
  <si>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</si>
  <si>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</si>
  <si>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</si>
  <si>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</si>
  <si>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</si>
  <si>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</si>
  <si>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</si>
  <si>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</si>
  <si>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</si>
  <si>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</si>
  <si>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</si>
  <si>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</si>
  <si>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</si>
  <si>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</si>
  <si>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</si>
  <si>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</si>
  <si>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</si>
  <si>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</si>
  <si>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</si>
  <si>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</si>
  <si>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</si>
  <si>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</si>
  <si>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</si>
  <si>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</si>
  <si>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</si>
  <si>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</si>
  <si>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</si>
  <si>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</si>
  <si>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</si>
  <si>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</si>
  <si>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</si>
  <si>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</si>
  <si>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</si>
  <si>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</si>
  <si>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</si>
  <si>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</si>
  <si>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</si>
  <si>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</si>
  <si>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</si>
  <si>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</si>
  <si>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</si>
  <si>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</si>
  <si>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</si>
  <si>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</si>
  <si>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</si>
  <si>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</si>
  <si>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</si>
  <si>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</si>
  <si>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</si>
  <si>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</si>
  <si>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</si>
  <si>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</si>
  <si>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</si>
  <si>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</si>
  <si>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</si>
  <si>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</si>
  <si>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</si>
  <si>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</si>
  <si>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</si>
  <si>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</si>
  <si>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</si>
  <si>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</si>
  <si>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</si>
  <si>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</si>
  <si>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</si>
  <si>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</si>
  <si>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</si>
  <si>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</si>
  <si>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</si>
  <si>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</si>
  <si>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</si>
  <si>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</si>
  <si>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</si>
  <si>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</si>
  <si>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 para servidores do GDF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</si>
  <si>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</si>
  <si>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</si>
  <si>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</si>
  <si>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</si>
  <si>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</si>
  <si>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</si>
  <si>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</si>
  <si>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</si>
  <si>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</si>
  <si>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</si>
  <si>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</si>
  <si>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</si>
  <si>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</si>
  <si>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</si>
  <si>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</si>
  <si>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</si>
  <si>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</si>
  <si>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</si>
  <si>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</si>
  <si>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</si>
  <si>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</si>
  <si>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</si>
  <si>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</si>
  <si>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</si>
  <si>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</si>
  <si>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</si>
  <si>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</si>
  <si>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</si>
  <si>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</si>
  <si>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</si>
  <si>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</si>
  <si>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</si>
  <si>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</si>
  <si>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</si>
  <si>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</si>
  <si>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</si>
  <si>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</si>
  <si>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</si>
  <si>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</si>
  <si>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</si>
  <si>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</si>
  <si>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</si>
  <si>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</si>
  <si>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</si>
  <si>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</si>
  <si>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</si>
  <si>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</si>
  <si>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</si>
  <si>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</si>
  <si>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</si>
  <si>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</si>
  <si>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</si>
  <si>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</si>
  <si>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</si>
  <si>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</si>
  <si>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</si>
  <si>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</si>
  <si>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</si>
  <si>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</si>
  <si>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</si>
  <si>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</si>
  <si>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</si>
  <si>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</si>
  <si>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</si>
  <si>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</si>
  <si>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</si>
  <si>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</si>
  <si>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</si>
  <si>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</si>
  <si>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</si>
  <si>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</si>
  <si>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</si>
  <si>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</si>
  <si>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</si>
  <si>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</si>
  <si>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</si>
  <si>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</si>
  <si>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</si>
  <si>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</si>
  <si>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</si>
  <si>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</si>
  <si>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</si>
  <si>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</si>
  <si>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</si>
  <si>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</si>
  <si>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</si>
  <si>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</si>
  <si>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</si>
  <si>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</si>
  <si>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</si>
  <si>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</si>
  <si>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</si>
  <si>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02 e 04/09/2026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</si>
  <si>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</si>
  <si>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</si>
  <si>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</si>
  <si>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</si>
  <si>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</si>
  <si>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</si>
  <si>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</si>
  <si>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</si>
  <si>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</si>
  <si>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</si>
  <si>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</si>
  <si>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</si>
  <si>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</si>
  <si>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</si>
  <si>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</si>
  <si>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</si>
  <si>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</si>
  <si>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</si>
  <si>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</si>
  <si>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</si>
  <si>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</si>
  <si>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</si>
  <si>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</si>
  <si>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</si>
  <si>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</si>
  <si>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</si>
  <si>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</si>
  <si>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</si>
  <si>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</si>
  <si>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</si>
  <si>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</si>
  <si>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</si>
  <si>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</si>
  <si>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</si>
  <si>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</si>
  <si>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</si>
  <si>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</si>
  <si>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</si>
  <si>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</si>
  <si>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</si>
  <si>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</si>
  <si>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</si>
  <si>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</si>
  <si>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</si>
  <si>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</si>
  <si>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</si>
  <si>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</si>
  <si>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</si>
  <si>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</si>
  <si>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</si>
  <si>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</si>
  <si>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</si>
  <si>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</si>
  <si>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</si>
  <si>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</si>
  <si>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</si>
  <si>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</si>
  <si>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</si>
  <si>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</si>
  <si>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</si>
  <si>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</si>
  <si>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</si>
  <si>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</si>
  <si>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</si>
  <si>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</si>
  <si>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</si>
  <si>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</si>
  <si>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</si>
  <si>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</si>
  <si>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</si>
  <si>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</si>
  <si>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</si>
  <si>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</si>
  <si>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</si>
  <si>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</si>
  <si>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</si>
  <si>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</si>
  <si>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</si>
  <si>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</si>
  <si>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</si>
  <si>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</si>
  <si>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</si>
  <si>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</si>
  <si>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</si>
  <si>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</si>
  <si>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</si>
  <si>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</si>
  <si>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</si>
  <si>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</si>
  <si>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</si>
  <si>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</si>
  <si>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</si>
  <si>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</si>
  <si>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</si>
  <si>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</si>
  <si>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</si>
  <si>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</si>
  <si>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</si>
  <si>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</si>
  <si>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</si>
  <si>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</si>
  <si>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</si>
  <si>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</si>
  <si>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</si>
  <si>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</si>
  <si>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</si>
  <si>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</si>
  <si>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</si>
  <si>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</si>
  <si>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</si>
  <si>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</si>
  <si>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</si>
  <si>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</si>
  <si>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</si>
  <si>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</si>
  <si>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</si>
  <si>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</si>
  <si>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</si>
  <si>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</si>
  <si>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</si>
  <si>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</si>
  <si>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</si>
  <si>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</si>
  <si>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</si>
  <si>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</si>
  <si>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</si>
  <si>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</si>
  <si>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</si>
  <si>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</si>
  <si>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</si>
  <si>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</si>
  <si>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</si>
  <si>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</si>
  <si>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</si>
  <si>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</si>
  <si>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</si>
  <si>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</si>
  <si>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</si>
  <si>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</si>
  <si>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</si>
  <si>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</si>
  <si>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</si>
  <si>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</si>
  <si>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</si>
  <si>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</si>
  <si>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</si>
  <si>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</si>
  <si>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</si>
  <si>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</si>
  <si>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</si>
  <si>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</si>
  <si>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</si>
  <si>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</si>
  <si>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</si>
  <si>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</si>
  <si>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</si>
  <si>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</si>
  <si>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</si>
  <si>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</si>
  <si>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</si>
  <si>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</si>
  <si>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</si>
  <si>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</si>
  <si>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</si>
  <si>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</si>
  <si>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</si>
  <si>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</si>
  <si>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</si>
  <si>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</si>
  <si>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</si>
  <si>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</si>
  <si>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</si>
  <si>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</si>
  <si>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</si>
  <si>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</si>
  <si>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</si>
  <si>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</si>
  <si>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</si>
  <si>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</si>
  <si>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</si>
  <si>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</si>
  <si>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</si>
  <si>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</si>
  <si>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</si>
  <si>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</si>
  <si>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</si>
  <si>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</si>
  <si>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</si>
  <si>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</si>
  <si>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</si>
  <si>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</si>
  <si>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</si>
  <si>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</si>
  <si>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</si>
  <si>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</si>
  <si>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</si>
  <si>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</si>
  <si>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</si>
  <si>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</si>
  <si>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</si>
  <si>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10199/2026</t>
  </si>
  <si>
    <t>2026-083</t>
  </si>
  <si>
    <t>Oficina básica de Power Automate</t>
  </si>
  <si>
    <t>01 e 02/09/2026</t>
  </si>
  <si>
    <t>Contratações de TIC com base na jurisprudência do TCDF - SGDI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</si>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</sst>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23</c:v>
                </c:pt>
                <c:pt idx="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772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9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5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12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717" activePane="bottomLeft" state="frozen"/>
      <selection pane="bottomLeft" activeCell="E720" sqref="E720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2026-084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2697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3198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2789</v>
      </c>
    </row>
    <row r="680" spans="1:20" ht="15" x14ac:dyDescent="0.25">
      <c r="A680" s="137" t="s">
        <v>2790</v>
      </c>
      <c r="B680" s="127">
        <v>2026</v>
      </c>
      <c r="C680" s="168" t="s">
        <v>2791</v>
      </c>
      <c r="D680" s="152" t="s">
        <v>2792</v>
      </c>
      <c r="E680" s="153" t="s">
        <v>2793</v>
      </c>
      <c r="F680" s="129" t="s">
        <v>24</v>
      </c>
      <c r="G680" s="130" t="s">
        <v>2794</v>
      </c>
      <c r="H680" s="155" t="s">
        <v>2795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2796</v>
      </c>
    </row>
    <row r="681" spans="1:20" ht="15" x14ac:dyDescent="0.25">
      <c r="A681" s="191" t="s">
        <v>2797</v>
      </c>
      <c r="B681" s="127">
        <v>2026</v>
      </c>
      <c r="C681" s="168" t="s">
        <v>22</v>
      </c>
      <c r="D681" s="152" t="s">
        <v>2792</v>
      </c>
      <c r="E681" s="153" t="s">
        <v>2798</v>
      </c>
      <c r="F681" s="129" t="s">
        <v>24</v>
      </c>
      <c r="G681" s="154" t="s">
        <v>2794</v>
      </c>
      <c r="H681" s="155" t="s">
        <v>2799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2796</v>
      </c>
    </row>
    <row r="682" spans="1:20" ht="15" x14ac:dyDescent="0.25">
      <c r="A682" s="191" t="s">
        <v>2800</v>
      </c>
      <c r="B682" s="127">
        <v>2026</v>
      </c>
      <c r="C682" s="193" t="s">
        <v>2791</v>
      </c>
      <c r="D682" s="152" t="s">
        <v>2792</v>
      </c>
      <c r="E682" s="153" t="s">
        <v>2798</v>
      </c>
      <c r="F682" s="185" t="s">
        <v>24</v>
      </c>
      <c r="G682" s="194" t="s">
        <v>2794</v>
      </c>
      <c r="H682" s="195" t="s">
        <v>2801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2796</v>
      </c>
    </row>
    <row r="683" spans="1:20" ht="15" x14ac:dyDescent="0.25">
      <c r="A683" s="137" t="s">
        <v>2802</v>
      </c>
      <c r="B683" s="127">
        <v>2026</v>
      </c>
      <c r="C683" s="152" t="s">
        <v>22</v>
      </c>
      <c r="D683" s="152" t="s">
        <v>2803</v>
      </c>
      <c r="E683" s="153" t="s">
        <v>2804</v>
      </c>
      <c r="F683" s="129" t="s">
        <v>24</v>
      </c>
      <c r="G683" s="130" t="s">
        <v>42</v>
      </c>
      <c r="H683" s="218" t="s">
        <v>2805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2806</v>
      </c>
    </row>
    <row r="684" spans="1:20" ht="15" x14ac:dyDescent="0.25">
      <c r="A684" s="191" t="s">
        <v>2807</v>
      </c>
      <c r="B684" s="152">
        <v>2026</v>
      </c>
      <c r="C684" s="168" t="s">
        <v>22</v>
      </c>
      <c r="D684" s="152" t="s">
        <v>2808</v>
      </c>
      <c r="E684" s="153" t="s">
        <v>2809</v>
      </c>
      <c r="F684" s="161" t="s">
        <v>24</v>
      </c>
      <c r="G684" s="154" t="s">
        <v>25</v>
      </c>
      <c r="H684" s="207" t="s">
        <v>2810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2811</v>
      </c>
    </row>
    <row r="685" spans="1:20" ht="15" x14ac:dyDescent="0.25">
      <c r="A685" s="137" t="s">
        <v>2812</v>
      </c>
      <c r="B685" s="152">
        <v>2026</v>
      </c>
      <c r="C685" s="127" t="s">
        <v>22</v>
      </c>
      <c r="D685" s="131" t="s">
        <v>2813</v>
      </c>
      <c r="E685" s="128" t="s">
        <v>2814</v>
      </c>
      <c r="F685" s="129" t="s">
        <v>24</v>
      </c>
      <c r="G685" s="144" t="s">
        <v>2794</v>
      </c>
      <c r="H685" s="131" t="s">
        <v>2815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2796</v>
      </c>
    </row>
    <row r="686" spans="1:20" ht="15" x14ac:dyDescent="0.25">
      <c r="A686" s="137" t="s">
        <v>2816</v>
      </c>
      <c r="B686" s="152">
        <v>2026</v>
      </c>
      <c r="C686" s="127" t="s">
        <v>22</v>
      </c>
      <c r="D686" s="127" t="s">
        <v>2817</v>
      </c>
      <c r="E686" s="128" t="s">
        <v>2818</v>
      </c>
      <c r="F686" s="129" t="s">
        <v>69</v>
      </c>
      <c r="G686" s="130" t="s">
        <v>2694</v>
      </c>
      <c r="H686" s="131" t="s">
        <v>2819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2820</v>
      </c>
      <c r="B687" s="152">
        <v>2026</v>
      </c>
      <c r="C687" s="127" t="s">
        <v>22</v>
      </c>
      <c r="D687" s="173" t="s">
        <v>2821</v>
      </c>
      <c r="E687" s="180" t="s">
        <v>2822</v>
      </c>
      <c r="F687" s="216" t="s">
        <v>24</v>
      </c>
      <c r="G687" s="174" t="s">
        <v>42</v>
      </c>
      <c r="H687" s="175" t="s">
        <v>2823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3198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2824</v>
      </c>
      <c r="B688" s="152">
        <v>2026</v>
      </c>
      <c r="C688" s="183" t="s">
        <v>22</v>
      </c>
      <c r="D688" s="183" t="s">
        <v>2825</v>
      </c>
      <c r="E688" s="184" t="s">
        <v>2826</v>
      </c>
      <c r="F688" s="185" t="s">
        <v>69</v>
      </c>
      <c r="G688" s="186" t="s">
        <v>79</v>
      </c>
      <c r="H688" s="191" t="s">
        <v>2827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2828</v>
      </c>
    </row>
    <row r="689" spans="1:20" ht="15" x14ac:dyDescent="0.25">
      <c r="A689" s="137" t="s">
        <v>2829</v>
      </c>
      <c r="B689" s="152">
        <v>2026</v>
      </c>
      <c r="C689" s="127" t="s">
        <v>22</v>
      </c>
      <c r="D689" s="127" t="s">
        <v>2830</v>
      </c>
      <c r="E689" s="128" t="s">
        <v>2831</v>
      </c>
      <c r="F689" s="129" t="s">
        <v>24</v>
      </c>
      <c r="G689" s="144" t="s">
        <v>2700</v>
      </c>
      <c r="H689" s="131" t="s">
        <v>2832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2833</v>
      </c>
    </row>
    <row r="690" spans="1:20" ht="15" x14ac:dyDescent="0.25">
      <c r="A690" s="137" t="s">
        <v>2834</v>
      </c>
      <c r="B690" s="152">
        <v>2026</v>
      </c>
      <c r="C690" s="127" t="s">
        <v>22</v>
      </c>
      <c r="D690" s="127" t="s">
        <v>2830</v>
      </c>
      <c r="E690" s="128" t="s">
        <v>2835</v>
      </c>
      <c r="F690" s="129" t="s">
        <v>24</v>
      </c>
      <c r="G690" s="144" t="s">
        <v>2700</v>
      </c>
      <c r="H690" s="131" t="s">
        <v>2836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2828</v>
      </c>
    </row>
    <row r="691" spans="1:20" ht="15" x14ac:dyDescent="0.25">
      <c r="A691" s="137" t="s">
        <v>2837</v>
      </c>
      <c r="B691" s="152">
        <v>2026</v>
      </c>
      <c r="C691" s="183" t="s">
        <v>22</v>
      </c>
      <c r="D691" s="183" t="s">
        <v>2838</v>
      </c>
      <c r="E691" s="184" t="s">
        <v>2839</v>
      </c>
      <c r="F691" s="185" t="s">
        <v>24</v>
      </c>
      <c r="G691" s="186" t="s">
        <v>2700</v>
      </c>
      <c r="H691" s="191" t="s">
        <v>2840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2828</v>
      </c>
    </row>
    <row r="692" spans="1:20" ht="15" x14ac:dyDescent="0.25">
      <c r="A692" s="191" t="s">
        <v>2841</v>
      </c>
      <c r="B692" s="152">
        <v>2026</v>
      </c>
      <c r="C692" s="183" t="s">
        <v>22</v>
      </c>
      <c r="D692" s="183" t="s">
        <v>2838</v>
      </c>
      <c r="E692" s="184" t="s">
        <v>2842</v>
      </c>
      <c r="F692" s="185" t="s">
        <v>24</v>
      </c>
      <c r="G692" s="186" t="s">
        <v>2700</v>
      </c>
      <c r="H692" s="191" t="s">
        <v>2843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2828</v>
      </c>
    </row>
    <row r="693" spans="1:20" ht="15" x14ac:dyDescent="0.25">
      <c r="A693" s="191" t="s">
        <v>2844</v>
      </c>
      <c r="B693" s="152">
        <v>2026</v>
      </c>
      <c r="C693" s="183" t="s">
        <v>2697</v>
      </c>
      <c r="D693" s="183" t="s">
        <v>2845</v>
      </c>
      <c r="E693" s="184" t="s">
        <v>2846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2847</v>
      </c>
      <c r="B694" s="152">
        <v>2026</v>
      </c>
      <c r="C694" s="127" t="s">
        <v>2697</v>
      </c>
      <c r="D694" s="173" t="s">
        <v>2848</v>
      </c>
      <c r="E694" s="180" t="s">
        <v>2849</v>
      </c>
      <c r="F694" s="129" t="s">
        <v>69</v>
      </c>
      <c r="G694" s="130" t="s">
        <v>79</v>
      </c>
      <c r="H694" s="175" t="s">
        <v>2850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2851</v>
      </c>
      <c r="B695" s="152">
        <v>2026</v>
      </c>
      <c r="C695" s="183" t="s">
        <v>2697</v>
      </c>
      <c r="D695" s="183" t="s">
        <v>2852</v>
      </c>
      <c r="E695" s="184" t="s">
        <v>2853</v>
      </c>
      <c r="F695" s="185" t="s">
        <v>69</v>
      </c>
      <c r="G695" s="186" t="s">
        <v>79</v>
      </c>
      <c r="H695" s="191" t="s">
        <v>2854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2855</v>
      </c>
      <c r="B696" s="152">
        <v>2026</v>
      </c>
      <c r="C696" s="127" t="s">
        <v>22</v>
      </c>
      <c r="D696" s="127" t="s">
        <v>2856</v>
      </c>
      <c r="E696" s="128" t="s">
        <v>2857</v>
      </c>
      <c r="F696" s="129" t="s">
        <v>69</v>
      </c>
      <c r="G696" s="130" t="s">
        <v>79</v>
      </c>
      <c r="H696" s="131" t="s">
        <v>2858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2859</v>
      </c>
      <c r="B697" s="152">
        <v>2026</v>
      </c>
      <c r="C697" s="127" t="s">
        <v>22</v>
      </c>
      <c r="D697" s="173" t="s">
        <v>2860</v>
      </c>
      <c r="E697" s="180" t="s">
        <v>2861</v>
      </c>
      <c r="F697" s="129" t="s">
        <v>24</v>
      </c>
      <c r="G697" s="144" t="s">
        <v>2700</v>
      </c>
      <c r="H697" s="175" t="s">
        <v>2862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2828</v>
      </c>
    </row>
    <row r="698" spans="1:20" ht="15" x14ac:dyDescent="0.25">
      <c r="A698" s="191" t="s">
        <v>2863</v>
      </c>
      <c r="B698" s="152">
        <v>2026</v>
      </c>
      <c r="C698" s="183" t="s">
        <v>2791</v>
      </c>
      <c r="D698" s="183" t="s">
        <v>2864</v>
      </c>
      <c r="E698" s="184" t="s">
        <v>2865</v>
      </c>
      <c r="F698" s="185" t="s">
        <v>24</v>
      </c>
      <c r="G698" s="186" t="s">
        <v>75</v>
      </c>
      <c r="H698" s="191" t="s">
        <v>2866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2867</v>
      </c>
    </row>
    <row r="699" spans="1:20" ht="15" x14ac:dyDescent="0.25">
      <c r="A699" s="137" t="s">
        <v>2868</v>
      </c>
      <c r="B699" s="152">
        <v>2026</v>
      </c>
      <c r="C699" s="127" t="s">
        <v>22</v>
      </c>
      <c r="D699" s="127" t="s">
        <v>2869</v>
      </c>
      <c r="E699" s="128" t="s">
        <v>2870</v>
      </c>
      <c r="F699" s="129" t="s">
        <v>24</v>
      </c>
      <c r="G699" s="130" t="s">
        <v>206</v>
      </c>
      <c r="H699" s="131" t="s">
        <v>2871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2872</v>
      </c>
    </row>
    <row r="700" spans="1:20" ht="15" x14ac:dyDescent="0.25">
      <c r="A700" s="191" t="s">
        <v>2873</v>
      </c>
      <c r="B700" s="152">
        <v>2026</v>
      </c>
      <c r="C700" s="183" t="s">
        <v>22</v>
      </c>
      <c r="D700" s="183" t="s">
        <v>2874</v>
      </c>
      <c r="E700" s="184" t="s">
        <v>2875</v>
      </c>
      <c r="F700" s="185" t="s">
        <v>88</v>
      </c>
      <c r="G700" s="186" t="s">
        <v>2719</v>
      </c>
      <c r="H700" s="191" t="s">
        <v>2876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2877</v>
      </c>
      <c r="B701" s="152">
        <v>2026</v>
      </c>
      <c r="C701" s="183" t="s">
        <v>22</v>
      </c>
      <c r="D701" s="183" t="s">
        <v>2878</v>
      </c>
      <c r="E701" s="184" t="s">
        <v>2879</v>
      </c>
      <c r="F701" s="185" t="s">
        <v>24</v>
      </c>
      <c r="G701" s="186" t="s">
        <v>75</v>
      </c>
      <c r="H701" s="191" t="s">
        <v>2880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2811</v>
      </c>
    </row>
    <row r="702" spans="1:20" ht="15" x14ac:dyDescent="0.25">
      <c r="A702" s="191" t="s">
        <v>2881</v>
      </c>
      <c r="B702" s="152">
        <v>2026</v>
      </c>
      <c r="C702" s="183" t="s">
        <v>22</v>
      </c>
      <c r="D702" s="183" t="s">
        <v>2882</v>
      </c>
      <c r="E702" s="184" t="s">
        <v>2883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2884</v>
      </c>
    </row>
    <row r="703" spans="1:20" ht="15" x14ac:dyDescent="0.25">
      <c r="A703" s="191" t="s">
        <v>2885</v>
      </c>
      <c r="B703" s="152">
        <v>2026</v>
      </c>
      <c r="C703" s="183" t="s">
        <v>22</v>
      </c>
      <c r="D703" s="183" t="s">
        <v>2886</v>
      </c>
      <c r="E703" s="184" t="s">
        <v>2887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2888</v>
      </c>
    </row>
    <row r="704" spans="1:20" ht="15" x14ac:dyDescent="0.25">
      <c r="A704" s="191" t="s">
        <v>2889</v>
      </c>
      <c r="B704" s="152">
        <v>2026</v>
      </c>
      <c r="C704" s="183" t="s">
        <v>22</v>
      </c>
      <c r="D704" s="183" t="s">
        <v>2890</v>
      </c>
      <c r="E704" s="184" t="s">
        <v>2891</v>
      </c>
      <c r="F704" s="185" t="s">
        <v>69</v>
      </c>
      <c r="G704" s="186" t="s">
        <v>79</v>
      </c>
      <c r="H704" s="191" t="s">
        <v>2892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x14ac:dyDescent="0.25">
      <c r="A705" s="191" t="s">
        <v>2893</v>
      </c>
      <c r="B705" s="152">
        <v>2026</v>
      </c>
      <c r="C705" s="183" t="s">
        <v>22</v>
      </c>
      <c r="D705" s="183" t="s">
        <v>2894</v>
      </c>
      <c r="E705" s="184" t="s">
        <v>2895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2896</v>
      </c>
    </row>
    <row r="706" spans="1:21" ht="15" x14ac:dyDescent="0.25">
      <c r="A706" s="191" t="s">
        <v>2897</v>
      </c>
      <c r="B706" s="152">
        <v>2026</v>
      </c>
      <c r="C706" s="183" t="s">
        <v>22</v>
      </c>
      <c r="D706" s="183" t="s">
        <v>2898</v>
      </c>
      <c r="E706" s="184" t="s">
        <v>2899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2697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 t="shared" si="12"/>
        <v>0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x14ac:dyDescent="0.25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x14ac:dyDescent="0.25">
      <c r="A715" s="191" t="s">
        <v>2933</v>
      </c>
      <c r="B715" s="152">
        <v>2026</v>
      </c>
      <c r="C715" s="183" t="s">
        <v>2566</v>
      </c>
      <c r="D715" s="183" t="s">
        <v>2930</v>
      </c>
      <c r="E715" s="184" t="s">
        <v>2931</v>
      </c>
      <c r="F715" s="185" t="s">
        <v>88</v>
      </c>
      <c r="G715" s="186" t="s">
        <v>2719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x14ac:dyDescent="0.25">
      <c r="A716" s="191" t="s">
        <v>2935</v>
      </c>
      <c r="B716" s="152">
        <v>2026</v>
      </c>
      <c r="C716" s="183" t="s">
        <v>2697</v>
      </c>
      <c r="D716" s="183" t="s">
        <v>2930</v>
      </c>
      <c r="E716" s="184" t="s">
        <v>2931</v>
      </c>
      <c r="F716" s="185" t="s">
        <v>88</v>
      </c>
      <c r="G716" s="186" t="s">
        <v>2719</v>
      </c>
      <c r="H716" s="191" t="s">
        <v>2936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2937</v>
      </c>
      <c r="B717" s="152">
        <v>2026</v>
      </c>
      <c r="C717" s="183" t="s">
        <v>2697</v>
      </c>
      <c r="D717" s="183" t="s">
        <v>2930</v>
      </c>
      <c r="E717" s="184" t="s">
        <v>2931</v>
      </c>
      <c r="F717" s="185" t="s">
        <v>88</v>
      </c>
      <c r="G717" s="186" t="s">
        <v>2719</v>
      </c>
      <c r="H717" s="191" t="s">
        <v>2938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2939</v>
      </c>
      <c r="B718" s="152">
        <v>2026</v>
      </c>
      <c r="C718" s="183" t="s">
        <v>2697</v>
      </c>
      <c r="D718" s="183" t="s">
        <v>2930</v>
      </c>
      <c r="E718" s="184" t="s">
        <v>2931</v>
      </c>
      <c r="F718" s="185" t="s">
        <v>88</v>
      </c>
      <c r="G718" s="186" t="s">
        <v>2719</v>
      </c>
      <c r="H718" s="191" t="s">
        <v>2940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2941</v>
      </c>
      <c r="B719" s="152">
        <v>2026</v>
      </c>
      <c r="C719" s="183" t="s">
        <v>2697</v>
      </c>
      <c r="D719" s="183" t="s">
        <v>2930</v>
      </c>
      <c r="E719" s="184" t="s">
        <v>2931</v>
      </c>
      <c r="F719" s="185" t="s">
        <v>88</v>
      </c>
      <c r="G719" s="186" t="s">
        <v>2719</v>
      </c>
      <c r="H719" s="191" t="s">
        <v>2942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2943</v>
      </c>
      <c r="B720" s="152">
        <v>2026</v>
      </c>
      <c r="C720" s="127" t="s">
        <v>22</v>
      </c>
      <c r="D720" s="127" t="s">
        <v>2944</v>
      </c>
      <c r="E720" s="128" t="s">
        <v>2945</v>
      </c>
      <c r="F720" s="129" t="s">
        <v>24</v>
      </c>
      <c r="G720" s="130" t="s">
        <v>206</v>
      </c>
      <c r="H720" s="131" t="s">
        <v>2946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2947</v>
      </c>
    </row>
    <row r="721" spans="1:20" ht="30" x14ac:dyDescent="0.25">
      <c r="A721" s="137" t="s">
        <v>2948</v>
      </c>
      <c r="B721" s="152">
        <v>2026</v>
      </c>
      <c r="C721" s="152" t="s">
        <v>22</v>
      </c>
      <c r="D721" s="152" t="s">
        <v>2930</v>
      </c>
      <c r="E721" s="153" t="s">
        <v>2949</v>
      </c>
      <c r="F721" s="161" t="s">
        <v>88</v>
      </c>
      <c r="G721" s="168" t="s">
        <v>2719</v>
      </c>
      <c r="H721" s="155" t="s">
        <v>2950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2951</v>
      </c>
    </row>
    <row r="722" spans="1:20" ht="30" x14ac:dyDescent="0.25">
      <c r="A722" s="137" t="s">
        <v>2952</v>
      </c>
      <c r="B722" s="127">
        <v>2026</v>
      </c>
      <c r="C722" s="127" t="s">
        <v>22</v>
      </c>
      <c r="D722" s="127" t="s">
        <v>2930</v>
      </c>
      <c r="E722" s="128" t="s">
        <v>2953</v>
      </c>
      <c r="F722" s="129" t="s">
        <v>88</v>
      </c>
      <c r="G722" s="164" t="s">
        <v>2719</v>
      </c>
      <c r="H722" s="131" t="s">
        <v>2954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2951</v>
      </c>
    </row>
    <row r="723" spans="1:20" ht="15" x14ac:dyDescent="0.25">
      <c r="A723" s="137" t="s">
        <v>2955</v>
      </c>
      <c r="B723" s="152">
        <v>2026</v>
      </c>
      <c r="C723" s="183" t="s">
        <v>22</v>
      </c>
      <c r="D723" s="183" t="s">
        <v>2956</v>
      </c>
      <c r="E723" s="184" t="s">
        <v>2957</v>
      </c>
      <c r="F723" s="185" t="s">
        <v>88</v>
      </c>
      <c r="G723" s="186" t="s">
        <v>2719</v>
      </c>
      <c r="H723" s="191" t="s">
        <v>2958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2959</v>
      </c>
      <c r="B724" s="151">
        <v>2026</v>
      </c>
      <c r="C724" s="183" t="s">
        <v>22</v>
      </c>
      <c r="D724" s="183" t="s">
        <v>2960</v>
      </c>
      <c r="E724" s="184" t="s">
        <v>2961</v>
      </c>
      <c r="F724" s="185" t="s">
        <v>88</v>
      </c>
      <c r="G724" s="186" t="s">
        <v>2719</v>
      </c>
      <c r="H724" s="191" t="s">
        <v>2962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2963</v>
      </c>
      <c r="B725" s="183">
        <v>2026</v>
      </c>
      <c r="C725" s="183" t="s">
        <v>22</v>
      </c>
      <c r="D725" s="183" t="s">
        <v>2956</v>
      </c>
      <c r="E725" s="184" t="s">
        <v>2964</v>
      </c>
      <c r="F725" s="185"/>
      <c r="G725" s="186" t="s">
        <v>2719</v>
      </c>
      <c r="H725" s="191" t="s">
        <v>2965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2966</v>
      </c>
      <c r="B726" s="183">
        <v>2026</v>
      </c>
      <c r="C726" s="183" t="s">
        <v>2697</v>
      </c>
      <c r="D726" s="183" t="s">
        <v>2956</v>
      </c>
      <c r="E726" s="184" t="s">
        <v>2967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2968</v>
      </c>
      <c r="B727" s="183">
        <v>2026</v>
      </c>
      <c r="C727" s="183" t="s">
        <v>2697</v>
      </c>
      <c r="D727" s="183" t="s">
        <v>2956</v>
      </c>
      <c r="E727" s="180" t="s">
        <v>2969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2970</v>
      </c>
      <c r="B728" s="183">
        <v>2026</v>
      </c>
      <c r="C728" s="183" t="s">
        <v>2697</v>
      </c>
      <c r="D728" s="183" t="s">
        <v>2956</v>
      </c>
      <c r="E728" s="180" t="s">
        <v>2971</v>
      </c>
      <c r="F728" s="185"/>
      <c r="G728" s="186" t="s">
        <v>2719</v>
      </c>
      <c r="H728" s="191" t="s">
        <v>2972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2973</v>
      </c>
      <c r="B729" s="183">
        <v>2026</v>
      </c>
      <c r="C729" s="183" t="s">
        <v>2697</v>
      </c>
      <c r="D729" s="183" t="s">
        <v>2956</v>
      </c>
      <c r="E729" s="180" t="s">
        <v>2974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2975</v>
      </c>
      <c r="B730" s="183">
        <v>2026</v>
      </c>
      <c r="C730" s="183" t="s">
        <v>2697</v>
      </c>
      <c r="D730" s="183" t="s">
        <v>2956</v>
      </c>
      <c r="E730" s="203" t="s">
        <v>2976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2977</v>
      </c>
      <c r="B731" s="183">
        <v>2026</v>
      </c>
      <c r="C731" s="183" t="s">
        <v>2697</v>
      </c>
      <c r="D731" s="183" t="s">
        <v>2956</v>
      </c>
      <c r="E731" s="203" t="s">
        <v>2978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2979</v>
      </c>
      <c r="B732" s="183">
        <v>2026</v>
      </c>
      <c r="C732" s="183" t="s">
        <v>2697</v>
      </c>
      <c r="D732" s="183"/>
      <c r="E732" s="184" t="s">
        <v>2980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2981</v>
      </c>
      <c r="B733" s="183">
        <v>2026</v>
      </c>
      <c r="C733" s="183" t="s">
        <v>2697</v>
      </c>
      <c r="D733" s="183"/>
      <c r="E733" s="203" t="s">
        <v>2982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2983</v>
      </c>
      <c r="B734" s="183">
        <v>2026</v>
      </c>
      <c r="C734" s="183" t="s">
        <v>2697</v>
      </c>
      <c r="D734" s="183"/>
      <c r="E734" s="184" t="s">
        <v>2984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2985</v>
      </c>
      <c r="E735" s="184" t="s">
        <v>2986</v>
      </c>
      <c r="F735" s="185"/>
      <c r="G735" s="186" t="s">
        <v>206</v>
      </c>
      <c r="H735" s="191" t="s">
        <v>2985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2987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2988</v>
      </c>
      <c r="E736" s="184" t="s">
        <v>2989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2990</v>
      </c>
      <c r="B737" s="183">
        <v>2026</v>
      </c>
      <c r="C737" s="183" t="s">
        <v>2697</v>
      </c>
      <c r="D737" s="183" t="s">
        <v>2991</v>
      </c>
      <c r="E737" s="180" t="s">
        <v>3197</v>
      </c>
      <c r="F737" s="185"/>
      <c r="G737" s="186" t="s">
        <v>79</v>
      </c>
      <c r="H737" s="191" t="s">
        <v>2992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x14ac:dyDescent="0.25">
      <c r="A738" s="191" t="s">
        <v>3188</v>
      </c>
      <c r="B738" s="183">
        <v>2026</v>
      </c>
      <c r="C738" s="183" t="s">
        <v>2697</v>
      </c>
      <c r="D738" s="183" t="s">
        <v>3189</v>
      </c>
      <c r="E738" s="180" t="s">
        <v>3190</v>
      </c>
      <c r="F738" s="185" t="s">
        <v>69</v>
      </c>
      <c r="G738" s="186" t="s">
        <v>2694</v>
      </c>
      <c r="H738" s="191" t="s">
        <v>3191</v>
      </c>
      <c r="I738" s="192">
        <v>46273</v>
      </c>
      <c r="J738" s="192">
        <v>46275</v>
      </c>
      <c r="K738" s="183" t="s">
        <v>38</v>
      </c>
      <c r="L738" s="187"/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3192</v>
      </c>
    </row>
    <row r="739" spans="1:20" ht="15" x14ac:dyDescent="0.25">
      <c r="A739" s="191" t="s">
        <v>3194</v>
      </c>
      <c r="B739" s="183">
        <v>2026</v>
      </c>
      <c r="C739" s="183" t="s">
        <v>2697</v>
      </c>
      <c r="D739" s="183" t="s">
        <v>3193</v>
      </c>
      <c r="E739" s="180" t="s">
        <v>3195</v>
      </c>
      <c r="F739" s="185" t="s">
        <v>24</v>
      </c>
      <c r="G739" s="186" t="s">
        <v>2700</v>
      </c>
      <c r="H739" s="175" t="s">
        <v>3196</v>
      </c>
      <c r="I739" s="192">
        <v>46054</v>
      </c>
      <c r="J739" s="192">
        <v>46267</v>
      </c>
      <c r="K739" s="183" t="s">
        <v>38</v>
      </c>
      <c r="L739" s="187"/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 x14ac:dyDescent="0.25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 x14ac:dyDescent="0.25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 x14ac:dyDescent="0.25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2993</v>
      </c>
      <c r="H1" s="213" t="s">
        <v>2994</v>
      </c>
    </row>
    <row r="2" spans="1:8" x14ac:dyDescent="0.25">
      <c r="H2" s="212" t="s">
        <v>2995</v>
      </c>
    </row>
    <row r="3" spans="1:8" x14ac:dyDescent="0.25">
      <c r="A3" t="s">
        <v>0</v>
      </c>
      <c r="B3" t="s">
        <v>19</v>
      </c>
      <c r="C3" t="s">
        <v>2996</v>
      </c>
      <c r="D3" t="s">
        <v>2997</v>
      </c>
      <c r="E3" t="s">
        <v>2998</v>
      </c>
      <c r="H3" s="212" t="s">
        <v>2999</v>
      </c>
    </row>
    <row r="4" spans="1:8" x14ac:dyDescent="0.25">
      <c r="A4">
        <v>1</v>
      </c>
      <c r="B4" t="s">
        <v>3000</v>
      </c>
      <c r="D4" t="s">
        <v>3001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3002</v>
      </c>
    </row>
    <row r="5" spans="1:8" x14ac:dyDescent="0.25">
      <c r="A5">
        <v>2</v>
      </c>
      <c r="B5" t="s">
        <v>2507</v>
      </c>
      <c r="D5" t="s">
        <v>3001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3003</v>
      </c>
    </row>
    <row r="6" spans="1:8" x14ac:dyDescent="0.25">
      <c r="A6">
        <v>3</v>
      </c>
      <c r="B6" t="s">
        <v>1030</v>
      </c>
      <c r="D6" t="s">
        <v>3001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3004</v>
      </c>
      <c r="D7" t="s">
        <v>3001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3005</v>
      </c>
    </row>
    <row r="8" spans="1:8" x14ac:dyDescent="0.25">
      <c r="A8">
        <v>5</v>
      </c>
      <c r="B8" t="s">
        <v>3006</v>
      </c>
      <c r="D8" t="s">
        <v>3001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3001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3001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3001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2833</v>
      </c>
      <c r="D12" t="s">
        <v>3001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3001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3001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2806</v>
      </c>
      <c r="D15" t="s">
        <v>3001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3001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3001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3001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3001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3001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3001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3001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3007</v>
      </c>
      <c r="D23" t="s">
        <v>3001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3001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3008</v>
      </c>
      <c r="D25" t="s">
        <v>3001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3009</v>
      </c>
      <c r="D26" t="s">
        <v>3001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3001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3001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3010</v>
      </c>
      <c r="D29" t="s">
        <v>3001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3001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3001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3001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3011</v>
      </c>
      <c r="D33" t="s">
        <v>3001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3012</v>
      </c>
      <c r="D34" t="s">
        <v>3001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3001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3001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3001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3013</v>
      </c>
      <c r="D38" t="s">
        <v>3001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3001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3014</v>
      </c>
      <c r="D40" t="s">
        <v>3001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3001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3015</v>
      </c>
      <c r="D42" t="s">
        <v>3001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3001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3001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3016</v>
      </c>
      <c r="D45" t="s">
        <v>3001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3001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3001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3001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3001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3017</v>
      </c>
      <c r="D50" t="s">
        <v>3001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2721</v>
      </c>
      <c r="D51" t="s">
        <v>3001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3018</v>
      </c>
      <c r="D52" t="s">
        <v>3001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3001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3001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3019</v>
      </c>
      <c r="D55" t="s">
        <v>3001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3001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3001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3001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3020</v>
      </c>
      <c r="D59" t="s">
        <v>3001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3001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3001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3001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3021</v>
      </c>
      <c r="D63" t="s">
        <v>3001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3022</v>
      </c>
      <c r="D64" t="s">
        <v>3001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3023</v>
      </c>
      <c r="D65" t="s">
        <v>3001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3024</v>
      </c>
      <c r="D66" t="s">
        <v>3001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2796</v>
      </c>
      <c r="D67" t="s">
        <v>3001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3001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3025</v>
      </c>
      <c r="D69" t="s">
        <v>3001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3026</v>
      </c>
      <c r="D70" t="s">
        <v>3001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3001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3027</v>
      </c>
      <c r="D72" t="s">
        <v>3001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3001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3001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3001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3028</v>
      </c>
      <c r="D76" t="s">
        <v>3001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3001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3001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3001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3001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3029</v>
      </c>
      <c r="D81" t="s">
        <v>3001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3030</v>
      </c>
      <c r="D82" t="s">
        <v>3001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3031</v>
      </c>
      <c r="D83" t="s">
        <v>3001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3032</v>
      </c>
      <c r="D84" t="s">
        <v>3001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3001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3033</v>
      </c>
      <c r="D86" t="s">
        <v>3001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3001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3034</v>
      </c>
      <c r="D88" t="s">
        <v>3001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3035</v>
      </c>
      <c r="D89" t="s">
        <v>3001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3036</v>
      </c>
      <c r="D90" t="s">
        <v>3001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3037</v>
      </c>
      <c r="D91" t="s">
        <v>3001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3038</v>
      </c>
      <c r="D92" t="s">
        <v>3001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3039</v>
      </c>
      <c r="D93" t="s">
        <v>3001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3040</v>
      </c>
      <c r="D94" t="s">
        <v>3001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3041</v>
      </c>
      <c r="D95" t="s">
        <v>3001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3042</v>
      </c>
      <c r="D96" t="s">
        <v>3001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2921</v>
      </c>
      <c r="D97" t="s">
        <v>3001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3043</v>
      </c>
      <c r="D98" t="s">
        <v>3001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2913</v>
      </c>
      <c r="D99" t="s">
        <v>3001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3044</v>
      </c>
      <c r="D100" t="s">
        <v>3001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3045</v>
      </c>
      <c r="D101" t="s">
        <v>3001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3046</v>
      </c>
      <c r="D102" t="s">
        <v>3001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3047</v>
      </c>
      <c r="D103" t="s">
        <v>3001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2715</v>
      </c>
      <c r="D104" t="s">
        <v>3001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3048</v>
      </c>
      <c r="D105" t="s">
        <v>3001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3049</v>
      </c>
      <c r="D106" t="s">
        <v>3001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3050</v>
      </c>
      <c r="D107" t="s">
        <v>3001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2867</v>
      </c>
      <c r="D108" t="s">
        <v>3001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2872</v>
      </c>
      <c r="D109" t="s">
        <v>3001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97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3051</v>
      </c>
      <c r="C1" s="19" t="s">
        <v>3052</v>
      </c>
      <c r="D1" s="19" t="s">
        <v>4</v>
      </c>
      <c r="E1" s="19" t="s">
        <v>3053</v>
      </c>
      <c r="F1" s="19" t="s">
        <v>19</v>
      </c>
      <c r="G1" s="19" t="s">
        <v>3054</v>
      </c>
      <c r="H1" s="19" t="s">
        <v>3055</v>
      </c>
      <c r="I1" s="19" t="s">
        <v>3056</v>
      </c>
      <c r="J1" s="19" t="s">
        <v>3057</v>
      </c>
      <c r="L1" s="112" t="s">
        <v>3058</v>
      </c>
      <c r="M1" s="23">
        <v>2026</v>
      </c>
      <c r="U1" s="80" t="s">
        <v>3059</v>
      </c>
      <c r="V1" s="79"/>
      <c r="X1" s="78" t="s">
        <v>3060</v>
      </c>
      <c r="Y1" s="27"/>
      <c r="Z1" s="27"/>
      <c r="AA1" s="27"/>
      <c r="AC1" s="100" t="s">
        <v>3061</v>
      </c>
    </row>
    <row r="2" spans="1:31" x14ac:dyDescent="0.25">
      <c r="A2" s="21" cm="1">
        <f t="array" aca="1" ref="A2:J121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3062</v>
      </c>
      <c r="M2" s="107" t="s">
        <v>2929</v>
      </c>
      <c r="X2" s="114" t="s">
        <v>3051</v>
      </c>
      <c r="Y2" s="114" t="s">
        <v>19</v>
      </c>
      <c r="Z2" s="114" t="s">
        <v>3063</v>
      </c>
      <c r="AA2" s="114" t="s">
        <v>3064</v>
      </c>
      <c r="AC2" s="115" t="s">
        <v>1</v>
      </c>
      <c r="AD2" s="115" t="s">
        <v>3065</v>
      </c>
      <c r="AE2" s="115" t="s">
        <v>3066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3067</v>
      </c>
      <c r="M3" s="113" t="s">
        <v>3068</v>
      </c>
      <c r="N3" s="113" t="s">
        <v>3069</v>
      </c>
      <c r="O3" s="113" t="s">
        <v>3070</v>
      </c>
      <c r="P3" s="113" t="s">
        <v>3071</v>
      </c>
      <c r="Q3" s="113" t="s">
        <v>3072</v>
      </c>
      <c r="R3" s="113" t="s">
        <v>3073</v>
      </c>
      <c r="S3" s="113" t="s">
        <v>3074</v>
      </c>
      <c r="T3" s="113" t="s">
        <v>3075</v>
      </c>
      <c r="X3" t="s">
        <v>2837</v>
      </c>
      <c r="Y3" t="s">
        <v>3014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2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3" ca="1">_xlfn.VSTACK(0,_xlfn._xlws.FILTER(S4:S200,S4:S200&lt;&gt;""))</f>
        <v>0</v>
      </c>
      <c r="X4" t="s">
        <v>2837</v>
      </c>
      <c r="Y4" t="s">
        <v>2833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2833</v>
      </c>
      <c r="Z5">
        <v>1</v>
      </c>
      <c r="AA5">
        <v>0.6</v>
      </c>
      <c r="AC5" s="97">
        <v>2026</v>
      </c>
      <c r="AD5" s="18" t="s">
        <v>3076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3014</v>
      </c>
      <c r="Z6">
        <v>1</v>
      </c>
      <c r="AA6">
        <v>0</v>
      </c>
      <c r="AC6" s="97">
        <v>2026</v>
      </c>
      <c r="AD6" s="18" t="s">
        <v>3077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2812</v>
      </c>
      <c r="Y7" t="s">
        <v>2796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2943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2943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2943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2943</v>
      </c>
      <c r="Y11" s="18" t="s">
        <v>3008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2943</v>
      </c>
      <c r="Y12" s="18" t="s">
        <v>3026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2952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2952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2952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2952</v>
      </c>
      <c r="Y16" s="18" t="s">
        <v>3008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2952</v>
      </c>
      <c r="Y17" s="18" t="s">
        <v>3026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2948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2948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2948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2948</v>
      </c>
      <c r="Y21" s="18" t="s">
        <v>3008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2948</v>
      </c>
      <c r="Y22" s="18" t="s">
        <v>3026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2834</v>
      </c>
      <c r="Y23" s="18" t="s">
        <v>2833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2834</v>
      </c>
      <c r="Y24" s="18" t="s">
        <v>3014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2841</v>
      </c>
      <c r="Y25" s="18" t="s">
        <v>2833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2841</v>
      </c>
      <c r="Y26" s="18" t="s">
        <v>3014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2797</v>
      </c>
      <c r="Y27" s="18" t="s">
        <v>2796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A realizar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3049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3045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2841</v>
      </c>
      <c r="Y31" s="18" t="s">
        <v>2833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3027</v>
      </c>
      <c r="Z33">
        <v>4</v>
      </c>
      <c r="AA33">
        <v>0.6</v>
      </c>
      <c r="AC33" s="99"/>
      <c r="AD33" s="116" t="s">
        <v>3078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3028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2844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3019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3036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3035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3047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Em andamento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3044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3046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3043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3079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3050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3048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2785</v>
      </c>
      <c r="Y55" t="s">
        <v>3035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2750</v>
      </c>
      <c r="Y58" s="110" t="s">
        <v>3042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2750</v>
      </c>
      <c r="Y59" t="s">
        <v>3041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 - SGDI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2750</v>
      </c>
      <c r="Y60" t="s">
        <v>3040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119</v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2026-083</v>
      </c>
      <c r="N62" t="str">
        <f ca="1"/>
        <v>A realizar</v>
      </c>
      <c r="O62" t="str">
        <f ca="1"/>
        <v>Oficina básica de Power Automate</v>
      </c>
      <c r="P62">
        <f ca="1"/>
        <v>9</v>
      </c>
      <c r="Q62" t="str">
        <f ca="1"/>
        <v>Josdeyvi Magalhães Russi</v>
      </c>
      <c r="R62">
        <f ca="1"/>
        <v>1</v>
      </c>
      <c r="S62">
        <f ca="1"/>
        <v>120</v>
      </c>
      <c r="T62">
        <f ca="1"/>
        <v>119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R63" t="str">
        <f ca="1"/>
        <v/>
      </c>
      <c r="S63" t="str">
        <f ca="1"/>
        <v/>
      </c>
      <c r="T63">
        <f ca="1"/>
        <v>120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R64" t="str">
        <f ca="1"/>
        <v/>
      </c>
      <c r="S64" t="str">
        <f ca="1"/>
        <v/>
      </c>
      <c r="X64" t="s">
        <v>2702</v>
      </c>
      <c r="Y64" t="s">
        <v>3032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R65" t="str">
        <f ca="1"/>
        <v/>
      </c>
      <c r="S65" t="str">
        <f ca="1"/>
        <v/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2955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2955</v>
      </c>
      <c r="Y68" t="s">
        <v>3030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2790</v>
      </c>
      <c r="Y69" t="s">
        <v>2796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2824</v>
      </c>
      <c r="Y70" s="18" t="s">
        <v>2833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2824</v>
      </c>
      <c r="Y71" s="18" t="s">
        <v>3014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3019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2800</v>
      </c>
      <c r="Y75" t="s">
        <v>2796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3033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 para servidores do GDF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 para servidores do GDF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2885</v>
      </c>
      <c r="Y79" t="s">
        <v>3037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3034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3038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</v>
      </c>
      <c r="E87">
        <f ca="1"/>
        <v>4</v>
      </c>
      <c r="F87" t="str">
        <f ca="1"/>
        <v>0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2026-056</v>
      </c>
      <c r="C88" t="str">
        <f ca="1"/>
        <v>Em andamento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(Fernanda e Túlio)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 - SGDI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2026-082</v>
      </c>
      <c r="C119" t="str">
        <f ca="1"/>
        <v>A realizar</v>
      </c>
      <c r="D119" t="str">
        <f ca="1"/>
        <v>Curso de formação para gestores e fiscais de contrato nas unidades hospitalares – Turma 4</v>
      </c>
      <c r="E119">
        <f ca="1"/>
        <v>12</v>
      </c>
      <c r="F119" t="str">
        <f ca="1"/>
        <v>Luciana Alvim</v>
      </c>
      <c r="G119">
        <f ca="1"/>
        <v>2</v>
      </c>
      <c r="H119">
        <f ca="1"/>
        <v>12</v>
      </c>
      <c r="I119">
        <f ca="1"/>
        <v>3.5999999999999996</v>
      </c>
      <c r="J119">
        <f ca="1"/>
        <v>15.6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2026-082</v>
      </c>
      <c r="C120" t="str">
        <f ca="1"/>
        <v>A realizar</v>
      </c>
      <c r="D120" t="str">
        <f ca="1"/>
        <v>Curso de formação para gestores e fiscais de contrato nas unidades hospitalares – Turma 4</v>
      </c>
      <c r="E120">
        <f ca="1"/>
        <v>12</v>
      </c>
      <c r="F120" t="str">
        <f ca="1"/>
        <v>Tarsila Firmino Ely</v>
      </c>
      <c r="G120">
        <f ca="1"/>
        <v>2</v>
      </c>
      <c r="H120">
        <f ca="1"/>
        <v>12</v>
      </c>
      <c r="I120">
        <f ca="1"/>
        <v>3.5999999999999996</v>
      </c>
      <c r="J120">
        <f ca="1"/>
        <v>15.6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2026-083</v>
      </c>
      <c r="C121" t="str">
        <f ca="1"/>
        <v>A realizar</v>
      </c>
      <c r="D121" t="str">
        <f ca="1"/>
        <v>Oficina básica de Power Automate</v>
      </c>
      <c r="E121">
        <f ca="1"/>
        <v>9</v>
      </c>
      <c r="F121" t="str">
        <f ca="1"/>
        <v>Josdeyvi Magalhães Russi</v>
      </c>
      <c r="G121">
        <f ca="1"/>
        <v>1</v>
      </c>
      <c r="H121">
        <f ca="1"/>
        <v>9</v>
      </c>
      <c r="I121">
        <f ca="1"/>
        <v>2.6999999999999997</v>
      </c>
      <c r="J121">
        <f ca="1"/>
        <v>11.7</v>
      </c>
      <c r="R121" t="str">
        <f ca="1"/>
        <v/>
      </c>
      <c r="S121" t="str">
        <f ca="1"/>
        <v/>
      </c>
    </row>
    <row r="122" spans="1:19" x14ac:dyDescent="0.25">
      <c r="R122" t="str">
        <f ca="1"/>
        <v/>
      </c>
      <c r="S122" t="str">
        <f ca="1"/>
        <v/>
      </c>
    </row>
    <row r="123" spans="1:19" x14ac:dyDescent="0.25">
      <c r="R123" t="str">
        <f ca="1"/>
        <v/>
      </c>
      <c r="S123" t="str">
        <f ca="1"/>
        <v/>
      </c>
    </row>
    <row r="124" spans="1:19" x14ac:dyDescent="0.25">
      <c r="R124" t="str">
        <f ca="1"/>
        <v/>
      </c>
      <c r="S124" t="str">
        <f ca="1"/>
        <v/>
      </c>
    </row>
    <row r="125" spans="1:19" x14ac:dyDescent="0.25">
      <c r="R125" t="str">
        <f ca="1"/>
        <v/>
      </c>
      <c r="S125" t="str">
        <f ca="1"/>
        <v/>
      </c>
    </row>
    <row r="126" spans="1:19" x14ac:dyDescent="0.25"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0" t="s">
        <v>3080</v>
      </c>
      <c r="B1" s="230"/>
      <c r="C1" s="230"/>
      <c r="D1" s="230"/>
      <c r="E1" s="230"/>
      <c r="F1" s="230"/>
      <c r="G1" s="230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1" t="s">
        <v>3081</v>
      </c>
      <c r="B4" s="232"/>
      <c r="D4" s="233" t="s">
        <v>3082</v>
      </c>
      <c r="E4" s="234"/>
      <c r="G4" s="45" t="s">
        <v>3083</v>
      </c>
    </row>
    <row r="5" spans="1:7" ht="54.95" customHeight="1" thickBot="1" x14ac:dyDescent="0.75">
      <c r="A5" s="35">
        <f>COUNTIF('Ações InCompany'!B:B,2026)</f>
        <v>83</v>
      </c>
      <c r="B5" s="36" t="s">
        <v>3084</v>
      </c>
      <c r="D5" s="43">
        <f>COUNTIFS('Ações InCompany'!B:B,2026,'Ações InCompany'!C:C,"Realizado")</f>
        <v>51</v>
      </c>
      <c r="E5" s="44" t="s">
        <v>3084</v>
      </c>
      <c r="G5" s="46">
        <f>COUNTIFS('Ações InCompany'!B:B,2026,'Ações InCompany'!C:C,"A realizar")</f>
        <v>28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8" t="s">
        <v>3085</v>
      </c>
      <c r="B8" s="228"/>
      <c r="D8" s="228" t="s">
        <v>3086</v>
      </c>
      <c r="E8" s="228"/>
    </row>
    <row r="9" spans="1:7" ht="5.0999999999999996" customHeight="1" x14ac:dyDescent="0.25">
      <c r="A9" s="229"/>
      <c r="B9" s="229"/>
      <c r="D9" s="229"/>
      <c r="E9" s="229"/>
    </row>
    <row r="10" spans="1:7" ht="24.95" customHeight="1" x14ac:dyDescent="0.25">
      <c r="A10" s="28" t="s">
        <v>5</v>
      </c>
      <c r="B10" s="28" t="s">
        <v>3087</v>
      </c>
      <c r="D10" s="28" t="s">
        <v>3088</v>
      </c>
      <c r="E10" s="28" t="s">
        <v>3089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3090</v>
      </c>
      <c r="E11" s="30">
        <f>SUMIFS('Ações InCompany'!O:O,'Ações InCompany'!B:B,2026,'Ações InCompany'!C:C,"Realizado")</f>
        <v>772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3091</v>
      </c>
      <c r="E12" s="32">
        <f>SUMIFS('Ações InCompany'!P:P,'Ações InCompany'!B:B,2026,'Ações InCompany'!C:C,"Realizado")</f>
        <v>1486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8</v>
      </c>
      <c r="D13" s="29" t="s">
        <v>3092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3093</v>
      </c>
      <c r="B14" s="34">
        <f>SUM(B11:B13)</f>
        <v>49</v>
      </c>
      <c r="D14" s="33" t="s">
        <v>3094</v>
      </c>
      <c r="E14" s="34">
        <f>SUM(E11:E13)</f>
        <v>2768</v>
      </c>
    </row>
    <row r="30" spans="1:5" ht="17.25" x14ac:dyDescent="0.3">
      <c r="A30" s="228" t="s">
        <v>3095</v>
      </c>
      <c r="B30" s="228"/>
      <c r="C30" s="228"/>
      <c r="D30" s="228"/>
      <c r="E30" s="228"/>
    </row>
    <row r="31" spans="1:5" ht="5.0999999999999996" customHeight="1" x14ac:dyDescent="0.25">
      <c r="A31" s="229"/>
      <c r="B31" s="229"/>
      <c r="C31" s="229"/>
      <c r="D31" s="229"/>
      <c r="E31" s="229"/>
    </row>
    <row r="32" spans="1:5" ht="24.95" customHeight="1" x14ac:dyDescent="0.25">
      <c r="A32" s="28" t="s">
        <v>6</v>
      </c>
      <c r="B32" s="28" t="s">
        <v>3096</v>
      </c>
      <c r="C32" s="28" t="s">
        <v>3097</v>
      </c>
      <c r="D32" s="28" t="s">
        <v>3098</v>
      </c>
      <c r="E32" s="28" t="s">
        <v>3099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5</v>
      </c>
      <c r="D33" s="37">
        <f t="shared" ref="D33:D44" si="0">B33+C33</f>
        <v>22</v>
      </c>
      <c r="E33" s="38">
        <f t="shared" ref="E33:E44" si="1">D33/$D$45</f>
        <v>0.27848101265822783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6.3291139240506333E-2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2</v>
      </c>
      <c r="D35" s="37">
        <f t="shared" si="0"/>
        <v>7</v>
      </c>
      <c r="E35" s="38">
        <f t="shared" si="1"/>
        <v>8.8607594936708861E-2</v>
      </c>
    </row>
    <row r="36" spans="1:5" ht="24" customHeight="1" x14ac:dyDescent="0.25">
      <c r="A36" s="31" t="s">
        <v>2794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2.5316455696202531E-2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3</v>
      </c>
      <c r="D37" s="37">
        <f t="shared" si="0"/>
        <v>6</v>
      </c>
      <c r="E37" s="38">
        <f t="shared" si="1"/>
        <v>7.5949367088607597E-2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9</v>
      </c>
      <c r="C38" s="48">
        <f>COUNTIFS('Ações InCompany'!B:B,2026,'Ações InCompany'!C:C,"A realizar",'Ações InCompany'!G:G,A38)</f>
        <v>12</v>
      </c>
      <c r="D38" s="39">
        <f t="shared" si="0"/>
        <v>21</v>
      </c>
      <c r="E38" s="40">
        <f t="shared" si="1"/>
        <v>0.26582278481012656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5.0632911392405063E-2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2.5316455696202531E-2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2</v>
      </c>
      <c r="D41" s="70">
        <f>B41+C41</f>
        <v>8</v>
      </c>
      <c r="E41" s="76">
        <f>D41/$D$45</f>
        <v>0.10126582278481013</v>
      </c>
    </row>
    <row r="42" spans="1:5" ht="24" customHeight="1" x14ac:dyDescent="0.25">
      <c r="A42" s="75" t="s">
        <v>3100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2.5316455696202531E-2</v>
      </c>
    </row>
    <row r="44" spans="1:5" ht="24" customHeight="1" x14ac:dyDescent="0.25">
      <c r="A44" s="67" t="s">
        <v>3101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3093</v>
      </c>
      <c r="B45" s="41">
        <f>SUM(B33:B44)</f>
        <v>51</v>
      </c>
      <c r="C45" s="41">
        <f>SUM(C33:C44)</f>
        <v>28</v>
      </c>
      <c r="D45" s="41">
        <f>SUM(D33:D44)</f>
        <v>79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3102</v>
      </c>
      <c r="B1" s="12" t="s">
        <v>3103</v>
      </c>
      <c r="C1" s="13" t="s">
        <v>3104</v>
      </c>
      <c r="D1" s="13" t="s">
        <v>3105</v>
      </c>
      <c r="E1" s="13" t="s">
        <v>3106</v>
      </c>
    </row>
    <row r="2" spans="1:5" ht="18" customHeight="1" x14ac:dyDescent="0.25">
      <c r="A2" s="12" t="s">
        <v>3107</v>
      </c>
      <c r="B2" s="12" t="s">
        <v>3108</v>
      </c>
      <c r="C2" s="12" t="s">
        <v>1736</v>
      </c>
      <c r="D2" s="12" t="s">
        <v>3109</v>
      </c>
      <c r="E2" s="12" t="s">
        <v>3110</v>
      </c>
    </row>
    <row r="3" spans="1:5" ht="18" customHeight="1" x14ac:dyDescent="0.25">
      <c r="A3" s="12" t="s">
        <v>3107</v>
      </c>
      <c r="B3" s="12" t="s">
        <v>3108</v>
      </c>
      <c r="C3" s="14" t="s">
        <v>25</v>
      </c>
      <c r="D3" s="12" t="s">
        <v>3111</v>
      </c>
      <c r="E3" s="12" t="s">
        <v>3112</v>
      </c>
    </row>
    <row r="4" spans="1:5" ht="18" customHeight="1" x14ac:dyDescent="0.25">
      <c r="A4" s="12" t="s">
        <v>3107</v>
      </c>
      <c r="B4" s="12" t="s">
        <v>3108</v>
      </c>
      <c r="C4" s="12" t="s">
        <v>75</v>
      </c>
      <c r="D4" s="12" t="s">
        <v>3109</v>
      </c>
      <c r="E4" s="12" t="s">
        <v>3113</v>
      </c>
    </row>
    <row r="5" spans="1:5" ht="18" customHeight="1" x14ac:dyDescent="0.25">
      <c r="A5" s="12" t="s">
        <v>3107</v>
      </c>
      <c r="B5" s="12" t="s">
        <v>3108</v>
      </c>
      <c r="C5" s="12" t="s">
        <v>79</v>
      </c>
      <c r="D5" s="12" t="s">
        <v>3114</v>
      </c>
      <c r="E5" s="12" t="s">
        <v>3115</v>
      </c>
    </row>
    <row r="6" spans="1:5" ht="18" customHeight="1" x14ac:dyDescent="0.25">
      <c r="A6" s="12" t="s">
        <v>3107</v>
      </c>
      <c r="B6" s="12" t="s">
        <v>3108</v>
      </c>
      <c r="C6" s="12" t="s">
        <v>2719</v>
      </c>
      <c r="D6" s="12" t="s">
        <v>3116</v>
      </c>
      <c r="E6" s="12" t="s">
        <v>3117</v>
      </c>
    </row>
    <row r="7" spans="1:5" ht="18" customHeight="1" x14ac:dyDescent="0.25">
      <c r="A7" s="12" t="s">
        <v>3107</v>
      </c>
      <c r="B7" s="12" t="s">
        <v>3118</v>
      </c>
      <c r="C7" s="12" t="s">
        <v>36</v>
      </c>
      <c r="D7" s="12" t="s">
        <v>3119</v>
      </c>
      <c r="E7" s="12" t="s">
        <v>3120</v>
      </c>
    </row>
    <row r="8" spans="1:5" ht="18" customHeight="1" x14ac:dyDescent="0.25">
      <c r="A8" s="12" t="s">
        <v>3107</v>
      </c>
      <c r="B8" s="12" t="s">
        <v>3118</v>
      </c>
      <c r="C8" s="12" t="s">
        <v>42</v>
      </c>
      <c r="D8" s="12" t="s">
        <v>3121</v>
      </c>
      <c r="E8" s="12" t="s">
        <v>3122</v>
      </c>
    </row>
    <row r="9" spans="1:5" ht="18" customHeight="1" x14ac:dyDescent="0.25">
      <c r="A9" s="12" t="s">
        <v>3107</v>
      </c>
      <c r="B9" s="12" t="s">
        <v>3123</v>
      </c>
      <c r="C9" s="12" t="s">
        <v>464</v>
      </c>
      <c r="D9" s="12" t="s">
        <v>3124</v>
      </c>
      <c r="E9" s="12" t="s">
        <v>3125</v>
      </c>
    </row>
    <row r="10" spans="1:5" ht="18" customHeight="1" x14ac:dyDescent="0.25">
      <c r="A10" s="12" t="s">
        <v>3107</v>
      </c>
      <c r="B10" s="12" t="s">
        <v>3123</v>
      </c>
      <c r="C10" s="12" t="s">
        <v>206</v>
      </c>
      <c r="D10" s="12" t="s">
        <v>24</v>
      </c>
      <c r="E10" s="12" t="s">
        <v>3126</v>
      </c>
    </row>
    <row r="11" spans="1:5" ht="18" customHeight="1" x14ac:dyDescent="0.25">
      <c r="A11" s="12" t="s">
        <v>3107</v>
      </c>
      <c r="B11" s="12" t="s">
        <v>3123</v>
      </c>
      <c r="C11" s="12" t="s">
        <v>371</v>
      </c>
      <c r="D11" s="12" t="s">
        <v>24</v>
      </c>
      <c r="E11" s="12" t="s">
        <v>3127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3128</v>
      </c>
      <c r="B1" s="5" t="s">
        <v>10</v>
      </c>
      <c r="C1" s="15" t="s">
        <v>3129</v>
      </c>
      <c r="D1" s="15" t="s">
        <v>3052</v>
      </c>
    </row>
    <row r="2" spans="1:4" ht="21" customHeight="1" x14ac:dyDescent="0.25">
      <c r="A2" s="103" t="s">
        <v>24</v>
      </c>
      <c r="B2" s="103" t="s">
        <v>38</v>
      </c>
      <c r="C2" s="12" t="s">
        <v>3130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3131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2791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3132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3102</v>
      </c>
      <c r="B1" s="12" t="s">
        <v>3103</v>
      </c>
      <c r="C1" s="13" t="s">
        <v>3104</v>
      </c>
      <c r="D1" s="13" t="s">
        <v>3105</v>
      </c>
      <c r="E1" s="13" t="s">
        <v>3106</v>
      </c>
    </row>
    <row r="2" spans="1:5" ht="18" customHeight="1" x14ac:dyDescent="0.25">
      <c r="A2" s="12" t="s">
        <v>3133</v>
      </c>
      <c r="B2" s="12" t="s">
        <v>3108</v>
      </c>
      <c r="C2" s="14" t="s">
        <v>25</v>
      </c>
      <c r="D2" s="12" t="s">
        <v>3109</v>
      </c>
      <c r="E2" s="17" t="s">
        <v>3134</v>
      </c>
    </row>
    <row r="3" spans="1:5" ht="18" customHeight="1" x14ac:dyDescent="0.25">
      <c r="A3" s="12" t="s">
        <v>3133</v>
      </c>
      <c r="B3" s="12" t="s">
        <v>3108</v>
      </c>
      <c r="C3" s="12" t="s">
        <v>75</v>
      </c>
      <c r="D3" s="12" t="s">
        <v>3111</v>
      </c>
      <c r="E3" s="12" t="s">
        <v>3135</v>
      </c>
    </row>
    <row r="4" spans="1:5" ht="18" customHeight="1" x14ac:dyDescent="0.25">
      <c r="A4" s="12" t="s">
        <v>3133</v>
      </c>
      <c r="B4" s="12" t="s">
        <v>3108</v>
      </c>
      <c r="C4" s="12" t="s">
        <v>79</v>
      </c>
      <c r="D4" s="12" t="s">
        <v>3114</v>
      </c>
      <c r="E4" s="12" t="s">
        <v>3136</v>
      </c>
    </row>
    <row r="5" spans="1:5" ht="27.75" customHeight="1" x14ac:dyDescent="0.25">
      <c r="A5" s="12" t="s">
        <v>3133</v>
      </c>
      <c r="B5" s="12" t="s">
        <v>3108</v>
      </c>
      <c r="C5" s="12" t="s">
        <v>2694</v>
      </c>
      <c r="D5" s="17" t="s">
        <v>3137</v>
      </c>
      <c r="E5" s="12" t="s">
        <v>3138</v>
      </c>
    </row>
    <row r="6" spans="1:5" ht="18" customHeight="1" x14ac:dyDescent="0.25">
      <c r="A6" s="12" t="s">
        <v>3133</v>
      </c>
      <c r="B6" s="12" t="s">
        <v>3108</v>
      </c>
      <c r="C6" s="12" t="s">
        <v>2719</v>
      </c>
      <c r="D6" s="12" t="s">
        <v>3116</v>
      </c>
      <c r="E6" s="12" t="s">
        <v>3117</v>
      </c>
    </row>
    <row r="7" spans="1:5" ht="18" customHeight="1" x14ac:dyDescent="0.25">
      <c r="A7" s="12" t="s">
        <v>3133</v>
      </c>
      <c r="B7" s="12" t="s">
        <v>3118</v>
      </c>
      <c r="C7" s="12" t="s">
        <v>2700</v>
      </c>
      <c r="D7" s="12" t="s">
        <v>3139</v>
      </c>
      <c r="E7" s="12" t="s">
        <v>3140</v>
      </c>
    </row>
    <row r="8" spans="1:5" ht="18" customHeight="1" x14ac:dyDescent="0.25">
      <c r="A8" s="12" t="s">
        <v>3133</v>
      </c>
      <c r="B8" s="12" t="s">
        <v>3118</v>
      </c>
      <c r="C8" s="12" t="s">
        <v>42</v>
      </c>
      <c r="D8" s="12" t="s">
        <v>3121</v>
      </c>
      <c r="E8" s="12" t="s">
        <v>3122</v>
      </c>
    </row>
    <row r="9" spans="1:5" ht="18" customHeight="1" x14ac:dyDescent="0.25">
      <c r="A9" s="12" t="s">
        <v>3133</v>
      </c>
      <c r="B9" s="12" t="s">
        <v>3118</v>
      </c>
      <c r="C9" s="12" t="s">
        <v>2794</v>
      </c>
      <c r="D9" s="12" t="s">
        <v>3141</v>
      </c>
      <c r="E9" s="17" t="s">
        <v>3142</v>
      </c>
    </row>
    <row r="10" spans="1:5" ht="18" customHeight="1" x14ac:dyDescent="0.25">
      <c r="A10" s="12" t="s">
        <v>3133</v>
      </c>
      <c r="B10" s="12" t="s">
        <v>3143</v>
      </c>
      <c r="C10" s="12" t="s">
        <v>3100</v>
      </c>
      <c r="D10" s="12" t="s">
        <v>3144</v>
      </c>
      <c r="E10" s="17" t="s">
        <v>3145</v>
      </c>
    </row>
    <row r="11" spans="1:5" ht="18" customHeight="1" x14ac:dyDescent="0.25">
      <c r="A11" s="12" t="s">
        <v>3133</v>
      </c>
      <c r="B11" s="12" t="s">
        <v>3143</v>
      </c>
      <c r="C11" s="12" t="s">
        <v>206</v>
      </c>
      <c r="D11" s="12" t="s">
        <v>24</v>
      </c>
      <c r="E11" s="12" t="s">
        <v>3126</v>
      </c>
    </row>
    <row r="12" spans="1:5" ht="18" customHeight="1" x14ac:dyDescent="0.25">
      <c r="A12" s="12" t="s">
        <v>3133</v>
      </c>
      <c r="B12" s="12" t="s">
        <v>3143</v>
      </c>
      <c r="C12" s="12" t="s">
        <v>371</v>
      </c>
      <c r="D12" s="12" t="s">
        <v>24</v>
      </c>
      <c r="E12" s="12" t="s">
        <v>3127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5" t="s">
        <v>3146</v>
      </c>
      <c r="B1" s="235"/>
      <c r="C1" s="235"/>
      <c r="D1" s="235"/>
      <c r="E1" s="235"/>
      <c r="F1" s="235"/>
      <c r="G1" s="235"/>
      <c r="H1" s="235"/>
    </row>
    <row r="2" spans="1:8" x14ac:dyDescent="0.25">
      <c r="A2" s="49" t="s">
        <v>3147</v>
      </c>
    </row>
    <row r="4" spans="1:8" ht="21.95" customHeight="1" x14ac:dyDescent="0.25">
      <c r="A4" s="236" t="s">
        <v>3148</v>
      </c>
      <c r="B4" s="237"/>
      <c r="D4" s="236" t="s">
        <v>3149</v>
      </c>
      <c r="E4" s="237"/>
      <c r="G4" s="236" t="s">
        <v>3150</v>
      </c>
      <c r="H4" s="237"/>
    </row>
    <row r="5" spans="1:8" ht="35.1" customHeight="1" x14ac:dyDescent="0.25">
      <c r="A5" s="240">
        <f>COUNTIF('Ações InCompany'!E:E,"*maratona*")</f>
        <v>13</v>
      </c>
      <c r="B5" s="239"/>
      <c r="D5" s="238">
        <f>SUM(H8:H100)</f>
        <v>1762</v>
      </c>
      <c r="E5" s="239"/>
      <c r="G5" s="238">
        <f>IFERROR(ROUND(D5/A5,0),"-")</f>
        <v>136</v>
      </c>
      <c r="H5" s="239"/>
    </row>
    <row r="6" spans="1:8" ht="9.9499999999999993" customHeight="1" x14ac:dyDescent="0.25"/>
    <row r="7" spans="1:8" ht="24.95" customHeight="1" thickBot="1" x14ac:dyDescent="0.3">
      <c r="A7" s="62" t="s">
        <v>3151</v>
      </c>
      <c r="B7" s="62" t="s">
        <v>3152</v>
      </c>
      <c r="C7" s="62" t="s">
        <v>1</v>
      </c>
      <c r="D7" s="62" t="s">
        <v>3153</v>
      </c>
      <c r="E7" s="62" t="s">
        <v>3154</v>
      </c>
      <c r="F7" s="62" t="s">
        <v>3052</v>
      </c>
      <c r="G7" s="62" t="s">
        <v>5</v>
      </c>
      <c r="H7" s="62" t="s">
        <v>3155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1" t="s">
        <v>3156</v>
      </c>
      <c r="B1" s="241"/>
      <c r="C1" s="241"/>
      <c r="D1" s="241"/>
      <c r="E1" s="241"/>
      <c r="F1" s="241"/>
    </row>
    <row r="2" spans="1:7" x14ac:dyDescent="0.25">
      <c r="A2" s="242" t="s">
        <v>3157</v>
      </c>
      <c r="B2" s="242"/>
      <c r="C2" s="242"/>
      <c r="D2" s="242"/>
      <c r="E2" s="242"/>
      <c r="F2" s="242"/>
    </row>
    <row r="4" spans="1:7" x14ac:dyDescent="0.25">
      <c r="A4" s="25" t="s">
        <v>19</v>
      </c>
      <c r="B4" s="25" t="s">
        <v>3055</v>
      </c>
      <c r="C4" s="25" t="s">
        <v>3056</v>
      </c>
      <c r="D4" s="25" t="s">
        <v>3158</v>
      </c>
      <c r="E4" s="25" t="s">
        <v>3057</v>
      </c>
      <c r="F4" s="25" t="s">
        <v>3159</v>
      </c>
    </row>
    <row r="5" spans="1:7" x14ac:dyDescent="0.25">
      <c r="A5" t="str" cm="1">
        <f t="array" aca="1" ref="A5:A56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 x14ac:dyDescent="0.25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 x14ac:dyDescent="0.25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 x14ac:dyDescent="0.25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 x14ac:dyDescent="0.25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 x14ac:dyDescent="0.25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 x14ac:dyDescent="0.25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 x14ac:dyDescent="0.25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 x14ac:dyDescent="0.25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 x14ac:dyDescent="0.25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 x14ac:dyDescent="0.25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 x14ac:dyDescent="0.25">
      <c r="A21" t="str">
        <f ca="1"/>
        <v>Eustáquio Rabelo de Souza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Felipe da Costa Malaquias</v>
      </c>
      <c r="B22" s="26">
        <f ca="1">IF($A22="","",SUMIFS('GECC 2026'!H$2:H$200,'GECC 2026'!F$2:F$200,$A22))</f>
        <v>16</v>
      </c>
      <c r="C22" s="26">
        <f ca="1">IF($A22="","",SUMIFS('GECC 2026'!I$2:I$200,'GECC 2026'!F$2:F$200,$A22))</f>
        <v>24.099999999999998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40.1</v>
      </c>
      <c r="F22" s="24">
        <f ca="1">IF($A22="","",COUNTIFS('GECC 2026'!F$2:F$200,$A22))</f>
        <v>3</v>
      </c>
    </row>
    <row r="23" spans="1:6" x14ac:dyDescent="0.25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 x14ac:dyDescent="0.25">
      <c r="A24" t="str">
        <f ca="1"/>
        <v>Fernanda Viana de Souza</v>
      </c>
      <c r="B24" s="26">
        <f ca="1">IF($A24="","",SUMIFS('GECC 2026'!H$2:H$200,'GECC 2026'!F$2:F$200,$A24))</f>
        <v>21</v>
      </c>
      <c r="C24" s="26">
        <f ca="1">IF($A24="","",SUMIFS('GECC 2026'!I$2:I$200,'GECC 2026'!F$2:F$200,$A24))</f>
        <v>6.3000000000000007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27.299999999999997</v>
      </c>
      <c r="F24" s="24">
        <f ca="1">IF($A24="","",COUNTIFS('GECC 2026'!F$2:F$200,$A24))</f>
        <v>6</v>
      </c>
    </row>
    <row r="25" spans="1:6" x14ac:dyDescent="0.25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2.4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10.4</v>
      </c>
      <c r="F25" s="24">
        <f ca="1">IF($A25="","",COUNTIFS('GECC 2026'!F$2:F$200,$A25))</f>
        <v>1</v>
      </c>
    </row>
    <row r="26" spans="1:6" x14ac:dyDescent="0.25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 x14ac:dyDescent="0.25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 x14ac:dyDescent="0.25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 x14ac:dyDescent="0.25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 x14ac:dyDescent="0.25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 x14ac:dyDescent="0.25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 x14ac:dyDescent="0.25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 x14ac:dyDescent="0.25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 x14ac:dyDescent="0.25">
      <c r="A34" t="str">
        <f ca="1"/>
        <v>Josdeyvi Magalhães Russi</v>
      </c>
      <c r="B34" s="26">
        <f ca="1">IF($A34="","",SUMIFS('GECC 2026'!H$2:H$200,'GECC 2026'!F$2:F$200,$A34))</f>
        <v>9</v>
      </c>
      <c r="C34" s="26">
        <f ca="1">IF($A34="","",SUMIFS('GECC 2026'!I$2:I$200,'GECC 2026'!F$2:F$200,$A34))</f>
        <v>2.6999999999999997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11.7</v>
      </c>
      <c r="F34" s="24">
        <f ca="1">IF($A34="","",COUNTIFS('GECC 2026'!F$2:F$200,$A34))</f>
        <v>1</v>
      </c>
    </row>
    <row r="35" spans="1:6" x14ac:dyDescent="0.25">
      <c r="A35" t="str">
        <f ca="1"/>
        <v>José Roberto Alcuri Júnior</v>
      </c>
      <c r="B35" s="26">
        <f ca="1">IF($A35="","",SUMIFS('GECC 2026'!H$2:H$200,'GECC 2026'!F$2:F$200,$A35))</f>
        <v>1</v>
      </c>
      <c r="C35" s="26">
        <f ca="1">IF($A35="","",SUMIFS('GECC 2026'!I$2:I$200,'GECC 2026'!F$2:F$200,$A35))</f>
        <v>0.3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1.3</v>
      </c>
      <c r="F35" s="24">
        <f ca="1">IF($A35="","",COUNTIFS('GECC 2026'!F$2:F$200,$A35))</f>
        <v>2</v>
      </c>
    </row>
    <row r="36" spans="1:6" x14ac:dyDescent="0.25">
      <c r="A36" t="str">
        <f ca="1"/>
        <v>Leonardo de Melo</v>
      </c>
      <c r="B36" s="26">
        <f ca="1">IF($A36="","",SUMIFS('GECC 2026'!H$2:H$200,'GECC 2026'!F$2:F$200,$A36))</f>
        <v>0</v>
      </c>
      <c r="C36" s="26">
        <f ca="1">IF($A36="","",SUMIFS('GECC 2026'!I$2:I$200,'GECC 2026'!F$2:F$200,$A36))</f>
        <v>0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0</v>
      </c>
      <c r="F36" s="24">
        <f ca="1">IF($A36="","",COUNTIFS('GECC 2026'!F$2:F$200,$A36))</f>
        <v>2</v>
      </c>
    </row>
    <row r="37" spans="1:6" x14ac:dyDescent="0.25">
      <c r="A37" t="str">
        <f ca="1"/>
        <v>Leonardo José Alves Leal Neri</v>
      </c>
      <c r="B37" s="26">
        <f ca="1">IF($A37="","",SUMIFS('GECC 2026'!H$2:H$200,'GECC 2026'!F$2:F$200,$A37))</f>
        <v>40</v>
      </c>
      <c r="C37" s="26">
        <f ca="1">IF($A37="","",SUMIFS('GECC 2026'!I$2:I$200,'GECC 2026'!F$2:F$200,$A37))</f>
        <v>12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52</v>
      </c>
      <c r="F37" s="24">
        <f ca="1">IF($A37="","",COUNTIFS('GECC 2026'!F$2:F$200,$A37))</f>
        <v>2</v>
      </c>
    </row>
    <row r="38" spans="1:6" x14ac:dyDescent="0.25">
      <c r="A38" t="str">
        <f ca="1"/>
        <v>Luciana Alvim</v>
      </c>
      <c r="B38" s="26">
        <f ca="1">IF($A38="","",SUMIFS('GECC 2026'!H$2:H$200,'GECC 2026'!F$2:F$200,$A38))</f>
        <v>72</v>
      </c>
      <c r="C38" s="26">
        <f ca="1">IF($A38="","",SUMIFS('GECC 2026'!I$2:I$200,'GECC 2026'!F$2:F$200,$A38))</f>
        <v>77.599999999999994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149.6</v>
      </c>
      <c r="F38" s="24">
        <f ca="1">IF($A38="","",COUNTIFS('GECC 2026'!F$2:F$200,$A38))</f>
        <v>7</v>
      </c>
    </row>
    <row r="39" spans="1:6" x14ac:dyDescent="0.25">
      <c r="A39" t="str">
        <f ca="1"/>
        <v>Marcelo Bálbio Moraes</v>
      </c>
      <c r="B39" s="26">
        <f ca="1">IF($A39="","",SUMIFS('GECC 2026'!H$2:H$200,'GECC 2026'!F$2:F$200,$A39))</f>
        <v>0</v>
      </c>
      <c r="C39" s="26">
        <f ca="1">IF($A39="","",SUMIFS('GECC 2026'!I$2:I$200,'GECC 2026'!F$2:F$200,$A39))</f>
        <v>0</v>
      </c>
      <c r="D39" s="101">
        <f ca="1">IF($A39="","",SUMIFS('GECC 2026'!$AE$3:$AE$32,'GECC 2026'!$AD$3:$AD$32,$A39))</f>
        <v>16</v>
      </c>
      <c r="E39" s="93">
        <f ca="1">IF($A39="","",SUMIFS('GECC 2026'!J$2:J$200,'GECC 2026'!F$2:F$200,$A39)+SUMIFS('GECC 2026'!$AE$3:$AE$32,'GECC 2026'!$AD$3:$AD$32,$A39))</f>
        <v>16</v>
      </c>
      <c r="F39" s="24">
        <f ca="1">IF($A39="","",COUNTIFS('GECC 2026'!F$2:F$200,$A39))</f>
        <v>0</v>
      </c>
    </row>
    <row r="40" spans="1:6" x14ac:dyDescent="0.25">
      <c r="A40" t="str">
        <f ca="1"/>
        <v>Marcelo Silva Santana</v>
      </c>
      <c r="B40" s="26">
        <f ca="1">IF($A40="","",SUMIFS('GECC 2026'!H$2:H$200,'GECC 2026'!F$2:F$200,$A40))</f>
        <v>12</v>
      </c>
      <c r="C40" s="26">
        <f ca="1">IF($A40="","",SUMIFS('GECC 2026'!I$2:I$200,'GECC 2026'!F$2:F$200,$A40))</f>
        <v>1.44</v>
      </c>
      <c r="D40" s="101">
        <f ca="1">IF($A40="","",SUMIFS('GECC 2026'!$AE$3:$AE$32,'GECC 2026'!$AD$3:$AD$32,$A40))</f>
        <v>0</v>
      </c>
      <c r="E40" s="93">
        <f ca="1">IF($A40="","",SUMIFS('GECC 2026'!J$2:J$200,'GECC 2026'!F$2:F$200,$A40)+SUMIFS('GECC 2026'!$AE$3:$AE$32,'GECC 2026'!$AD$3:$AD$32,$A40))</f>
        <v>13.440000000000001</v>
      </c>
      <c r="F40" s="24">
        <f ca="1">IF($A40="","",COUNTIFS('GECC 2026'!F$2:F$200,$A40))</f>
        <v>2</v>
      </c>
    </row>
    <row r="41" spans="1:6" x14ac:dyDescent="0.25">
      <c r="A41" t="str">
        <f ca="1"/>
        <v>Mauri Siqueira Montessi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 x14ac:dyDescent="0.25">
      <c r="A42" t="str">
        <f ca="1"/>
        <v>Michel Martins de Morais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Paulo José Góes Daltro</v>
      </c>
      <c r="B43" s="26">
        <f ca="1">IF($A43="","",SUMIFS('GECC 2026'!H$2:H$200,'GECC 2026'!F$2:F$200,$A43))</f>
        <v>0</v>
      </c>
      <c r="C43" s="26">
        <f ca="1">IF($A43="","",SUMIFS('GECC 2026'!I$2:I$200,'GECC 2026'!F$2:F$200,$A43))</f>
        <v>0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0</v>
      </c>
      <c r="F43" s="24">
        <f ca="1">IF($A43="","",COUNTIFS('GECC 2026'!F$2:F$200,$A43))</f>
        <v>2</v>
      </c>
    </row>
    <row r="44" spans="1:6" x14ac:dyDescent="0.25">
      <c r="A44" t="str">
        <f ca="1"/>
        <v>Priscila Nolasco de Oliveira</v>
      </c>
      <c r="B44" s="26">
        <f ca="1">IF($A44="","",SUMIFS('GECC 2026'!H$2:H$200,'GECC 2026'!F$2:F$200,$A44))</f>
        <v>12</v>
      </c>
      <c r="C44" s="26">
        <f ca="1">IF($A44="","",SUMIFS('GECC 2026'!I$2:I$200,'GECC 2026'!F$2:F$200,$A44))</f>
        <v>3.5999999999999996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15.600000000000001</v>
      </c>
      <c r="F44" s="24">
        <f ca="1">IF($A44="","",COUNTIFS('GECC 2026'!F$2:F$200,$A44))</f>
        <v>3</v>
      </c>
    </row>
    <row r="45" spans="1:6" x14ac:dyDescent="0.25">
      <c r="A45" t="str">
        <f ca="1"/>
        <v>Reinaldo Alencar</v>
      </c>
      <c r="B45" s="26">
        <f ca="1">IF($A45="","",SUMIFS('GECC 2026'!H$2:H$200,'GECC 2026'!F$2:F$200,$A45))</f>
        <v>48</v>
      </c>
      <c r="C45" s="26">
        <f ca="1">IF($A45="","",SUMIFS('GECC 2026'!I$2:I$200,'GECC 2026'!F$2:F$200,$A45))</f>
        <v>7.1999999999999993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55.2</v>
      </c>
      <c r="F45" s="24">
        <f ca="1">IF($A45="","",COUNTIFS('GECC 2026'!F$2:F$200,$A45))</f>
        <v>3</v>
      </c>
    </row>
    <row r="46" spans="1:6" x14ac:dyDescent="0.25">
      <c r="A46" t="str">
        <f ca="1"/>
        <v>Renan Dias da Silva</v>
      </c>
      <c r="B46" s="26">
        <f ca="1">IF($A46="","",SUMIFS('GECC 2026'!H$2:H$200,'GECC 2026'!F$2:F$200,$A46))</f>
        <v>4</v>
      </c>
      <c r="C46" s="26">
        <f ca="1">IF($A46="","",SUMIFS('GECC 2026'!I$2:I$200,'GECC 2026'!F$2:F$200,$A46))</f>
        <v>1.2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5.2</v>
      </c>
      <c r="F46" s="24">
        <f ca="1">IF($A46="","",COUNTIFS('GECC 2026'!F$2:F$200,$A46))</f>
        <v>1</v>
      </c>
    </row>
    <row r="47" spans="1:6" x14ac:dyDescent="0.25">
      <c r="A47" t="str">
        <f ca="1"/>
        <v>Rogério Ribeiro</v>
      </c>
      <c r="B47" s="26">
        <f ca="1">IF($A47="","",SUMIFS('GECC 2026'!H$2:H$200,'GECC 2026'!F$2:F$200,$A47))</f>
        <v>48</v>
      </c>
      <c r="C47" s="26">
        <f ca="1">IF($A47="","",SUMIFS('GECC 2026'!I$2:I$200,'GECC 2026'!F$2:F$200,$A47))</f>
        <v>7.1999999999999993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55.2</v>
      </c>
      <c r="F47" s="24">
        <f ca="1">IF($A47="","",COUNTIFS('GECC 2026'!F$2:F$200,$A47))</f>
        <v>3</v>
      </c>
    </row>
    <row r="48" spans="1:6" x14ac:dyDescent="0.25">
      <c r="A48" t="str">
        <f ca="1"/>
        <v>Rômulo Miranda Alvim</v>
      </c>
      <c r="B48" s="26">
        <f ca="1">IF($A48="","",SUMIFS('GECC 2026'!H$2:H$200,'GECC 2026'!F$2:F$200,$A48))</f>
        <v>24</v>
      </c>
      <c r="C48" s="26">
        <f ca="1">IF($A48="","",SUMIFS('GECC 2026'!I$2:I$200,'GECC 2026'!F$2:F$200,$A48))</f>
        <v>3.6</v>
      </c>
      <c r="D48" s="101">
        <f ca="1">IF($A48="","",SUMIFS('GECC 2026'!$AE$3:$AE$32,'GECC 2026'!$AD$3:$AD$32,$A48))</f>
        <v>16</v>
      </c>
      <c r="E48" s="93">
        <f ca="1">IF($A48="","",SUMIFS('GECC 2026'!J$2:J$200,'GECC 2026'!F$2:F$200,$A48)+SUMIFS('GECC 2026'!$AE$3:$AE$32,'GECC 2026'!$AD$3:$AD$32,$A48))</f>
        <v>43.6</v>
      </c>
      <c r="F48" s="24">
        <f ca="1">IF($A48="","",COUNTIFS('GECC 2026'!F$2:F$200,$A48))</f>
        <v>2</v>
      </c>
    </row>
    <row r="49" spans="1:6" x14ac:dyDescent="0.25">
      <c r="A49" t="str">
        <f ca="1"/>
        <v>Sara Cristina Lins Ramos</v>
      </c>
      <c r="B49" s="26">
        <f ca="1">IF($A49="","",SUMIFS('GECC 2026'!H$2:H$200,'GECC 2026'!F$2:F$200,$A49))</f>
        <v>8</v>
      </c>
      <c r="C49" s="26">
        <f ca="1">IF($A49="","",SUMIFS('GECC 2026'!I$2:I$200,'GECC 2026'!F$2:F$200,$A49))</f>
        <v>2.4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10.4</v>
      </c>
      <c r="F49" s="24">
        <f ca="1">IF($A49="","",COUNTIFS('GECC 2026'!F$2:F$200,$A49))</f>
        <v>1</v>
      </c>
    </row>
    <row r="50" spans="1:6" x14ac:dyDescent="0.25">
      <c r="A50" t="str">
        <f ca="1"/>
        <v>Servidores, colaboradores e estagiários do TCDF</v>
      </c>
      <c r="B50" s="26">
        <f ca="1">IF($A50="","",SUMIFS('GECC 2026'!H$2:H$200,'GECC 2026'!F$2:F$200,$A50))</f>
        <v>0</v>
      </c>
      <c r="C50" s="26">
        <f ca="1">IF($A50="","",SUMIFS('GECC 2026'!I$2:I$200,'GECC 2026'!F$2:F$200,$A50))</f>
        <v>0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0</v>
      </c>
      <c r="F50" s="24">
        <f ca="1">IF($A50="","",COUNTIFS('GECC 2026'!F$2:F$200,$A50))</f>
        <v>1</v>
      </c>
    </row>
    <row r="51" spans="1:6" x14ac:dyDescent="0.25">
      <c r="A51" t="str">
        <f ca="1"/>
        <v>Silvia Lima Damasceno Carvalho</v>
      </c>
      <c r="B51" s="26">
        <f ca="1">IF($A51="","",SUMIFS('GECC 2026'!H$2:H$200,'GECC 2026'!F$2:F$200,$A51))</f>
        <v>21</v>
      </c>
      <c r="C51" s="26">
        <f ca="1">IF($A51="","",SUMIFS('GECC 2026'!I$2:I$200,'GECC 2026'!F$2:F$200,$A51))</f>
        <v>6.3000000000000007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27.299999999999997</v>
      </c>
      <c r="F51" s="24">
        <f ca="1">IF($A51="","",COUNTIFS('GECC 2026'!F$2:F$200,$A51))</f>
        <v>6</v>
      </c>
    </row>
    <row r="52" spans="1:6" x14ac:dyDescent="0.25">
      <c r="A52" t="str">
        <f ca="1"/>
        <v>Tarsila Firmino Ely</v>
      </c>
      <c r="B52" s="26">
        <f ca="1">IF($A52="","",SUMIFS('GECC 2026'!H$2:H$200,'GECC 2026'!F$2:F$200,$A52))</f>
        <v>88</v>
      </c>
      <c r="C52" s="26">
        <f ca="1">IF($A52="","",SUMIFS('GECC 2026'!I$2:I$200,'GECC 2026'!F$2:F$200,$A52))</f>
        <v>83.6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171.6</v>
      </c>
      <c r="F52" s="24">
        <f ca="1">IF($A52="","",COUNTIFS('GECC 2026'!F$2:F$200,$A52))</f>
        <v>7</v>
      </c>
    </row>
    <row r="53" spans="1:6" x14ac:dyDescent="0.25">
      <c r="A53" t="str">
        <f ca="1"/>
        <v>Thiago Magalhães de Oliveira</v>
      </c>
      <c r="B53" s="26">
        <f ca="1">IF($A53="","",SUMIFS('GECC 2026'!H$2:H$200,'GECC 2026'!F$2:F$200,$A53))</f>
        <v>4</v>
      </c>
      <c r="C53" s="26">
        <f ca="1">IF($A53="","",SUMIFS('GECC 2026'!I$2:I$200,'GECC 2026'!F$2:F$200,$A53))</f>
        <v>1.2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5.2</v>
      </c>
      <c r="F53" s="24">
        <f ca="1">IF($A53="","",COUNTIFS('GECC 2026'!F$2:F$200,$A53))</f>
        <v>1</v>
      </c>
    </row>
    <row r="54" spans="1:6" x14ac:dyDescent="0.25">
      <c r="A54" t="str">
        <f ca="1"/>
        <v>Túllio Herbeth Teixeira Moraes</v>
      </c>
      <c r="B54" s="26">
        <f ca="1">IF($A54="","",SUMIFS('GECC 2026'!H$2:H$200,'GECC 2026'!F$2:F$200,$A54))</f>
        <v>9</v>
      </c>
      <c r="C54" s="26">
        <f ca="1">IF($A54="","",SUMIFS('GECC 2026'!I$2:I$200,'GECC 2026'!F$2:F$200,$A54))</f>
        <v>2.6999999999999997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11.7</v>
      </c>
      <c r="F54" s="24">
        <f ca="1">IF($A54="","",COUNTIFS('GECC 2026'!F$2:F$200,$A54))</f>
        <v>3</v>
      </c>
    </row>
    <row r="55" spans="1:6" x14ac:dyDescent="0.25">
      <c r="A55" t="str">
        <f ca="1"/>
        <v>Valéria Feitoza</v>
      </c>
      <c r="B55" s="26">
        <f ca="1">IF($A55="","",SUMIFS('GECC 2026'!H$2:H$200,'GECC 2026'!F$2:F$200,$A55))</f>
        <v>2</v>
      </c>
      <c r="C55" s="26">
        <f ca="1">IF($A55="","",SUMIFS('GECC 2026'!I$2:I$200,'GECC 2026'!F$2:F$200,$A55))</f>
        <v>0.6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2.6</v>
      </c>
      <c r="F55" s="24">
        <f ca="1">IF($A55="","",COUNTIFS('GECC 2026'!F$2:F$200,$A55))</f>
        <v>2</v>
      </c>
    </row>
    <row r="56" spans="1:6" x14ac:dyDescent="0.25">
      <c r="A56" t="str">
        <f ca="1"/>
        <v>Wibys Pereira</v>
      </c>
      <c r="B56" s="26">
        <f ca="1">IF($A56="","",SUMIFS('GECC 2026'!H$2:H$200,'GECC 2026'!F$2:F$200,$A56))</f>
        <v>4</v>
      </c>
      <c r="C56" s="26">
        <f ca="1">IF($A56="","",SUMIFS('GECC 2026'!I$2:I$200,'GECC 2026'!F$2:F$200,$A56))</f>
        <v>1.2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5.2</v>
      </c>
      <c r="F56" s="24">
        <f ca="1">IF($A56="","",COUNTIFS('GECC 2026'!F$2:F$200,$A56))</f>
        <v>1</v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3094</v>
      </c>
      <c r="B105" s="95">
        <f ca="1">SUM(B5:B100)</f>
        <v>737</v>
      </c>
      <c r="C105" s="95">
        <f ca="1">SUM(C5:C100)</f>
        <v>341.43999999999994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120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3160</v>
      </c>
      <c r="B1" s="123" t="s">
        <v>3161</v>
      </c>
      <c r="C1" s="123" t="s">
        <v>3162</v>
      </c>
      <c r="D1" s="123" t="s">
        <v>3163</v>
      </c>
      <c r="E1" s="123" t="s">
        <v>3164</v>
      </c>
      <c r="F1" s="123" t="s">
        <v>3165</v>
      </c>
      <c r="G1" s="123" t="s">
        <v>10</v>
      </c>
      <c r="H1" s="123" t="s">
        <v>3166</v>
      </c>
      <c r="I1" s="123" t="s">
        <v>3167</v>
      </c>
      <c r="J1" s="123" t="s">
        <v>3168</v>
      </c>
      <c r="K1" s="123" t="s">
        <v>3169</v>
      </c>
      <c r="L1" s="123" t="s">
        <v>3170</v>
      </c>
      <c r="N1" s="124" t="s">
        <v>3171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3172</v>
      </c>
      <c r="L2" t="str">
        <f>IF(K2="","",IFERROR(INDEX(Tabela2[Curso],MATCH(K2,Tabela2[ID],0)),""))</f>
        <v/>
      </c>
      <c r="N2" s="123" t="s">
        <v>3051</v>
      </c>
      <c r="O2" s="123" t="s">
        <v>4</v>
      </c>
      <c r="P2" s="123" t="s">
        <v>3173</v>
      </c>
      <c r="Q2" s="123" t="s">
        <v>3174</v>
      </c>
      <c r="R2" s="123" t="s">
        <v>3175</v>
      </c>
      <c r="S2" s="123" t="s">
        <v>3176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3172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3172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3172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3172</v>
      </c>
      <c r="L6" t="str">
        <f>IF(K6="","",IFERROR(INDEX(Tabela2[Curso],MATCH(K6,Tabela2[ID],0)),""))</f>
        <v/>
      </c>
      <c r="N6" t="s">
        <v>2837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3172</v>
      </c>
      <c r="L7" t="str">
        <f>IF(K7="","",IFERROR(INDEX(Tabela2[Curso],MATCH(K7,Tabela2[ID],0)),""))</f>
        <v/>
      </c>
      <c r="N7" t="s">
        <v>2841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3172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3172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3172</v>
      </c>
      <c r="L10" t="str">
        <f>IF(K10="","",IFERROR(INDEX(Tabela2[Curso],MATCH(K10,Tabela2[ID],0)),""))</f>
        <v/>
      </c>
      <c r="N10" s="122" t="s">
        <v>3177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3172</v>
      </c>
      <c r="L11" t="str">
        <f>IF(K11="","",IFERROR(INDEX(Tabela2[Curso],MATCH(K11,Tabela2[ID],0)),""))</f>
        <v/>
      </c>
      <c r="N11" s="125" t="s">
        <v>3178</v>
      </c>
      <c r="O11" s="125" t="s">
        <v>3179</v>
      </c>
      <c r="P11" s="125" t="s">
        <v>3180</v>
      </c>
      <c r="Q11" s="125" t="s">
        <v>3163</v>
      </c>
      <c r="R11" s="125" t="s">
        <v>3164</v>
      </c>
      <c r="S11" s="125" t="s">
        <v>3181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3172</v>
      </c>
      <c r="L12" t="str">
        <f>IF(K12="","",IFERROR(INDEX(Tabela2[Curso],MATCH(K12,Tabela2[ID],0)),""))</f>
        <v/>
      </c>
      <c r="N12" t="s">
        <v>3182</v>
      </c>
      <c r="O12" t="s">
        <v>2755</v>
      </c>
      <c r="P12" t="s">
        <v>3183</v>
      </c>
      <c r="Q12">
        <v>0</v>
      </c>
      <c r="R12">
        <v>0</v>
      </c>
      <c r="S12" t="s">
        <v>3184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3172</v>
      </c>
      <c r="L13" t="str">
        <f>IF(K13="","",IFERROR(INDEX(Tabela2[Curso],MATCH(K13,Tabela2[ID],0)),""))</f>
        <v/>
      </c>
      <c r="N13" t="s">
        <v>3185</v>
      </c>
      <c r="O13" t="s">
        <v>2686</v>
      </c>
      <c r="P13" t="s">
        <v>3186</v>
      </c>
      <c r="Q13">
        <v>0</v>
      </c>
      <c r="R13">
        <v>0</v>
      </c>
      <c r="S13" t="s">
        <v>3187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3172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3172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3172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3172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3172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3172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3172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3172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3172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3172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3172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3172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3172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3172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3172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3172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3172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3172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3172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3172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3172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3172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3172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3172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3172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3172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3172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3172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3172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3172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3172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3172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3172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3172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3172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3172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3172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3172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3172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3172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3172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3172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3172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3172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3172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3172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3172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3172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3172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3172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3172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3172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91ce1707-6d34-452b-b217-9734c03e6729"/>
    <ds:schemaRef ds:uri="http://purl.org/dc/dcmitype/"/>
    <ds:schemaRef ds:uri="http://schemas.microsoft.com/office/2006/documentManagement/types"/>
    <ds:schemaRef ds:uri="http://schemas.openxmlformats.org/package/2006/metadata/core-properties"/>
    <ds:schemaRef ds:uri="fe686eaa-0658-4f15-b230-9e46c4d089fd"/>
    <ds:schemaRef ds:uri="http://schemas.microsoft.com/office/2006/metadata/properties"/>
    <ds:schemaRef ds:uri="http://purl.org/dc/elements/1.1/"/>
    <ds:schemaRef ds:uri="http://www.w3.org/XML/1998/namespace"/>
    <ds:schemaRef ds:uri="http://schemas.microsoft.com/office/infopath/2007/PartnerControls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2026-08-21T16:36:04Z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