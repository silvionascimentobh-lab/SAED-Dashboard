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344" documentId="13_ncr:1_{6A2CC3E2-FAFB-4D8F-B284-5E8FB5045DFE}" xr6:coauthVersionLast="47" xr6:coauthVersionMax="47" xr10:uidLastSave="{19C66457-CA62-4C9C-8811-F56F5ED841C8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E56" i="23"/>
  <c r="B56" i="23"/>
  <c r="C56" i="23"/>
  <c r="D56" i="23"/>
  <c r="F56" i="23"/>
  <c r="R4" i="20" s="1" a="1"/>
  <c r="S4" i="20" s="1" a="1"/>
  <c r="T4" i="20" s="1" a="1"/>
  <c r="A2" i="20" l="1" a="1"/>
  <c r="A5" i="23" l="1" a="1"/>
  <c r="E105" i="23"/>
  <c r="D45" i="23" l="1"/>
  <c r="B16" i="23"/>
  <c r="D40" i="23"/>
  <c r="C41" i="23"/>
  <c r="E20" i="23"/>
  <c r="C11" i="23"/>
  <c r="F49" i="23"/>
  <c r="F15" i="23"/>
  <c r="C39" i="23"/>
  <c r="B13" i="23"/>
  <c r="E44" i="23"/>
  <c r="E39" i="23"/>
  <c r="B19" i="23"/>
  <c r="E42" i="23"/>
  <c r="F52" i="23"/>
  <c r="E47" i="23"/>
  <c r="D44" i="23"/>
  <c r="C54" i="23"/>
  <c r="E51" i="23"/>
  <c r="F40" i="23"/>
  <c r="B48" i="23"/>
  <c r="E26" i="23"/>
  <c r="F42" i="23"/>
  <c r="E46" i="23"/>
  <c r="B33" i="23"/>
  <c r="F29" i="23"/>
  <c r="F39" i="23"/>
  <c r="F10" i="23"/>
  <c r="E10" i="23"/>
  <c r="B21" i="23"/>
  <c r="E55" i="23"/>
  <c r="D14" i="23"/>
  <c r="B37" i="23"/>
  <c r="E28" i="23"/>
  <c r="D39" i="23"/>
  <c r="B30" i="23"/>
  <c r="E36" i="23"/>
  <c r="E31" i="23"/>
  <c r="E8" i="23"/>
  <c r="C43" i="23"/>
  <c r="B10" i="23"/>
  <c r="D18" i="23"/>
  <c r="F28" i="23"/>
  <c r="C27" i="23"/>
  <c r="F8" i="23"/>
  <c r="E50" i="23"/>
  <c r="D50" i="23"/>
  <c r="B22" i="23"/>
  <c r="E34" i="23"/>
  <c r="D55" i="23"/>
  <c r="F31" i="23"/>
  <c r="F7" i="23"/>
  <c r="D13" i="23"/>
  <c r="E9" i="23"/>
  <c r="C28" i="23"/>
  <c r="E53" i="23"/>
  <c r="D31" i="23"/>
  <c r="C30" i="23"/>
  <c r="C16" i="23"/>
  <c r="D16" i="23"/>
  <c r="F20" i="23"/>
  <c r="E29" i="23"/>
  <c r="C42" i="23"/>
  <c r="C32" i="23"/>
  <c r="E15" i="23"/>
  <c r="E32" i="23"/>
  <c r="B41" i="23"/>
  <c r="B38" i="23"/>
  <c r="F17" i="23"/>
  <c r="D41" i="23"/>
  <c r="C45" i="23"/>
  <c r="F33" i="23"/>
  <c r="E13" i="23"/>
  <c r="E48" i="23"/>
  <c r="B27" i="23"/>
  <c r="D47" i="23"/>
  <c r="B23" i="23"/>
  <c r="B44" i="23"/>
  <c r="D20" i="23"/>
  <c r="C17" i="23"/>
  <c r="C18" i="23"/>
  <c r="B24" i="23"/>
  <c r="F26" i="23"/>
  <c r="B32" i="23"/>
  <c r="B39" i="23"/>
  <c r="C22" i="23"/>
  <c r="B40" i="23"/>
  <c r="B7" i="23"/>
  <c r="E22" i="23"/>
  <c r="C40" i="23"/>
  <c r="F27" i="23"/>
  <c r="F36" i="23"/>
  <c r="D49" i="23"/>
  <c r="D24" i="23"/>
  <c r="C15" i="23"/>
  <c r="D51" i="23"/>
  <c r="B36" i="23"/>
  <c r="B47" i="23"/>
  <c r="E24" i="23"/>
  <c r="E18" i="23"/>
  <c r="E30" i="23"/>
  <c r="E27" i="23"/>
  <c r="E21" i="23"/>
  <c r="D37" i="23"/>
  <c r="F38" i="23"/>
  <c r="E52" i="23"/>
  <c r="B15" i="23"/>
  <c r="C49" i="23"/>
  <c r="B29" i="23"/>
  <c r="C51" i="23"/>
  <c r="C25" i="23"/>
  <c r="E38" i="23"/>
  <c r="D26" i="23"/>
  <c r="D35" i="23"/>
  <c r="F25" i="23"/>
  <c r="C47" i="23"/>
  <c r="D46" i="23"/>
  <c r="C9" i="23"/>
  <c r="C10" i="23"/>
  <c r="F13" i="23"/>
  <c r="D22" i="23"/>
  <c r="F37" i="23"/>
  <c r="F19" i="23"/>
  <c r="B26" i="23"/>
  <c r="B8" i="23"/>
  <c r="D19" i="23"/>
  <c r="F34" i="23"/>
  <c r="F23" i="23"/>
  <c r="D38" i="23"/>
  <c r="D34" i="23"/>
  <c r="E7" i="23"/>
  <c r="B14" i="23"/>
  <c r="B9" i="23"/>
  <c r="B28" i="23"/>
  <c r="D36" i="23"/>
  <c r="F18" i="23"/>
  <c r="B25" i="23"/>
  <c r="B11" i="23"/>
  <c r="B53" i="23"/>
  <c r="F55" i="23"/>
  <c r="C31" i="23"/>
  <c r="F43" i="23"/>
  <c r="C48" i="23"/>
  <c r="E14" i="23"/>
  <c r="E25" i="23"/>
  <c r="F41" i="23"/>
  <c r="B45" i="23"/>
  <c r="D12" i="23"/>
  <c r="C14" i="23"/>
  <c r="C26" i="23"/>
  <c r="D8" i="23"/>
  <c r="E17" i="23"/>
  <c r="D52" i="23"/>
  <c r="C8" i="23"/>
  <c r="B6" i="23"/>
  <c r="E19" i="23"/>
  <c r="F14" i="23"/>
  <c r="B54" i="23"/>
  <c r="D43" i="23"/>
  <c r="C53" i="23"/>
  <c r="F16" i="23"/>
  <c r="E33" i="23"/>
  <c r="B51" i="23"/>
  <c r="B49" i="23"/>
  <c r="D27" i="23"/>
  <c r="E49" i="23"/>
  <c r="B42" i="23"/>
  <c r="D48" i="23"/>
  <c r="D21" i="23"/>
  <c r="F24" i="23"/>
  <c r="B43" i="23"/>
  <c r="D11" i="23"/>
  <c r="D30" i="23"/>
  <c r="E54" i="23"/>
  <c r="E45" i="23"/>
  <c r="F46" i="23"/>
  <c r="F11" i="23"/>
  <c r="C52" i="23"/>
  <c r="B46" i="23"/>
  <c r="D42" i="23"/>
  <c r="F54" i="23"/>
  <c r="B17" i="23"/>
  <c r="D15" i="23"/>
  <c r="C33" i="23"/>
  <c r="C46" i="23"/>
  <c r="B50" i="23"/>
  <c r="D54" i="23"/>
  <c r="B35" i="23"/>
  <c r="E12" i="23"/>
  <c r="B34" i="23"/>
  <c r="C20" i="23"/>
  <c r="D17" i="23"/>
  <c r="F35" i="23"/>
  <c r="C38" i="23"/>
  <c r="B31" i="23"/>
  <c r="F6" i="23"/>
  <c r="C35" i="23"/>
  <c r="D29" i="23"/>
  <c r="C6" i="23"/>
  <c r="F32" i="23"/>
  <c r="E6" i="23"/>
  <c r="D7" i="23"/>
  <c r="F47" i="23"/>
  <c r="F45" i="23"/>
  <c r="F22" i="23"/>
  <c r="B18" i="23"/>
  <c r="C23" i="23"/>
  <c r="F53" i="23"/>
  <c r="F30" i="23"/>
  <c r="C50" i="23"/>
  <c r="D23" i="23"/>
  <c r="C29" i="23"/>
  <c r="C34" i="23"/>
  <c r="E11" i="23"/>
  <c r="C37" i="23"/>
  <c r="E37" i="23"/>
  <c r="C13" i="23"/>
  <c r="C21" i="23"/>
  <c r="E23" i="23"/>
  <c r="F21" i="23"/>
  <c r="C19" i="23"/>
  <c r="F9" i="23"/>
  <c r="B52" i="23"/>
  <c r="D25" i="23"/>
  <c r="C24" i="23"/>
  <c r="F48" i="23"/>
  <c r="C55" i="23"/>
  <c r="D6" i="23"/>
  <c r="C7" i="23"/>
  <c r="F12" i="23"/>
  <c r="D53" i="23"/>
  <c r="C36" i="23"/>
  <c r="D10" i="23"/>
  <c r="F51" i="23"/>
  <c r="D33" i="23"/>
  <c r="D9" i="23"/>
  <c r="E16" i="23"/>
  <c r="F50" i="23"/>
  <c r="E41" i="23"/>
  <c r="B20" i="23"/>
  <c r="E43" i="23"/>
  <c r="C44" i="23"/>
  <c r="F44" i="23"/>
  <c r="B12" i="23"/>
  <c r="C12" i="23"/>
  <c r="E40" i="23"/>
  <c r="D32" i="23"/>
  <c r="B55" i="23"/>
  <c r="D28" i="23"/>
  <c r="E35" i="23"/>
  <c r="C5" i="23"/>
  <c r="E5" i="23"/>
  <c r="B5" i="23"/>
  <c r="F5" i="23"/>
  <c r="D5" i="23"/>
  <c r="G5" i="23"/>
  <c r="B105" i="23" l="1"/>
  <c r="F105" i="23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<sst xmlns="http://schemas.openxmlformats.org/spreadsheetml/2006/main" count="7258" uniqueCount="3189">
  <si>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</si>
  <si>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</si>
  <si>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</si>
  <si>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</si>
  <si>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</si>
  <si>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</si>
  <si>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</si>
  <si>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</si>
  <si>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</si>
  <si>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</si>
  <si>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</si>
  <si>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</si>
  <si>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</si>
  <si>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</si>
  <si>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</si>
  <si>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</si>
  <si>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</si>
  <si>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</si>
  <si>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</si>
  <si>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</si>
  <si>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</si>
  <si>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</si>
  <si>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</si>
  <si>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</si>
  <si>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</si>
  <si>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</si>
  <si>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</si>
  <si>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</si>
  <si>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</si>
  <si>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</si>
  <si>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</si>
  <si>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</si>
  <si>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</si>
  <si>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</si>
  <si>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</si>
  <si>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</si>
  <si>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</si>
  <si>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</si>
  <si>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</si>
  <si>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</si>
  <si>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</si>
  <si>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</si>
  <si>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</si>
  <si>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</si>
  <si>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</si>
  <si>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</si>
  <si>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</si>
  <si>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</si>
  <si>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</si>
  <si>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</si>
  <si>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</si>
  <si>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</si>
  <si>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</si>
  <si>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</si>
  <si>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</si>
  <si>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</si>
  <si>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</si>
  <si>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</si>
  <si>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</si>
  <si>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</si>
  <si>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</si>
  <si>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</si>
  <si>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</si>
  <si>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</si>
  <si>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</si>
  <si>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</si>
  <si>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</si>
  <si>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</si>
  <si>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</si>
  <si>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</si>
  <si>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</si>
  <si>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</si>
  <si>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</si>
  <si>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</si>
  <si>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</si>
  <si>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</si>
  <si>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</si>
  <si>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</si>
  <si>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</si>
  <si>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</si>
  <si>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</si>
  <si>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</si>
  <si>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</si>
  <si>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</si>
  <si>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</si>
  <si>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</si>
  <si>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</si>
  <si>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</si>
  <si>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</si>
  <si>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</si>
  <si>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</si>
  <si>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</si>
  <si>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</si>
  <si>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</si>
  <si>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</si>
  <si>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</si>
  <si>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</si>
  <si>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</si>
  <si>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</si>
  <si>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</si>
  <si>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</si>
  <si>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</si>
  <si>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</si>
  <si>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</si>
  <si>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</si>
  <si>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</si>
  <si>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</si>
  <si>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</si>
  <si>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</si>
  <si>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</si>
  <si>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</si>
  <si>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</si>
  <si>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</si>
  <si>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</si>
  <si>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</si>
  <si>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</si>
  <si>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</si>
  <si>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</si>
  <si>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</si>
  <si>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</si>
  <si>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</si>
  <si>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</si>
  <si>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</si>
  <si>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</si>
  <si>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</si>
  <si>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</si>
  <si>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</si>
  <si>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</si>
  <si>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</si>
  <si>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</si>
  <si>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</si>
  <si>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</si>
  <si>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</si>
  <si>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</si>
  <si>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</si>
  <si>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</si>
  <si>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</si>
  <si>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</si>
  <si>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</si>
  <si>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</si>
  <si>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</si>
  <si>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</si>
  <si>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</si>
  <si>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</si>
  <si>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</si>
  <si>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</si>
  <si>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</si>
  <si>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</si>
  <si>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</si>
  <si>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</si>
  <si>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</si>
  <si>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</si>
  <si>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</si>
  <si>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</si>
  <si>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</si>
  <si>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</si>
  <si>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</si>
  <si>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</si>
  <si>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</si>
  <si>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</si>
  <si>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</si>
  <si>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</si>
  <si>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</si>
  <si>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</si>
  <si>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</si>
  <si>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</si>
  <si>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</si>
  <si>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</si>
  <si>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</si>
  <si>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</si>
  <si>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</si>
  <si>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</si>
  <si>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</si>
  <si>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</si>
  <si>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</si>
  <si>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</si>
  <si>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</si>
  <si>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</si>
  <si>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</si>
  <si>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</si>
  <si>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</si>
  <si>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</si>
  <si>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</si>
  <si>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</si>
  <si>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</si>
  <si>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</si>
  <si>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</si>
  <si>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</si>
  <si>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</si>
  <si>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</si>
  <si>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</si>
  <si>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</si>
  <si>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</si>
  <si>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</si>
  <si>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</si>
  <si>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</si>
  <si>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</si>
  <si>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</si>
  <si>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</si>
  <si>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</si>
  <si>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</si>
  <si>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</si>
  <si>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</si>
  <si>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</si>
  <si>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</si>
  <si>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</si>
  <si>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</si>
  <si>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</si>
  <si>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</si>
  <si>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</si>
  <si>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</si>
  <si>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</si>
  <si>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</si>
  <si>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</si>
  <si>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</si>
  <si>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</si>
  <si>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</si>
  <si>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</si>
  <si>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</si>
  <si>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</si>
  <si>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</si>
  <si>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</si>
  <si>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</si>
  <si>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</si>
  <si>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</si>
  <si>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</si>
  <si>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</si>
  <si>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</si>
  <si>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</si>
  <si>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</si>
  <si>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</si>
  <si>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</si>
  <si>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</si>
  <si>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</si>
  <si>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</si>
  <si>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</si>
  <si>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</si>
  <si>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</si>
  <si>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</si>
  <si>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</si>
  <si>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</si>
  <si>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</si>
  <si>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</si>
  <si>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</si>
  <si>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</si>
  <si>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</si>
  <si>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</si>
  <si>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</si>
  <si>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</si>
  <si>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</si>
  <si>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</si>
  <si>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</si>
  <si>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</si>
  <si>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</si>
  <si>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</si>
  <si>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</si>
  <si>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</si>
  <si>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</si>
  <si>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</si>
  <si>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</si>
  <si>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</si>
  <si>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</si>
  <si>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</si>
  <si>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</si>
  <si>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</si>
  <si>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</si>
  <si>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</si>
  <si>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</si>
  <si>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</si>
  <si>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</si>
  <si>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</si>
  <si>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</si>
  <si>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</si>
  <si>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</si>
  <si>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</si>
  <si>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</si>
  <si>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</si>
  <si>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</si>
  <si>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</si>
  <si>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</si>
  <si>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</si>
  <si>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</si>
  <si>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</si>
  <si>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</si>
  <si>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</si>
  <si>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</si>
  <si>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</si>
  <si>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</si>
  <si>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</si>
  <si>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</si>
  <si>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</si>
  <si>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</si>
  <si>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</si>
  <si>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</si>
  <si>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</si>
  <si>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</si>
  <si>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</si>
  <si>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</si>
  <si>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</si>
  <si>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</si>
  <si>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</si>
  <si>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</si>
  <si>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</si>
  <si>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</si>
  <si>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</si>
  <si>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</si>
  <si>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</si>
  <si>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</si>
  <si>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</si>
  <si>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</si>
  <si>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</si>
  <si>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</si>
  <si>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</si>
  <si>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</si>
  <si>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</si>
  <si>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</si>
  <si>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</si>
  <si>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</si>
  <si>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</si>
  <si>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</si>
  <si>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</si>
  <si>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</si>
  <si>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</si>
  <si>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</si>
  <si>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</si>
  <si>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</si>
  <si>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</si>
  <si>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</si>
  <si>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</si>
  <si>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</si>
  <si>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</si>
  <si>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</si>
  <si>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</si>
  <si>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</si>
  <si>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</si>
  <si>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</si>
  <si>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</si>
  <si>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</si>
  <si>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</si>
  <si>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</si>
  <si>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</si>
  <si>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</si>
  <si>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</si>
  <si>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</si>
  <si>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</si>
  <si>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</si>
  <si>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</si>
  <si>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</si>
  <si>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</si>
  <si>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</si>
  <si>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</si>
  <si>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</si>
  <si>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</si>
  <si>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</si>
  <si>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</si>
  <si>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</si>
  <si>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</si>
  <si>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</si>
  <si>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</si>
  <si>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</si>
  <si>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</si>
  <si>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</si>
  <si>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</si>
  <si>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</si>
  <si>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</si>
  <si>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</si>
  <si>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</si>
  <si>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</si>
  <si>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</si>
  <si>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</si>
  <si>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</si>
  <si>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</si>
  <si>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</si>
  <si>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</si>
  <si>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</si>
  <si>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</si>
  <si>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</si>
  <si>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</si>
  <si>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</si>
  <si>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</si>
  <si>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</si>
  <si>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</si>
  <si>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</si>
  <si>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</si>
  <si>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</si>
  <si>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</si>
  <si>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</si>
  <si>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</si>
  <si>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</si>
  <si>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</si>
  <si>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</si>
  <si>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</si>
  <si>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</si>
  <si>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</si>
  <si>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</si>
  <si>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</si>
  <si>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</si>
  <si>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</si>
  <si>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</si>
  <si>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</si>
  <si>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</si>
  <si>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</si>
  <si>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</si>
  <si>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</si>
  <si>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</si>
  <si>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</si>
  <si>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</si>
  <si>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</si>
  <si>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</si>
  <si>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</si>
  <si>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</si>
  <si>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</si>
  <si>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</si>
  <si>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</si>
  <si>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</si>
  <si>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</si>
  <si>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</si>
  <si>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</si>
  <si>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</si>
  <si>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</si>
  <si>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</si>
  <si>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</si>
  <si>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</si>
  <si>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</si>
  <si>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</si>
  <si>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</si>
  <si>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</si>
  <si>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</si>
  <si>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</si>
  <si>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</si>
  <si>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</si>
  <si>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</si>
  <si>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</si>
  <si>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</si>
  <si>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</si>
  <si>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</si>
  <si>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</si>
  <si>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</si>
  <si>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</si>
  <si>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</si>
  <si>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</si>
  <si>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</si>
  <si>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</si>
  <si>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</si>
  <si>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</si>
  <si>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</si>
  <si>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</si>
  <si>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</si>
  <si>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</si>
  <si>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</si>
  <si>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</si>
  <si>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</si>
  <si>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</si>
  <si>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</si>
  <si>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</si>
  <si>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</si>
  <si>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</si>
  <si>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</si>
  <si>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</si>
  <si>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</si>
  <si>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</si>
  <si>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</si>
  <si>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</si>
  <si>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</si>
  <si>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</si>
  <si>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</si>
  <si>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</si>
  <si>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</si>
  <si>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</si>
  <si>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</si>
  <si>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</si>
  <si>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</si>
  <si>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</si>
  <si>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</si>
  <si>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</si>
  <si>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</si>
  <si>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</si>
  <si>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</si>
  <si>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</si>
  <si>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</si>
  <si>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</si>
  <si>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</si>
  <si>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</si>
  <si>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</si>
  <si>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</si>
  <si>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</si>
  <si>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</si>
  <si>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</si>
  <si>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</si>
  <si>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</si>
  <si>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</si>
  <si>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</si>
  <si>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</si>
  <si>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</si>
  <si>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</si>
  <si>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</si>
  <si>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</si>
  <si>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</si>
  <si>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</si>
  <si>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</si>
  <si>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</si>
  <si>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</si>
  <si>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</si>
  <si>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</si>
  <si>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</si>
  <si>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</si>
  <si>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</si>
  <si>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</si>
  <si>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</si>
  <si>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</si>
  <si>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</si>
  <si>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</si>
  <si>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</si>
  <si>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</si>
  <si>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</si>
  <si>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</si>
  <si>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</si>
  <si>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</si>
  <si>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</si>
  <si>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</si>
  <si>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</si>
  <si>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</si>
  <si>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</si>
  <si>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</si>
  <si>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</si>
  <si>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</si>
  <si>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</si>
  <si>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</si>
  <si>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</si>
  <si>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</si>
  <si>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</si>
  <si>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</si>
  <si>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</si>
  <si>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</si>
  <si>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</si>
  <si>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</si>
  <si>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</si>
  <si>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</si>
  <si>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</si>
  <si>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</si>
  <si>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</si>
  <si>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</si>
  <si>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</si>
  <si>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</si>
  <si>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</si>
  <si>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</si>
  <si>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</si>
  <si>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</si>
  <si>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</si>
  <si>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</si>
  <si>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</si>
  <si>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</si>
  <si>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</si>
  <si>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</si>
  <si>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</si>
  <si>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</si>
  <si>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</si>
  <si>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</si>
  <si>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</si>
  <si>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</si>
  <si>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</si>
  <si>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</si>
  <si>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</si>
  <si>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</si>
  <si>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</si>
  <si>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</si>
  <si>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</si>
  <si>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</si>
  <si>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</si>
  <si>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</si>
  <si>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</si>
  <si>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</si>
  <si>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</si>
  <si>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</si>
  <si>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</si>
  <si>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</si>
  <si>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</si>
  <si>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</si>
  <si>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</si>
  <si>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</si>
  <si>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</si>
  <si>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</si>
  <si>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</si>
  <si>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</si>
  <si>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</si>
  <si>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</si>
  <si>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</si>
  <si>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</si>
  <si>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</si>
  <si>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</si>
  <si>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</si>
  <si>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</si>
  <si>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</si>
  <si>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</si>
  <si>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</si>
  <si>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</si>
  <si>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</si>
  <si>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</si>
  <si>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</si>
  <si>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</si>
  <si>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</si>
  <si>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</si>
  <si>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</si>
  <si>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</si>
  <si>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</si>
  <si>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</si>
  <si>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</si>
  <si>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</si>
  <si>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</si>
  <si>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</si>
  <si>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</si>
  <si>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</si>
  <si>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</si>
  <si>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</si>
  <si>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</si>
  <si>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</si>
  <si>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</si>
  <si>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</si>
  <si>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</si>
  <si>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</si>
  <si>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</si>
  <si>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</si>
  <si>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</si>
  <si>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</si>
  <si>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</si>
  <si>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</si>
  <si>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</si>
  <si>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</si>
  <si>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</si>
  <si>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</si>
  <si>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</si>
  <si>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</si>
  <si>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</si>
  <si>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</si>
  <si>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</si>
  <si>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</si>
  <si>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</si>
  <si>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</si>
  <si>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</si>
  <si>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</si>
  <si>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</si>
  <si>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</si>
  <si>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</si>
  <si>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</si>
  <si>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</si>
  <si>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</si>
  <si>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</si>
  <si>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</si>
  <si>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</si>
  <si>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</si>
  <si>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</si>
  <si>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</si>
  <si>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</si>
  <si>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</si>
  <si>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</si>
  <si>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</si>
  <si>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</si>
  <si>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</si>
  <si>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</si>
  <si>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</si>
  <si>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</si>
  <si>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</si>
  <si>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</si>
  <si>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</si>
  <si>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</si>
  <si>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</si>
  <si>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</si>
  <si>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</si>
  <si>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</si>
  <si>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</si>
  <si>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</si>
  <si>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</si>
  <si>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</si>
  <si>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</si>
  <si>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</si>
  <si>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</si>
  <si>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</si>
  <si>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</si>
  <si>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</si>
  <si>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</si>
  <si>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</si>
  <si>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</si>
  <si>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</si>
  <si>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</si>
  <si>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</si>
  <si>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</si>
  <si>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</si>
  <si>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</si>
  <si>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</si>
  <si>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</si>
  <si>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</si>
  <si>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</si>
  <si>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</si>
  <si>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</si>
  <si>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</si>
  <si>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</si>
  <si>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</si>
  <si>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</si>
  <si>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</si>
  <si>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</si>
  <si>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</si>
  <si>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</si>
  <si>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</si>
  <si>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</si>
  <si>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</si>
  <si>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</si>
  <si>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</si>
  <si>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</si>
  <si>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</si>
  <si>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</si>
  <si>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</si>
  <si>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</si>
  <si>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</si>
  <si>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</si>
  <si>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</si>
  <si>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</si>
  <si>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</si>
  <si>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</si>
  <si>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</si>
  <si>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</si>
  <si>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</si>
  <si>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</si>
  <si>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</si>
  <si>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</si>
  <si>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</si>
  <si>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</si>
  <si>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</si>
  <si>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</si>
  <si>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</si>
  <si>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</si>
  <si>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</si>
  <si>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</si>
  <si>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</si>
  <si>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</si>
  <si>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</si>
  <si>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</si>
  <si>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</si>
  <si>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</si>
  <si>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</si>
  <si>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</si>
  <si>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</si>
  <si>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</si>
  <si>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</si>
  <si>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</si>
  <si>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</si>
  <si>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</si>
  <si>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</si>
  <si>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</si>
  <si>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</si>
  <si>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</si>
  <si>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</si>
  <si>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</si>
  <si>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</si>
  <si>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</si>
  <si>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</si>
  <si>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</si>
  <si>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</si>
  <si>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</si>
  <si>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</si>
  <si>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</si>
  <si>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</si>
  <si>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</si>
  <si>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</si>
  <si>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</si>
  <si>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</si>
  <si>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</si>
  <si>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</si>
  <si>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</si>
  <si>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</si>
  <si>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</si>
  <si>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</si>
  <si>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</si>
  <si>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</si>
  <si>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</si>
  <si>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</si>
  <si>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</si>
  <si>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</si>
  <si>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</si>
  <si>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</si>
  <si>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</si>
  <si>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</si>
  <si>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</si>
  <si>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</si>
  <si>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</si>
  <si>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</si>
  <si>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</si>
  <si>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</si>
  <si>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</si>
  <si>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</si>
  <si>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</si>
  <si>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</si>
  <si>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</si>
  <si>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</si>
  <si>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</si>
  <si>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</si>
  <si>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</si>
  <si>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</si>
  <si>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</si>
  <si>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</si>
  <si>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</si>
  <si>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</si>
  <si>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</si>
  <si>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</si>
  <si>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</si>
  <si>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</si>
  <si>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</si>
  <si>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</si>
  <si>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</si>
  <si>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</si>
  <si>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</si>
  <si>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</si>
  <si>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</si>
  <si>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</si>
  <si>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</si>
  <si>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</si>
  <si>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</si>
  <si>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</si>
  <si>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</si>
  <si>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</si>
  <si>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</si>
  <si>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</si>
  <si>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</si>
  <si>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</si>
  <si>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</si>
  <si>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</si>
  <si>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</si>
  <si>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</si>
  <si>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</si>
  <si>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</si>
  <si>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</si>
  <si>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</si>
  <si>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</si>
  <si>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</si>
  <si>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</si>
  <si>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</si>
  <si>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</si>
  <si>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</si>
  <si>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</si>
  <si>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</si>
  <si>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</si>
  <si>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</si>
  <si>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</si>
  <si>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</si>
  <si>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</si>
  <si>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</si>
  <si>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</si>
  <si>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</si>
  <si>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</si>
  <si>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</si>
  <si>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</si>
  <si>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</si>
  <si>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</si>
  <si>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</si>
  <si>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</si>
  <si>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</si>
  <si>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</si>
  <si>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</si>
  <si>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</si>
  <si>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</si>
  <si>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</si>
  <si>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</si>
  <si>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</si>
  <si>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</si>
  <si>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</si>
  <si>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</si>
  <si>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</si>
  <si>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</si>
  <si>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</si>
  <si>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</si>
  <si>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</si>
  <si>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</si>
  <si>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</si>
  <si>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</si>
  <si>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</si>
  <si>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</si>
  <si>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</si>
  <si>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</si>
  <si>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</si>
  <si>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</si>
  <si>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</si>
  <si>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</si>
  <si>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</si>
  <si>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</si>
  <si>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</si>
  <si>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</si>
  <si>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</si>
  <si>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</si>
  <si>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</si>
  <si>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</si>
  <si>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</si>
  <si>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</si>
  <si>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</si>
  <si>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</si>
  <si>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</si>
  <si>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</si>
  <si>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</si>
  <si>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</si>
  <si>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</si>
  <si>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</si>
  <si>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</si>
  <si>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</si>
  <si>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</si>
  <si>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</si>
  <si>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</si>
  <si>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</si>
  <si>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</si>
  <si>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</si>
  <si>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</si>
  <si>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</si>
  <si>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</si>
  <si>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</si>
  <si>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</si>
  <si>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</si>
  <si>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</si>
  <si>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</si>
  <si>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</si>
  <si>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</si>
  <si>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</si>
  <si>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</si>
  <si>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</si>
  <si>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</si>
  <si>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</si>
  <si>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</si>
  <si>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</si>
  <si>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</si>
  <si>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</si>
  <si>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</si>
  <si>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</si>
  <si>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</si>
  <si>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</si>
  <si>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</si>
  <si>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</si>
  <si>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</si>
  <si>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</si>
  <si>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</si>
  <si>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</si>
  <si>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</si>
  <si>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</si>
  <si>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</si>
  <si>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</si>
  <si>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</si>
  <si>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</si>
  <si>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</si>
  <si>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</si>
  <si>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</si>
  <si>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</si>
  <si>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</si>
  <si>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</si>
  <si>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</si>
  <si>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</si>
  <si>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</si>
  <si>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</si>
  <si>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</si>
  <si>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</si>
  <si>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</si>
  <si>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</si>
  <si>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</si>
  <si>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</si>
  <si>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</si>
  <si>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</si>
  <si>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</si>
  <si>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</si>
  <si>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</si>
  <si>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</si>
  <si>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</si>
  <si>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</si>
  <si>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</si>
  <si>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</si>
  <si>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</si>
  <si>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</si>
  <si>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</si>
  <si>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</si>
  <si>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</si>
  <si>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</si>
  <si>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</si>
  <si>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</si>
  <si>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</si>
  <si>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</si>
  <si>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</si>
  <si>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</si>
  <si>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</si>
  <si>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</si>
  <si>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</si>
  <si>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</si>
  <si>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</si>
  <si>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</si>
  <si>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</si>
  <si>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</si>
  <si>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</si>
  <si>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</si>
  <si>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</si>
  <si>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</si>
  <si>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</si>
  <si>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</si>
  <si>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</si>
  <si>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</si>
  <si>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</si>
  <si>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</si>
  <si>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</si>
  <si>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</si>
  <si>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</si>
  <si>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</si>
  <si>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</si>
  <si>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</si>
  <si>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</si>
  <si>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</si>
  <si>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</si>
  <si>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</si>
  <si>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</si>
  <si>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</si>
  <si>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</si>
  <si>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</si>
  <si>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</si>
  <si>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</si>
  <si>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</si>
  <si>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</si>
  <si>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</si>
  <si>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</si>
  <si>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</si>
  <si>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</si>
  <si>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</si>
  <si>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</si>
  <si>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</si>
  <si>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</si>
  <si>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</si>
  <si>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</si>
  <si>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</si>
  <si>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</si>
  <si>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</si>
  <si>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</si>
  <si>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</si>
  <si>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</si>
  <si>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</si>
  <si>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</si>
  <si>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</si>
  <si>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</si>
  <si>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</si>
  <si>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</si>
  <si>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</si>
  <si>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</si>
  <si>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</si>
  <si>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</si>
  <si>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</si>
  <si>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</si>
  <si>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</si>
  <si>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</si>
  <si>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</si>
  <si>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</si>
  <si>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</si>
  <si>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</si>
  <si>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</si>
  <si>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</si>
  <si>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</si>
  <si>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</si>
  <si>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</si>
  <si>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</si>
  <si>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</si>
  <si>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</si>
  <si>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</si>
  <si>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</si>
  <si>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</si>
  <si>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</si>
  <si>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</si>
  <si>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</si>
  <si>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</si>
  <si>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</si>
  <si>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</si>
  <si>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</si>
  <si>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</si>
  <si>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</si>
  <si>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</si>
  <si>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</si>
  <si>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</si>
  <si>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</si>
  <si>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</si>
  <si>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</si>
  <si>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</si>
  <si>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</si>
  <si>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</si>
  <si>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</si>
  <si>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</si>
  <si>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</si>
  <si>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</si>
  <si>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</si>
  <si>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</si>
  <si>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</si>
  <si>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</si>
  <si>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</si>
  <si>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</si>
  <si>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</si>
  <si>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</si>
  <si>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</si>
  <si>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</si>
  <si>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</si>
  <si>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</si>
  <si>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</si>
  <si>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</si>
  <si>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</si>
  <si>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</si>
  <si>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</si>
  <si>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</si>
  <si>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</si>
  <si>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</si>
  <si>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</si>
  <si>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</si>
  <si>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</si>
  <si>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</si>
  <si>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</si>
  <si>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</si>
  <si>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</si>
  <si>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</si>
  <si>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</si>
  <si>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</si>
  <si>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</si>
  <si>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</si>
  <si>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</si>
  <si>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</si>
  <si>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</si>
  <si>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</si>
  <si>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</si>
  <si>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</si>
  <si>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</si>
  <si>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</si>
  <si>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</si>
  <si>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</si>
  <si>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</si>
  <si>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</si>
  <si>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</si>
  <si>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</si>
  <si>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</si>
  <si>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</si>
  <si>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</si>
  <si>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</si>
  <si>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</si>
  <si>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</si>
  <si>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</si>
  <si>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</si>
  <si>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</si>
  <si>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</si>
  <si>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</si>
  <si>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</si>
  <si>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</si>
  <si>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</si>
  <si>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</si>
  <si>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</si>
  <si>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</si>
  <si>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</si>
  <si>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</si>
  <si>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</si>
  <si>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</si>
  <si>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</si>
  <si>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</si>
  <si>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</si>
  <si>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</si>
  <si>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</si>
  <si>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</si>
  <si>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</si>
  <si>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</si>
  <si>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</si>
  <si>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</si>
  <si>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</si>
  <si>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</si>
  <si>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</si>
  <si>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</si>
  <si>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</si>
  <si>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</si>
  <si>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</si>
  <si>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</si>
  <si>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</si>
  <si>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</si>
  <si>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</si>
  <si>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</si>
  <si>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</si>
  <si>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</si>
  <si>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</si>
  <si>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</si>
  <si>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</si>
  <si>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</si>
  <si>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</si>
  <si>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</si>
  <si>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</si>
  <si>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</si>
  <si>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</si>
  <si>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</si>
  <si>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</si>
  <si>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</si>
  <si>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</si>
  <si>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</si>
  <si>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</si>
  <si>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</si>
  <si>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</si>
  <si>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</si>
  <si>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</si>
  <si>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</si>
  <si>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</si>
  <si>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</si>
  <si>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</si>
  <si>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</si>
  <si>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</si>
  <si>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</si>
  <si>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</si>
  <si>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</si>
  <si>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</si>
  <si>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</si>
  <si>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</si>
  <si>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</si>
  <si>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</si>
  <si>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</si>
  <si>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</si>
  <si>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</si>
  <si>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</si>
  <si>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</si>
  <si>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</si>
  <si>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</si>
  <si>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</si>
  <si>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</si>
  <si>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</si>
  <si>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</si>
  <si>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</si>
  <si>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</si>
  <si>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</si>
  <si>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</si>
  <si>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</si>
  <si>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</si>
  <si>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</si>
  <si>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</si>
  <si>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</si>
  <si>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</si>
  <si>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</si>
  <si>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</si>
  <si>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</si>
  <si>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</si>
  <si>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</si>
  <si>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</si>
  <si>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</si>
  <si>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</si>
  <si>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</si>
  <si>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</si>
  <si>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</si>
  <si>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</si>
  <si>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</si>
  <si>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</si>
  <si>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</si>
  <si>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</si>
  <si>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</si>
  <si>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</si>
  <si>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</si>
  <si>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</si>
  <si>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</si>
  <si>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</si>
  <si>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</si>
  <si>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</si>
  <si>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</si>
  <si>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</si>
  <si>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</si>
  <si>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</si>
  <si>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</si>
  <si>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</si>
  <si>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</si>
  <si>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</si>
  <si>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</si>
  <si>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</si>
  <si>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</si>
  <si>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</si>
  <si>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</si>
  <si>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</si>
  <si>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</si>
  <si>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</si>
  <si>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</si>
  <si>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</si>
  <si>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</si>
  <si>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</si>
  <si>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</si>
  <si>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</si>
  <si>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</si>
  <si>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</si>
  <si>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</si>
  <si>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</si>
  <si>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</si>
  <si>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</si>
  <si>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</si>
  <si>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</si>
  <si>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</si>
  <si>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</si>
  <si>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</si>
  <si>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</si>
  <si>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</si>
  <si>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</si>
  <si>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</si>
  <si>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</si>
  <si>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</si>
  <si>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</si>
  <si>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</si>
  <si>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</si>
  <si>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</si>
  <si>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</si>
  <si>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</si>
  <si>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</si>
  <si>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</si>
  <si>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</si>
  <si>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</si>
  <si>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</si>
  <si>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</si>
  <si>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</si>
  <si>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</si>
  <si>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</si>
  <si>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</si>
  <si>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</si>
  <si>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</si>
  <si>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</si>
  <si>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</si>
  <si>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</si>
  <si>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</si>
  <si>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</si>
  <si>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</si>
  <si>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</si>
  <si>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</si>
  <si>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</si>
  <si>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</si>
  <si>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</si>
  <si>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</si>
  <si>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</si>
  <si>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</si>
  <si>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</si>
  <si>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</si>
  <si>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</si>
  <si>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</si>
  <si>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</si>
  <si>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</si>
  <si>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</si>
  <si>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</si>
  <si>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</si>
  <si>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</si>
  <si>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</si>
  <si>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</si>
  <si>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</si>
  <si>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</si>
  <si>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</si>
  <si>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</si>
  <si>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</si>
  <si>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</si>
  <si>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</si>
  <si>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</si>
  <si>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</si>
  <si>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</si>
  <si>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</si>
  <si>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</si>
  <si>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</si>
  <si>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</si>
  <si>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</si>
  <si>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</si>
  <si>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</si>
  <si>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</si>
  <si>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</si>
  <si>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</si>
  <si>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</si>
  <si>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</si>
  <si>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</si>
  <si>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</si>
  <si>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</si>
  <si>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</si>
  <si>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</si>
  <si>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</si>
  <si>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</si>
  <si>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</si>
  <si>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</si>
  <si>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</si>
  <si>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</si>
  <si>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</si>
  <si>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</si>
  <si>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</si>
  <si>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</si>
  <si>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</si>
  <si>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</si>
  <si>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</si>
  <si>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</si>
  <si>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</si>
  <si>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</si>
  <si>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</si>
  <si>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</si>
  <si>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</si>
  <si>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</si>
  <si>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</si>
  <si>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</si>
  <si>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</si>
  <si>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</si>
  <si>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</si>
  <si>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</si>
  <si>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</si>
  <si>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</si>
  <si>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</si>
  <si>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</si>
  <si>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</si>
  <si>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</si>
  <si>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</si>
  <si>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</si>
  <si>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</si>
  <si>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</si>
  <si>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</si>
  <si>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</si>
  <si>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</si>
  <si>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</si>
  <si>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</si>
  <si>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</si>
  <si>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</si>
  <si>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</si>
  <si>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</si>
  <si>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</si>
  <si>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</si>
  <si>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</si>
  <si>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</si>
  <si>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</si>
  <si>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</si>
  <si>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</si>
  <si>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</si>
  <si>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</si>
  <si>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</si>
  <si>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</si>
  <si>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</si>
  <si>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</si>
  <si>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</si>
  <si>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</si>
  <si>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</si>
  <si>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</si>
  <si>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</si>
  <si>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</si>
  <si>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</si>
  <si>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</si>
  <si>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</si>
  <si>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</si>
  <si>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</si>
  <si>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</si>
  <si>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</si>
  <si>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</si>
  <si>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</si>
  <si>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</si>
  <si>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</si>
  <si>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</si>
  <si>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</si>
  <si>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</si>
  <si>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</si>
  <si>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</si>
  <si>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</si>
  <si>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</si>
  <si>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</si>
  <si>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</si>
  <si>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</si>
  <si>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</si>
  <si>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</si>
  <si>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</si>
  <si>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</si>
  <si>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</si>
  <si>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</si>
  <si>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</si>
  <si>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</si>
  <si>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</si>
  <si>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</si>
  <si>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</si>
  <si>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</si>
  <si>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</si>
  <si>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</si>
  <si>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</si>
  <si>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</si>
  <si>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</si>
  <si>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</si>
  <si>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</si>
  <si>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</si>
  <si>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</si>
  <si>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</si>
  <si>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</si>
  <si>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</si>
  <si>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</si>
  <si>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</si>
  <si>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</si>
  <si>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</si>
  <si>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</si>
  <si>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</si>
  <si>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</si>
  <si>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</si>
  <si>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</si>
  <si>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</si>
  <si>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</si>
  <si>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</si>
  <si>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</si>
  <si>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</si>
  <si>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</si>
  <si>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</si>
  <si>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</si>
  <si>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</si>
  <si>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</si>
  <si>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</si>
  <si>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</si>
  <si>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</si>
  <si>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</si>
  <si>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</si>
  <si>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</si>
  <si>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</si>
  <si>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</si>
  <si>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</si>
  <si>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</si>
  <si>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</si>
  <si>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</si>
  <si>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</si>
  <si>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</si>
  <si>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</si>
  <si>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</si>
  <si>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</si>
  <si>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</si>
  <si>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</si>
  <si>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</si>
  <si>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</si>
  <si>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</si>
  <si>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</si>
  <si>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</si>
  <si>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</si>
  <si>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</si>
  <si>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</si>
  <si>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</si>
  <si>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</si>
  <si>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</si>
  <si>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</si>
  <si>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</si>
  <si>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</si>
  <si>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</si>
  <si>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</si>
  <si>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</si>
  <si>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</si>
  <si>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</si>
  <si>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</si>
  <si>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</si>
  <si>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</si>
  <si>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</si>
  <si>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</si>
  <si>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</si>
  <si>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</si>
  <si>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</si>
  <si>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</si>
  <si>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</si>
  <si>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</si>
  <si>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</si>
  <si>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</si>
  <si>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</si>
  <si>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</si>
  <si>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</si>
  <si>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</si>
  <si>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</si>
  <si>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</si>
  <si>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</si>
  <si>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</si>
  <si>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</si>
  <si>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</si>
  <si>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</si>
  <si>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</si>
  <si>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</si>
  <si>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</si>
  <si>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</si>
  <si>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</si>
  <si>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</si>
  <si>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</si>
  <si>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</si>
  <si>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</si>
  <si>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</si>
  <si>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</si>
  <si>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</si>
  <si>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</si>
  <si>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</si>
  <si>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</si>
  <si>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</si>
  <si>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</si>
  <si>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</si>
  <si>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</si>
  <si>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</si>
  <si>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</si>
  <si>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</si>
  <si>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</si>
  <si>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</si>
  <si>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</si>
  <si>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</si>
  <si>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</si>
  <si>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</si>
  <si>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</si>
  <si>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</si>
  <si>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</si>
  <si>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</si>
  <si>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</si>
  <si>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</si>
  <si>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</si>
  <si>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</si>
  <si>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</si>
  <si>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</si>
  <si>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</si>
  <si>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</si>
  <si>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</si>
  <si>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</si>
  <si>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</si>
  <si>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</si>
  <si>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</si>
  <si>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</si>
  <si>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</si>
  <si>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</si>
  <si>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</si>
  <si>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</si>
  <si>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</si>
  <si>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</si>
  <si>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</si>
  <si>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</si>
  <si>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</si>
  <si>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</si>
  <si>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</si>
  <si>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</si>
  <si>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</si>
  <si>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</si>
  <si>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</si>
  <si>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</si>
  <si>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</si>
  <si>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</si>
  <si>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</si>
  <si>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</si>
  <si>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</si>
  <si>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</si>
  <si>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</si>
  <si>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</si>
  <si>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</si>
  <si>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</si>
  <si>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</si>
  <si>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</si>
  <si>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</si>
  <si>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</si>
  <si>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</si>
  <si>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</si>
  <si>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</si>
  <si>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</si>
  <si>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</si>
  <si>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</si>
  <si>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</si>
  <si>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</si>
  <si>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</si>
  <si>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</si>
  <si>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</si>
  <si>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</si>
  <si>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</si>
  <si>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</si>
  <si>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</si>
  <si>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</si>
  <si>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</si>
  <si>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</si>
  <si>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</si>
  <si>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</si>
  <si>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</si>
  <si>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</si>
  <si>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</si>
  <si>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</si>
  <si>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</si>
  <si>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</si>
  <si>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</si>
  <si>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</si>
  <si>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</si>
  <si>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</si>
  <si>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</si>
  <si>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</si>
  <si>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</si>
  <si>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</si>
  <si>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</si>
  <si>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</si>
  <si>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</si>
  <si>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</si>
  <si>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</si>
  <si>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</si>
  <si>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</si>
  <si>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</si>
  <si>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</si>
  <si>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</si>
  <si>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</si>
  <si>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</si>
  <si>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</si>
  <si>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</si>
  <si>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</si>
  <si>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</si>
  <si>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</si>
  <si>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</si>
  <si>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</si>
  <si>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</si>
  <si>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</si>
  <si>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</si>
  <si>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</si>
  <si>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</si>
  <si>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</si>
  <si>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</si>
  <si>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</si>
  <si>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</si>
  <si>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</si>
  <si>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</si>
  <si>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</si>
  <si>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</si>
  <si>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</si>
  <si>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</si>
  <si>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</si>
  <si>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</si>
  <si>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</si>
  <si>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</si>
  <si>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</si>
  <si>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</si>
  <si>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</si>
  <si>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</si>
  <si>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</si>
  <si>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</si>
  <si>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</si>
  <si>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</si>
  <si>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</si>
  <si>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</si>
  <si>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</si>
  <si>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</si>
  <si>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</si>
  <si>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</si>
  <si>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</si>
  <si>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</si>
  <si>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</si>
  <si>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</si>
  <si>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</si>
  <si>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</si>
  <si>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</si>
  <si>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</si>
  <si>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</si>
  <si>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</si>
  <si>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</si>
  <si>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</si>
  <si>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</si>
  <si>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</si>
  <si>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</si>
  <si>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</si>
  <si>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</si>
  <si>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</si>
  <si>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</si>
  <si>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</si>
  <si>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</si>
  <si>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</si>
  <si>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</si>
  <si>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</si>
  <si>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</si>
  <si>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</si>
  <si>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</si>
  <si>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</si>
  <si>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</si>
  <si>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</si>
  <si>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</si>
  <si>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</si>
  <si>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</si>
  <si>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</si>
  <si>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</si>
  <si>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</si>
  <si>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</si>
  <si>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</si>
  <si>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</si>
  <si>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</si>
  <si>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</si>
  <si>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</si>
  <si>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</si>
  <si>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</si>
  <si>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</si>
  <si>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</si>
  <si>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</si>
  <si>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</si>
  <si>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</si>
  <si>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</si>
  <si>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</si>
  <si>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</si>
  <si>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</si>
  <si>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</si>
  <si>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</si>
  <si>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</si>
  <si>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</si>
  <si>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</si>
  <si>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</si>
  <si>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</si>
  <si>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</si>
  <si>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</si>
  <si>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</si>
  <si>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</si>
  <si>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</si>
  <si>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</si>
  <si>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</si>
  <si>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</si>
  <si>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</si>
  <si>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</si>
  <si>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</si>
  <si>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</si>
  <si>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</si>
  <si>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</si>
  <si>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</si>
  <si>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</si>
  <si>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</si>
  <si>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</si>
  <si>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</si>
  <si>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</si>
  <si>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</si>
  <si>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</si>
  <si>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</si>
  <si>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</si>
  <si>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</si>
  <si>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</si>
  <si>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</si>
  <si>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</si>
  <si>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</si>
  <si>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</si>
  <si>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</si>
  <si>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</si>
  <si>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</si>
  <si>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</si>
  <si>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</si>
  <si>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</si>
  <si>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</si>
  <si>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</si>
  <si>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</si>
  <si>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</si>
  <si>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</si>
  <si>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</si>
  <si>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</si>
  <si>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</si>
  <si>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</si>
  <si>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</si>
  <si>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</si>
  <si>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</si>
  <si>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</si>
  <si>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</si>
  <si>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</si>
  <si>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</si>
  <si>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</si>
  <si>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</si>
  <si>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</si>
  <si>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</si>
  <si>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</si>
  <si>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</si>
  <si>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</si>
  <si>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</si>
  <si>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</si>
  <si>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</si>
  <si>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</si>
  <si>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</si>
  <si>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</si>
  <si>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</si>
  <si>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</si>
  <si>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</si>
  <si>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</si>
  <si>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</si>
  <si>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</si>
  <si>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</si>
  <si>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</si>
  <si>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</si>
  <si>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</si>
  <si>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</si>
  <si>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</si>
  <si>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</si>
  <si>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</si>
  <si>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</si>
  <si>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</si>
  <si>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</si>
  <si>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</si>
  <si>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</si>
  <si>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</si>
  <si>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</si>
  <si>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</si>
  <si>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</si>
  <si>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</si>
  <si>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</si>
  <si>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</si>
  <si>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</si>
  <si>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</si>
  <si>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</si>
  <si>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</si>
  <si>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</si>
  <si>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</si>
  <si>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</si>
  <si>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</si>
  <si>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</si>
  <si>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</si>
  <si>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</si>
  <si>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</si>
  <si>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</si>
  <si>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</si>
  <si>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</si>
  <si>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</si>
  <si>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</si>
  <si>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</si>
  <si>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</si>
  <si>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</si>
  <si>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</si>
  <si>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</si>
  <si>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</si>
  <si>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</si>
  <si>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</si>
  <si>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</si>
  <si>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</si>
  <si>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</si>
  <si>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</si>
  <si>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</si>
  <si>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</si>
  <si>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</si>
  <si>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</si>
  <si>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</si>
  <si>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</si>
  <si>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</si>
  <si>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</si>
  <si>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</si>
  <si>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</si>
  <si>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</si>
  <si>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</si>
  <si>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</si>
  <si>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</si>
  <si>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</si>
  <si>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</si>
  <si>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</si>
  <si>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</si>
  <si>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</si>
  <si>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</si>
  <si>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</si>
  <si>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</si>
  <si>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</si>
  <si>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</si>
  <si>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</si>
  <si>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</si>
  <si>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</si>
  <si>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</si>
  <si>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</si>
  <si>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</si>
  <si>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</si>
  <si>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</si>
  <si>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</si>
  <si>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</si>
  <si>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</si>
  <si>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</si>
  <si>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</si>
  <si>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</si>
  <si>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</si>
  <si>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</si>
  <si>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</si>
  <si>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</si>
  <si>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</si>
  <si>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</si>
  <si>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</si>
  <si>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</si>
  <si>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</si>
  <si>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</si>
  <si>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</si>
  <si>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</si>
  <si>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</si>
  <si>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</si>
  <si>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</si>
  <si>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</si>
  <si>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</si>
  <si>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</si>
  <si>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</si>
  <si>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</si>
  <si>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</si>
  <si>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</si>
  <si>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</si>
  <si>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</si>
  <si>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</si>
  <si>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</si>
  <si>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</si>
  <si>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</si>
  <si>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</si>
  <si>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</si>
  <si>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</si>
  <si>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</si>
  <si>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</si>
  <si>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</si>
  <si>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</si>
  <si>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</si>
  <si>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</si>
  <si>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</si>
  <si>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</si>
  <si>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</si>
  <si>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</si>
  <si>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</si>
  <si>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</si>
  <si>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</si>
  <si>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</si>
  <si>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</si>
  <si>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</si>
  <si>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</si>
  <si>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</si>
  <si>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</si>
  <si>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</si>
  <si>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</si>
  <si>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</si>
  <si>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</si>
  <si>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</si>
  <si>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</si>
  <si>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</si>
  <si>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</si>
  <si>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</si>
  <si>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</si>
  <si>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</si>
  <si>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</si>
  <si>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</si>
  <si>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</si>
  <si>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</si>
  <si>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</si>
  <si>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</si>
  <si>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</si>
  <si>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</si>
  <si>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</si>
  <si>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</si>
  <si>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</si>
  <si>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</si>
  <si>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</si>
  <si>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</si>
  <si>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</si>
  <si>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</si>
  <si>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</si>
  <si>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</si>
  <si>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</si>
  <si>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</si>
  <si>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</si>
  <si>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</si>
  <si>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</si>
  <si>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</si>
  <si>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</si>
  <si>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</si>
  <si>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</si>
  <si>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</si>
  <si>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</si>
  <si>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</si>
  <si>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</si>
  <si>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</si>
  <si>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</si>
  <si>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</si>
  <si>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</si>
  <si>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</si>
  <si>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</si>
  <si>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</si>
  <si>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</si>
  <si>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</si>
  <si>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</si>
  <si>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</si>
  <si>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</si>
  <si>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</si>
  <si>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</si>
  <si>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</si>
  <si>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</si>
  <si>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</si>
  <si>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</si>
  <si>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</si>
  <si>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</si>
  <si>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</si>
  <si>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</si>
  <si>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</si>
  <si>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</si>
  <si>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</si>
  <si>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</si>
  <si>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</si>
  <si>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</si>
  <si>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</si>
  <si>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</si>
  <si>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</si>
  <si>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</si>
  <si>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</si>
  <si>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</si>
  <si>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</si>
  <si>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</si>
  <si>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</si>
  <si>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</si>
  <si>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</si>
  <si>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</si>
  <si>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</si>
  <si>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</si>
  <si>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</si>
  <si>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</si>
  <si>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</si>
  <si>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</si>
  <si>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</si>
  <si>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</si>
  <si>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</si>
  <si>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</si>
  <si>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</si>
  <si>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</si>
  <si>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</si>
  <si>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</si>
  <si>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</si>
  <si>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</si>
  <si>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</si>
  <si>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</si>
  <si>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</si>
  <si>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</si>
  <si>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</si>
  <si>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</si>
  <si>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</si>
  <si>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</si>
  <si>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</si>
  <si>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</si>
  <si>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</si>
  <si>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</si>
  <si>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</si>
  <si>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</si>
  <si>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</si>
  <si>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</si>
  <si>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</si>
  <si>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</si>
  <si>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</si>
  <si>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</si>
  <si>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</si>
  <si>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</si>
  <si>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</si>
  <si>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</si>
  <si>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</si>
  <si>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</si>
  <si>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</si>
  <si>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</si>
  <si>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</si>
  <si>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</si>
  <si>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</si>
  <si>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</si>
  <si>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</si>
  <si>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</si>
  <si>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</si>
  <si>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</si>
  <si>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</si>
  <si>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</si>
  <si>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</si>
  <si>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</si>
  <si>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</si>
  <si>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</si>
  <si>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</si>
  <si>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</si>
  <si>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</si>
  <si>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</si>
  <si>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</si>
  <si>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</si>
  <si>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</si>
  <si>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</si>
  <si>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</si>
  <si>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</si>
  <si>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</si>
  <si>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</si>
  <si>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</si>
  <si>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</si>
  <si>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</si>
  <si>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</si>
  <si>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</si>
  <si>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</si>
  <si>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</si>
  <si>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</si>
  <si>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</si>
  <si>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</si>
  <si>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</si>
  <si>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</si>
  <si>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</si>
  <si>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</si>
  <si>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</si>
  <si>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</si>
  <si>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</si>
  <si>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</si>
  <si>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</si>
  <si>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</si>
  <si>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</si>
  <si>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</si>
  <si>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</si>
  <si>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</si>
  <si>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</si>
  <si>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</si>
  <si>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</si>
  <si>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</si>
  <si>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</si>
  <si>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</si>
  <si>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</si>
  <si>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</si>
  <si>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</si>
  <si>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</si>
  <si>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</si>
  <si>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</si>
  <si>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</si>
  <si>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</si>
  <si>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</si>
  <si>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</si>
  <si>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</si>
  <si>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</si>
  <si>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</si>
  <si>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</si>
  <si>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</si>
  <si>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</si>
  <si>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</si>
  <si>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</si>
  <si>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</si>
  <si>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</si>
  <si>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</si>
  <si>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</si>
  <si>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</si>
  <si>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</si>
  <si>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</si>
  <si>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</si>
  <si>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</si>
  <si>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</si>
  <si>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</si>
  <si>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</si>
  <si>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</si>
  <si>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</si>
  <si>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</si>
  <si>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</si>
  <si>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</si>
  <si>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</si>
  <si>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</si>
  <si>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</si>
  <si>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</si>
  <si>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</si>
  <si>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</si>
  <si>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</si>
  <si>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</si>
  <si>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</si>
  <si>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</si>
  <si>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</si>
  <si>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</si>
  <si>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</si>
  <si>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</si>
  <si>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</si>
  <si>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</si>
  <si>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</si>
  <si>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</si>
  <si>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</si>
  <si>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</si>
  <si>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</si>
  <si>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</si>
  <si>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</si>
  <si>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</si>
  <si>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</si>
  <si>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</si>
  <si>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</si>
  <si>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</si>
  <si>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</si>
  <si>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</si>
  <si>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</si>
  <si>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</si>
  <si>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</si>
  <si>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</si>
  <si>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</si>
  <si>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</si>
  <si>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</si>
  <si>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</si>
  <si>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</si>
  <si>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</si>
  <si>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</si>
  <si>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</si>
  <si>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</si>
  <si>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</si>
  <si>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</si>
  <si>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</si>
  <si>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</si>
  <si>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</si>
  <si>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</si>
  <si>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</si>
  <si>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</si>
  <si>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</si>
  <si>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</si>
  <si>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</si>
  <si>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</si>
  <si>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</si>
  <si>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</si>
  <si>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</si>
  <si>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</si>
  <si>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</si>
  <si>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</si>
  <si>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</si>
  <si>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</si>
  <si>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</si>
  <si>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</si>
  <si>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</si>
  <si>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</si>
  <si>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</si>
  <si>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</si>
  <si>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</si>
  <si>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</si>
  <si>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</si>
  <si>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</si>
  <si>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</si>
  <si>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</si>
  <si>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</si>
  <si>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</si>
  <si>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</si>
  <si>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</si>
  <si>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</si>
  <si>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</si>
  <si>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</si>
  <si>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</si>
  <si>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</si>
  <si>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</si>
  <si>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</si>
  <si>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</si>
  <si>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</si>
  <si>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</si>
  <si>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</si>
  <si>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</si>
  <si>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</si>
  <si>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</si>
  <si>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</si>
  <si>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</si>
  <si>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</si>
  <si>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</si>
  <si>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</si>
  <si>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</si>
  <si>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</si>
  <si>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</si>
  <si>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</si>
  <si>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</si>
  <si>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</si>
  <si>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</si>
  <si>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</si>
  <si>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</si>
  <si>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</si>
  <si>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</si>
  <si>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</si>
  <si>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</si>
  <si>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</si>
  <si>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</si>
  <si>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</si>
  <si>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</si>
  <si>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</si>
  <si>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</si>
  <si>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</si>
  <si>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</si>
  <si>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</si>
  <si>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</si>
  <si>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</si>
  <si>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</si>
  <si>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</si>
  <si>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</si>
  <si>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</si>
  <si>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</si>
  <si>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</si>
  <si>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</si>
  <si>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</si>
  <si>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</si>
  <si>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</si>
  <si>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</si>
  <si>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</si>
  <si>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</si>
  <si>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</si>
  <si>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</si>
  <si>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</si>
  <si>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</si>
  <si>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</si>
  <si>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</si>
  <si>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</si>
  <si>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</si>
  <si>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</si>
  <si>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</si>
  <si>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</si>
  <si>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</si>
  <si>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</si>
  <si>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</si>
  <si>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</si>
  <si>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</si>
  <si>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</si>
  <si>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</si>
  <si>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</si>
  <si>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</si>
  <si>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</si>
  <si>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</si>
  <si>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</si>
  <si>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</si>
  <si>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</si>
  <si>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</si>
  <si>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</si>
  <si>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</si>
  <si>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</si>
  <si>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</si>
  <si>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</si>
  <si>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</si>
  <si>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</si>
  <si>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</si>
  <si>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</si>
  <si>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</si>
  <si>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</si>
  <si>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</si>
  <si>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</si>
  <si>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</si>
  <si>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</si>
  <si>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</si>
  <si>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</si>
  <si>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</si>
  <si>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</si>
  <si>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</si>
  <si>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</si>
  <si>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</si>
  <si>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</si>
  <si>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</si>
  <si>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</si>
  <si>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</si>
  <si>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</si>
  <si>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</si>
  <si>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</si>
  <si>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</si>
  <si>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</si>
  <si>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</si>
  <si>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</si>
  <si>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</si>
  <si>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</si>
  <si>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</si>
  <si>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</si>
  <si>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</si>
  <si>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</si>
  <si>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</si>
  <si>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</si>
  <si>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</si>
  <si>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</si>
  <si>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</si>
  <si>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</si>
  <si>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</si>
  <si>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</si>
  <si>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</si>
  <si>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</si>
  <si>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</si>
  <si>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</si>
  <si>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</si>
  <si>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</si>
  <si>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</si>
  <si>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</si>
  <si>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</si>
  <si>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</si>
  <si>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</si>
  <si>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</si>
  <si>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</si>
  <si>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</si>
  <si>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</si>
  <si>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</si>
  <si>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</si>
  <si>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</si>
  <si>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</si>
  <si>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</si>
  <si>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</si>
  <si>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</si>
  <si>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</si>
  <si>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</si>
  <si>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</si>
  <si>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</si>
  <si>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</si>
  <si>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</si>
  <si>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</si>
  <si>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</si>
  <si>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</si>
  <si>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</si>
  <si>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</si>
  <si>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</si>
  <si>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</si>
  <si>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</si>
  <si>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</si>
  <si>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</si>
  <si>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</si>
  <si>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</si>
  <si>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</si>
  <si>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</si>
  <si>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</si>
  <si>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</si>
  <si>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</si>
  <si>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</si>
  <si>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</si>
  <si>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</si>
  <si>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</si>
  <si>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</si>
  <si>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</si>
  <si>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</si>
  <si>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</si>
  <si>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</si>
  <si>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</si>
  <si>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</si>
  <si>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</si>
  <si>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</si>
  <si>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</si>
  <si>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</si>
  <si>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</si>
  <si>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</si>
  <si>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</si>
  <si>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</si>
  <si>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</si>
  <si>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</si>
  <si>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</si>
  <si>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</si>
  <si>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</si>
  <si>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</si>
  <si>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</si>
  <si>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</si>
  <si>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</si>
  <si>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</si>
  <si>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</si>
  <si>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</si>
  <si>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</si>
  <si>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</si>
  <si>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</si>
  <si>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</si>
  <si>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</si>
  <si>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</si>
  <si>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</si>
  <si>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</si>
  <si>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</si>
  <si>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</si>
  <si>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</si>
  <si>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</si>
  <si>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</si>
  <si>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</si>
  <si>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</si>
  <si>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</si>
  <si>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</si>
  <si>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</si>
  <si>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</si>
  <si>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</si>
  <si>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</si>
  <si>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</si>
  <si>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</si>
  <si>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</si>
  <si>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</si>
  <si>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</si>
  <si>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</si>
  <si>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</si>
  <si>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</si>
  <si>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</si>
  <si>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</si>
  <si>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</si>
  <si>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</si>
  <si>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</si>
  <si>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</si>
  <si>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</si>
  <si>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</si>
  <si>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</si>
  <si>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</si>
  <si>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</si>
  <si>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</si>
  <si>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</si>
  <si>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</si>
  <si>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</si>
  <si>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</si>
  <si>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</si>
  <si>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</si>
  <si>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</si>
  <si>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</si>
  <si>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</si>
  <si>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</si>
  <si>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</si>
  <si>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</si>
  <si>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</si>
  <si>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</si>
  <si>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</si>
  <si>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</si>
  <si>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</si>
  <si>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</si>
  <si>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</si>
  <si>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</si>
  <si>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</si>
  <si>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</si>
  <si>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</si>
  <si>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</si>
  <si>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</si>
  <si>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</si>
  <si>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</si>
  <si>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</si>
  <si>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</si>
  <si>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</si>
  <si>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</si>
  <si>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</si>
  <si>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</si>
  <si>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</si>
  <si>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</si>
  <si>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</si>
  <si>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</si>
  <si>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</si>
  <si>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</si>
  <si>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</si>
  <si>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</si>
  <si>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</si>
  <si>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</si>
  <si>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</si>
  <si>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</si>
  <si>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</si>
  <si>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</si>
  <si>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</si>
  <si>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</si>
  <si>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</si>
  <si>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</si>
  <si>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</si>
  <si>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</si>
  <si>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</si>
  <si>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</si>
  <si>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</si>
  <si>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</si>
  <si>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</si>
  <si>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</si>
  <si>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</si>
  <si>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</si>
  <si>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</si>
  <si>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</si>
  <si>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</si>
  <si>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</si>
  <si>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</si>
  <si>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</si>
  <si>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</si>
  <si>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</si>
  <si>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</si>
  <si>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</si>
  <si>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</si>
  <si>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</si>
  <si>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</si>
  <si>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</si>
  <si>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</si>
  <si>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</si>
  <si>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</si>
  <si>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</si>
  <si>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</si>
  <si>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</si>
  <si>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</si>
  <si>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</si>
  <si>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</si>
  <si>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</si>
  <si>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</si>
  <si>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</si>
  <si>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</si>
  <si>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</si>
  <si>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</si>
  <si>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</si>
  <si>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</si>
  <si>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</si>
  <si>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</si>
  <si>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</si>
  <si>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</si>
  <si>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</si>
  <si>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</si>
  <si>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</si>
  <si>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</si>
  <si>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</si>
  <si>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</si>
  <si>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</si>
  <si>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</si>
  <si>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</si>
  <si>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</si>
  <si>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</si>
  <si>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</si>
  <si>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</si>
  <si>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</si>
  <si>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</si>
  <si>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</si>
  <si>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</si>
  <si>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</si>
  <si>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</si>
  <si>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</si>
  <si>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</si>
  <si>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</si>
  <si>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</si>
  <si>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</si>
  <si>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</si>
  <si>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</si>
  <si>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</si>
  <si>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</si>
  <si>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</si>
  <si>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</si>
  <si>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</si>
  <si>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</si>
  <si>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</si>
  <si>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</si>
  <si>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</si>
  <si>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</si>
  <si>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</si>
  <si>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</si>
  <si>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</si>
  <si>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</si>
  <si>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</si>
  <si>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</si>
  <si>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</si>
  <si>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</si>
  <si>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</si>
  <si>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</si>
  <si>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</si>
  <si>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</si>
  <si>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</si>
  <si>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</si>
  <si>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</si>
  <si>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</si>
  <si>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</si>
  <si>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</si>
  <si>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</si>
  <si>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</si>
  <si>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</si>
  <si>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</si>
  <si>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</si>
  <si>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</si>
  <si>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</si>
  <si>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</si>
  <si>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</si>
  <si>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</si>
  <si>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</si>
  <si>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</si>
  <si>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</si>
  <si>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</si>
  <si>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</si>
  <si>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</si>
  <si>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</si>
  <si>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</si>
  <si>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</si>
  <si>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</si>
  <si>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</si>
  <si>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</si>
  <si>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</si>
  <si>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</si>
  <si>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</si>
  <si>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</si>
  <si>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</si>
  <si>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</si>
  <si>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</si>
  <si>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</si>
  <si>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</si>
  <si>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</si>
  <si>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</si>
  <si>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</si>
  <si>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</si>
  <si>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</si>
  <si>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</si>
  <si>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</si>
  <si>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</si>
  <si>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</si>
  <si>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</si>
  <si>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</si>
  <si>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</si>
  <si>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</si>
  <si>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</si>
  <si>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</si>
  <si>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</si>
  <si>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</si>
  <si>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</si>
  <si>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</si>
  <si>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</si>
  <si>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</si>
  <si>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</si>
  <si>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</si>
  <si>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</si>
  <si>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</si>
  <si>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</si>
  <si>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</si>
  <si>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</si>
  <si>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</si>
  <si>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</si>
  <si>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</si>
  <si>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</si>
  <si>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</si>
  <si>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</si>
  <si>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</si>
  <si>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</si>
  <si>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</si>
  <si>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</si>
  <si>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</si>
  <si>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</si>
  <si>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</si>
  <si>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</si>
  <si>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</si>
  <si>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</si>
  <si>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</si>
  <si>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</si>
  <si>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</si>
  <si>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</si>
  <si>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</si>
  <si>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</si>
  <si>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</si>
  <si>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</si>
  <si>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</si>
  <si>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</si>
  <si>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</si>
  <si>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</si>
  <si>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</si>
  <si>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</si>
  <si>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</si>
  <si>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</si>
  <si>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</si>
  <si>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</si>
  <si>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</si>
  <si>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</si>
  <si>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</si>
  <si>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</si>
  <si>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</si>
  <si>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</si>
  <si>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</si>
  <si>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</si>
  <si>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</si>
  <si>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</si>
  <si>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</si>
  <si>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</si>
  <si>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</si>
  <si>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</si>
  <si>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</si>
  <si>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</si>
  <si>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</si>
  <si>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</si>
  <si>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</si>
  <si>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</si>
  <si>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</si>
  <si>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</si>
  <si>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</si>
  <si>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</si>
  <si>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</si>
  <si>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</si>
  <si>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</si>
  <si>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</si>
  <si>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</si>
  <si>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</si>
  <si>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</si>
  <si>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</si>
  <si>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</si>
  <si>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</si>
  <si>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</si>
  <si>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</si>
  <si>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</si>
  <si>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</si>
  <si>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</si>
  <si>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</si>
  <si>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</si>
  <si>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</si>
  <si>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</si>
  <si>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</si>
  <si>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</si>
  <si>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</si>
  <si>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</si>
  <si>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</si>
  <si>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</si>
  <si>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</si>
  <si>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</si>
  <si>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</si>
  <si>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</si>
  <si>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</si>
  <si>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</si>
  <si>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</si>
  <si>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</si>
  <si>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</si>
  <si>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</si>
  <si>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</si>
  <si>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</si>
  <si>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</si>
  <si>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</si>
  <si>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</si>
  <si>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</si>
  <si>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</si>
  <si>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</si>
  <si>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</si>
  <si>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</si>
  <si>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</si>
  <si>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</si>
  <si>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</si>
  <si>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</si>
  <si>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</si>
  <si>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</si>
  <si>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</si>
  <si>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</si>
  <si>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</si>
  <si>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</si>
  <si>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</si>
  <si>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</si>
  <si>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</si>
  <si>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</si>
  <si>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</si>
  <si>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</si>
  <si>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</si>
  <si>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</si>
  <si>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</si>
  <si>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</si>
  <si>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</si>
  <si>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</si>
  <si>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</si>
  <si>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</si>
  <si>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</si>
  <si>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</si>
  <si>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</si>
  <si>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</si>
  <si>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</si>
  <si>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</si>
  <si>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</si>
  <si>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</si>
  <si>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</si>
  <si>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</si>
  <si>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</si>
  <si>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</si>
  <si>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</si>
  <si>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</si>
  <si>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</si>
  <si>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</si>
  <si>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</si>
  <si>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</si>
  <si>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</si>
  <si>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</si>
  <si>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</si>
  <si>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</si>
  <si>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</si>
  <si>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</si>
  <si>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</si>
  <si>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</si>
  <si>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</si>
  <si>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</si>
  <si>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</si>
  <si>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</si>
  <si>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</si>
  <si>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</si>
  <si>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</si>
  <si>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</si>
  <si>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</si>
  <si>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</si>
  <si>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</si>
  <si>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</si>
  <si>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</si>
  <si>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</si>
  <si>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</si>
  <si>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</si>
  <si>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</si>
  <si>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</si>
  <si>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</si>
  <si>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</si>
  <si>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</si>
  <si>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</si>
  <si>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</si>
  <si>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</si>
  <si>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</si>
  <si>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</si>
  <si>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</si>
  <si>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</si>
  <si>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</si>
  <si>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</si>
  <si>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</si>
  <si>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</si>
  <si>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</si>
  <si>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</si>
  <si>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</si>
  <si>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</si>
  <si>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</si>
  <si>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</si>
  <si>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</si>
  <si>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</si>
  <si>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</si>
  <si>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</si>
  <si>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</si>
  <si>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</si>
  <si>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</si>
  <si>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</si>
  <si>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</si>
  <si>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</si>
  <si>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</si>
  <si>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</si>
  <si>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</si>
  <si>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</si>
  <si>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</si>
  <si>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</si>
  <si>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</si>
  <si>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</si>
  <si>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</si>
  <si>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</si>
  <si>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</si>
  <si>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</si>
  <si>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</si>
  <si>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</si>
  <si>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</si>
  <si>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</si>
  <si>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</si>
  <si>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</si>
  <si>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</si>
  <si>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</si>
  <si>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</si>
  <si>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</si>
  <si>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</si>
  <si>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</si>
  <si>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</si>
  <si>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</si>
  <si>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</si>
  <si>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</si>
  <si>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</si>
  <si>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</si>
  <si>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</si>
  <si>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</si>
  <si>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</si>
  <si>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</si>
  <si>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</si>
  <si>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</si>
  <si>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</si>
  <si>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</si>
  <si>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</si>
  <si>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</si>
  <si>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</si>
  <si>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</si>
  <si>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</si>
  <si>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</si>
  <si>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</si>
  <si>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</si>
  <si>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</si>
  <si>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</si>
  <si>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</si>
  <si>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</si>
  <si>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</si>
  <si>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</si>
  <si>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</si>
  <si>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</si>
  <si>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</si>
  <si>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</si>
  <si>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</si>
  <si>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</si>
  <si>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</si>
  <si>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</si>
  <si>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</si>
  <si>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</si>
  <si>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</si>
  <si>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</si>
  <si>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</si>
  <si>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</si>
  <si>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</si>
  <si>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</si>
  <si>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</si>
  <si>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</si>
  <si>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</si>
  <si>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</si>
  <si>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</si>
  <si>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</si>
  <si>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</si>
  <si>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</si>
  <si>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</si>
  <si>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</si>
  <si>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</si>
  <si>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</si>
  <si>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</si>
  <si>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</si>
  <si>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</si>
  <si>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</si>
  <si>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</si>
  <si>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</si>
  <si>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</si>
  <si>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</si>
  <si>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</si>
  <si>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</si>
  <si>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</si>
  <si>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</si>
  <si>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</si>
  <si>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</si>
  <si>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</si>
  <si>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</si>
  <si>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</si>
  <si>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</si>
  <si>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</si>
  <si>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</si>
  <si>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</si>
  <si>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</si>
  <si>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</si>
  <si>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</si>
  <si>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</si>
  <si>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</si>
  <si>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</si>
  <si>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</si>
  <si>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</si>
  <si>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</si>
  <si>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</si>
  <si>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</si>
  <si>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</si>
  <si>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</si>
  <si>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</si>
  <si>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</si>
  <si>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</si>
  <si>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</si>
  <si>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</si>
  <si>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</si>
  <si>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</si>
  <si>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</si>
  <si>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</si>
  <si>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</si>
  <si>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</si>
  <si>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</si>
  <si>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</si>
  <si>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</si>
  <si>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</si>
  <si>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</si>
  <si>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</si>
  <si>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</si>
  <si>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</si>
  <si>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</si>
  <si>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</si>
  <si>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</si>
  <si>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</si>
  <si>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</si>
  <si>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</si>
  <si>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</si>
  <si>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</si>
  <si>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</si>
  <si>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</si>
  <si>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</si>
  <si>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</si>
  <si>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</si>
  <si>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</si>
  <si>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</si>
  <si>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</si>
  <si>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</si>
  <si>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</si>
  <si>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</si>
  <si>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</si>
  <si>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</si>
  <si>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</si>
  <si>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</si>
  <si>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</si>
  <si>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</si>
  <si>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</si>
  <si>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</si>
  <si>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</si>
  <si>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</si>
  <si>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</si>
  <si>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</si>
  <si>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</si>
  <si>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</si>
  <si>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</si>
  <si>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</si>
  <si>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</si>
  <si>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</si>
  <si>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</si>
  <si>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</si>
  <si>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</si>
  <si>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</si>
  <si>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</si>
  <si>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</si>
  <si>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</si>
  <si>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</si>
  <si>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</si>
  <si>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</si>
  <si>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</si>
  <si>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</si>
  <si>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</si>
  <si>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</si>
  <si>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</si>
  <si>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</si>
  <si>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</si>
  <si>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</si>
  <si>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</si>
  <si>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</si>
  <si>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</si>
  <si>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</si>
  <si>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</si>
  <si>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</si>
  <si>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</si>
  <si>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</si>
  <si>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</si>
  <si>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</si>
  <si>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</si>
  <si>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</si>
  <si>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</si>
  <si>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</si>
  <si>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</si>
  <si>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</si>
  <si>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</si>
  <si>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</si>
  <si>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</si>
  <si>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</si>
  <si>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</si>
  <si>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</si>
  <si>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</si>
  <si>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</si>
  <si>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</si>
  <si>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</si>
  <si>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</si>
  <si>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</si>
  <si>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</si>
  <si>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</si>
  <si>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</si>
  <si>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</si>
  <si>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</si>
  <si>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</si>
  <si>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</si>
  <si>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</si>
  <si>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</si>
  <si>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</si>
  <si>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</si>
  <si>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</si>
  <si>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</si>
  <si>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</si>
  <si>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</si>
  <si>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</si>
  <si>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</si>
  <si>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</si>
  <si>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</si>
  <si>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</si>
  <si>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</si>
  <si>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</si>
  <si>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</si>
  <si>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</si>
  <si>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</si>
  <si>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</si>
  <si>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</si>
  <si>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</si>
  <si>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</si>
  <si>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</si>
  <si>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</si>
  <si>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</si>
  <si>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</si>
  <si>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</si>
  <si>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</si>
  <si>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2026-081</t>
  </si>
  <si>
    <t>9520/2026</t>
  </si>
  <si>
    <t>Contratações de TIC com base na jurisprudência do TCDF</t>
  </si>
  <si>
    <t>02 e 04/09/2026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</si>
</sst>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19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550</c:v>
                </c:pt>
                <c:pt idx="1">
                  <c:v>808</c:v>
                </c:pt>
                <c:pt idx="2">
                  <c:v>490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13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8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4" dataDxfId="53" totalsRowDxfId="52" totalsRowBorderDxfId="51">
  <autoFilter ref="A1:T2007" xr:uid="{D1BD5F14-CD6F-4B62-85D2-128A9D3B5FF1}"/>
  <tableColumns count="20">
    <tableColumn id="1" xr3:uid="{022FA08A-515E-453B-85A4-E200B40364EE}" name="ID" dataDxfId="50" totalsRowDxfId="49"/>
    <tableColumn id="2" xr3:uid="{19532738-24D5-4BD5-BE04-C19DCC5894A1}" name="Ano" dataDxfId="48" totalsRowDxfId="47"/>
    <tableColumn id="3" xr3:uid="{8DE0B36A-F0DC-47A1-A74E-F4BE63A4FB1D}" name="Status Evento" dataDxfId="46" totalsRowDxfId="45"/>
    <tableColumn id="4" xr3:uid="{C1159FBD-CCD0-4CA2-BB8C-598E3AB5DDD8}" name="Processo" dataDxfId="44" totalsRowDxfId="43"/>
    <tableColumn id="5" xr3:uid="{A32670A4-BE4F-480D-8DE9-8FF18024C829}" name="Curso" dataDxfId="42" totalsRowDxfId="41"/>
    <tableColumn id="8" xr3:uid="{905DEA0A-D099-47EA-972D-1012D71C7792}" name="Público-Alvo" dataDxfId="40" totalsRowDxfId="39"/>
    <tableColumn id="9" xr3:uid="{7DC0A0BE-8030-47CA-AF56-2C13C9FF7AE5}" name="Programa" dataDxfId="38" totalsRowDxfId="37"/>
    <tableColumn id="11" xr3:uid="{2B799ACD-69E4-46A5-9A4F-F7E3D7A47CE9}" name="Data TXT" dataDxfId="36" totalsRowDxfId="35"/>
    <tableColumn id="12" xr3:uid="{62016C67-3729-4C41-B72D-09D6616B7474}" name="Início" dataDxfId="34" totalsRowDxfId="33"/>
    <tableColumn id="13" xr3:uid="{E4F20518-0042-40C0-B590-B7616F2843A5}" name="Término" dataDxfId="32" totalsRowDxfId="31"/>
    <tableColumn id="14" xr3:uid="{4D6C4412-CFEE-4506-830E-F79FD008371B}" name="Modalidade" dataDxfId="30" totalsRowDxfId="29"/>
    <tableColumn id="15" xr3:uid="{12EC931A-E71B-4AEB-B20B-0F9EA63D0C71}" name="Valor instrutoria" dataDxfId="28" totalsRowDxfId="27" dataCellStyle="Moeda"/>
    <tableColumn id="17" xr3:uid="{8FCDFADA-4FA3-41E0-86FF-E623116BAFEB}" name="Nota Av. Reação" dataDxfId="26" totalsRowDxfId="25"/>
    <tableColumn id="19" xr3:uid="{316EB379-BB97-4F60-9566-576B25A26B0E}" name="Qtd Vagas" dataDxfId="24" totalsRowDxfId="23"/>
    <tableColumn id="20" xr3:uid="{59A9FB16-6726-411C-88B5-8165DD520DA3}" name="P. Servidores" dataDxfId="22" totalsRowDxfId="21"/>
    <tableColumn id="21" xr3:uid="{0246E091-ADCD-4F62-8F95-84B21E8A7BE1}" name="P. Jurisdicionados" dataDxfId="20" totalsRowDxfId="19"/>
    <tableColumn id="22" xr3:uid="{1B6DBD6D-C072-4600-81C1-69D6F4422D7D}" name="P. Sociedade" dataDxfId="18" totalsRowDxfId="17"/>
    <tableColumn id="23" xr3:uid="{109F7E4E-776C-4249-88BE-FEC3A375D7D9}" name="Total Part." dataDxfId="16" totalsRowDxfId="15"/>
    <tableColumn id="24" xr3:uid="{C67AA4C6-834C-4EBB-839B-EF0CDD50F649}" name="C.H." dataDxfId="14" totalsRowDxfId="13"/>
    <tableColumn id="26" xr3:uid="{973608F6-3E97-493C-AC61-980F73C13CD6}" name="Instrutor" dataDxfId="12" totalsRowDxfId="11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9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B1" zoomScaleNormal="100" workbookViewId="0">
      <pane ySplit="1" topLeftCell="A656" activePane="bottomLeft" state="frozen"/>
      <selection pane="bottomLeft" activeCell="C679" sqref="C679"/>
    </sheetView>
  </sheetViews>
  <sheetFormatPr defaultColWidth="9.140625" defaultRowHeight="22.5" customHeight="1" x14ac:dyDescent="0.25"/>
  <cols>
    <col min="1" max="1" width="11.5703125" style="3" hidden="1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132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2026-082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30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7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4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187"/>
      <c r="M657" s="188">
        <v>4.79</v>
      </c>
      <c r="N657" s="189">
        <v>400</v>
      </c>
      <c r="O657" s="190"/>
      <c r="P657" s="190"/>
      <c r="Q657" s="190"/>
      <c r="R657" s="190">
        <f>IF(B657="","",SUM(O657:Q657))</f>
        <v>0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9.4</v>
      </c>
      <c r="T662" s="186" t="s">
        <v>2892</v>
      </c>
    </row>
    <row r="663" spans="1:20" ht="30" x14ac:dyDescent="0.25">
      <c r="A663" s="191" t="s">
        <v>2715</v>
      </c>
      <c r="B663" s="127">
        <v>2026</v>
      </c>
      <c r="C663" s="164" t="s">
        <v>2697</v>
      </c>
      <c r="D663" s="127" t="s">
        <v>2716</v>
      </c>
      <c r="E663" s="162" t="s">
        <v>2717</v>
      </c>
      <c r="F663" s="129" t="s">
        <v>88</v>
      </c>
      <c r="G663" s="130" t="s">
        <v>2718</v>
      </c>
      <c r="H663" s="131" t="s">
        <v>2719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2720</v>
      </c>
    </row>
    <row r="664" spans="1:20" ht="15" x14ac:dyDescent="0.25">
      <c r="A664" s="191" t="s">
        <v>2721</v>
      </c>
      <c r="B664" s="127">
        <v>2026</v>
      </c>
      <c r="C664" s="183" t="s">
        <v>22</v>
      </c>
      <c r="D664" s="183" t="s">
        <v>2722</v>
      </c>
      <c r="E664" s="184" t="s">
        <v>2723</v>
      </c>
      <c r="F664" s="185" t="s">
        <v>24</v>
      </c>
      <c r="G664" s="186" t="s">
        <v>25</v>
      </c>
      <c r="H664" s="191" t="s">
        <v>2724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2725</v>
      </c>
    </row>
    <row r="665" spans="1:20" ht="15" x14ac:dyDescent="0.25">
      <c r="A665" s="137" t="s">
        <v>2726</v>
      </c>
      <c r="B665" s="127">
        <v>2026</v>
      </c>
      <c r="C665" s="183" t="s">
        <v>22</v>
      </c>
      <c r="D665" s="183" t="s">
        <v>2727</v>
      </c>
      <c r="E665" s="184" t="s">
        <v>2676</v>
      </c>
      <c r="F665" s="185" t="s">
        <v>24</v>
      </c>
      <c r="G665" s="186" t="s">
        <v>42</v>
      </c>
      <c r="H665" s="191" t="s">
        <v>2728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2729</v>
      </c>
      <c r="B666" s="127">
        <v>2026</v>
      </c>
      <c r="C666" s="183" t="s">
        <v>22</v>
      </c>
      <c r="D666" s="183" t="s">
        <v>2730</v>
      </c>
      <c r="E666" s="184" t="s">
        <v>2731</v>
      </c>
      <c r="F666" s="185" t="s">
        <v>24</v>
      </c>
      <c r="G666" s="186" t="s">
        <v>371</v>
      </c>
      <c r="H666" s="191" t="s">
        <v>2732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2733</v>
      </c>
      <c r="B667" s="127">
        <v>2026</v>
      </c>
      <c r="C667" s="127" t="s">
        <v>22</v>
      </c>
      <c r="D667" s="173" t="s">
        <v>2734</v>
      </c>
      <c r="E667" s="180" t="s">
        <v>2735</v>
      </c>
      <c r="F667" s="129" t="s">
        <v>88</v>
      </c>
      <c r="G667" s="130" t="s">
        <v>2718</v>
      </c>
      <c r="H667" s="175" t="s">
        <v>2736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2737</v>
      </c>
      <c r="B668" s="127">
        <v>2026</v>
      </c>
      <c r="C668" s="215" t="s">
        <v>22</v>
      </c>
      <c r="D668" s="183" t="s">
        <v>2738</v>
      </c>
      <c r="E668" s="184" t="s">
        <v>2739</v>
      </c>
      <c r="F668" s="185" t="s">
        <v>88</v>
      </c>
      <c r="G668" s="186" t="s">
        <v>2718</v>
      </c>
      <c r="H668" s="191" t="s">
        <v>2740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2741</v>
      </c>
      <c r="B669" s="127">
        <v>2026</v>
      </c>
      <c r="C669" s="127" t="s">
        <v>22</v>
      </c>
      <c r="D669" s="173" t="s">
        <v>2742</v>
      </c>
      <c r="E669" s="180" t="s">
        <v>2743</v>
      </c>
      <c r="F669" s="129" t="s">
        <v>69</v>
      </c>
      <c r="G669" s="174" t="s">
        <v>2694</v>
      </c>
      <c r="H669" s="175" t="s">
        <v>2744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2745</v>
      </c>
    </row>
    <row r="670" spans="1:20" ht="30" x14ac:dyDescent="0.25">
      <c r="A670" s="191" t="s">
        <v>2746</v>
      </c>
      <c r="B670" s="127">
        <v>2026</v>
      </c>
      <c r="C670" s="127" t="s">
        <v>22</v>
      </c>
      <c r="D670" s="173" t="s">
        <v>2742</v>
      </c>
      <c r="E670" s="208" t="s">
        <v>2747</v>
      </c>
      <c r="F670" s="129" t="s">
        <v>69</v>
      </c>
      <c r="G670" s="174" t="s">
        <v>2694</v>
      </c>
      <c r="H670" s="175" t="s">
        <v>2748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2745</v>
      </c>
    </row>
    <row r="671" spans="1:20" ht="15" x14ac:dyDescent="0.25">
      <c r="A671" s="191" t="s">
        <v>2749</v>
      </c>
      <c r="B671" s="127">
        <v>2026</v>
      </c>
      <c r="C671" s="183" t="s">
        <v>2697</v>
      </c>
      <c r="D671" s="183" t="s">
        <v>2750</v>
      </c>
      <c r="E671" s="184" t="s">
        <v>2751</v>
      </c>
      <c r="F671" s="185" t="s">
        <v>69</v>
      </c>
      <c r="G671" s="186" t="s">
        <v>79</v>
      </c>
      <c r="H671" s="209" t="s">
        <v>2752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2753</v>
      </c>
    </row>
    <row r="672" spans="1:20" ht="15" x14ac:dyDescent="0.25">
      <c r="A672" s="137" t="s">
        <v>2754</v>
      </c>
      <c r="B672" s="127">
        <v>2026</v>
      </c>
      <c r="C672" s="183" t="s">
        <v>22</v>
      </c>
      <c r="D672" s="183" t="s">
        <v>2755</v>
      </c>
      <c r="E672" s="184" t="s">
        <v>2756</v>
      </c>
      <c r="F672" s="185" t="s">
        <v>24</v>
      </c>
      <c r="G672" s="186" t="s">
        <v>25</v>
      </c>
      <c r="H672" s="191" t="s">
        <v>2757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2758</v>
      </c>
    </row>
    <row r="673" spans="1:20" ht="15" x14ac:dyDescent="0.25">
      <c r="A673" s="137" t="s">
        <v>2759</v>
      </c>
      <c r="B673" s="127">
        <v>2026</v>
      </c>
      <c r="C673" s="127" t="s">
        <v>22</v>
      </c>
      <c r="D673" s="127" t="s">
        <v>2760</v>
      </c>
      <c r="E673" s="128" t="s">
        <v>2761</v>
      </c>
      <c r="F673" s="129" t="s">
        <v>24</v>
      </c>
      <c r="G673" s="144" t="s">
        <v>371</v>
      </c>
      <c r="H673" s="155" t="s">
        <v>2762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2763</v>
      </c>
    </row>
    <row r="674" spans="1:20" ht="15" x14ac:dyDescent="0.25">
      <c r="A674" s="137" t="s">
        <v>2764</v>
      </c>
      <c r="B674" s="127">
        <v>2026</v>
      </c>
      <c r="C674" s="127" t="s">
        <v>22</v>
      </c>
      <c r="D674" s="127" t="s">
        <v>2765</v>
      </c>
      <c r="E674" s="128" t="s">
        <v>2766</v>
      </c>
      <c r="F674" s="129" t="s">
        <v>69</v>
      </c>
      <c r="G674" s="130" t="s">
        <v>2694</v>
      </c>
      <c r="H674" s="172" t="s">
        <v>2767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2768</v>
      </c>
    </row>
    <row r="675" spans="1:20" ht="15" x14ac:dyDescent="0.25">
      <c r="A675" s="137" t="s">
        <v>2769</v>
      </c>
      <c r="B675" s="127">
        <v>2026</v>
      </c>
      <c r="C675" s="127" t="s">
        <v>22</v>
      </c>
      <c r="D675" s="173" t="s">
        <v>2770</v>
      </c>
      <c r="E675" s="128" t="s">
        <v>2771</v>
      </c>
      <c r="F675" s="129" t="s">
        <v>69</v>
      </c>
      <c r="G675" s="174" t="s">
        <v>2694</v>
      </c>
      <c r="H675" s="217" t="s">
        <v>2772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2768</v>
      </c>
    </row>
    <row r="676" spans="1:20" ht="15" x14ac:dyDescent="0.25">
      <c r="A676" s="137" t="s">
        <v>2773</v>
      </c>
      <c r="B676" s="127">
        <v>2026</v>
      </c>
      <c r="C676" s="127" t="s">
        <v>22</v>
      </c>
      <c r="D676" s="127" t="s">
        <v>2774</v>
      </c>
      <c r="E676" s="128" t="s">
        <v>2775</v>
      </c>
      <c r="F676" s="129" t="s">
        <v>69</v>
      </c>
      <c r="G676" s="130" t="s">
        <v>79</v>
      </c>
      <c r="H676" s="127" t="s">
        <v>2776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2777</v>
      </c>
      <c r="B677" s="127">
        <v>2026</v>
      </c>
      <c r="C677" s="193" t="s">
        <v>2697</v>
      </c>
      <c r="D677" s="193" t="s">
        <v>2778</v>
      </c>
      <c r="E677" s="184" t="s">
        <v>2779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2745</v>
      </c>
    </row>
    <row r="678" spans="1:20" ht="15" x14ac:dyDescent="0.25">
      <c r="A678" s="191" t="s">
        <v>2780</v>
      </c>
      <c r="B678" s="127">
        <v>2026</v>
      </c>
      <c r="C678" s="193" t="s">
        <v>22</v>
      </c>
      <c r="D678" s="193" t="s">
        <v>2781</v>
      </c>
      <c r="E678" s="184" t="s">
        <v>2782</v>
      </c>
      <c r="F678" s="185" t="s">
        <v>69</v>
      </c>
      <c r="G678" s="194" t="s">
        <v>79</v>
      </c>
      <c r="H678" s="195" t="s">
        <v>2783</v>
      </c>
      <c r="I678" s="196">
        <v>46246</v>
      </c>
      <c r="J678" s="196">
        <v>46246</v>
      </c>
      <c r="K678" s="183" t="s">
        <v>38</v>
      </c>
      <c r="L678" s="187">
        <v>2347</v>
      </c>
      <c r="M678" s="198"/>
      <c r="N678" s="199">
        <v>50</v>
      </c>
      <c r="O678" s="200"/>
      <c r="P678" s="200"/>
      <c r="Q678" s="200"/>
      <c r="R678" s="200">
        <f>IF(B678="","",SUM(O678:Q678))</f>
        <v>0</v>
      </c>
      <c r="S678" s="193">
        <v>4</v>
      </c>
      <c r="T678" s="186" t="s">
        <v>1958</v>
      </c>
    </row>
    <row r="679" spans="1:20" ht="15" x14ac:dyDescent="0.25">
      <c r="A679" s="191" t="s">
        <v>2784</v>
      </c>
      <c r="B679" s="127">
        <v>2026</v>
      </c>
      <c r="C679" s="193" t="s">
        <v>2566</v>
      </c>
      <c r="D679" s="193" t="s">
        <v>2785</v>
      </c>
      <c r="E679" s="203" t="s">
        <v>2786</v>
      </c>
      <c r="F679" s="185" t="s">
        <v>69</v>
      </c>
      <c r="G679" s="186" t="s">
        <v>79</v>
      </c>
      <c r="H679" s="195" t="s">
        <v>2787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/>
      <c r="P679" s="200"/>
      <c r="Q679" s="200"/>
      <c r="R679" s="200">
        <f>IF(B679="","",SUM(O679:Q679))</f>
        <v>0</v>
      </c>
      <c r="S679" s="193">
        <v>4</v>
      </c>
      <c r="T679" s="194" t="s">
        <v>2788</v>
      </c>
    </row>
    <row r="680" spans="1:20" ht="15" x14ac:dyDescent="0.25">
      <c r="A680" s="137" t="s">
        <v>2789</v>
      </c>
      <c r="B680" s="127">
        <v>2026</v>
      </c>
      <c r="C680" s="168" t="s">
        <v>2790</v>
      </c>
      <c r="D680" s="152" t="s">
        <v>2791</v>
      </c>
      <c r="E680" s="153" t="s">
        <v>2792</v>
      </c>
      <c r="F680" s="129" t="s">
        <v>24</v>
      </c>
      <c r="G680" s="130" t="s">
        <v>2793</v>
      </c>
      <c r="H680" s="155" t="s">
        <v>2794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2795</v>
      </c>
    </row>
    <row r="681" spans="1:20" ht="15" x14ac:dyDescent="0.25">
      <c r="A681" s="191" t="s">
        <v>2796</v>
      </c>
      <c r="B681" s="127">
        <v>2026</v>
      </c>
      <c r="C681" s="168" t="s">
        <v>22</v>
      </c>
      <c r="D681" s="152" t="s">
        <v>2791</v>
      </c>
      <c r="E681" s="153" t="s">
        <v>2797</v>
      </c>
      <c r="F681" s="129" t="s">
        <v>24</v>
      </c>
      <c r="G681" s="154" t="s">
        <v>2793</v>
      </c>
      <c r="H681" s="155" t="s">
        <v>2798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2795</v>
      </c>
    </row>
    <row r="682" spans="1:20" ht="15" x14ac:dyDescent="0.25">
      <c r="A682" s="191" t="s">
        <v>2799</v>
      </c>
      <c r="B682" s="127">
        <v>2026</v>
      </c>
      <c r="C682" s="193" t="s">
        <v>2790</v>
      </c>
      <c r="D682" s="152" t="s">
        <v>2791</v>
      </c>
      <c r="E682" s="153" t="s">
        <v>2797</v>
      </c>
      <c r="F682" s="185" t="s">
        <v>24</v>
      </c>
      <c r="G682" s="194" t="s">
        <v>2793</v>
      </c>
      <c r="H682" s="195" t="s">
        <v>2800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2795</v>
      </c>
    </row>
    <row r="683" spans="1:20" ht="15" x14ac:dyDescent="0.25">
      <c r="A683" s="137" t="s">
        <v>2801</v>
      </c>
      <c r="B683" s="127">
        <v>2026</v>
      </c>
      <c r="C683" s="152" t="s">
        <v>22</v>
      </c>
      <c r="D683" s="152" t="s">
        <v>2802</v>
      </c>
      <c r="E683" s="153" t="s">
        <v>2803</v>
      </c>
      <c r="F683" s="129" t="s">
        <v>24</v>
      </c>
      <c r="G683" s="130" t="s">
        <v>42</v>
      </c>
      <c r="H683" s="218" t="s">
        <v>2804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2805</v>
      </c>
    </row>
    <row r="684" spans="1:20" ht="15" x14ac:dyDescent="0.25">
      <c r="A684" s="191" t="s">
        <v>2806</v>
      </c>
      <c r="B684" s="152">
        <v>2026</v>
      </c>
      <c r="C684" s="168" t="s">
        <v>22</v>
      </c>
      <c r="D684" s="152" t="s">
        <v>2807</v>
      </c>
      <c r="E684" s="153" t="s">
        <v>2808</v>
      </c>
      <c r="F684" s="161" t="s">
        <v>24</v>
      </c>
      <c r="G684" s="154" t="s">
        <v>25</v>
      </c>
      <c r="H684" s="207" t="s">
        <v>2809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2810</v>
      </c>
    </row>
    <row r="685" spans="1:20" ht="15" x14ac:dyDescent="0.25">
      <c r="A685" s="137" t="s">
        <v>2811</v>
      </c>
      <c r="B685" s="152">
        <v>2026</v>
      </c>
      <c r="C685" s="127" t="s">
        <v>22</v>
      </c>
      <c r="D685" s="131" t="s">
        <v>2812</v>
      </c>
      <c r="E685" s="128" t="s">
        <v>2813</v>
      </c>
      <c r="F685" s="129" t="s">
        <v>24</v>
      </c>
      <c r="G685" s="144" t="s">
        <v>2793</v>
      </c>
      <c r="H685" s="131" t="s">
        <v>2814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2795</v>
      </c>
    </row>
    <row r="686" spans="1:20" ht="15" x14ac:dyDescent="0.25">
      <c r="A686" s="137" t="s">
        <v>2815</v>
      </c>
      <c r="B686" s="152">
        <v>2026</v>
      </c>
      <c r="C686" s="127" t="s">
        <v>22</v>
      </c>
      <c r="D686" s="127" t="s">
        <v>2816</v>
      </c>
      <c r="E686" s="128" t="s">
        <v>2817</v>
      </c>
      <c r="F686" s="129" t="s">
        <v>69</v>
      </c>
      <c r="G686" s="130" t="s">
        <v>2694</v>
      </c>
      <c r="H686" s="131" t="s">
        <v>2818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2745</v>
      </c>
    </row>
    <row r="687" spans="1:20" ht="15" x14ac:dyDescent="0.25">
      <c r="A687" s="191" t="s">
        <v>2819</v>
      </c>
      <c r="B687" s="152">
        <v>2026</v>
      </c>
      <c r="C687" s="127" t="s">
        <v>22</v>
      </c>
      <c r="D687" s="173" t="s">
        <v>2820</v>
      </c>
      <c r="E687" s="180" t="s">
        <v>2821</v>
      </c>
      <c r="F687" s="216" t="s">
        <v>24</v>
      </c>
      <c r="G687" s="174" t="s">
        <v>42</v>
      </c>
      <c r="H687" s="175" t="s">
        <v>2822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2823</v>
      </c>
      <c r="B688" s="152">
        <v>2026</v>
      </c>
      <c r="C688" s="183" t="s">
        <v>22</v>
      </c>
      <c r="D688" s="183" t="s">
        <v>2824</v>
      </c>
      <c r="E688" s="184" t="s">
        <v>2825</v>
      </c>
      <c r="F688" s="185" t="s">
        <v>69</v>
      </c>
      <c r="G688" s="186" t="s">
        <v>79</v>
      </c>
      <c r="H688" s="191" t="s">
        <v>2826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2827</v>
      </c>
    </row>
    <row r="689" spans="1:20" ht="15" x14ac:dyDescent="0.25">
      <c r="A689" s="137" t="s">
        <v>2828</v>
      </c>
      <c r="B689" s="152">
        <v>2026</v>
      </c>
      <c r="C689" s="127" t="s">
        <v>22</v>
      </c>
      <c r="D689" s="127" t="s">
        <v>2829</v>
      </c>
      <c r="E689" s="128" t="s">
        <v>2830</v>
      </c>
      <c r="F689" s="129" t="s">
        <v>24</v>
      </c>
      <c r="G689" s="144" t="s">
        <v>2700</v>
      </c>
      <c r="H689" s="131" t="s">
        <v>2831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2832</v>
      </c>
    </row>
    <row r="690" spans="1:20" ht="15" x14ac:dyDescent="0.25">
      <c r="A690" s="137" t="s">
        <v>2833</v>
      </c>
      <c r="B690" s="152">
        <v>2026</v>
      </c>
      <c r="C690" s="127" t="s">
        <v>22</v>
      </c>
      <c r="D690" s="127" t="s">
        <v>2829</v>
      </c>
      <c r="E690" s="128" t="s">
        <v>2834</v>
      </c>
      <c r="F690" s="129" t="s">
        <v>24</v>
      </c>
      <c r="G690" s="144" t="s">
        <v>2700</v>
      </c>
      <c r="H690" s="131" t="s">
        <v>2835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2827</v>
      </c>
    </row>
    <row r="691" spans="1:20" ht="15" x14ac:dyDescent="0.25">
      <c r="A691" s="137" t="s">
        <v>2836</v>
      </c>
      <c r="B691" s="152">
        <v>2026</v>
      </c>
      <c r="C691" s="183" t="s">
        <v>22</v>
      </c>
      <c r="D691" s="183" t="s">
        <v>2837</v>
      </c>
      <c r="E691" s="184" t="s">
        <v>2838</v>
      </c>
      <c r="F691" s="185" t="s">
        <v>24</v>
      </c>
      <c r="G691" s="186" t="s">
        <v>2700</v>
      </c>
      <c r="H691" s="191" t="s">
        <v>2839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2827</v>
      </c>
    </row>
    <row r="692" spans="1:20" ht="15" x14ac:dyDescent="0.25">
      <c r="A692" s="191" t="s">
        <v>2840</v>
      </c>
      <c r="B692" s="152">
        <v>2026</v>
      </c>
      <c r="C692" s="183" t="s">
        <v>22</v>
      </c>
      <c r="D692" s="183" t="s">
        <v>2837</v>
      </c>
      <c r="E692" s="184" t="s">
        <v>2841</v>
      </c>
      <c r="F692" s="185" t="s">
        <v>24</v>
      </c>
      <c r="G692" s="186" t="s">
        <v>2700</v>
      </c>
      <c r="H692" s="191" t="s">
        <v>2842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2827</v>
      </c>
    </row>
    <row r="693" spans="1:20" ht="15" x14ac:dyDescent="0.25">
      <c r="A693" s="191" t="s">
        <v>2843</v>
      </c>
      <c r="B693" s="152">
        <v>2026</v>
      </c>
      <c r="C693" s="183" t="s">
        <v>2697</v>
      </c>
      <c r="D693" s="183" t="s">
        <v>2844</v>
      </c>
      <c r="E693" s="184" t="s">
        <v>2845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2846</v>
      </c>
      <c r="B694" s="152">
        <v>2026</v>
      </c>
      <c r="C694" s="127" t="s">
        <v>2697</v>
      </c>
      <c r="D694" s="173" t="s">
        <v>2847</v>
      </c>
      <c r="E694" s="180" t="s">
        <v>2848</v>
      </c>
      <c r="F694" s="129" t="s">
        <v>69</v>
      </c>
      <c r="G694" s="130" t="s">
        <v>79</v>
      </c>
      <c r="H694" s="175" t="s">
        <v>2849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2850</v>
      </c>
      <c r="B695" s="152">
        <v>2026</v>
      </c>
      <c r="C695" s="183" t="s">
        <v>2697</v>
      </c>
      <c r="D695" s="183" t="s">
        <v>2851</v>
      </c>
      <c r="E695" s="184" t="s">
        <v>2852</v>
      </c>
      <c r="F695" s="185" t="s">
        <v>69</v>
      </c>
      <c r="G695" s="186" t="s">
        <v>79</v>
      </c>
      <c r="H695" s="191" t="s">
        <v>2853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2854</v>
      </c>
      <c r="B696" s="152">
        <v>2026</v>
      </c>
      <c r="C696" s="127" t="s">
        <v>22</v>
      </c>
      <c r="D696" s="127" t="s">
        <v>2855</v>
      </c>
      <c r="E696" s="128" t="s">
        <v>2856</v>
      </c>
      <c r="F696" s="129" t="s">
        <v>69</v>
      </c>
      <c r="G696" s="130" t="s">
        <v>79</v>
      </c>
      <c r="H696" s="131" t="s">
        <v>2857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2858</v>
      </c>
      <c r="B697" s="152">
        <v>2026</v>
      </c>
      <c r="C697" s="127" t="s">
        <v>22</v>
      </c>
      <c r="D697" s="173" t="s">
        <v>2859</v>
      </c>
      <c r="E697" s="180" t="s">
        <v>2860</v>
      </c>
      <c r="F697" s="129" t="s">
        <v>24</v>
      </c>
      <c r="G697" s="144" t="s">
        <v>2700</v>
      </c>
      <c r="H697" s="175" t="s">
        <v>2861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2827</v>
      </c>
    </row>
    <row r="698" spans="1:20" ht="15" x14ac:dyDescent="0.25">
      <c r="A698" s="191" t="s">
        <v>2862</v>
      </c>
      <c r="B698" s="152">
        <v>2026</v>
      </c>
      <c r="C698" s="183" t="s">
        <v>2790</v>
      </c>
      <c r="D698" s="183" t="s">
        <v>2863</v>
      </c>
      <c r="E698" s="184" t="s">
        <v>2864</v>
      </c>
      <c r="F698" s="185" t="s">
        <v>24</v>
      </c>
      <c r="G698" s="186" t="s">
        <v>75</v>
      </c>
      <c r="H698" s="191" t="s">
        <v>2865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2866</v>
      </c>
    </row>
    <row r="699" spans="1:20" ht="15" x14ac:dyDescent="0.25">
      <c r="A699" s="137" t="s">
        <v>2867</v>
      </c>
      <c r="B699" s="152">
        <v>2026</v>
      </c>
      <c r="C699" s="127" t="s">
        <v>22</v>
      </c>
      <c r="D699" s="127" t="s">
        <v>2868</v>
      </c>
      <c r="E699" s="128" t="s">
        <v>2869</v>
      </c>
      <c r="F699" s="129" t="s">
        <v>24</v>
      </c>
      <c r="G699" s="130" t="s">
        <v>206</v>
      </c>
      <c r="H699" s="131" t="s">
        <v>2870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2871</v>
      </c>
    </row>
    <row r="700" spans="1:20" ht="15" x14ac:dyDescent="0.25">
      <c r="A700" s="191" t="s">
        <v>2872</v>
      </c>
      <c r="B700" s="152">
        <v>2026</v>
      </c>
      <c r="C700" s="183" t="s">
        <v>22</v>
      </c>
      <c r="D700" s="183" t="s">
        <v>2873</v>
      </c>
      <c r="E700" s="184" t="s">
        <v>2874</v>
      </c>
      <c r="F700" s="185" t="s">
        <v>88</v>
      </c>
      <c r="G700" s="186" t="s">
        <v>2718</v>
      </c>
      <c r="H700" s="191" t="s">
        <v>2875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2876</v>
      </c>
      <c r="B701" s="152">
        <v>2026</v>
      </c>
      <c r="C701" s="183" t="s">
        <v>22</v>
      </c>
      <c r="D701" s="183" t="s">
        <v>2877</v>
      </c>
      <c r="E701" s="184" t="s">
        <v>2878</v>
      </c>
      <c r="F701" s="185" t="s">
        <v>24</v>
      </c>
      <c r="G701" s="186" t="s">
        <v>75</v>
      </c>
      <c r="H701" s="191" t="s">
        <v>2879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2810</v>
      </c>
    </row>
    <row r="702" spans="1:20" ht="15" x14ac:dyDescent="0.25">
      <c r="A702" s="191" t="s">
        <v>2880</v>
      </c>
      <c r="B702" s="152">
        <v>2026</v>
      </c>
      <c r="C702" s="183" t="s">
        <v>2697</v>
      </c>
      <c r="D702" s="183" t="s">
        <v>2881</v>
      </c>
      <c r="E702" s="184" t="s">
        <v>2882</v>
      </c>
      <c r="F702" s="185" t="s">
        <v>69</v>
      </c>
      <c r="G702" s="186" t="s">
        <v>79</v>
      </c>
      <c r="H702" s="191" t="s">
        <v>2787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/>
      <c r="P702" s="190"/>
      <c r="Q702" s="190"/>
      <c r="R702" s="190">
        <f t="shared" si="12"/>
        <v>0</v>
      </c>
      <c r="S702" s="183">
        <v>4</v>
      </c>
      <c r="T702" s="186" t="s">
        <v>2883</v>
      </c>
    </row>
    <row r="703" spans="1:20" ht="15" x14ac:dyDescent="0.25">
      <c r="A703" s="191" t="s">
        <v>2884</v>
      </c>
      <c r="B703" s="152">
        <v>2026</v>
      </c>
      <c r="C703" s="183" t="s">
        <v>22</v>
      </c>
      <c r="D703" s="183" t="s">
        <v>2885</v>
      </c>
      <c r="E703" s="184" t="s">
        <v>2886</v>
      </c>
      <c r="F703" s="185" t="s">
        <v>69</v>
      </c>
      <c r="G703" s="186" t="s">
        <v>79</v>
      </c>
      <c r="H703" s="191" t="s">
        <v>2783</v>
      </c>
      <c r="I703" s="192">
        <v>46246</v>
      </c>
      <c r="J703" s="192">
        <v>46246</v>
      </c>
      <c r="K703" s="183" t="s">
        <v>38</v>
      </c>
      <c r="L703" s="187">
        <v>3520</v>
      </c>
      <c r="M703" s="188"/>
      <c r="N703" s="189">
        <v>30</v>
      </c>
      <c r="O703" s="190"/>
      <c r="P703" s="190"/>
      <c r="Q703" s="190"/>
      <c r="R703" s="190">
        <f t="shared" si="12"/>
        <v>0</v>
      </c>
      <c r="S703" s="183">
        <v>4</v>
      </c>
      <c r="T703" s="186" t="s">
        <v>2887</v>
      </c>
    </row>
    <row r="704" spans="1:20" ht="15" x14ac:dyDescent="0.25">
      <c r="A704" s="191" t="s">
        <v>2888</v>
      </c>
      <c r="B704" s="152">
        <v>2026</v>
      </c>
      <c r="C704" s="183" t="s">
        <v>22</v>
      </c>
      <c r="D704" s="183" t="s">
        <v>2889</v>
      </c>
      <c r="E704" s="184" t="s">
        <v>2890</v>
      </c>
      <c r="F704" s="185" t="s">
        <v>69</v>
      </c>
      <c r="G704" s="186" t="s">
        <v>79</v>
      </c>
      <c r="H704" s="191" t="s">
        <v>2891</v>
      </c>
      <c r="I704" s="192">
        <v>46244</v>
      </c>
      <c r="J704" s="192">
        <v>46245</v>
      </c>
      <c r="K704" s="183" t="s">
        <v>38</v>
      </c>
      <c r="L704" s="187"/>
      <c r="M704" s="188"/>
      <c r="N704" s="189">
        <v>40</v>
      </c>
      <c r="O704" s="190"/>
      <c r="P704" s="190"/>
      <c r="Q704" s="190"/>
      <c r="R704" s="190">
        <f t="shared" si="12"/>
        <v>0</v>
      </c>
      <c r="S704" s="183">
        <v>8</v>
      </c>
      <c r="T704" s="205" t="s">
        <v>2892</v>
      </c>
    </row>
    <row r="705" spans="1:21" ht="15" x14ac:dyDescent="0.25">
      <c r="A705" s="191" t="s">
        <v>2893</v>
      </c>
      <c r="B705" s="152">
        <v>2026</v>
      </c>
      <c r="C705" s="183" t="s">
        <v>2697</v>
      </c>
      <c r="D705" s="183" t="s">
        <v>2894</v>
      </c>
      <c r="E705" s="184" t="s">
        <v>2895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/>
      <c r="N705" s="189">
        <v>30</v>
      </c>
      <c r="O705" s="190"/>
      <c r="P705" s="190"/>
      <c r="Q705" s="190"/>
      <c r="R705" s="190">
        <f t="shared" si="12"/>
        <v>0</v>
      </c>
      <c r="S705" s="183">
        <v>4</v>
      </c>
      <c r="T705" s="186" t="s">
        <v>2896</v>
      </c>
    </row>
    <row r="706" spans="1:21" ht="15" x14ac:dyDescent="0.25">
      <c r="A706" s="191" t="s">
        <v>2897</v>
      </c>
      <c r="B706" s="152">
        <v>2026</v>
      </c>
      <c r="C706" s="183" t="s">
        <v>22</v>
      </c>
      <c r="D706" s="183" t="s">
        <v>2898</v>
      </c>
      <c r="E706" s="184" t="s">
        <v>2899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/>
      <c r="P706" s="190"/>
      <c r="Q706" s="190"/>
      <c r="R706" s="190">
        <f t="shared" si="12"/>
        <v>0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2697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/>
      <c r="N707" s="189">
        <v>30</v>
      </c>
      <c r="O707" s="190"/>
      <c r="P707" s="190"/>
      <c r="Q707" s="190"/>
      <c r="R707" s="190">
        <f t="shared" si="12"/>
        <v>0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/>
      <c r="N708" s="189">
        <v>30</v>
      </c>
      <c r="O708" s="190"/>
      <c r="P708" s="190"/>
      <c r="Q708" s="190"/>
      <c r="R708" s="190">
        <f t="shared" si="12"/>
        <v>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2697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2929</v>
      </c>
      <c r="B714" s="152">
        <v>2026</v>
      </c>
      <c r="C714" s="183" t="s">
        <v>2697</v>
      </c>
      <c r="D714" s="183" t="s">
        <v>2930</v>
      </c>
      <c r="E714" s="184" t="s">
        <v>2931</v>
      </c>
      <c r="F714" s="185" t="s">
        <v>88</v>
      </c>
      <c r="G714" s="186" t="s">
        <v>2718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189">
        <v>80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2933</v>
      </c>
      <c r="B715" s="152">
        <v>2026</v>
      </c>
      <c r="C715" s="183" t="s">
        <v>2697</v>
      </c>
      <c r="D715" s="183" t="s">
        <v>2930</v>
      </c>
      <c r="E715" s="184" t="s">
        <v>2931</v>
      </c>
      <c r="F715" s="185" t="s">
        <v>88</v>
      </c>
      <c r="G715" s="186" t="s">
        <v>2718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2718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2718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2718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2718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 x14ac:dyDescent="0.25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2718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 x14ac:dyDescent="0.25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2718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 x14ac:dyDescent="0.2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2718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2718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2718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2718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2718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2718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2718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2718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2718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2979</v>
      </c>
      <c r="B732" s="183">
        <v>2026</v>
      </c>
      <c r="C732" s="183" t="s">
        <v>2697</v>
      </c>
      <c r="D732" s="183"/>
      <c r="E732" s="184" t="s">
        <v>2980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2981</v>
      </c>
      <c r="B733" s="183">
        <v>2026</v>
      </c>
      <c r="C733" s="183" t="s">
        <v>2697</v>
      </c>
      <c r="D733" s="183"/>
      <c r="E733" s="203" t="s">
        <v>2982</v>
      </c>
      <c r="F733" s="185"/>
      <c r="G733" s="186" t="s">
        <v>2718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2983</v>
      </c>
      <c r="B734" s="183">
        <v>2026</v>
      </c>
      <c r="C734" s="183" t="s">
        <v>2697</v>
      </c>
      <c r="D734" s="183"/>
      <c r="E734" s="184" t="s">
        <v>2984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2985</v>
      </c>
      <c r="E735" s="184" t="s">
        <v>2986</v>
      </c>
      <c r="F735" s="185"/>
      <c r="G735" s="186" t="s">
        <v>206</v>
      </c>
      <c r="H735" s="191" t="s">
        <v>2985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2987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2988</v>
      </c>
      <c r="E736" s="184" t="s">
        <v>2989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3185</v>
      </c>
      <c r="B737" s="183">
        <v>2026</v>
      </c>
      <c r="C737" s="183" t="s">
        <v>2697</v>
      </c>
      <c r="D737" s="183" t="s">
        <v>3186</v>
      </c>
      <c r="E737" s="180" t="s">
        <v>3187</v>
      </c>
      <c r="F737" s="185"/>
      <c r="G737" s="186" t="s">
        <v>79</v>
      </c>
      <c r="H737" s="191" t="s">
        <v>3188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2892</v>
      </c>
    </row>
    <row r="738" spans="1:20" ht="15" x14ac:dyDescent="0.25">
      <c r="A738" s="183" t="str">
        <f ca="1">IF(E738="","",IF(B738="",YEAR(TODAY()),B738)&amp;"-"&amp;TEXT(COUNTIF($B$2:B738,IF(B738="",YEAR(TODAY()),B738))+COUNTIFS($E$2:E738,"&lt;&gt;",$B$2:B738,""),"000"))</f>
        <v/>
      </c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4"/>
        <v/>
      </c>
      <c r="S738" s="183"/>
      <c r="T738" s="186"/>
    </row>
    <row r="739" spans="1:20" ht="15" x14ac:dyDescent="0.25">
      <c r="A739" s="183" t="str">
        <f ca="1">IF(E739="","",IF(B739="",YEAR(TODAY()),B739)&amp;"-"&amp;TEXT(COUNTIF($B$2:B739,IF(B739="",YEAR(TODAY()),B739))+COUNTIFS($E$2:E739,"&lt;&gt;",$B$2:B739,""),"000"))</f>
        <v/>
      </c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4"/>
        <v/>
      </c>
      <c r="S739" s="183"/>
      <c r="T739" s="186"/>
    </row>
    <row r="740" spans="1:20" ht="15" x14ac:dyDescent="0.2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x14ac:dyDescent="0.2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x14ac:dyDescent="0.2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7" priority="3">
      <formula>TRIM(C2)="Realizado"</formula>
    </cfRule>
  </conditionalFormatting>
  <conditionalFormatting sqref="C2:C2007">
    <cfRule type="expression" dxfId="6" priority="4">
      <formula>TRIM(C2)="Cancelado"</formula>
    </cfRule>
  </conditionalFormatting>
  <conditionalFormatting sqref="C2:C2007">
    <cfRule type="expression" dxfId="5" priority="5">
      <formula>TRIM(C2)="Em andamento"</formula>
    </cfRule>
  </conditionalFormatting>
  <conditionalFormatting sqref="C2:C2007">
    <cfRule type="expression" dxfId="4" priority="6">
      <formula>TRIM(C2)="Adiado"</formula>
    </cfRule>
  </conditionalFormatting>
  <conditionalFormatting sqref="A2:A2007">
    <cfRule type="expression" dxfId="3" priority="7">
      <formula>AND($B2&lt;&gt;"",$A2="")</formula>
    </cfRule>
  </conditionalFormatting>
  <conditionalFormatting sqref="L2:M2007">
    <cfRule type="expression" dxfId="2" priority="8">
      <formula>L2=""</formula>
    </cfRule>
  </conditionalFormatting>
  <conditionalFormatting sqref="A2002:A2006 E2007 A2:T2001">
    <cfRule type="expression" dxfId="1" priority="9">
      <formula>MOD(ROW(),2)=0</formula>
    </cfRule>
  </conditionalFormatting>
  <conditionalFormatting sqref="A2002:A2006 E2007 A2:T2001">
    <cfRule type="expression" dxfId="0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2990</v>
      </c>
      <c r="H1" s="213" t="s">
        <v>2991</v>
      </c>
    </row>
    <row r="2" spans="1:8" x14ac:dyDescent="0.25">
      <c r="H2" s="212" t="s">
        <v>2992</v>
      </c>
    </row>
    <row r="3" spans="1:8" x14ac:dyDescent="0.25">
      <c r="A3" t="s">
        <v>0</v>
      </c>
      <c r="B3" t="s">
        <v>19</v>
      </c>
      <c r="C3" t="s">
        <v>2993</v>
      </c>
      <c r="D3" t="s">
        <v>2994</v>
      </c>
      <c r="E3" t="s">
        <v>2995</v>
      </c>
      <c r="H3" s="212" t="s">
        <v>2996</v>
      </c>
    </row>
    <row r="4" spans="1:8" x14ac:dyDescent="0.25">
      <c r="A4">
        <v>1</v>
      </c>
      <c r="B4" t="s">
        <v>2997</v>
      </c>
      <c r="D4" t="s">
        <v>2998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2999</v>
      </c>
    </row>
    <row r="5" spans="1:8" x14ac:dyDescent="0.25">
      <c r="A5">
        <v>2</v>
      </c>
      <c r="B5" t="s">
        <v>2507</v>
      </c>
      <c r="D5" t="s">
        <v>2998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3000</v>
      </c>
    </row>
    <row r="6" spans="1:8" x14ac:dyDescent="0.25">
      <c r="A6">
        <v>3</v>
      </c>
      <c r="B6" t="s">
        <v>1030</v>
      </c>
      <c r="D6" t="s">
        <v>2998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3001</v>
      </c>
      <c r="D7" t="s">
        <v>2998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3002</v>
      </c>
    </row>
    <row r="8" spans="1:8" x14ac:dyDescent="0.25">
      <c r="A8">
        <v>5</v>
      </c>
      <c r="B8" t="s">
        <v>3003</v>
      </c>
      <c r="D8" t="s">
        <v>2998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2998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2998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2998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2832</v>
      </c>
      <c r="D12" t="s">
        <v>2998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2998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2998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2805</v>
      </c>
      <c r="D15" t="s">
        <v>2998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2998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2998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2998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2998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2998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2998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2998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3004</v>
      </c>
      <c r="D23" t="s">
        <v>2998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2998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3005</v>
      </c>
      <c r="D25" t="s">
        <v>2998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3006</v>
      </c>
      <c r="D26" t="s">
        <v>2998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2998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2998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3007</v>
      </c>
      <c r="D29" t="s">
        <v>2998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2998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2998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2998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3008</v>
      </c>
      <c r="D33" t="s">
        <v>2998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3009</v>
      </c>
      <c r="D34" t="s">
        <v>2998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2998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2998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2998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3010</v>
      </c>
      <c r="D38" t="s">
        <v>2998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2998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3011</v>
      </c>
      <c r="D40" t="s">
        <v>2998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2998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3012</v>
      </c>
      <c r="D42" t="s">
        <v>2998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2998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2998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3013</v>
      </c>
      <c r="D45" t="s">
        <v>2998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2998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2998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2998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2998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3014</v>
      </c>
      <c r="D50" t="s">
        <v>2998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2720</v>
      </c>
      <c r="D51" t="s">
        <v>2998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3015</v>
      </c>
      <c r="D52" t="s">
        <v>2998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2998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2998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3016</v>
      </c>
      <c r="D55" t="s">
        <v>2998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2998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2998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2998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3017</v>
      </c>
      <c r="D59" t="s">
        <v>2998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2998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2998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2998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3018</v>
      </c>
      <c r="D63" t="s">
        <v>2998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3019</v>
      </c>
      <c r="D64" t="s">
        <v>2998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3020</v>
      </c>
      <c r="D65" t="s">
        <v>2998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3021</v>
      </c>
      <c r="D66" t="s">
        <v>2998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2795</v>
      </c>
      <c r="D67" t="s">
        <v>2998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2998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3022</v>
      </c>
      <c r="D69" t="s">
        <v>2998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3023</v>
      </c>
      <c r="D70" t="s">
        <v>2998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2998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3024</v>
      </c>
      <c r="D72" t="s">
        <v>2998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2998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2998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2998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3025</v>
      </c>
      <c r="D76" t="s">
        <v>2998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2998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2998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2998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2998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3026</v>
      </c>
      <c r="D81" t="s">
        <v>2998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3027</v>
      </c>
      <c r="D82" t="s">
        <v>2998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3028</v>
      </c>
      <c r="D83" t="s">
        <v>2998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3029</v>
      </c>
      <c r="D84" t="s">
        <v>2998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2998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3030</v>
      </c>
      <c r="D86" t="s">
        <v>2998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2998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3031</v>
      </c>
      <c r="D88" t="s">
        <v>2998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3032</v>
      </c>
      <c r="D89" t="s">
        <v>2998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3033</v>
      </c>
      <c r="D90" t="s">
        <v>2998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3034</v>
      </c>
      <c r="D91" t="s">
        <v>2998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3035</v>
      </c>
      <c r="D92" t="s">
        <v>2998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3036</v>
      </c>
      <c r="D93" t="s">
        <v>2998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3037</v>
      </c>
      <c r="D94" t="s">
        <v>2998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3038</v>
      </c>
      <c r="D95" t="s">
        <v>2998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3039</v>
      </c>
      <c r="D96" t="s">
        <v>2998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2921</v>
      </c>
      <c r="D97" t="s">
        <v>2998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3040</v>
      </c>
      <c r="D98" t="s">
        <v>2998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2913</v>
      </c>
      <c r="D99" t="s">
        <v>2998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3041</v>
      </c>
      <c r="D100" t="s">
        <v>2998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3042</v>
      </c>
      <c r="D101" t="s">
        <v>2998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3043</v>
      </c>
      <c r="D102" t="s">
        <v>2998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3044</v>
      </c>
      <c r="D103" t="s">
        <v>2998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2892</v>
      </c>
      <c r="D104" t="s">
        <v>2998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3045</v>
      </c>
      <c r="D105" t="s">
        <v>2998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3046</v>
      </c>
      <c r="D106" t="s">
        <v>2998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3047</v>
      </c>
      <c r="D107" t="s">
        <v>2998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2866</v>
      </c>
      <c r="D108" t="s">
        <v>2998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2871</v>
      </c>
      <c r="D109" t="s">
        <v>2998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10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40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3048</v>
      </c>
      <c r="C1" s="19" t="s">
        <v>3049</v>
      </c>
      <c r="D1" s="19" t="s">
        <v>4</v>
      </c>
      <c r="E1" s="19" t="s">
        <v>3050</v>
      </c>
      <c r="F1" s="19" t="s">
        <v>19</v>
      </c>
      <c r="G1" s="19" t="s">
        <v>3051</v>
      </c>
      <c r="H1" s="19" t="s">
        <v>3052</v>
      </c>
      <c r="I1" s="19" t="s">
        <v>3053</v>
      </c>
      <c r="J1" s="19" t="s">
        <v>3054</v>
      </c>
      <c r="L1" s="112" t="s">
        <v>3055</v>
      </c>
      <c r="M1" s="23">
        <v>2026</v>
      </c>
      <c r="U1" s="80" t="s">
        <v>3056</v>
      </c>
      <c r="V1" s="79"/>
      <c r="X1" s="78" t="s">
        <v>3057</v>
      </c>
      <c r="Y1" s="27"/>
      <c r="Z1" s="27"/>
      <c r="AA1" s="27"/>
      <c r="AC1" s="100" t="s">
        <v>3058</v>
      </c>
    </row>
    <row r="2" spans="1:31" x14ac:dyDescent="0.25">
      <c r="A2" s="21" cm="1">
        <f t="array" aca="1" ref="A2:J118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3059</v>
      </c>
      <c r="M2" s="107" t="s">
        <v>2929</v>
      </c>
      <c r="X2" s="114" t="s">
        <v>3048</v>
      </c>
      <c r="Y2" s="114" t="s">
        <v>19</v>
      </c>
      <c r="Z2" s="114" t="s">
        <v>3060</v>
      </c>
      <c r="AA2" s="114" t="s">
        <v>3061</v>
      </c>
      <c r="AC2" s="115" t="s">
        <v>1</v>
      </c>
      <c r="AD2" s="115" t="s">
        <v>3062</v>
      </c>
      <c r="AE2" s="115" t="s">
        <v>3063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3064</v>
      </c>
      <c r="M3" s="113" t="s">
        <v>3065</v>
      </c>
      <c r="N3" s="113" t="s">
        <v>3066</v>
      </c>
      <c r="O3" s="113" t="s">
        <v>3067</v>
      </c>
      <c r="P3" s="113" t="s">
        <v>3068</v>
      </c>
      <c r="Q3" s="113" t="s">
        <v>3069</v>
      </c>
      <c r="R3" s="113" t="s">
        <v>3070</v>
      </c>
      <c r="S3" s="113" t="s">
        <v>3071</v>
      </c>
      <c r="T3" s="113" t="s">
        <v>3072</v>
      </c>
      <c r="X3" t="s">
        <v>2836</v>
      </c>
      <c r="Y3" t="s">
        <v>3011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0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1" ca="1">_xlfn.VSTACK(0,_xlfn._xlws.FILTER(S4:S200,S4:S200&lt;&gt;""))</f>
        <v>0</v>
      </c>
      <c r="X4" t="s">
        <v>2836</v>
      </c>
      <c r="Y4" t="s">
        <v>2832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1</v>
      </c>
      <c r="I5" s="22">
        <f ca="1"/>
        <v>0.3</v>
      </c>
      <c r="J5" s="22">
        <f ca="1"/>
        <v>1.3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2858</v>
      </c>
      <c r="Y5" t="s">
        <v>2832</v>
      </c>
      <c r="Z5">
        <v>1</v>
      </c>
      <c r="AA5">
        <v>0.6</v>
      </c>
      <c r="AC5" s="97">
        <v>2026</v>
      </c>
      <c r="AD5" s="18" t="s">
        <v>3073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2858</v>
      </c>
      <c r="Y6" t="s">
        <v>3011</v>
      </c>
      <c r="Z6">
        <v>1</v>
      </c>
      <c r="AA6">
        <v>0</v>
      </c>
      <c r="AC6" s="97">
        <v>2026</v>
      </c>
      <c r="AD6" s="18" t="s">
        <v>3074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9.4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2811</v>
      </c>
      <c r="Y7" t="s">
        <v>2795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3005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3023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3005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9.4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18.8</v>
      </c>
      <c r="J17" s="22">
        <f ca="1"/>
        <v>18.8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3023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Em andamento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3005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3023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2833</v>
      </c>
      <c r="Y23" s="18" t="s">
        <v>2832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2833</v>
      </c>
      <c r="Y24" s="18" t="s">
        <v>3011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2840</v>
      </c>
      <c r="Y25" s="18" t="s">
        <v>2832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2840</v>
      </c>
      <c r="Y26" s="18" t="s">
        <v>3011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2796</v>
      </c>
      <c r="Y27" s="18" t="s">
        <v>2795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A realizar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2721</v>
      </c>
      <c r="Y28" s="18" t="s">
        <v>3046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2721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2721</v>
      </c>
      <c r="Y30" s="18" t="s">
        <v>3042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2840</v>
      </c>
      <c r="Y31" s="18" t="s">
        <v>2832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2754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2754</v>
      </c>
      <c r="Y33" t="s">
        <v>3024</v>
      </c>
      <c r="Z33">
        <v>4</v>
      </c>
      <c r="AA33">
        <v>0.6</v>
      </c>
      <c r="AC33" s="99"/>
      <c r="AD33" s="116" t="s">
        <v>3075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2754</v>
      </c>
      <c r="Y34" t="s">
        <v>3025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2754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A realizar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2754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2777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2777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A realizar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2843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2729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A realizar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3016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3033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3032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Em andamento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3044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Em andamento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3041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3043</v>
      </c>
      <c r="Z48">
        <v>1</v>
      </c>
      <c r="AA48">
        <v>0.3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3040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3076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3047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3045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2784</v>
      </c>
      <c r="Y55" t="s">
        <v>3032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2749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2749</v>
      </c>
      <c r="Y58" s="110" t="s">
        <v>3039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2749</v>
      </c>
      <c r="Y59" t="s">
        <v>3038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2749</v>
      </c>
      <c r="Y60" t="s">
        <v>3037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R61" t="str">
        <f ca="1"/>
        <v/>
      </c>
      <c r="S61" t="str">
        <f ca="1"/>
        <v/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R62" t="str">
        <f ca="1"/>
        <v/>
      </c>
      <c r="S62" t="str">
        <f ca="1"/>
        <v/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R63" t="str">
        <f ca="1"/>
        <v/>
      </c>
      <c r="S63" t="str">
        <f ca="1"/>
        <v/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R64" t="str">
        <f ca="1"/>
        <v/>
      </c>
      <c r="S64" t="str">
        <f ca="1"/>
        <v/>
      </c>
      <c r="X64" t="s">
        <v>2702</v>
      </c>
      <c r="Y64" t="s">
        <v>3029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R65" t="str">
        <f ca="1"/>
        <v/>
      </c>
      <c r="S65" t="str">
        <f ca="1"/>
        <v/>
      </c>
      <c r="X65" t="s">
        <v>2710</v>
      </c>
      <c r="Y65" t="s">
        <v>2892</v>
      </c>
      <c r="Z65">
        <v>0</v>
      </c>
      <c r="AA65">
        <v>18.8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3027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2789</v>
      </c>
      <c r="Y69" t="s">
        <v>2795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2823</v>
      </c>
      <c r="Y70" s="18" t="s">
        <v>2832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A realizar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2823</v>
      </c>
      <c r="Y71" s="18" t="s">
        <v>3011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A realizar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2872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2872</v>
      </c>
      <c r="Y73" t="s">
        <v>3016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2799</v>
      </c>
      <c r="Y75" t="s">
        <v>2795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A realizar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A realizar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3030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 para servidores do GDF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2884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 para servidores do GDF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2884</v>
      </c>
      <c r="Y79" t="s">
        <v>3034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A realizar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2784</v>
      </c>
      <c r="Y80" t="s">
        <v>3031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A realizar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2880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2880</v>
      </c>
      <c r="Y82" t="s">
        <v>3035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A realizar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2026-056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(Fernanda e Túlio)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 x14ac:dyDescent="0.25">
      <c r="R119" t="str">
        <f ca="1"/>
        <v/>
      </c>
      <c r="S119" t="str">
        <f ca="1"/>
        <v/>
      </c>
    </row>
    <row r="120" spans="1:19" x14ac:dyDescent="0.25">
      <c r="R120" t="str">
        <f ca="1"/>
        <v/>
      </c>
      <c r="S120" t="str">
        <f ca="1"/>
        <v/>
      </c>
    </row>
    <row r="121" spans="1:19" x14ac:dyDescent="0.25">
      <c r="R121" t="str">
        <f ca="1"/>
        <v/>
      </c>
      <c r="S121" t="str">
        <f ca="1"/>
        <v/>
      </c>
    </row>
    <row r="122" spans="1:19" x14ac:dyDescent="0.25"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8" t="s">
        <v>3077</v>
      </c>
      <c r="B1" s="228"/>
      <c r="C1" s="228"/>
      <c r="D1" s="228"/>
      <c r="E1" s="228"/>
      <c r="F1" s="228"/>
      <c r="G1" s="228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29" t="s">
        <v>3078</v>
      </c>
      <c r="B4" s="230"/>
      <c r="D4" s="231" t="s">
        <v>3079</v>
      </c>
      <c r="E4" s="232"/>
      <c r="G4" s="45" t="s">
        <v>3080</v>
      </c>
    </row>
    <row r="5" spans="1:7" ht="54.95" customHeight="1" thickBot="1" x14ac:dyDescent="0.75">
      <c r="A5" s="35">
        <f>COUNTIF('Ações InCompany'!B:B,2026)</f>
        <v>81</v>
      </c>
      <c r="B5" s="36" t="s">
        <v>3081</v>
      </c>
      <c r="D5" s="43">
        <f>COUNTIFS('Ações InCompany'!B:B,2026,'Ações InCompany'!C:C,"Realizado")</f>
        <v>46</v>
      </c>
      <c r="E5" s="44" t="s">
        <v>3081</v>
      </c>
      <c r="G5" s="46">
        <f>COUNTIFS('Ações InCompany'!B:B,2026,'Ações InCompany'!C:C,"A realizar")</f>
        <v>31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6" t="s">
        <v>3082</v>
      </c>
      <c r="B8" s="226"/>
      <c r="D8" s="226" t="s">
        <v>3083</v>
      </c>
      <c r="E8" s="226"/>
    </row>
    <row r="9" spans="1:7" ht="5.0999999999999996" customHeight="1" x14ac:dyDescent="0.25">
      <c r="A9" s="227"/>
      <c r="B9" s="227"/>
      <c r="D9" s="227"/>
      <c r="E9" s="227"/>
    </row>
    <row r="10" spans="1:7" ht="24.95" customHeight="1" x14ac:dyDescent="0.25">
      <c r="A10" s="28" t="s">
        <v>5</v>
      </c>
      <c r="B10" s="28" t="s">
        <v>3084</v>
      </c>
      <c r="D10" s="28" t="s">
        <v>3085</v>
      </c>
      <c r="E10" s="28" t="s">
        <v>3086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3087</v>
      </c>
      <c r="E11" s="30">
        <f>SUMIFS('Ações InCompany'!O:O,'Ações InCompany'!B:B,2026,'Ações InCompany'!C:C,"Realizado")</f>
        <v>550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19</v>
      </c>
      <c r="D12" s="31" t="s">
        <v>3088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3089</v>
      </c>
      <c r="E13" s="30">
        <f>SUMIFS('Ações InCompany'!Q:Q,'Ações InCompany'!B:B,2026,'Ações InCompany'!C:C,"Realizado")</f>
        <v>490</v>
      </c>
    </row>
    <row r="14" spans="1:7" ht="27.95" customHeight="1" x14ac:dyDescent="0.3">
      <c r="A14" s="33" t="s">
        <v>3090</v>
      </c>
      <c r="B14" s="34">
        <f>SUM(B11:B13)</f>
        <v>44</v>
      </c>
      <c r="D14" s="33" t="s">
        <v>3091</v>
      </c>
      <c r="E14" s="34">
        <f>SUM(E11:E13)</f>
        <v>1848</v>
      </c>
    </row>
    <row r="30" spans="1:5" ht="17.25" x14ac:dyDescent="0.3">
      <c r="A30" s="226" t="s">
        <v>3092</v>
      </c>
      <c r="B30" s="226"/>
      <c r="C30" s="226"/>
      <c r="D30" s="226"/>
      <c r="E30" s="226"/>
    </row>
    <row r="31" spans="1:5" ht="5.0999999999999996" customHeight="1" x14ac:dyDescent="0.25">
      <c r="A31" s="227"/>
      <c r="B31" s="227"/>
      <c r="C31" s="227"/>
      <c r="D31" s="227"/>
      <c r="E31" s="227"/>
    </row>
    <row r="32" spans="1:5" ht="24.95" customHeight="1" x14ac:dyDescent="0.25">
      <c r="A32" s="28" t="s">
        <v>6</v>
      </c>
      <c r="B32" s="28" t="s">
        <v>3093</v>
      </c>
      <c r="C32" s="28" t="s">
        <v>3094</v>
      </c>
      <c r="D32" s="28" t="s">
        <v>3095</v>
      </c>
      <c r="E32" s="28" t="s">
        <v>3096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13</v>
      </c>
      <c r="C33" s="47">
        <f>COUNTIFS('Ações InCompany'!B:B,2026,'Ações InCompany'!C:C,"A realizar",'Ações InCompany'!G:G,A33)</f>
        <v>8</v>
      </c>
      <c r="D33" s="37">
        <f t="shared" ref="D33:D44" si="0">B33+C33</f>
        <v>21</v>
      </c>
      <c r="E33" s="38">
        <f t="shared" ref="E33:E44" si="1">D33/$D$45</f>
        <v>0.27272727272727271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6.4935064935064929E-2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7.792207792207792E-2</v>
      </c>
    </row>
    <row r="36" spans="1:5" ht="24" customHeight="1" x14ac:dyDescent="0.25">
      <c r="A36" s="31" t="s">
        <v>2793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2.5974025974025976E-2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7.792207792207792E-2</v>
      </c>
    </row>
    <row r="38" spans="1:5" ht="24" customHeight="1" x14ac:dyDescent="0.25">
      <c r="A38" s="31" t="s">
        <v>2718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0.2857142857142857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5.1948051948051951E-2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2.5974025974025976E-2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9.0909090909090912E-2</v>
      </c>
    </row>
    <row r="42" spans="1:5" ht="24" customHeight="1" x14ac:dyDescent="0.25">
      <c r="A42" s="75" t="s">
        <v>3097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2.5974025974025976E-2</v>
      </c>
    </row>
    <row r="44" spans="1:5" ht="24" customHeight="1" x14ac:dyDescent="0.25">
      <c r="A44" s="67" t="s">
        <v>3098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3090</v>
      </c>
      <c r="B45" s="41">
        <f>SUM(B33:B44)</f>
        <v>46</v>
      </c>
      <c r="C45" s="41">
        <f>SUM(C33:C44)</f>
        <v>31</v>
      </c>
      <c r="D45" s="41">
        <f>SUM(D33:D44)</f>
        <v>77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3099</v>
      </c>
      <c r="B1" s="12" t="s">
        <v>3100</v>
      </c>
      <c r="C1" s="13" t="s">
        <v>3101</v>
      </c>
      <c r="D1" s="13" t="s">
        <v>3102</v>
      </c>
      <c r="E1" s="13" t="s">
        <v>3103</v>
      </c>
    </row>
    <row r="2" spans="1:5" ht="18" customHeight="1" x14ac:dyDescent="0.25">
      <c r="A2" s="12" t="s">
        <v>3104</v>
      </c>
      <c r="B2" s="12" t="s">
        <v>3105</v>
      </c>
      <c r="C2" s="12" t="s">
        <v>1736</v>
      </c>
      <c r="D2" s="12" t="s">
        <v>3106</v>
      </c>
      <c r="E2" s="12" t="s">
        <v>3107</v>
      </c>
    </row>
    <row r="3" spans="1:5" ht="18" customHeight="1" x14ac:dyDescent="0.25">
      <c r="A3" s="12" t="s">
        <v>3104</v>
      </c>
      <c r="B3" s="12" t="s">
        <v>3105</v>
      </c>
      <c r="C3" s="14" t="s">
        <v>25</v>
      </c>
      <c r="D3" s="12" t="s">
        <v>3108</v>
      </c>
      <c r="E3" s="12" t="s">
        <v>3109</v>
      </c>
    </row>
    <row r="4" spans="1:5" ht="18" customHeight="1" x14ac:dyDescent="0.25">
      <c r="A4" s="12" t="s">
        <v>3104</v>
      </c>
      <c r="B4" s="12" t="s">
        <v>3105</v>
      </c>
      <c r="C4" s="12" t="s">
        <v>75</v>
      </c>
      <c r="D4" s="12" t="s">
        <v>3106</v>
      </c>
      <c r="E4" s="12" t="s">
        <v>3110</v>
      </c>
    </row>
    <row r="5" spans="1:5" ht="18" customHeight="1" x14ac:dyDescent="0.25">
      <c r="A5" s="12" t="s">
        <v>3104</v>
      </c>
      <c r="B5" s="12" t="s">
        <v>3105</v>
      </c>
      <c r="C5" s="12" t="s">
        <v>79</v>
      </c>
      <c r="D5" s="12" t="s">
        <v>3111</v>
      </c>
      <c r="E5" s="12" t="s">
        <v>3112</v>
      </c>
    </row>
    <row r="6" spans="1:5" ht="18" customHeight="1" x14ac:dyDescent="0.25">
      <c r="A6" s="12" t="s">
        <v>3104</v>
      </c>
      <c r="B6" s="12" t="s">
        <v>3105</v>
      </c>
      <c r="C6" s="12" t="s">
        <v>2718</v>
      </c>
      <c r="D6" s="12" t="s">
        <v>3113</v>
      </c>
      <c r="E6" s="12" t="s">
        <v>3114</v>
      </c>
    </row>
    <row r="7" spans="1:5" ht="18" customHeight="1" x14ac:dyDescent="0.25">
      <c r="A7" s="12" t="s">
        <v>3104</v>
      </c>
      <c r="B7" s="12" t="s">
        <v>3115</v>
      </c>
      <c r="C7" s="12" t="s">
        <v>36</v>
      </c>
      <c r="D7" s="12" t="s">
        <v>3116</v>
      </c>
      <c r="E7" s="12" t="s">
        <v>3117</v>
      </c>
    </row>
    <row r="8" spans="1:5" ht="18" customHeight="1" x14ac:dyDescent="0.25">
      <c r="A8" s="12" t="s">
        <v>3104</v>
      </c>
      <c r="B8" s="12" t="s">
        <v>3115</v>
      </c>
      <c r="C8" s="12" t="s">
        <v>42</v>
      </c>
      <c r="D8" s="12" t="s">
        <v>3118</v>
      </c>
      <c r="E8" s="12" t="s">
        <v>3119</v>
      </c>
    </row>
    <row r="9" spans="1:5" ht="18" customHeight="1" x14ac:dyDescent="0.25">
      <c r="A9" s="12" t="s">
        <v>3104</v>
      </c>
      <c r="B9" s="12" t="s">
        <v>3120</v>
      </c>
      <c r="C9" s="12" t="s">
        <v>464</v>
      </c>
      <c r="D9" s="12" t="s">
        <v>3121</v>
      </c>
      <c r="E9" s="12" t="s">
        <v>3122</v>
      </c>
    </row>
    <row r="10" spans="1:5" ht="18" customHeight="1" x14ac:dyDescent="0.25">
      <c r="A10" s="12" t="s">
        <v>3104</v>
      </c>
      <c r="B10" s="12" t="s">
        <v>3120</v>
      </c>
      <c r="C10" s="12" t="s">
        <v>206</v>
      </c>
      <c r="D10" s="12" t="s">
        <v>24</v>
      </c>
      <c r="E10" s="12" t="s">
        <v>3123</v>
      </c>
    </row>
    <row r="11" spans="1:5" ht="18" customHeight="1" x14ac:dyDescent="0.25">
      <c r="A11" s="12" t="s">
        <v>3104</v>
      </c>
      <c r="B11" s="12" t="s">
        <v>3120</v>
      </c>
      <c r="C11" s="12" t="s">
        <v>371</v>
      </c>
      <c r="D11" s="12" t="s">
        <v>24</v>
      </c>
      <c r="E11" s="12" t="s">
        <v>3124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3125</v>
      </c>
      <c r="B1" s="5" t="s">
        <v>10</v>
      </c>
      <c r="C1" s="15" t="s">
        <v>3126</v>
      </c>
      <c r="D1" s="15" t="s">
        <v>3049</v>
      </c>
    </row>
    <row r="2" spans="1:4" ht="21" customHeight="1" x14ac:dyDescent="0.25">
      <c r="A2" s="103" t="s">
        <v>24</v>
      </c>
      <c r="B2" s="103" t="s">
        <v>38</v>
      </c>
      <c r="C2" s="12" t="s">
        <v>3127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3128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2790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3129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3099</v>
      </c>
      <c r="B1" s="12" t="s">
        <v>3100</v>
      </c>
      <c r="C1" s="13" t="s">
        <v>3101</v>
      </c>
      <c r="D1" s="13" t="s">
        <v>3102</v>
      </c>
      <c r="E1" s="13" t="s">
        <v>3103</v>
      </c>
    </row>
    <row r="2" spans="1:5" ht="18" customHeight="1" x14ac:dyDescent="0.25">
      <c r="A2" s="12" t="s">
        <v>3130</v>
      </c>
      <c r="B2" s="12" t="s">
        <v>3105</v>
      </c>
      <c r="C2" s="14" t="s">
        <v>25</v>
      </c>
      <c r="D2" s="12" t="s">
        <v>3106</v>
      </c>
      <c r="E2" s="17" t="s">
        <v>3131</v>
      </c>
    </row>
    <row r="3" spans="1:5" ht="18" customHeight="1" x14ac:dyDescent="0.25">
      <c r="A3" s="12" t="s">
        <v>3130</v>
      </c>
      <c r="B3" s="12" t="s">
        <v>3105</v>
      </c>
      <c r="C3" s="12" t="s">
        <v>75</v>
      </c>
      <c r="D3" s="12" t="s">
        <v>3108</v>
      </c>
      <c r="E3" s="12" t="s">
        <v>3132</v>
      </c>
    </row>
    <row r="4" spans="1:5" ht="18" customHeight="1" x14ac:dyDescent="0.25">
      <c r="A4" s="12" t="s">
        <v>3130</v>
      </c>
      <c r="B4" s="12" t="s">
        <v>3105</v>
      </c>
      <c r="C4" s="12" t="s">
        <v>79</v>
      </c>
      <c r="D4" s="12" t="s">
        <v>3111</v>
      </c>
      <c r="E4" s="12" t="s">
        <v>3133</v>
      </c>
    </row>
    <row r="5" spans="1:5" ht="27.75" customHeight="1" x14ac:dyDescent="0.25">
      <c r="A5" s="12" t="s">
        <v>3130</v>
      </c>
      <c r="B5" s="12" t="s">
        <v>3105</v>
      </c>
      <c r="C5" s="12" t="s">
        <v>2694</v>
      </c>
      <c r="D5" s="17" t="s">
        <v>3134</v>
      </c>
      <c r="E5" s="12" t="s">
        <v>3135</v>
      </c>
    </row>
    <row r="6" spans="1:5" ht="18" customHeight="1" x14ac:dyDescent="0.25">
      <c r="A6" s="12" t="s">
        <v>3130</v>
      </c>
      <c r="B6" s="12" t="s">
        <v>3105</v>
      </c>
      <c r="C6" s="12" t="s">
        <v>2718</v>
      </c>
      <c r="D6" s="12" t="s">
        <v>3113</v>
      </c>
      <c r="E6" s="12" t="s">
        <v>3114</v>
      </c>
    </row>
    <row r="7" spans="1:5" ht="18" customHeight="1" x14ac:dyDescent="0.25">
      <c r="A7" s="12" t="s">
        <v>3130</v>
      </c>
      <c r="B7" s="12" t="s">
        <v>3115</v>
      </c>
      <c r="C7" s="12" t="s">
        <v>2700</v>
      </c>
      <c r="D7" s="12" t="s">
        <v>3136</v>
      </c>
      <c r="E7" s="12" t="s">
        <v>3137</v>
      </c>
    </row>
    <row r="8" spans="1:5" ht="18" customHeight="1" x14ac:dyDescent="0.25">
      <c r="A8" s="12" t="s">
        <v>3130</v>
      </c>
      <c r="B8" s="12" t="s">
        <v>3115</v>
      </c>
      <c r="C8" s="12" t="s">
        <v>42</v>
      </c>
      <c r="D8" s="12" t="s">
        <v>3118</v>
      </c>
      <c r="E8" s="12" t="s">
        <v>3119</v>
      </c>
    </row>
    <row r="9" spans="1:5" ht="18" customHeight="1" x14ac:dyDescent="0.25">
      <c r="A9" s="12" t="s">
        <v>3130</v>
      </c>
      <c r="B9" s="12" t="s">
        <v>3115</v>
      </c>
      <c r="C9" s="12" t="s">
        <v>2793</v>
      </c>
      <c r="D9" s="12" t="s">
        <v>3138</v>
      </c>
      <c r="E9" s="17" t="s">
        <v>3139</v>
      </c>
    </row>
    <row r="10" spans="1:5" ht="18" customHeight="1" x14ac:dyDescent="0.25">
      <c r="A10" s="12" t="s">
        <v>3130</v>
      </c>
      <c r="B10" s="12" t="s">
        <v>3140</v>
      </c>
      <c r="C10" s="12" t="s">
        <v>3097</v>
      </c>
      <c r="D10" s="12" t="s">
        <v>3141</v>
      </c>
      <c r="E10" s="17" t="s">
        <v>3142</v>
      </c>
    </row>
    <row r="11" spans="1:5" ht="18" customHeight="1" x14ac:dyDescent="0.25">
      <c r="A11" s="12" t="s">
        <v>3130</v>
      </c>
      <c r="B11" s="12" t="s">
        <v>3140</v>
      </c>
      <c r="C11" s="12" t="s">
        <v>206</v>
      </c>
      <c r="D11" s="12" t="s">
        <v>24</v>
      </c>
      <c r="E11" s="12" t="s">
        <v>3123</v>
      </c>
    </row>
    <row r="12" spans="1:5" ht="18" customHeight="1" x14ac:dyDescent="0.25">
      <c r="A12" s="12" t="s">
        <v>3130</v>
      </c>
      <c r="B12" s="12" t="s">
        <v>3140</v>
      </c>
      <c r="C12" s="12" t="s">
        <v>371</v>
      </c>
      <c r="D12" s="12" t="s">
        <v>24</v>
      </c>
      <c r="E12" s="12" t="s">
        <v>3124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3" t="s">
        <v>3143</v>
      </c>
      <c r="B1" s="233"/>
      <c r="C1" s="233"/>
      <c r="D1" s="233"/>
      <c r="E1" s="233"/>
      <c r="F1" s="233"/>
      <c r="G1" s="233"/>
      <c r="H1" s="233"/>
    </row>
    <row r="2" spans="1:8" x14ac:dyDescent="0.25">
      <c r="A2" s="49" t="s">
        <v>3144</v>
      </c>
    </row>
    <row r="4" spans="1:8" ht="21.95" customHeight="1" x14ac:dyDescent="0.25">
      <c r="A4" s="234" t="s">
        <v>3145</v>
      </c>
      <c r="B4" s="235"/>
      <c r="D4" s="234" t="s">
        <v>3146</v>
      </c>
      <c r="E4" s="235"/>
      <c r="G4" s="234" t="s">
        <v>3147</v>
      </c>
      <c r="H4" s="235"/>
    </row>
    <row r="5" spans="1:8" ht="35.1" customHeight="1" x14ac:dyDescent="0.25">
      <c r="A5" s="238">
        <f>COUNTIF('Ações InCompany'!E:E,"*maratona*")</f>
        <v>13</v>
      </c>
      <c r="B5" s="237"/>
      <c r="D5" s="236">
        <f>SUM(H8:H100)</f>
        <v>1762</v>
      </c>
      <c r="E5" s="237"/>
      <c r="G5" s="236">
        <f>IFERROR(ROUND(D5/A5,0),"-")</f>
        <v>136</v>
      </c>
      <c r="H5" s="237"/>
    </row>
    <row r="6" spans="1:8" ht="9.9499999999999993" customHeight="1" x14ac:dyDescent="0.25"/>
    <row r="7" spans="1:8" ht="24.95" customHeight="1" thickBot="1" x14ac:dyDescent="0.3">
      <c r="A7" s="62" t="s">
        <v>3148</v>
      </c>
      <c r="B7" s="62" t="s">
        <v>3149</v>
      </c>
      <c r="C7" s="62" t="s">
        <v>1</v>
      </c>
      <c r="D7" s="62" t="s">
        <v>3150</v>
      </c>
      <c r="E7" s="62" t="s">
        <v>3151</v>
      </c>
      <c r="F7" s="62" t="s">
        <v>3049</v>
      </c>
      <c r="G7" s="62" t="s">
        <v>5</v>
      </c>
      <c r="H7" s="62" t="s">
        <v>3152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8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9" t="s">
        <v>3153</v>
      </c>
      <c r="B1" s="239"/>
      <c r="C1" s="239"/>
      <c r="D1" s="239"/>
      <c r="E1" s="239"/>
      <c r="F1" s="239"/>
    </row>
    <row r="2" spans="1:7" x14ac:dyDescent="0.25">
      <c r="A2" s="240" t="s">
        <v>3154</v>
      </c>
      <c r="B2" s="240"/>
      <c r="C2" s="240"/>
      <c r="D2" s="240"/>
      <c r="E2" s="240"/>
      <c r="F2" s="240"/>
    </row>
    <row r="4" spans="1:7" x14ac:dyDescent="0.25">
      <c r="A4" s="25" t="s">
        <v>19</v>
      </c>
      <c r="B4" s="25" t="s">
        <v>3052</v>
      </c>
      <c r="C4" s="25" t="s">
        <v>3053</v>
      </c>
      <c r="D4" s="25" t="s">
        <v>3155</v>
      </c>
      <c r="E4" s="25" t="s">
        <v>3054</v>
      </c>
      <c r="F4" s="25" t="s">
        <v>3156</v>
      </c>
    </row>
    <row r="5" spans="1:7" x14ac:dyDescent="0.25">
      <c r="A5" t="str" cm="1">
        <f t="array" aca="1" ref="A5:A55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 x14ac:dyDescent="0.25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 x14ac:dyDescent="0.25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 x14ac:dyDescent="0.25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 x14ac:dyDescent="0.25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 x14ac:dyDescent="0.25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 x14ac:dyDescent="0.25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 x14ac:dyDescent="0.25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 x14ac:dyDescent="0.25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 x14ac:dyDescent="0.25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 x14ac:dyDescent="0.25">
      <c r="A21" t="str">
        <f ca="1"/>
        <v>Eustáquio Rabelo de Souza</v>
      </c>
      <c r="B21" s="26">
        <f ca="1">IF($A21="","",SUMIFS('GECC 2026'!H$2:H$200,'GECC 2026'!F$2:F$200,$A21))</f>
        <v>1</v>
      </c>
      <c r="C21" s="26">
        <f ca="1">IF($A21="","",SUMIFS('GECC 2026'!I$2:I$200,'GECC 2026'!F$2:F$200,$A21))</f>
        <v>0.3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1.3</v>
      </c>
      <c r="F21" s="24">
        <f ca="1">IF($A21="","",COUNTIFS('GECC 2026'!F$2:F$200,$A21))</f>
        <v>1</v>
      </c>
    </row>
    <row r="22" spans="1:6" x14ac:dyDescent="0.25">
      <c r="A22" t="str">
        <f ca="1"/>
        <v>Felipe da Costa Malaquias</v>
      </c>
      <c r="B22" s="26">
        <f ca="1">IF($A22="","",SUMIFS('GECC 2026'!H$2:H$200,'GECC 2026'!F$2:F$200,$A22))</f>
        <v>16</v>
      </c>
      <c r="C22" s="26">
        <f ca="1">IF($A22="","",SUMIFS('GECC 2026'!I$2:I$200,'GECC 2026'!F$2:F$200,$A22))</f>
        <v>23.599999999999998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39.6</v>
      </c>
      <c r="F22" s="24">
        <f ca="1">IF($A22="","",COUNTIFS('GECC 2026'!F$2:F$200,$A22))</f>
        <v>3</v>
      </c>
    </row>
    <row r="23" spans="1:6" x14ac:dyDescent="0.25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 x14ac:dyDescent="0.25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 x14ac:dyDescent="0.25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2.4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10.4</v>
      </c>
      <c r="F25" s="24">
        <f ca="1">IF($A25="","",COUNTIFS('GECC 2026'!F$2:F$200,$A25))</f>
        <v>1</v>
      </c>
    </row>
    <row r="26" spans="1:6" x14ac:dyDescent="0.25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 x14ac:dyDescent="0.25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 x14ac:dyDescent="0.25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 x14ac:dyDescent="0.25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 x14ac:dyDescent="0.25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 x14ac:dyDescent="0.25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 x14ac:dyDescent="0.25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 x14ac:dyDescent="0.25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 x14ac:dyDescent="0.25">
      <c r="A34" t="str">
        <f ca="1"/>
        <v>José Roberto Alcuri Júnior</v>
      </c>
      <c r="B34" s="26">
        <f ca="1">IF($A34="","",SUMIFS('GECC 2026'!H$2:H$200,'GECC 2026'!F$2:F$200,$A34))</f>
        <v>1</v>
      </c>
      <c r="C34" s="26">
        <f ca="1">IF($A34="","",SUMIFS('GECC 2026'!I$2:I$200,'GECC 2026'!F$2:F$200,$A34))</f>
        <v>0.3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1.3</v>
      </c>
      <c r="F34" s="24">
        <f ca="1">IF($A34="","",COUNTIFS('GECC 2026'!F$2:F$200,$A34))</f>
        <v>2</v>
      </c>
    </row>
    <row r="35" spans="1:6" x14ac:dyDescent="0.25">
      <c r="A35" t="str">
        <f ca="1"/>
        <v>Leonardo de Melo</v>
      </c>
      <c r="B35" s="26">
        <f ca="1">IF($A35="","",SUMIFS('GECC 2026'!H$2:H$200,'GECC 2026'!F$2:F$200,$A35))</f>
        <v>0</v>
      </c>
      <c r="C35" s="26">
        <f ca="1">IF($A35="","",SUMIFS('GECC 2026'!I$2:I$200,'GECC 2026'!F$2:F$200,$A35))</f>
        <v>0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0</v>
      </c>
      <c r="F35" s="24">
        <f ca="1">IF($A35="","",COUNTIFS('GECC 2026'!F$2:F$200,$A35))</f>
        <v>2</v>
      </c>
    </row>
    <row r="36" spans="1:6" x14ac:dyDescent="0.25">
      <c r="A36" t="str">
        <f ca="1"/>
        <v>Leonardo José Alves Leal Neri</v>
      </c>
      <c r="B36" s="26">
        <f ca="1">IF($A36="","",SUMIFS('GECC 2026'!H$2:H$200,'GECC 2026'!F$2:F$200,$A36))</f>
        <v>40</v>
      </c>
      <c r="C36" s="26">
        <f ca="1">IF($A36="","",SUMIFS('GECC 2026'!I$2:I$200,'GECC 2026'!F$2:F$200,$A36))</f>
        <v>12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52</v>
      </c>
      <c r="F36" s="24">
        <f ca="1">IF($A36="","",COUNTIFS('GECC 2026'!F$2:F$200,$A36))</f>
        <v>2</v>
      </c>
    </row>
    <row r="37" spans="1:6" x14ac:dyDescent="0.25">
      <c r="A37" t="str">
        <f ca="1"/>
        <v>Luciana Alvim</v>
      </c>
      <c r="B37" s="26">
        <f ca="1">IF($A37="","",SUMIFS('GECC 2026'!H$2:H$200,'GECC 2026'!F$2:F$200,$A37))</f>
        <v>60</v>
      </c>
      <c r="C37" s="26">
        <f ca="1">IF($A37="","",SUMIFS('GECC 2026'!I$2:I$200,'GECC 2026'!F$2:F$200,$A37))</f>
        <v>74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134</v>
      </c>
      <c r="F37" s="24">
        <f ca="1">IF($A37="","",COUNTIFS('GECC 2026'!F$2:F$200,$A37))</f>
        <v>6</v>
      </c>
    </row>
    <row r="38" spans="1:6" x14ac:dyDescent="0.25">
      <c r="A38" t="str">
        <f ca="1"/>
        <v>Marcelo Bálbio Moraes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16</v>
      </c>
      <c r="E38" s="93">
        <f ca="1">IF($A38="","",SUMIFS('GECC 2026'!J$2:J$200,'GECC 2026'!F$2:F$200,$A38)+SUMIFS('GECC 2026'!$AE$3:$AE$32,'GECC 2026'!$AD$3:$AD$32,$A38))</f>
        <v>16</v>
      </c>
      <c r="F38" s="24">
        <f ca="1">IF($A38="","",COUNTIFS('GECC 2026'!F$2:F$200,$A38))</f>
        <v>0</v>
      </c>
    </row>
    <row r="39" spans="1:6" x14ac:dyDescent="0.25">
      <c r="A39" t="str">
        <f ca="1"/>
        <v>Marcelo Silva Santana</v>
      </c>
      <c r="B39" s="26">
        <f ca="1">IF($A39="","",SUMIFS('GECC 2026'!H$2:H$200,'GECC 2026'!F$2:F$200,$A39))</f>
        <v>12</v>
      </c>
      <c r="C39" s="26">
        <f ca="1">IF($A39="","",SUMIFS('GECC 2026'!I$2:I$200,'GECC 2026'!F$2:F$200,$A39))</f>
        <v>1.44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13.440000000000001</v>
      </c>
      <c r="F39" s="24">
        <f ca="1">IF($A39="","",COUNTIFS('GECC 2026'!F$2:F$200,$A39))</f>
        <v>2</v>
      </c>
    </row>
    <row r="40" spans="1:6" x14ac:dyDescent="0.25">
      <c r="A40" t="str">
        <f ca="1"/>
        <v>Mauri Siqueira Montessi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 x14ac:dyDescent="0.25">
      <c r="A41" t="str">
        <f ca="1"/>
        <v>Michel Martins de Morais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 x14ac:dyDescent="0.25">
      <c r="A42" t="str">
        <f ca="1"/>
        <v>Paulo José Góes Daltro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0</v>
      </c>
      <c r="E42" s="93">
        <f ca="1">IF($A42="","",SUMIFS('GECC 2026'!J$2:J$200,'GECC 2026'!F$2:F$200,$A42)+SUMIFS('GECC 2026'!$AE$3:$AE$32,'GECC 2026'!$AD$3:$AD$32,$A42))</f>
        <v>0</v>
      </c>
      <c r="F42" s="24">
        <f ca="1">IF($A42="","",COUNTIFS('GECC 2026'!F$2:F$200,$A42))</f>
        <v>2</v>
      </c>
    </row>
    <row r="43" spans="1:6" x14ac:dyDescent="0.25">
      <c r="A43" t="str">
        <f ca="1"/>
        <v>Priscila Nolasco de Oliveira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3.5999999999999996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15.600000000000001</v>
      </c>
      <c r="F43" s="24">
        <f ca="1">IF($A43="","",COUNTIFS('GECC 2026'!F$2:F$200,$A43))</f>
        <v>3</v>
      </c>
    </row>
    <row r="44" spans="1:6" x14ac:dyDescent="0.25">
      <c r="A44" t="str">
        <f ca="1"/>
        <v>Reinaldo Alencar</v>
      </c>
      <c r="B44" s="26">
        <f ca="1">IF($A44="","",SUMIFS('GECC 2026'!H$2:H$200,'GECC 2026'!F$2:F$200,$A44))</f>
        <v>48</v>
      </c>
      <c r="C44" s="26">
        <f ca="1">IF($A44="","",SUMIFS('GECC 2026'!I$2:I$200,'GECC 2026'!F$2:F$200,$A44))</f>
        <v>7.1999999999999993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55.2</v>
      </c>
      <c r="F44" s="24">
        <f ca="1">IF($A44="","",COUNTIFS('GECC 2026'!F$2:F$200,$A44))</f>
        <v>3</v>
      </c>
    </row>
    <row r="45" spans="1:6" x14ac:dyDescent="0.25">
      <c r="A45" t="str">
        <f ca="1"/>
        <v>Renan Dias da Silva</v>
      </c>
      <c r="B45" s="26">
        <f ca="1">IF($A45="","",SUMIFS('GECC 2026'!H$2:H$200,'GECC 2026'!F$2:F$200,$A45))</f>
        <v>4</v>
      </c>
      <c r="C45" s="26">
        <f ca="1">IF($A45="","",SUMIFS('GECC 2026'!I$2:I$200,'GECC 2026'!F$2:F$200,$A45))</f>
        <v>1.2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5.2</v>
      </c>
      <c r="F45" s="24">
        <f ca="1">IF($A45="","",COUNTIFS('GECC 2026'!F$2:F$200,$A45))</f>
        <v>1</v>
      </c>
    </row>
    <row r="46" spans="1:6" x14ac:dyDescent="0.25">
      <c r="A46" t="str">
        <f ca="1"/>
        <v>Rogério Ribeiro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 x14ac:dyDescent="0.25">
      <c r="A47" t="str">
        <f ca="1"/>
        <v>Rômulo Miranda Alvim</v>
      </c>
      <c r="B47" s="26">
        <f ca="1">IF($A47="","",SUMIFS('GECC 2026'!H$2:H$200,'GECC 2026'!F$2:F$200,$A47))</f>
        <v>24</v>
      </c>
      <c r="C47" s="26">
        <f ca="1">IF($A47="","",SUMIFS('GECC 2026'!I$2:I$200,'GECC 2026'!F$2:F$200,$A47))</f>
        <v>3.6</v>
      </c>
      <c r="D47" s="101">
        <f ca="1">IF($A47="","",SUMIFS('GECC 2026'!$AE$3:$AE$32,'GECC 2026'!$AD$3:$AD$32,$A47))</f>
        <v>16</v>
      </c>
      <c r="E47" s="93">
        <f ca="1">IF($A47="","",SUMIFS('GECC 2026'!J$2:J$200,'GECC 2026'!F$2:F$200,$A47)+SUMIFS('GECC 2026'!$AE$3:$AE$32,'GECC 2026'!$AD$3:$AD$32,$A47))</f>
        <v>43.6</v>
      </c>
      <c r="F47" s="24">
        <f ca="1">IF($A47="","",COUNTIFS('GECC 2026'!F$2:F$200,$A47))</f>
        <v>2</v>
      </c>
    </row>
    <row r="48" spans="1:6" x14ac:dyDescent="0.25">
      <c r="A48" t="str">
        <f ca="1"/>
        <v>Sara Cristina Lins Ramos</v>
      </c>
      <c r="B48" s="26">
        <f ca="1">IF($A48="","",SUMIFS('GECC 2026'!H$2:H$200,'GECC 2026'!F$2:F$200,$A48))</f>
        <v>8</v>
      </c>
      <c r="C48" s="26">
        <f ca="1">IF($A48="","",SUMIFS('GECC 2026'!I$2:I$200,'GECC 2026'!F$2:F$200,$A48))</f>
        <v>2.4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10.4</v>
      </c>
      <c r="F48" s="24">
        <f ca="1">IF($A48="","",COUNTIFS('GECC 2026'!F$2:F$200,$A48))</f>
        <v>1</v>
      </c>
    </row>
    <row r="49" spans="1:6" x14ac:dyDescent="0.25">
      <c r="A49" t="str">
        <f ca="1"/>
        <v>Servidores, colaboradores e estagiários do TCDF</v>
      </c>
      <c r="B49" s="26">
        <f ca="1">IF($A49="","",SUMIFS('GECC 2026'!H$2:H$200,'GECC 2026'!F$2:F$200,$A49))</f>
        <v>0</v>
      </c>
      <c r="C49" s="26">
        <f ca="1">IF($A49="","",SUMIFS('GECC 2026'!I$2:I$200,'GECC 2026'!F$2:F$200,$A49))</f>
        <v>0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0</v>
      </c>
      <c r="F49" s="24">
        <f ca="1">IF($A49="","",COUNTIFS('GECC 2026'!F$2:F$200,$A49))</f>
        <v>1</v>
      </c>
    </row>
    <row r="50" spans="1:6" x14ac:dyDescent="0.25">
      <c r="A50" t="str">
        <f ca="1"/>
        <v>Silvia Lima Damasceno Carvalho</v>
      </c>
      <c r="B50" s="26">
        <f ca="1">IF($A50="","",SUMIFS('GECC 2026'!H$2:H$200,'GECC 2026'!F$2:F$200,$A50))</f>
        <v>21</v>
      </c>
      <c r="C50" s="26">
        <f ca="1">IF($A50="","",SUMIFS('GECC 2026'!I$2:I$200,'GECC 2026'!F$2:F$200,$A50))</f>
        <v>6.3000000000000007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27.299999999999997</v>
      </c>
      <c r="F50" s="24">
        <f ca="1">IF($A50="","",COUNTIFS('GECC 2026'!F$2:F$200,$A50))</f>
        <v>6</v>
      </c>
    </row>
    <row r="51" spans="1:6" x14ac:dyDescent="0.25">
      <c r="A51" t="str">
        <f ca="1"/>
        <v>Tarsila Firmino Ely</v>
      </c>
      <c r="B51" s="26">
        <f ca="1">IF($A51="","",SUMIFS('GECC 2026'!H$2:H$200,'GECC 2026'!F$2:F$200,$A51))</f>
        <v>76</v>
      </c>
      <c r="C51" s="26">
        <f ca="1">IF($A51="","",SUMIFS('GECC 2026'!I$2:I$200,'GECC 2026'!F$2:F$200,$A51))</f>
        <v>80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156</v>
      </c>
      <c r="F51" s="24">
        <f ca="1">IF($A51="","",COUNTIFS('GECC 2026'!F$2:F$200,$A51))</f>
        <v>6</v>
      </c>
    </row>
    <row r="52" spans="1:6" x14ac:dyDescent="0.25">
      <c r="A52" t="str">
        <f ca="1"/>
        <v>Thiago Magalhães de Oliveira</v>
      </c>
      <c r="B52" s="26">
        <f ca="1">IF($A52="","",SUMIFS('GECC 2026'!H$2:H$200,'GECC 2026'!F$2:F$200,$A52))</f>
        <v>4</v>
      </c>
      <c r="C52" s="26">
        <f ca="1">IF($A52="","",SUMIFS('GECC 2026'!I$2:I$200,'GECC 2026'!F$2:F$200,$A52))</f>
        <v>1.2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5.2</v>
      </c>
      <c r="F52" s="24">
        <f ca="1">IF($A52="","",COUNTIFS('GECC 2026'!F$2:F$200,$A52))</f>
        <v>1</v>
      </c>
    </row>
    <row r="53" spans="1:6" x14ac:dyDescent="0.25">
      <c r="A53" t="str">
        <f ca="1"/>
        <v>Túllio Herbeth Teixeira Moraes</v>
      </c>
      <c r="B53" s="26">
        <f ca="1">IF($A53="","",SUMIFS('GECC 2026'!H$2:H$200,'GECC 2026'!F$2:F$200,$A53))</f>
        <v>9</v>
      </c>
      <c r="C53" s="26">
        <f ca="1">IF($A53="","",SUMIFS('GECC 2026'!I$2:I$200,'GECC 2026'!F$2:F$200,$A53))</f>
        <v>2.6999999999999997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11.7</v>
      </c>
      <c r="F53" s="24">
        <f ca="1">IF($A53="","",COUNTIFS('GECC 2026'!F$2:F$200,$A53))</f>
        <v>3</v>
      </c>
    </row>
    <row r="54" spans="1:6" x14ac:dyDescent="0.25">
      <c r="A54" t="str">
        <f ca="1"/>
        <v>Valéria Feitoza</v>
      </c>
      <c r="B54" s="26">
        <f ca="1">IF($A54="","",SUMIFS('GECC 2026'!H$2:H$200,'GECC 2026'!F$2:F$200,$A54))</f>
        <v>2</v>
      </c>
      <c r="C54" s="26">
        <f ca="1">IF($A54="","",SUMIFS('GECC 2026'!I$2:I$200,'GECC 2026'!F$2:F$200,$A54))</f>
        <v>0.6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2.6</v>
      </c>
      <c r="F54" s="24">
        <f ca="1">IF($A54="","",COUNTIFS('GECC 2026'!F$2:F$200,$A54))</f>
        <v>2</v>
      </c>
    </row>
    <row r="55" spans="1:6" x14ac:dyDescent="0.25">
      <c r="A55" t="str">
        <f ca="1"/>
        <v>Wibys Pereira</v>
      </c>
      <c r="B55" s="26">
        <f ca="1">IF($A55="","",SUMIFS('GECC 2026'!H$2:H$200,'GECC 2026'!F$2:F$200,$A55))</f>
        <v>4</v>
      </c>
      <c r="C55" s="26">
        <f ca="1">IF($A55="","",SUMIFS('GECC 2026'!I$2:I$200,'GECC 2026'!F$2:F$200,$A55))</f>
        <v>1.2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5.2</v>
      </c>
      <c r="F55" s="24">
        <f ca="1"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3091</v>
      </c>
      <c r="B105" s="95">
        <f ca="1">SUM(B5:B100)</f>
        <v>705</v>
      </c>
      <c r="C105" s="95">
        <f ca="1">SUM(C5:C100)</f>
        <v>331.34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117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3157</v>
      </c>
      <c r="B1" s="123" t="s">
        <v>3158</v>
      </c>
      <c r="C1" s="123" t="s">
        <v>3159</v>
      </c>
      <c r="D1" s="123" t="s">
        <v>3160</v>
      </c>
      <c r="E1" s="123" t="s">
        <v>3161</v>
      </c>
      <c r="F1" s="123" t="s">
        <v>3162</v>
      </c>
      <c r="G1" s="123" t="s">
        <v>10</v>
      </c>
      <c r="H1" s="123" t="s">
        <v>3163</v>
      </c>
      <c r="I1" s="123" t="s">
        <v>3164</v>
      </c>
      <c r="J1" s="123" t="s">
        <v>3165</v>
      </c>
      <c r="K1" s="123" t="s">
        <v>3166</v>
      </c>
      <c r="L1" s="123" t="s">
        <v>3167</v>
      </c>
      <c r="N1" s="124" t="s">
        <v>3168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3169</v>
      </c>
      <c r="L2" t="str">
        <f>IF(K2="","",IFERROR(INDEX(Tabela2[Curso],MATCH(K2,Tabela2[ID],0)),""))</f>
        <v/>
      </c>
      <c r="N2" s="123" t="s">
        <v>3048</v>
      </c>
      <c r="O2" s="123" t="s">
        <v>4</v>
      </c>
      <c r="P2" s="123" t="s">
        <v>3170</v>
      </c>
      <c r="Q2" s="123" t="s">
        <v>3171</v>
      </c>
      <c r="R2" s="123" t="s">
        <v>3172</v>
      </c>
      <c r="S2" s="123" t="s">
        <v>3173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3169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3169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3169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3169</v>
      </c>
      <c r="L6" t="str">
        <f>IF(K6="","",IFERROR(INDEX(Tabela2[Curso],MATCH(K6,Tabela2[ID],0)),""))</f>
        <v/>
      </c>
      <c r="N6" t="s">
        <v>2836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3169</v>
      </c>
      <c r="L7" t="str">
        <f>IF(K7="","",IFERROR(INDEX(Tabela2[Curso],MATCH(K7,Tabela2[ID],0)),""))</f>
        <v/>
      </c>
      <c r="N7" t="s">
        <v>2840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3169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3169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3169</v>
      </c>
      <c r="L10" t="str">
        <f>IF(K10="","",IFERROR(INDEX(Tabela2[Curso],MATCH(K10,Tabela2[ID],0)),""))</f>
        <v/>
      </c>
      <c r="N10" s="122" t="s">
        <v>3174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3169</v>
      </c>
      <c r="L11" t="str">
        <f>IF(K11="","",IFERROR(INDEX(Tabela2[Curso],MATCH(K11,Tabela2[ID],0)),""))</f>
        <v/>
      </c>
      <c r="N11" s="125" t="s">
        <v>3175</v>
      </c>
      <c r="O11" s="125" t="s">
        <v>3176</v>
      </c>
      <c r="P11" s="125" t="s">
        <v>3177</v>
      </c>
      <c r="Q11" s="125" t="s">
        <v>3160</v>
      </c>
      <c r="R11" s="125" t="s">
        <v>3161</v>
      </c>
      <c r="S11" s="125" t="s">
        <v>3178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3169</v>
      </c>
      <c r="L12" t="str">
        <f>IF(K12="","",IFERROR(INDEX(Tabela2[Curso],MATCH(K12,Tabela2[ID],0)),""))</f>
        <v/>
      </c>
      <c r="N12" t="s">
        <v>3179</v>
      </c>
      <c r="O12" t="s">
        <v>2754</v>
      </c>
      <c r="P12" t="s">
        <v>3180</v>
      </c>
      <c r="Q12">
        <v>0</v>
      </c>
      <c r="R12">
        <v>0</v>
      </c>
      <c r="S12" t="s">
        <v>3181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3169</v>
      </c>
      <c r="L13" t="str">
        <f>IF(K13="","",IFERROR(INDEX(Tabela2[Curso],MATCH(K13,Tabela2[ID],0)),""))</f>
        <v/>
      </c>
      <c r="N13" t="s">
        <v>3182</v>
      </c>
      <c r="O13" t="s">
        <v>2686</v>
      </c>
      <c r="P13" t="s">
        <v>3183</v>
      </c>
      <c r="Q13">
        <v>0</v>
      </c>
      <c r="R13">
        <v>0</v>
      </c>
      <c r="S13" t="s">
        <v>3184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3169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3169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3169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3169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3169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3169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3169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3169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3169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3169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3169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3169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3169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3169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3169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3169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3169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3169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3169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3169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3169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3169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3169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3169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3169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3169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3169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3169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3169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3169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3169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3169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3169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3169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3169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3169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3169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3169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3169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3169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3169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3169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3169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3169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3169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3169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3169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3169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3169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3169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18.8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3169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3169</v>
      </c>
      <c r="L65" t="str">
        <f>IF(K65="","",IFERROR(INDEX(Tabela2[Curso],MATCH(K65,Tabela2[ID],0)),""))</f>
        <v/>
      </c>
    </row>
  </sheetData>
  <conditionalFormatting sqref="A2:L65">
    <cfRule type="expression" dxfId="58" priority="1">
      <formula>$J2="CORRIGIR"</formula>
    </cfRule>
  </conditionalFormatting>
  <conditionalFormatting sqref="A2:L65">
    <cfRule type="expression" dxfId="57" priority="2">
      <formula>$J2="REVISAR"</formula>
    </cfRule>
  </conditionalFormatting>
  <conditionalFormatting sqref="A2:L65">
    <cfRule type="expression" dxfId="56" priority="3">
      <formula>$J2="OK"</formula>
    </cfRule>
  </conditionalFormatting>
  <conditionalFormatting sqref="I2:I65">
    <cfRule type="containsText" dxfId="55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2026-08-13T18:29:11Z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