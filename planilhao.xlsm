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50" documentId="13_ncr:1_{6A2CC3E2-FAFB-4D8F-B284-5E8FB5045DFE}" xr6:coauthVersionLast="47" xr6:coauthVersionMax="47" xr10:uidLastSave="{AEBC79E7-02F1-4CB5-B67C-CA7E261BCC43}"/>
  <bookViews>
    <workbookView xWindow="30" yWindow="285" windowWidth="28770" windowHeight="1531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<sst xmlns="http://schemas.openxmlformats.org/spreadsheetml/2006/main" count="7259" uniqueCount="3189">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</sst>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19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553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13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G1" zoomScaleNormal="100" workbookViewId="0">
      <pane ySplit="1" topLeftCell="A692" activePane="bottomLeft" state="frozen"/>
      <selection pane="bottomLeft" activeCell="P706" sqref="P706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9.4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2566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2697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/>
      <c r="Q706" s="190"/>
      <c r="R706" s="190">
        <f t="shared" si="12"/>
        <v>3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2697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9.4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9.4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18.8</v>
      </c>
      <c r="J17" s="22">
        <f ca="1"/>
        <v>18.8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Em andamento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Em andamento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Em andamento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18.8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A realizar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A realizar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A realizar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46</v>
      </c>
      <c r="E5" s="44" t="s">
        <v>3085</v>
      </c>
      <c r="G5" s="46">
        <f>COUNTIFS('Ações InCompany'!B:B,2026,'Ações InCompany'!C:C,"A realizar")</f>
        <v>31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553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19</v>
      </c>
      <c r="D12" s="31" t="s">
        <v>3092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3094</v>
      </c>
      <c r="B14" s="34">
        <f>SUM(B11:B13)</f>
        <v>44</v>
      </c>
      <c r="D14" s="33" t="s">
        <v>3095</v>
      </c>
      <c r="E14" s="34">
        <f>SUM(E11:E13)</f>
        <v>1851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13</v>
      </c>
      <c r="C33" s="47">
        <f>COUNTIFS('Ações InCompany'!B:B,2026,'Ações InCompany'!C:C,"A realizar",'Ações InCompany'!G:G,A33)</f>
        <v>8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46</v>
      </c>
      <c r="C45" s="41">
        <f>SUM(C33:C44)</f>
        <v>31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23.599999999999998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39.6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705</v>
      </c>
      <c r="C105" s="95">
        <f ca="1">SUM(C5:C100)</f>
        <v>331.34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18.8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2026-08-14T16:59:27Z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