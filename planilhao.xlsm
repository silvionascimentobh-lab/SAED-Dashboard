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16" documentId="13_ncr:1_{6A2CC3E2-FAFB-4D8F-B284-5E8FB5045DFE}" xr6:coauthVersionLast="47" xr6:coauthVersionMax="47" xr10:uidLastSave="{CCDE29F6-D7E9-40CB-A64D-FF3D8C96F0F6}"/>
  <bookViews>
    <workbookView minimized="1" xWindow="600" yWindow="3450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L4" i="20"/>
  <c r="R4" i="20" s="1" a="1"/>
  <c r="R4" i="20" l="1"/>
  <c r="S4" i="20" s="1" a="1"/>
  <c r="S4" i="20" l="1"/>
  <c r="T4" i="20" s="1" a="1"/>
  <c r="T4" i="20" s="1"/>
  <c r="A2" i="20" l="1" a="1"/>
  <c r="A5" i="23" s="1" a="1"/>
  <c r="E105" i="23" l="1"/>
  <c r="A2" i="20"/>
  <c r="C35" i="23"/>
  <c r="D37" i="23"/>
  <c r="E43" i="23"/>
  <c r="E59" i="23"/>
  <c r="E39" i="23"/>
  <c r="B30" i="23"/>
  <c r="D48" i="23"/>
  <c r="F21" i="23"/>
  <c r="C52" i="23"/>
  <c r="C20" i="23"/>
  <c r="B57" i="23"/>
  <c r="C12" i="23"/>
  <c r="F12" i="23"/>
  <c r="B19" i="23"/>
  <c r="E50" i="23"/>
  <c r="F64" i="23"/>
  <c r="E54" i="23"/>
  <c r="F39" i="23"/>
  <c r="D20" i="23"/>
  <c r="C32" i="23"/>
  <c r="C24" i="23"/>
  <c r="B34" i="23"/>
  <c r="F54" i="23"/>
  <c r="D50" i="23"/>
  <c r="D59" i="23"/>
  <c r="F26" i="23"/>
  <c r="D54" i="23"/>
  <c r="B14" i="23"/>
  <c r="F40" i="23"/>
  <c r="F45" i="23"/>
  <c r="C37" i="23"/>
  <c r="F8" i="23"/>
  <c r="E37" i="23"/>
  <c r="B12" i="23"/>
  <c r="B20" i="23"/>
  <c r="C6" i="23"/>
  <c r="C9" i="23"/>
  <c r="C25" i="23"/>
  <c r="D47" i="23"/>
  <c r="D63" i="23"/>
  <c r="C58" i="23"/>
  <c r="E12" i="23"/>
  <c r="F19" i="23"/>
  <c r="D25" i="23"/>
  <c r="D58" i="23"/>
  <c r="D41" i="23"/>
  <c r="B40" i="23"/>
  <c r="F35" i="23"/>
  <c r="D29" i="23"/>
  <c r="B44" i="23"/>
  <c r="D32" i="23"/>
  <c r="D17" i="23"/>
  <c r="E8" i="23"/>
  <c r="E62" i="23"/>
  <c r="C8" i="23"/>
  <c r="D23" i="23"/>
  <c r="E58" i="23"/>
  <c r="F32" i="23"/>
  <c r="E17" i="23"/>
  <c r="D49" i="23"/>
  <c r="B42" i="23"/>
  <c r="E23" i="23"/>
  <c r="D31" i="23"/>
  <c r="E48" i="23"/>
  <c r="B43" i="23"/>
  <c r="E53" i="23"/>
  <c r="C46" i="23"/>
  <c r="C47" i="23"/>
  <c r="D36" i="23"/>
  <c r="C60" i="23"/>
  <c r="F37" i="23"/>
  <c r="E49" i="23"/>
  <c r="F31" i="23"/>
  <c r="F62" i="23"/>
  <c r="E41" i="23"/>
  <c r="D26" i="23"/>
  <c r="D39" i="23"/>
  <c r="E6" i="23"/>
  <c r="E19" i="23"/>
  <c r="C13" i="23"/>
  <c r="F43" i="23"/>
  <c r="B60" i="23"/>
  <c r="C41" i="23"/>
  <c r="F27" i="23"/>
  <c r="B59" i="23"/>
  <c r="E42" i="23"/>
  <c r="B16" i="23"/>
  <c r="D14" i="23"/>
  <c r="D7" i="23"/>
  <c r="F25" i="23"/>
  <c r="B62" i="23"/>
  <c r="D8" i="23"/>
  <c r="B36" i="23"/>
  <c r="F7" i="23"/>
  <c r="B41" i="23"/>
  <c r="B26" i="23"/>
  <c r="E20" i="23"/>
  <c r="E10" i="23"/>
  <c r="D9" i="23"/>
  <c r="F61" i="23"/>
  <c r="F63" i="23"/>
  <c r="E30" i="23"/>
  <c r="F24" i="23"/>
  <c r="D44" i="23"/>
  <c r="B61" i="23"/>
  <c r="F17" i="23"/>
  <c r="F47" i="23"/>
  <c r="C44" i="23"/>
  <c r="B51" i="23"/>
  <c r="B56" i="23"/>
  <c r="C48" i="23"/>
  <c r="B39" i="23"/>
  <c r="B8" i="23"/>
  <c r="C45" i="23"/>
  <c r="F36" i="23"/>
  <c r="F16" i="23"/>
  <c r="C26" i="23"/>
  <c r="E64" i="23"/>
  <c r="B11" i="23"/>
  <c r="E57" i="23"/>
  <c r="E32" i="23"/>
  <c r="F22" i="23"/>
  <c r="C7" i="23"/>
  <c r="C40" i="23"/>
  <c r="D24" i="23"/>
  <c r="E14" i="23"/>
  <c r="B10" i="23"/>
  <c r="B6" i="23"/>
  <c r="E60" i="23"/>
  <c r="D43" i="23"/>
  <c r="D22" i="23"/>
  <c r="F55" i="23"/>
  <c r="B9" i="23"/>
  <c r="B7" i="23"/>
  <c r="E35" i="23"/>
  <c r="D35" i="23"/>
  <c r="F38" i="23"/>
  <c r="B45" i="23"/>
  <c r="B48" i="23"/>
  <c r="D52" i="23"/>
  <c r="F14" i="23"/>
  <c r="F10" i="23"/>
  <c r="C54" i="23"/>
  <c r="D16" i="23"/>
  <c r="E13" i="23"/>
  <c r="D51" i="23"/>
  <c r="B18" i="23"/>
  <c r="F58" i="23"/>
  <c r="C53" i="23"/>
  <c r="F15" i="23"/>
  <c r="B35" i="23"/>
  <c r="F42" i="23"/>
  <c r="C18" i="23"/>
  <c r="E36" i="23"/>
  <c r="F30" i="23"/>
  <c r="D10" i="23"/>
  <c r="F18" i="23"/>
  <c r="B47" i="23"/>
  <c r="C33" i="23"/>
  <c r="E47" i="23"/>
  <c r="E18" i="23"/>
  <c r="E45" i="23"/>
  <c r="B63" i="23"/>
  <c r="D56" i="23"/>
  <c r="C17" i="23"/>
  <c r="E61" i="23"/>
  <c r="E29" i="23"/>
  <c r="F41" i="23"/>
  <c r="C50" i="23"/>
  <c r="C16" i="23"/>
  <c r="F57" i="23"/>
  <c r="D62" i="23"/>
  <c r="F13" i="23"/>
  <c r="F29" i="23"/>
  <c r="B55" i="23"/>
  <c r="F44" i="23"/>
  <c r="D27" i="23"/>
  <c r="F59" i="23"/>
  <c r="C31" i="23"/>
  <c r="D40" i="23"/>
  <c r="B22" i="23"/>
  <c r="D45" i="23"/>
  <c r="F33" i="23"/>
  <c r="D6" i="23"/>
  <c r="F52" i="23"/>
  <c r="E40" i="23"/>
  <c r="E46" i="23"/>
  <c r="C14" i="23"/>
  <c r="D18" i="23"/>
  <c r="E31" i="23"/>
  <c r="C38" i="23"/>
  <c r="D42" i="23"/>
  <c r="B31" i="23"/>
  <c r="E55" i="23"/>
  <c r="D33" i="23"/>
  <c r="B52" i="23"/>
  <c r="E11" i="23"/>
  <c r="E9" i="23"/>
  <c r="E27" i="23"/>
  <c r="E22" i="23"/>
  <c r="C43" i="23"/>
  <c r="B49" i="23"/>
  <c r="F28" i="23"/>
  <c r="C56" i="23"/>
  <c r="E21" i="23"/>
  <c r="B53" i="23"/>
  <c r="C51" i="23"/>
  <c r="E51" i="23"/>
  <c r="D30" i="23"/>
  <c r="B13" i="23"/>
  <c r="E28" i="23"/>
  <c r="F60" i="23"/>
  <c r="B25" i="23"/>
  <c r="E52" i="23"/>
  <c r="E24" i="23"/>
  <c r="C42" i="23"/>
  <c r="C57" i="23"/>
  <c r="B33" i="23"/>
  <c r="B24" i="23"/>
  <c r="C29" i="23"/>
  <c r="D12" i="23"/>
  <c r="C15" i="23"/>
  <c r="F20" i="23"/>
  <c r="B46" i="23"/>
  <c r="D61" i="23"/>
  <c r="F50" i="23"/>
  <c r="F11" i="23"/>
  <c r="D19" i="23"/>
  <c r="C22" i="23"/>
  <c r="D13" i="23"/>
  <c r="B38" i="23"/>
  <c r="D64" i="23"/>
  <c r="F51" i="23"/>
  <c r="F49" i="23"/>
  <c r="D21" i="23"/>
  <c r="D46" i="23"/>
  <c r="F56" i="23"/>
  <c r="C62" i="23"/>
  <c r="E26" i="23"/>
  <c r="C19" i="23"/>
  <c r="B17" i="23"/>
  <c r="C34" i="23"/>
  <c r="B29" i="23"/>
  <c r="E34" i="23"/>
  <c r="C28" i="23"/>
  <c r="C61" i="23"/>
  <c r="B23" i="23"/>
  <c r="B54" i="23"/>
  <c r="C23" i="23"/>
  <c r="D15" i="23"/>
  <c r="E56" i="23"/>
  <c r="B32" i="23"/>
  <c r="C10" i="23"/>
  <c r="E25" i="23"/>
  <c r="C64" i="23"/>
  <c r="F53" i="23"/>
  <c r="B58" i="23"/>
  <c r="C27" i="23"/>
  <c r="D57" i="23"/>
  <c r="F46" i="23"/>
  <c r="E38" i="23"/>
  <c r="B28" i="23"/>
  <c r="E33" i="23"/>
  <c r="F9" i="23"/>
  <c r="D60" i="23"/>
  <c r="D11" i="23"/>
  <c r="F34" i="23"/>
  <c r="B50" i="23"/>
  <c r="C55" i="23"/>
  <c r="D34" i="23"/>
  <c r="B21" i="23"/>
  <c r="E44" i="23"/>
  <c r="D38" i="23"/>
  <c r="E63" i="23"/>
  <c r="D53" i="23"/>
  <c r="D55" i="23"/>
  <c r="D28" i="23"/>
  <c r="F6" i="23"/>
  <c r="C59" i="23"/>
  <c r="F48" i="23"/>
  <c r="F23" i="23"/>
  <c r="C21" i="23"/>
  <c r="B64" i="23"/>
  <c r="E15" i="23"/>
  <c r="B37" i="23"/>
  <c r="C11" i="23"/>
  <c r="B15" i="23"/>
  <c r="C30" i="23"/>
  <c r="B27" i="23"/>
  <c r="E7" i="23"/>
  <c r="C36" i="23"/>
  <c r="C63" i="23"/>
  <c r="C39" i="23"/>
  <c r="E16" i="23"/>
  <c r="C49" i="23"/>
  <c r="A5" i="23"/>
  <c r="C5" i="23" l="1"/>
  <c r="C105" i="23" s="1"/>
  <c r="D5" i="23"/>
  <c r="E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<sst xmlns="http://schemas.openxmlformats.org/spreadsheetml/2006/main" count="7446" uniqueCount="3275">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</sst>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44" fontId="8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0" applyFont="1"/>
    <xf numFmtId="0" fontId="12" fillId="4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6" fillId="7" borderId="4" xfId="0" applyFont="1" applyFill="1" applyBorder="1" applyAlignment="1">
      <alignment horizontal="center"/>
    </xf>
    <xf numFmtId="0" fontId="18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0" fontId="18" fillId="9" borderId="4" xfId="0" applyFont="1" applyFill="1" applyBorder="1"/>
    <xf numFmtId="3" fontId="21" fillId="9" borderId="4" xfId="0" applyNumberFormat="1" applyFont="1" applyFill="1" applyBorder="1" applyAlignment="1">
      <alignment horizontal="center"/>
    </xf>
    <xf numFmtId="0" fontId="16" fillId="7" borderId="4" xfId="0" applyFont="1" applyFill="1" applyBorder="1"/>
    <xf numFmtId="3" fontId="22" fillId="7" borderId="4" xfId="0" applyNumberFormat="1" applyFont="1" applyFill="1" applyBorder="1" applyAlignment="1">
      <alignment horizontal="center"/>
    </xf>
    <xf numFmtId="3" fontId="19" fillId="8" borderId="6" xfId="0" applyNumberFormat="1" applyFont="1" applyFill="1" applyBorder="1" applyAlignment="1">
      <alignment horizontal="center"/>
    </xf>
    <xf numFmtId="0" fontId="18" fillId="8" borderId="8" xfId="0" applyFont="1" applyFill="1" applyBorder="1" applyAlignment="1">
      <alignment horizontal="left"/>
    </xf>
    <xf numFmtId="3" fontId="23" fillId="8" borderId="4" xfId="0" applyNumberFormat="1" applyFont="1" applyFill="1" applyBorder="1" applyAlignment="1">
      <alignment horizontal="center"/>
    </xf>
    <xf numFmtId="167" fontId="18" fillId="8" borderId="4" xfId="0" applyNumberFormat="1" applyFont="1" applyFill="1" applyBorder="1" applyAlignment="1">
      <alignment horizontal="center"/>
    </xf>
    <xf numFmtId="3" fontId="23" fillId="9" borderId="4" xfId="0" applyNumberFormat="1" applyFont="1" applyFill="1" applyBorder="1" applyAlignment="1">
      <alignment horizontal="center"/>
    </xf>
    <xf numFmtId="167" fontId="18" fillId="9" borderId="4" xfId="0" applyNumberFormat="1" applyFont="1" applyFill="1" applyBorder="1" applyAlignment="1">
      <alignment horizontal="center"/>
    </xf>
    <xf numFmtId="3" fontId="24" fillId="7" borderId="4" xfId="0" applyNumberFormat="1" applyFont="1" applyFill="1" applyBorder="1" applyAlignment="1">
      <alignment horizontal="center"/>
    </xf>
    <xf numFmtId="167" fontId="16" fillId="7" borderId="4" xfId="0" applyNumberFormat="1" applyFont="1" applyFill="1" applyBorder="1" applyAlignment="1">
      <alignment horizontal="center"/>
    </xf>
    <xf numFmtId="3" fontId="27" fillId="11" borderId="6" xfId="0" applyNumberFormat="1" applyFont="1" applyFill="1" applyBorder="1" applyAlignment="1">
      <alignment horizontal="center"/>
    </xf>
    <xf numFmtId="0" fontId="26" fillId="11" borderId="8" xfId="0" applyFont="1" applyFill="1" applyBorder="1" applyAlignment="1">
      <alignment horizontal="left"/>
    </xf>
    <xf numFmtId="0" fontId="16" fillId="12" borderId="9" xfId="0" applyFont="1" applyFill="1" applyBorder="1" applyAlignment="1">
      <alignment horizontal="center"/>
    </xf>
    <xf numFmtId="3" fontId="28" fillId="13" borderId="10" xfId="0" applyNumberFormat="1" applyFont="1" applyFill="1" applyBorder="1" applyAlignment="1">
      <alignment horizontal="center"/>
    </xf>
    <xf numFmtId="3" fontId="29" fillId="8" borderId="4" xfId="0" applyNumberFormat="1" applyFont="1" applyFill="1" applyBorder="1" applyAlignment="1">
      <alignment horizontal="center"/>
    </xf>
    <xf numFmtId="3" fontId="29" fillId="9" borderId="4" xfId="0" applyNumberFormat="1" applyFont="1" applyFill="1" applyBorder="1" applyAlignment="1">
      <alignment horizontal="center"/>
    </xf>
    <xf numFmtId="0" fontId="34" fillId="0" borderId="0" xfId="0" applyFont="1"/>
    <xf numFmtId="0" fontId="38" fillId="14" borderId="11" xfId="0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horizontal="center" vertical="center"/>
    </xf>
    <xf numFmtId="3" fontId="39" fillId="14" borderId="11" xfId="0" applyNumberFormat="1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3" fontId="39" fillId="3" borderId="13" xfId="0" applyNumberFormat="1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3" fontId="39" fillId="14" borderId="13" xfId="0" applyNumberFormat="1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vertical="center" wrapText="1"/>
    </xf>
    <xf numFmtId="0" fontId="39" fillId="3" borderId="13" xfId="0" applyFont="1" applyFill="1" applyBorder="1" applyAlignment="1">
      <alignment vertical="center" wrapText="1"/>
    </xf>
    <xf numFmtId="0" fontId="39" fillId="14" borderId="13" xfId="0" applyFont="1" applyFill="1" applyBorder="1" applyAlignment="1">
      <alignment vertical="center" wrapText="1"/>
    </xf>
    <xf numFmtId="0" fontId="37" fillId="7" borderId="0" xfId="0" applyFont="1" applyFill="1" applyAlignment="1">
      <alignment horizontal="center" vertical="center"/>
    </xf>
    <xf numFmtId="0" fontId="18" fillId="8" borderId="18" xfId="0" applyFont="1" applyFill="1" applyBorder="1"/>
    <xf numFmtId="3" fontId="23" fillId="8" borderId="18" xfId="0" applyNumberFormat="1" applyFont="1" applyFill="1" applyBorder="1" applyAlignment="1">
      <alignment horizontal="center"/>
    </xf>
    <xf numFmtId="3" fontId="29" fillId="8" borderId="18" xfId="0" applyNumberFormat="1" applyFont="1" applyFill="1" applyBorder="1" applyAlignment="1">
      <alignment horizontal="center"/>
    </xf>
    <xf numFmtId="167" fontId="18" fillId="8" borderId="18" xfId="0" applyNumberFormat="1" applyFont="1" applyFill="1" applyBorder="1" applyAlignment="1">
      <alignment horizontal="center"/>
    </xf>
    <xf numFmtId="0" fontId="31" fillId="9" borderId="19" xfId="0" applyFont="1" applyFill="1" applyBorder="1"/>
    <xf numFmtId="3" fontId="25" fillId="9" borderId="19" xfId="0" applyNumberFormat="1" applyFont="1" applyFill="1" applyBorder="1" applyAlignment="1">
      <alignment horizontal="center"/>
    </xf>
    <xf numFmtId="167" fontId="30" fillId="9" borderId="19" xfId="0" applyNumberFormat="1" applyFont="1" applyFill="1" applyBorder="1" applyAlignment="1">
      <alignment horizontal="center"/>
    </xf>
    <xf numFmtId="3" fontId="23" fillId="8" borderId="20" xfId="0" applyNumberFormat="1" applyFont="1" applyFill="1" applyBorder="1" applyAlignment="1">
      <alignment horizontal="center"/>
    </xf>
    <xf numFmtId="3" fontId="29" fillId="8" borderId="20" xfId="0" applyNumberFormat="1" applyFont="1" applyFill="1" applyBorder="1" applyAlignment="1">
      <alignment horizontal="center"/>
    </xf>
    <xf numFmtId="3" fontId="23" fillId="9" borderId="20" xfId="0" applyNumberFormat="1" applyFont="1" applyFill="1" applyBorder="1" applyAlignment="1">
      <alignment horizontal="center"/>
    </xf>
    <xf numFmtId="3" fontId="29" fillId="9" borderId="20" xfId="0" applyNumberFormat="1" applyFont="1" applyFill="1" applyBorder="1" applyAlignment="1">
      <alignment horizontal="center"/>
    </xf>
    <xf numFmtId="0" fontId="18" fillId="8" borderId="20" xfId="0" applyFont="1" applyFill="1" applyBorder="1"/>
    <xf numFmtId="0" fontId="18" fillId="9" borderId="20" xfId="0" applyFont="1" applyFill="1" applyBorder="1"/>
    <xf numFmtId="167" fontId="18" fillId="8" borderId="20" xfId="0" applyNumberFormat="1" applyFont="1" applyFill="1" applyBorder="1" applyAlignment="1">
      <alignment horizontal="center"/>
    </xf>
    <xf numFmtId="167" fontId="18" fillId="9" borderId="20" xfId="0" applyNumberFormat="1" applyFont="1" applyFill="1" applyBorder="1" applyAlignment="1">
      <alignment horizontal="center"/>
    </xf>
    <xf numFmtId="0" fontId="24" fillId="7" borderId="0" xfId="0" applyFont="1" applyFill="1"/>
    <xf numFmtId="0" fontId="40" fillId="4" borderId="0" xfId="0" applyFont="1" applyFill="1" applyAlignment="1">
      <alignment horizontal="center"/>
    </xf>
    <xf numFmtId="0" fontId="4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9" fillId="14" borderId="11" xfId="0" applyNumberFormat="1" applyFont="1" applyFill="1" applyBorder="1" applyAlignment="1">
      <alignment horizontal="center" vertical="center"/>
    </xf>
    <xf numFmtId="165" fontId="39" fillId="3" borderId="13" xfId="0" applyNumberFormat="1" applyFont="1" applyFill="1" applyBorder="1" applyAlignment="1">
      <alignment horizontal="center" vertical="center"/>
    </xf>
    <xf numFmtId="165" fontId="39" fillId="14" borderId="13" xfId="0" applyNumberFormat="1" applyFont="1" applyFill="1" applyBorder="1" applyAlignment="1">
      <alignment horizontal="center" vertical="center"/>
    </xf>
    <xf numFmtId="0" fontId="42" fillId="13" borderId="13" xfId="0" applyFont="1" applyFill="1" applyBorder="1" applyAlignment="1">
      <alignment horizontal="center"/>
    </xf>
    <xf numFmtId="165" fontId="42" fillId="13" borderId="13" xfId="0" applyNumberFormat="1" applyFont="1" applyFill="1" applyBorder="1" applyAlignment="1">
      <alignment horizontal="center"/>
    </xf>
    <xf numFmtId="0" fontId="42" fillId="13" borderId="13" xfId="0" applyFont="1" applyFill="1" applyBorder="1"/>
    <xf numFmtId="3" fontId="42" fillId="13" borderId="13" xfId="0" applyNumberFormat="1" applyFont="1" applyFill="1" applyBorder="1" applyAlignment="1">
      <alignment horizontal="center"/>
    </xf>
    <xf numFmtId="0" fontId="42" fillId="13" borderId="12" xfId="0" applyFont="1" applyFill="1" applyBorder="1" applyAlignment="1">
      <alignment horizontal="center"/>
    </xf>
    <xf numFmtId="165" fontId="42" fillId="13" borderId="12" xfId="0" applyNumberFormat="1" applyFont="1" applyFill="1" applyBorder="1" applyAlignment="1">
      <alignment horizontal="center"/>
    </xf>
    <xf numFmtId="0" fontId="42" fillId="13" borderId="12" xfId="0" applyFont="1" applyFill="1" applyBorder="1"/>
    <xf numFmtId="3" fontId="42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3" fillId="0" borderId="22" xfId="0" applyFont="1" applyBorder="1" applyAlignment="1">
      <alignment horizontal="center"/>
    </xf>
    <xf numFmtId="166" fontId="43" fillId="0" borderId="22" xfId="0" applyNumberFormat="1" applyFont="1" applyBorder="1" applyAlignment="1">
      <alignment horizontal="center"/>
    </xf>
    <xf numFmtId="0" fontId="0" fillId="0" borderId="22" xfId="0" applyBorder="1"/>
    <xf numFmtId="0" fontId="24" fillId="7" borderId="0" xfId="0" applyFont="1" applyFill="1" applyAlignment="1">
      <alignment horizontal="center"/>
    </xf>
    <xf numFmtId="2" fontId="0" fillId="3" borderId="0" xfId="0" applyNumberFormat="1" applyFill="1"/>
    <xf numFmtId="0" fontId="2" fillId="0" borderId="0" xfId="0" applyFont="1"/>
    <xf numFmtId="0" fontId="2" fillId="0" borderId="0" xfId="0" applyFont="1" applyAlignment="1">
      <alignment vertical="center"/>
    </xf>
    <xf numFmtId="0" fontId="46" fillId="0" borderId="0" xfId="0" applyFont="1"/>
    <xf numFmtId="0" fontId="47" fillId="0" borderId="0" xfId="0" applyFont="1"/>
    <xf numFmtId="49" fontId="13" fillId="0" borderId="0" xfId="0" applyNumberFormat="1" applyFont="1"/>
    <xf numFmtId="168" fontId="5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4" fillId="4" borderId="0" xfId="0" applyFont="1" applyFill="1" applyAlignment="1">
      <alignment horizontal="center"/>
    </xf>
    <xf numFmtId="0" fontId="4" fillId="0" borderId="0" xfId="0" applyFont="1"/>
    <xf numFmtId="0" fontId="4" fillId="8" borderId="0" xfId="0" applyFont="1" applyFill="1"/>
    <xf numFmtId="0" fontId="4" fillId="8" borderId="22" xfId="0" applyFont="1" applyFill="1" applyBorder="1" applyAlignment="1">
      <alignment horizontal="center"/>
    </xf>
    <xf numFmtId="0" fontId="4" fillId="16" borderId="22" xfId="0" applyFont="1" applyFill="1" applyBorder="1" applyAlignment="1">
      <alignment horizontal="right"/>
    </xf>
    <xf numFmtId="166" fontId="4" fillId="16" borderId="22" xfId="0" applyNumberFormat="1" applyFont="1" applyFill="1" applyBorder="1" applyAlignment="1">
      <alignment horizontal="center"/>
    </xf>
    <xf numFmtId="49" fontId="5" fillId="2" borderId="23" xfId="0" applyNumberFormat="1" applyFont="1" applyFill="1" applyBorder="1" applyAlignment="1">
      <alignment horizontal="center" vertical="center"/>
    </xf>
    <xf numFmtId="0" fontId="16" fillId="7" borderId="0" xfId="0" applyFont="1" applyFill="1"/>
    <xf numFmtId="0" fontId="9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1" fontId="9" fillId="0" borderId="1" xfId="0" applyNumberFormat="1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right" vertical="center"/>
    </xf>
    <xf numFmtId="22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49" fontId="10" fillId="0" borderId="1" xfId="0" applyNumberFormat="1" applyFont="1" applyBorder="1" applyAlignment="1">
      <alignment horizontal="left" vertical="center"/>
    </xf>
    <xf numFmtId="14" fontId="9" fillId="0" borderId="1" xfId="0" applyNumberFormat="1" applyFont="1" applyBorder="1"/>
    <xf numFmtId="0" fontId="9" fillId="0" borderId="1" xfId="0" applyFont="1" applyBorder="1"/>
    <xf numFmtId="49" fontId="10" fillId="0" borderId="1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49" fontId="9" fillId="0" borderId="2" xfId="0" applyNumberFormat="1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4" fontId="9" fillId="0" borderId="2" xfId="2" applyNumberFormat="1" applyFont="1" applyFill="1" applyBorder="1" applyAlignment="1">
      <alignment vertical="center"/>
    </xf>
    <xf numFmtId="1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wrapText="1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8" fontId="9" fillId="0" borderId="1" xfId="2" applyNumberFormat="1" applyFont="1" applyFill="1" applyBorder="1" applyAlignment="1">
      <alignment vertical="center"/>
    </xf>
    <xf numFmtId="49" fontId="9" fillId="0" borderId="1" xfId="0" quotePrefix="1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49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" fontId="32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/>
    </xf>
    <xf numFmtId="168" fontId="32" fillId="0" borderId="1" xfId="2" applyNumberFormat="1" applyFont="1" applyFill="1" applyBorder="1" applyAlignment="1">
      <alignment vertical="center"/>
    </xf>
    <xf numFmtId="168" fontId="9" fillId="0" borderId="1" xfId="0" applyNumberFormat="1" applyFont="1" applyBorder="1" applyAlignment="1">
      <alignment vertical="center"/>
    </xf>
    <xf numFmtId="168" fontId="9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wrapText="1"/>
    </xf>
    <xf numFmtId="168" fontId="9" fillId="0" borderId="2" xfId="2" applyNumberFormat="1" applyFont="1" applyFill="1" applyBorder="1" applyAlignment="1">
      <alignment vertical="center"/>
    </xf>
    <xf numFmtId="49" fontId="32" fillId="0" borderId="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49" fontId="32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65" fontId="32" fillId="0" borderId="0" xfId="0" applyNumberFormat="1" applyFont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166" fontId="9" fillId="0" borderId="2" xfId="0" applyNumberFormat="1" applyFont="1" applyBorder="1" applyAlignment="1">
      <alignment horizontal="center" vertical="center"/>
    </xf>
    <xf numFmtId="166" fontId="32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9" fillId="0" borderId="2" xfId="0" applyNumberFormat="1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/>
    </xf>
    <xf numFmtId="49" fontId="9" fillId="0" borderId="21" xfId="0" applyNumberFormat="1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49" fontId="4" fillId="17" borderId="1" xfId="0" applyNumberFormat="1" applyFont="1" applyFill="1" applyBorder="1" applyAlignment="1">
      <alignment horizontal="center" vertical="center"/>
    </xf>
    <xf numFmtId="14" fontId="32" fillId="0" borderId="1" xfId="0" applyNumberFormat="1" applyFont="1" applyBorder="1" applyAlignment="1">
      <alignment horizontal="center" vertical="center"/>
    </xf>
    <xf numFmtId="44" fontId="32" fillId="0" borderId="1" xfId="2" applyFont="1" applyFill="1" applyBorder="1" applyAlignment="1">
      <alignment vertical="center"/>
    </xf>
    <xf numFmtId="0" fontId="32" fillId="0" borderId="0" xfId="0" applyFont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vertical="center"/>
    </xf>
    <xf numFmtId="14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vertical="center"/>
    </xf>
    <xf numFmtId="166" fontId="32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1" fontId="32" fillId="0" borderId="1" xfId="0" quotePrefix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horizontal="center" vertical="center"/>
    </xf>
    <xf numFmtId="164" fontId="32" fillId="0" borderId="2" xfId="2" applyNumberFormat="1" applyFont="1" applyFill="1" applyBorder="1" applyAlignment="1">
      <alignment vertical="center"/>
    </xf>
    <xf numFmtId="169" fontId="32" fillId="0" borderId="1" xfId="0" applyNumberFormat="1" applyFont="1" applyBorder="1" applyAlignment="1">
      <alignment horizontal="center" vertical="center"/>
    </xf>
    <xf numFmtId="168" fontId="32" fillId="0" borderId="1" xfId="2" applyNumberFormat="1" applyFont="1" applyFill="1" applyBorder="1" applyAlignment="1">
      <alignment horizontal="center" vertical="center"/>
    </xf>
    <xf numFmtId="164" fontId="32" fillId="0" borderId="1" xfId="2" applyNumberFormat="1" applyFont="1" applyFill="1" applyBorder="1" applyAlignment="1">
      <alignment vertical="center"/>
    </xf>
    <xf numFmtId="0" fontId="16" fillId="18" borderId="0" xfId="0" applyFont="1" applyFill="1"/>
    <xf numFmtId="49" fontId="9" fillId="17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1" fillId="0" borderId="21" xfId="0" applyNumberFormat="1" applyFont="1" applyBorder="1" applyAlignment="1">
      <alignment horizontal="center" vertical="center"/>
    </xf>
    <xf numFmtId="1" fontId="51" fillId="0" borderId="2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" fontId="54" fillId="17" borderId="1" xfId="0" applyNumberFormat="1" applyFont="1" applyFill="1" applyBorder="1" applyAlignment="1">
      <alignment horizontal="center" vertical="center"/>
    </xf>
    <xf numFmtId="1" fontId="55" fillId="17" borderId="2" xfId="0" applyNumberFormat="1" applyFont="1" applyFill="1" applyBorder="1" applyAlignment="1">
      <alignment horizontal="center" vertical="center"/>
    </xf>
    <xf numFmtId="1" fontId="56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0" fillId="5" borderId="0" xfId="0" applyFont="1" applyFill="1" applyAlignment="1">
      <alignment horizontal="center"/>
    </xf>
    <xf numFmtId="0" fontId="0" fillId="0" borderId="0" xfId="0"/>
    <xf numFmtId="0" fontId="17" fillId="7" borderId="0" xfId="0" applyFont="1" applyFill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33" fillId="7" borderId="0" xfId="0" applyFont="1" applyFill="1" applyAlignment="1">
      <alignment horizontal="left"/>
    </xf>
    <xf numFmtId="0" fontId="35" fillId="8" borderId="14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3" fontId="36" fillId="3" borderId="15" xfId="0" applyNumberFormat="1" applyFont="1" applyFill="1" applyBorder="1" applyAlignment="1">
      <alignment horizontal="center" vertical="center"/>
    </xf>
    <xf numFmtId="0" fontId="36" fillId="3" borderId="17" xfId="0" applyFont="1" applyFill="1" applyBorder="1" applyAlignment="1">
      <alignment horizontal="center" vertical="center"/>
    </xf>
    <xf numFmtId="0" fontId="36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729" activePane="bottomLeft" state="frozen"/>
      <selection pane="bottomLeft" activeCell="O737" sqref="O73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2026-097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2697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/>
      <c r="S750" s="153">
        <v>8</v>
      </c>
      <c r="T750" s="154" t="s">
        <v>3111</v>
      </c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7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7" activePane="bottomLeft" state="frozen"/>
      <selection pane="bottomLeft" activeCell="J153" sqref="J15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3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4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Em andamento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19" t="s">
        <v>3271</v>
      </c>
      <c r="Y95" s="219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Em andamento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Em andamento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2" t="s">
        <v>3155</v>
      </c>
      <c r="B1" s="222"/>
      <c r="C1" s="222"/>
      <c r="D1" s="222"/>
      <c r="E1" s="222"/>
      <c r="F1" s="222"/>
      <c r="G1" s="222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3" t="s">
        <v>3156</v>
      </c>
      <c r="B4" s="224"/>
      <c r="D4" s="225" t="s">
        <v>3157</v>
      </c>
      <c r="E4" s="226"/>
      <c r="G4" s="44" t="s">
        <v>3158</v>
      </c>
    </row>
    <row r="5" spans="1:7" ht="54.95" customHeight="1" thickBot="1" x14ac:dyDescent="0.75">
      <c r="A5" s="34">
        <f>COUNTIF('Ações InCompany'!B:B,2026)</f>
        <v>94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0" t="s">
        <v>3160</v>
      </c>
      <c r="B8" s="220"/>
      <c r="D8" s="220" t="s">
        <v>3161</v>
      </c>
      <c r="E8" s="220"/>
    </row>
    <row r="9" spans="1:7" ht="5.0999999999999996" customHeight="1" x14ac:dyDescent="0.25">
      <c r="A9" s="221"/>
      <c r="B9" s="221"/>
      <c r="D9" s="221"/>
      <c r="E9" s="221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20" t="s">
        <v>3170</v>
      </c>
      <c r="B30" s="220"/>
      <c r="C30" s="220"/>
      <c r="D30" s="220"/>
      <c r="E30" s="220"/>
    </row>
    <row r="31" spans="1:5" ht="5.0999999999999996" customHeight="1" x14ac:dyDescent="0.25">
      <c r="A31" s="221"/>
      <c r="B31" s="221"/>
      <c r="C31" s="221"/>
      <c r="D31" s="221"/>
      <c r="E31" s="221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0.27710843373493976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4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14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7" t="s">
        <v>3221</v>
      </c>
      <c r="B1" s="227"/>
      <c r="C1" s="227"/>
      <c r="D1" s="227"/>
      <c r="E1" s="227"/>
      <c r="F1" s="227"/>
      <c r="G1" s="227"/>
      <c r="H1" s="227"/>
    </row>
    <row r="2" spans="1:8" x14ac:dyDescent="0.25">
      <c r="A2" s="48" t="s">
        <v>3222</v>
      </c>
    </row>
    <row r="4" spans="1:8" ht="21.95" customHeight="1" x14ac:dyDescent="0.25">
      <c r="A4" s="228" t="s">
        <v>3223</v>
      </c>
      <c r="B4" s="229"/>
      <c r="D4" s="228" t="s">
        <v>3224</v>
      </c>
      <c r="E4" s="229"/>
      <c r="G4" s="228" t="s">
        <v>3225</v>
      </c>
      <c r="H4" s="229"/>
    </row>
    <row r="5" spans="1:8" ht="35.1" customHeight="1" x14ac:dyDescent="0.25">
      <c r="A5" s="232">
        <f>COUNTIF('Ações InCompany'!E:E,"*maratona*")</f>
        <v>13</v>
      </c>
      <c r="B5" s="231"/>
      <c r="D5" s="230">
        <f>SUM(H8:H100)</f>
        <v>1762</v>
      </c>
      <c r="E5" s="231"/>
      <c r="G5" s="230">
        <f>IFERROR(ROUND(D5/A5,0),"-")</f>
        <v>136</v>
      </c>
      <c r="H5" s="231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3" t="s">
        <v>3231</v>
      </c>
      <c r="B1" s="233"/>
      <c r="C1" s="233"/>
      <c r="D1" s="233"/>
      <c r="E1" s="233"/>
      <c r="F1" s="233"/>
    </row>
    <row r="2" spans="1:7" x14ac:dyDescent="0.25">
      <c r="A2" s="234" t="s">
        <v>3232</v>
      </c>
      <c r="B2" s="234"/>
      <c r="C2" s="234"/>
      <c r="D2" s="234"/>
      <c r="E2" s="234"/>
      <c r="F2" s="234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2026-10-20T19:01:29Z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