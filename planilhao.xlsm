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263" documentId="13_ncr:1_{6A2CC3E2-FAFB-4D8F-B284-5E8FB5045DFE}" xr6:coauthVersionLast="47" xr6:coauthVersionMax="47" xr10:uidLastSave="{3C261F21-8755-4952-858D-FB930FA29A52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A735" i="3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l="1" a="1"/>
  <c r="T4" i="20" l="1" a="1"/>
  <c r="A2" i="20" l="1" a="1"/>
  <c r="A5" i="23" s="1" a="1"/>
  <c r="D61" i="23" l="1"/>
  <c r="E61" i="23"/>
  <c r="F61" i="23"/>
  <c r="B61" i="23"/>
  <c r="C61" i="23"/>
  <c r="D60" i="23"/>
  <c r="E59" i="23"/>
  <c r="F60" i="23"/>
  <c r="C60" i="23"/>
  <c r="B60" i="23"/>
  <c r="E60" i="23"/>
  <c r="D59" i="23"/>
  <c r="F59" i="23"/>
  <c r="C59" i="23"/>
  <c r="B59" i="23"/>
  <c r="E105" i="23"/>
  <c r="C58" i="23"/>
  <c r="E58" i="23"/>
  <c r="F58" i="23"/>
  <c r="D58" i="23"/>
  <c r="B58" i="23"/>
  <c r="B57" i="23"/>
  <c r="B49" i="23"/>
  <c r="D11" i="23"/>
  <c r="F30" i="23"/>
  <c r="B29" i="23"/>
  <c r="C34" i="23"/>
  <c r="E26" i="23"/>
  <c r="E39" i="23"/>
  <c r="B21" i="23"/>
  <c r="B31" i="23"/>
  <c r="C44" i="23"/>
  <c r="F10" i="23"/>
  <c r="B46" i="23"/>
  <c r="C35" i="23"/>
  <c r="D29" i="23"/>
  <c r="E36" i="23"/>
  <c r="F37" i="23"/>
  <c r="F32" i="23"/>
  <c r="E50" i="23"/>
  <c r="E20" i="23"/>
  <c r="C50" i="23"/>
  <c r="E7" i="23"/>
  <c r="D43" i="23"/>
  <c r="E14" i="23"/>
  <c r="C13" i="23"/>
  <c r="D27" i="23"/>
  <c r="F8" i="23"/>
  <c r="B35" i="23"/>
  <c r="B41" i="23"/>
  <c r="E44" i="23"/>
  <c r="B36" i="23"/>
  <c r="F20" i="23"/>
  <c r="B33" i="23"/>
  <c r="C55" i="23"/>
  <c r="F44" i="23"/>
  <c r="F40" i="23"/>
  <c r="F19" i="23"/>
  <c r="E25" i="23"/>
  <c r="D9" i="23"/>
  <c r="E27" i="23"/>
  <c r="D18" i="23"/>
  <c r="E19" i="23"/>
  <c r="B48" i="23"/>
  <c r="D55" i="23"/>
  <c r="B15" i="23"/>
  <c r="D35" i="23"/>
  <c r="E11" i="23"/>
  <c r="C15" i="23"/>
  <c r="B11" i="23"/>
  <c r="C17" i="23"/>
  <c r="F46" i="23"/>
  <c r="E15" i="23"/>
  <c r="F15" i="23"/>
  <c r="E54" i="23"/>
  <c r="B42" i="23"/>
  <c r="B13" i="23"/>
  <c r="D50" i="23"/>
  <c r="F45" i="23"/>
  <c r="D8" i="23"/>
  <c r="B10" i="23"/>
  <c r="D33" i="23"/>
  <c r="C32" i="23"/>
  <c r="E31" i="23"/>
  <c r="E47" i="23"/>
  <c r="D34" i="23"/>
  <c r="C29" i="23"/>
  <c r="C57" i="23"/>
  <c r="D47" i="23"/>
  <c r="E46" i="23"/>
  <c r="C46" i="23"/>
  <c r="B39" i="23"/>
  <c r="F13" i="23"/>
  <c r="E16" i="23"/>
  <c r="B53" i="23"/>
  <c r="E35" i="23"/>
  <c r="E29" i="23"/>
  <c r="C23" i="23"/>
  <c r="E8" i="23"/>
  <c r="F41" i="23"/>
  <c r="E22" i="23"/>
  <c r="E12" i="23"/>
  <c r="D57" i="23"/>
  <c r="F43" i="23"/>
  <c r="B18" i="23"/>
  <c r="C8" i="23"/>
  <c r="C6" i="23"/>
  <c r="D13" i="23"/>
  <c r="E24" i="23"/>
  <c r="E49" i="23"/>
  <c r="C22" i="23"/>
  <c r="C45" i="23"/>
  <c r="F12" i="23"/>
  <c r="B32" i="23"/>
  <c r="F36" i="23"/>
  <c r="D19" i="23"/>
  <c r="F35" i="23"/>
  <c r="E43" i="23"/>
  <c r="C47" i="23"/>
  <c r="C30" i="23"/>
  <c r="F47" i="23"/>
  <c r="B50" i="23"/>
  <c r="D16" i="23"/>
  <c r="F38" i="23"/>
  <c r="F14" i="23"/>
  <c r="E37" i="23"/>
  <c r="B34" i="23"/>
  <c r="D7" i="23"/>
  <c r="D28" i="23"/>
  <c r="B38" i="23"/>
  <c r="C43" i="23"/>
  <c r="E23" i="23"/>
  <c r="D30" i="23"/>
  <c r="B43" i="23"/>
  <c r="F23" i="23"/>
  <c r="D25" i="23"/>
  <c r="C12" i="23"/>
  <c r="C28" i="23"/>
  <c r="E45" i="23"/>
  <c r="E38" i="23"/>
  <c r="F26" i="23"/>
  <c r="F11" i="23"/>
  <c r="B14" i="23"/>
  <c r="C14" i="23"/>
  <c r="B16" i="23"/>
  <c r="F25" i="23"/>
  <c r="C26" i="23"/>
  <c r="F57" i="23"/>
  <c r="D53" i="23"/>
  <c r="F48" i="23"/>
  <c r="D37" i="23"/>
  <c r="F49" i="23"/>
  <c r="D41" i="23"/>
  <c r="B19" i="23"/>
  <c r="D15" i="23"/>
  <c r="D52" i="23"/>
  <c r="C33" i="23"/>
  <c r="C38" i="23"/>
  <c r="E13" i="23"/>
  <c r="D32" i="23"/>
  <c r="E48" i="23"/>
  <c r="D56" i="23"/>
  <c r="F31" i="23"/>
  <c r="B23" i="23"/>
  <c r="D44" i="23"/>
  <c r="F51" i="23"/>
  <c r="D38" i="23"/>
  <c r="C40" i="23"/>
  <c r="B40" i="23"/>
  <c r="B51" i="23"/>
  <c r="E32" i="23"/>
  <c r="C52" i="23"/>
  <c r="B54" i="23"/>
  <c r="E42" i="23"/>
  <c r="D54" i="23"/>
  <c r="F21" i="23"/>
  <c r="E41" i="23"/>
  <c r="C53" i="23"/>
  <c r="B55" i="23"/>
  <c r="F6" i="23"/>
  <c r="D14" i="23"/>
  <c r="D49" i="23"/>
  <c r="F27" i="23"/>
  <c r="F9" i="23"/>
  <c r="C18" i="23"/>
  <c r="D20" i="23"/>
  <c r="C49" i="23"/>
  <c r="D48" i="23"/>
  <c r="C7" i="23"/>
  <c r="F24" i="23"/>
  <c r="D26" i="23"/>
  <c r="C37" i="23"/>
  <c r="E55" i="23"/>
  <c r="F18" i="23"/>
  <c r="D6" i="23"/>
  <c r="C9" i="23"/>
  <c r="E33" i="23"/>
  <c r="D21" i="23"/>
  <c r="B9" i="23"/>
  <c r="D42" i="23"/>
  <c r="F53" i="23"/>
  <c r="B6" i="23"/>
  <c r="E57" i="23"/>
  <c r="D31" i="23"/>
  <c r="E9" i="23"/>
  <c r="B44" i="23"/>
  <c r="F52" i="23"/>
  <c r="C36" i="23"/>
  <c r="B24" i="23"/>
  <c r="E56" i="23"/>
  <c r="F28" i="23"/>
  <c r="D24" i="23"/>
  <c r="B27" i="23"/>
  <c r="F56" i="23"/>
  <c r="D46" i="23"/>
  <c r="D51" i="23"/>
  <c r="D36" i="23"/>
  <c r="F16" i="23"/>
  <c r="C24" i="23"/>
  <c r="D10" i="23"/>
  <c r="C25" i="23"/>
  <c r="B26" i="23"/>
  <c r="B47" i="23"/>
  <c r="C21" i="23"/>
  <c r="F54" i="23"/>
  <c r="C16" i="23"/>
  <c r="E30" i="23"/>
  <c r="D39" i="23"/>
  <c r="B45" i="23"/>
  <c r="D17" i="23"/>
  <c r="E40" i="23"/>
  <c r="C19" i="23"/>
  <c r="B7" i="23"/>
  <c r="C31" i="23"/>
  <c r="C48" i="23"/>
  <c r="E6" i="23"/>
  <c r="E34" i="23"/>
  <c r="B8" i="23"/>
  <c r="B56" i="23"/>
  <c r="F55" i="23"/>
  <c r="C42" i="23"/>
  <c r="B22" i="23"/>
  <c r="C20" i="23"/>
  <c r="D40" i="23"/>
  <c r="F50" i="23"/>
  <c r="C27" i="23"/>
  <c r="C41" i="23"/>
  <c r="B25" i="23"/>
  <c r="B20" i="23"/>
  <c r="B17" i="23"/>
  <c r="B37" i="23"/>
  <c r="E53" i="23"/>
  <c r="C39" i="23"/>
  <c r="C10" i="23"/>
  <c r="F29" i="23"/>
  <c r="F42" i="23"/>
  <c r="D22" i="23"/>
  <c r="E21" i="23"/>
  <c r="C11" i="23"/>
  <c r="F33" i="23"/>
  <c r="E18" i="23"/>
  <c r="C54" i="23"/>
  <c r="D12" i="23"/>
  <c r="E17" i="23"/>
  <c r="C56" i="23"/>
  <c r="F17" i="23"/>
  <c r="B28" i="23"/>
  <c r="F22" i="23"/>
  <c r="F7" i="23"/>
  <c r="E28" i="23"/>
  <c r="E51" i="23"/>
  <c r="B12" i="23"/>
  <c r="F34" i="23"/>
  <c r="D23" i="23"/>
  <c r="E10" i="23"/>
  <c r="B52" i="23"/>
  <c r="C51" i="23"/>
  <c r="D45" i="23"/>
  <c r="B30" i="23"/>
  <c r="F39" i="23"/>
  <c r="E52" i="23"/>
  <c r="F5" i="23" l="1"/>
  <c r="F105" i="23" s="1"/>
  <c r="G5" i="23"/>
  <c r="D5" i="23"/>
  <c r="C5" i="23"/>
  <c r="C105" i="23" s="1"/>
  <c r="B5" i="23"/>
  <c r="B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<sst xmlns="http://schemas.openxmlformats.org/spreadsheetml/2006/main" count="7318" uniqueCount="3218">
  <si>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</si>
  <si>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</si>
  <si>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</si>
  <si>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</si>
  <si>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</si>
  <si>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</si>
  <si>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</si>
  <si>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</si>
  <si>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</si>
  <si>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</si>
  <si>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</si>
  <si>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</si>
  <si>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</si>
  <si>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</si>
  <si>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</si>
  <si>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</si>
  <si>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</si>
  <si>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</si>
  <si>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</si>
  <si>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</si>
  <si>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</si>
  <si>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</si>
  <si>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</si>
  <si>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</si>
  <si>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</si>
  <si>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</si>
  <si>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</si>
  <si>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</si>
  <si>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</si>
  <si>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</si>
  <si>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</si>
  <si>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</si>
  <si>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</si>
  <si>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</si>
  <si>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</si>
  <si>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</si>
  <si>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</si>
  <si>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</si>
  <si>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</si>
  <si>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</si>
  <si>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</si>
  <si>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</si>
  <si>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</si>
  <si>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</si>
  <si>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</si>
  <si>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</si>
  <si>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</si>
  <si>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</si>
  <si>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</si>
  <si>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</si>
  <si>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</si>
  <si>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</si>
  <si>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</si>
  <si>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</si>
  <si>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</si>
  <si>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</si>
  <si>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</si>
  <si>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</si>
  <si>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</si>
  <si>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</si>
  <si>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</si>
  <si>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</si>
  <si>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</si>
  <si>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</si>
  <si>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</si>
  <si>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</si>
  <si>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</si>
  <si>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</si>
  <si>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</si>
  <si>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</si>
  <si>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</si>
  <si>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</si>
  <si>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</si>
  <si>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</si>
  <si>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</si>
  <si>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</si>
  <si>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</si>
  <si>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</si>
  <si>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</si>
  <si>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</si>
  <si>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</si>
  <si>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</si>
  <si>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</si>
  <si>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</si>
  <si>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</si>
  <si>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</si>
  <si>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</si>
  <si>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</si>
  <si>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</si>
  <si>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</si>
  <si>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</si>
  <si>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</si>
  <si>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</si>
  <si>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</si>
  <si>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</si>
  <si>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</si>
  <si>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</si>
  <si>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</si>
  <si>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</si>
  <si>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</si>
  <si>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</si>
  <si>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</si>
  <si>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</si>
  <si>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</si>
  <si>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</si>
  <si>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</si>
  <si>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</si>
  <si>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</si>
  <si>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</si>
  <si>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</si>
  <si>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</si>
  <si>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</si>
  <si>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</si>
  <si>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</si>
  <si>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</si>
  <si>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</si>
  <si>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</si>
  <si>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</si>
  <si>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</si>
  <si>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</si>
  <si>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</si>
  <si>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</si>
  <si>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</si>
  <si>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</si>
  <si>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</si>
  <si>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</si>
  <si>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</si>
  <si>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</si>
  <si>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</si>
  <si>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</si>
  <si>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</si>
  <si>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</si>
  <si>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</si>
  <si>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</si>
  <si>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</si>
  <si>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</si>
  <si>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</si>
  <si>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</si>
  <si>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</si>
  <si>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</si>
  <si>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</si>
  <si>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</si>
  <si>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</si>
  <si>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</si>
  <si>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</si>
  <si>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</si>
  <si>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</si>
  <si>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</si>
  <si>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</si>
  <si>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</si>
  <si>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</si>
  <si>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</si>
  <si>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</si>
  <si>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</si>
  <si>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</si>
  <si>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</si>
  <si>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</si>
  <si>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</si>
  <si>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</si>
  <si>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</si>
  <si>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</si>
  <si>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</si>
  <si>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</si>
  <si>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</si>
  <si>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</si>
  <si>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</si>
  <si>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</si>
  <si>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</si>
  <si>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</si>
  <si>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</si>
  <si>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</si>
  <si>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</si>
  <si>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</si>
  <si>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</si>
  <si>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</si>
  <si>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</si>
  <si>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</si>
  <si>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</si>
  <si>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</si>
  <si>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</si>
  <si>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</si>
  <si>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</si>
  <si>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</si>
  <si>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</si>
  <si>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</si>
  <si>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</si>
  <si>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</si>
  <si>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</si>
  <si>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</si>
  <si>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</si>
  <si>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</si>
  <si>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</si>
  <si>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</si>
  <si>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</si>
  <si>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</si>
  <si>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</si>
  <si>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</si>
  <si>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</si>
  <si>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</si>
  <si>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</si>
  <si>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</si>
  <si>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</si>
  <si>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</si>
  <si>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</si>
  <si>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</si>
  <si>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</si>
  <si>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</si>
  <si>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</si>
  <si>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</si>
  <si>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</si>
  <si>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</si>
  <si>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</si>
  <si>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</si>
  <si>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</si>
  <si>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</si>
  <si>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</si>
  <si>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</si>
  <si>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</si>
  <si>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</si>
  <si>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</si>
  <si>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</si>
  <si>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</si>
  <si>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</si>
  <si>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</si>
  <si>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</si>
  <si>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</si>
  <si>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</si>
  <si>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</si>
  <si>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</si>
  <si>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</si>
  <si>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</si>
  <si>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</si>
  <si>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</si>
  <si>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</si>
  <si>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</si>
  <si>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</si>
  <si>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</si>
  <si>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</si>
  <si>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</si>
  <si>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</si>
  <si>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</si>
  <si>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</si>
  <si>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</si>
  <si>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</si>
  <si>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</si>
  <si>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</si>
  <si>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</si>
  <si>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</si>
  <si>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</si>
  <si>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</si>
  <si>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</si>
  <si>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</si>
  <si>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</si>
  <si>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</si>
  <si>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</si>
  <si>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</si>
  <si>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</si>
  <si>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</si>
  <si>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</si>
  <si>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</si>
  <si>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</si>
  <si>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</si>
  <si>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</si>
  <si>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</si>
  <si>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</si>
  <si>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</si>
  <si>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</si>
  <si>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</si>
  <si>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</si>
  <si>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</si>
  <si>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</si>
  <si>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</si>
  <si>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</si>
  <si>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</si>
  <si>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</si>
  <si>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</si>
  <si>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</si>
  <si>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</si>
  <si>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</si>
  <si>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</si>
  <si>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</si>
  <si>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</si>
  <si>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</si>
  <si>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</si>
  <si>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</si>
  <si>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</si>
  <si>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</si>
  <si>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</si>
  <si>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</si>
  <si>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</si>
  <si>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</si>
  <si>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</si>
  <si>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</si>
  <si>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</si>
  <si>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</si>
  <si>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</si>
  <si>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</si>
  <si>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</si>
  <si>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</si>
  <si>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</si>
  <si>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</si>
  <si>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</si>
  <si>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</si>
  <si>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</si>
  <si>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</si>
  <si>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</si>
  <si>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</si>
  <si>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</si>
  <si>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</si>
  <si>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</si>
  <si>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</si>
  <si>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</si>
  <si>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</si>
  <si>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</si>
  <si>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</si>
  <si>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</si>
  <si>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</si>
  <si>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</si>
  <si>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</si>
  <si>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</si>
  <si>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</si>
  <si>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</si>
  <si>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</si>
  <si>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</si>
  <si>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</si>
  <si>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</si>
  <si>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</si>
  <si>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</si>
  <si>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</si>
  <si>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</si>
  <si>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</si>
  <si>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</si>
  <si>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</si>
  <si>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</si>
  <si>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</si>
  <si>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</si>
  <si>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</si>
  <si>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</si>
  <si>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</si>
  <si>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</si>
  <si>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</si>
  <si>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</si>
  <si>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</si>
  <si>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</si>
  <si>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</si>
  <si>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</si>
  <si>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</si>
  <si>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</si>
  <si>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</si>
  <si>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</si>
  <si>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</si>
  <si>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</si>
  <si>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</si>
  <si>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</si>
  <si>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</si>
  <si>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</si>
  <si>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</si>
  <si>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</si>
  <si>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</si>
  <si>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</si>
  <si>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</si>
  <si>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</si>
  <si>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</si>
  <si>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</si>
  <si>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</si>
  <si>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</si>
  <si>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</si>
  <si>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</si>
  <si>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</si>
  <si>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</si>
  <si>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</si>
  <si>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</si>
  <si>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</si>
  <si>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</si>
  <si>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</si>
  <si>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</si>
  <si>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</si>
  <si>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</si>
  <si>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</si>
  <si>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</si>
  <si>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</si>
  <si>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</si>
  <si>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</si>
  <si>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</si>
  <si>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</si>
  <si>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</si>
  <si>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</si>
  <si>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</si>
  <si>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</si>
  <si>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</si>
  <si>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</si>
  <si>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</si>
  <si>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</si>
  <si>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</si>
  <si>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</si>
  <si>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</si>
  <si>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</si>
  <si>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</si>
  <si>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</si>
  <si>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</si>
  <si>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</si>
  <si>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</si>
  <si>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</si>
  <si>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</si>
  <si>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</si>
  <si>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</si>
  <si>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</si>
  <si>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</si>
  <si>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</si>
  <si>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</si>
  <si>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</si>
  <si>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</si>
  <si>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</si>
  <si>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</si>
  <si>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</si>
  <si>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</si>
  <si>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</si>
  <si>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</si>
  <si>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</si>
  <si>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</si>
  <si>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</si>
  <si>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</si>
  <si>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</si>
  <si>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</si>
  <si>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</si>
  <si>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</si>
  <si>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</si>
  <si>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</si>
  <si>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</si>
  <si>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</si>
  <si>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</si>
  <si>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</si>
  <si>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</si>
  <si>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</si>
  <si>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</si>
  <si>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</si>
  <si>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</si>
  <si>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</si>
  <si>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</si>
  <si>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</si>
  <si>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</si>
  <si>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</si>
  <si>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</si>
  <si>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</si>
  <si>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</si>
  <si>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</si>
  <si>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</si>
  <si>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</si>
  <si>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</si>
  <si>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</si>
  <si>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</si>
  <si>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</si>
  <si>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</si>
  <si>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</si>
  <si>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</si>
  <si>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</si>
  <si>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</si>
  <si>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</si>
  <si>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</si>
  <si>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</si>
  <si>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</si>
  <si>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</si>
  <si>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</si>
  <si>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</si>
  <si>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</si>
  <si>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</si>
  <si>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</si>
  <si>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</si>
  <si>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</si>
  <si>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</si>
  <si>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</si>
  <si>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</si>
  <si>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</si>
  <si>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</si>
  <si>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</si>
  <si>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</si>
  <si>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</si>
  <si>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</si>
  <si>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</si>
  <si>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</si>
  <si>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</si>
  <si>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</si>
  <si>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</si>
  <si>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</si>
  <si>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</si>
  <si>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</si>
  <si>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</si>
  <si>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</si>
  <si>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</si>
  <si>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</si>
  <si>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</si>
  <si>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</si>
  <si>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</si>
  <si>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</si>
  <si>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</si>
  <si>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</si>
  <si>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</si>
  <si>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</si>
  <si>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</si>
  <si>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</si>
  <si>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</si>
  <si>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</si>
  <si>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</si>
  <si>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</si>
  <si>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</si>
  <si>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</si>
  <si>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</si>
  <si>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</si>
  <si>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</si>
  <si>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</si>
  <si>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</si>
  <si>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</si>
  <si>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</si>
  <si>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</si>
  <si>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</si>
  <si>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</si>
  <si>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</si>
  <si>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</si>
  <si>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</si>
  <si>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</si>
  <si>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</si>
  <si>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</si>
  <si>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</si>
  <si>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</si>
  <si>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</si>
  <si>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</si>
  <si>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</si>
  <si>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</si>
  <si>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</si>
  <si>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</si>
  <si>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</si>
  <si>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</si>
  <si>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</si>
  <si>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</si>
  <si>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</si>
  <si>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</si>
  <si>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</si>
  <si>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</si>
  <si>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</si>
  <si>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</si>
  <si>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</si>
  <si>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</si>
  <si>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</si>
  <si>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</si>
  <si>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</si>
  <si>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</si>
  <si>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</si>
  <si>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</si>
  <si>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</si>
  <si>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</si>
  <si>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</si>
  <si>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</si>
  <si>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</si>
  <si>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</si>
  <si>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</si>
  <si>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</si>
  <si>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</si>
  <si>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</si>
  <si>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</si>
  <si>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</si>
  <si>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</si>
  <si>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</si>
  <si>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</si>
  <si>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</si>
  <si>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</si>
  <si>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</si>
  <si>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</si>
  <si>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</si>
  <si>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</si>
  <si>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</si>
  <si>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</si>
  <si>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</si>
  <si>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</si>
  <si>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</si>
  <si>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</si>
  <si>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</si>
  <si>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</si>
  <si>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</si>
  <si>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</si>
  <si>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</si>
  <si>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</si>
  <si>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</si>
  <si>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</si>
  <si>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</si>
  <si>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</si>
  <si>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</si>
  <si>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</si>
  <si>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</si>
  <si>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</si>
  <si>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</si>
  <si>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</si>
  <si>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</si>
  <si>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</si>
  <si>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</si>
  <si>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</si>
  <si>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</si>
  <si>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</si>
  <si>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</si>
  <si>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</si>
  <si>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</si>
  <si>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</si>
  <si>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</si>
  <si>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</si>
  <si>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</si>
  <si>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</si>
  <si>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</si>
  <si>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</si>
  <si>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</si>
  <si>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</si>
  <si>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</si>
  <si>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</si>
  <si>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</si>
  <si>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</si>
  <si>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</si>
  <si>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</si>
  <si>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</si>
  <si>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</si>
  <si>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</si>
  <si>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</si>
  <si>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</si>
  <si>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</si>
  <si>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</si>
  <si>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</si>
  <si>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</si>
  <si>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</si>
  <si>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</si>
  <si>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</si>
  <si>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</si>
  <si>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</si>
  <si>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</si>
  <si>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</si>
  <si>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</si>
  <si>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</si>
  <si>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</si>
  <si>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</si>
  <si>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</si>
  <si>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</si>
  <si>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</si>
  <si>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</si>
  <si>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</si>
  <si>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</si>
  <si>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</si>
  <si>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</si>
  <si>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</si>
  <si>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</si>
  <si>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</si>
  <si>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</si>
  <si>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</si>
  <si>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</si>
  <si>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</si>
  <si>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</si>
  <si>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</si>
  <si>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</si>
  <si>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</si>
  <si>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</si>
  <si>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</si>
  <si>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</si>
  <si>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</si>
  <si>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</si>
  <si>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</si>
  <si>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</si>
  <si>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</si>
  <si>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</si>
  <si>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</si>
  <si>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</si>
  <si>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</si>
  <si>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</si>
  <si>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</si>
  <si>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</si>
  <si>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</si>
  <si>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</si>
  <si>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</si>
  <si>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</si>
  <si>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</si>
  <si>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</si>
  <si>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</si>
  <si>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</si>
  <si>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</si>
  <si>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</si>
  <si>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</si>
  <si>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</si>
  <si>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</si>
  <si>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</si>
  <si>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</si>
  <si>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</si>
  <si>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</si>
  <si>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</si>
  <si>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</si>
  <si>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</si>
  <si>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</si>
  <si>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</si>
  <si>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</si>
  <si>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</si>
  <si>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</si>
  <si>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</si>
  <si>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</si>
  <si>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</si>
  <si>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</si>
  <si>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</si>
  <si>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</si>
  <si>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</si>
  <si>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</si>
  <si>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</si>
  <si>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</si>
  <si>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</si>
  <si>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</si>
  <si>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</si>
  <si>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</si>
  <si>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</si>
  <si>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</si>
  <si>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</si>
  <si>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</si>
  <si>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</si>
  <si>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</si>
  <si>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</si>
  <si>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</si>
  <si>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</si>
  <si>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</si>
  <si>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</si>
  <si>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</si>
  <si>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</si>
  <si>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</si>
  <si>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</si>
  <si>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</si>
  <si>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</si>
  <si>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</si>
  <si>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</si>
  <si>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</si>
  <si>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</si>
  <si>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</si>
  <si>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</si>
  <si>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</si>
  <si>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</si>
  <si>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</si>
  <si>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</si>
  <si>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</si>
  <si>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</si>
  <si>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</si>
  <si>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</si>
  <si>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</si>
  <si>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</si>
  <si>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</si>
  <si>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</si>
  <si>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</si>
  <si>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</si>
  <si>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</si>
  <si>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</si>
  <si>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</si>
  <si>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</si>
  <si>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</si>
  <si>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</si>
  <si>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</si>
  <si>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</si>
  <si>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</si>
  <si>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</si>
  <si>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</si>
  <si>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</si>
  <si>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</si>
  <si>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</si>
  <si>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</si>
  <si>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</si>
  <si>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</si>
  <si>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</si>
  <si>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</si>
  <si>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</si>
  <si>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</si>
  <si>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</si>
  <si>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</si>
  <si>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</si>
  <si>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</si>
  <si>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</si>
  <si>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</si>
  <si>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</si>
  <si>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</si>
  <si>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</si>
  <si>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</si>
  <si>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</si>
  <si>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</si>
  <si>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</si>
  <si>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</si>
  <si>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</si>
  <si>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</si>
  <si>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</si>
  <si>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</si>
  <si>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</si>
  <si>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</si>
  <si>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</si>
  <si>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</si>
  <si>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</si>
  <si>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</si>
  <si>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</si>
  <si>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</si>
  <si>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</si>
  <si>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</si>
  <si>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</si>
  <si>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</si>
  <si>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</si>
  <si>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</si>
  <si>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</si>
  <si>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</si>
  <si>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</si>
  <si>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</si>
  <si>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</si>
  <si>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</si>
  <si>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</si>
  <si>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</si>
  <si>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</si>
  <si>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</si>
  <si>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</si>
  <si>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</si>
  <si>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</si>
  <si>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</si>
  <si>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</si>
  <si>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</si>
  <si>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</si>
  <si>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</si>
  <si>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</si>
  <si>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</si>
  <si>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</si>
  <si>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</si>
  <si>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</si>
  <si>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</si>
  <si>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</si>
  <si>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</si>
  <si>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</si>
  <si>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</si>
  <si>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</si>
  <si>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</si>
  <si>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</si>
  <si>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</si>
  <si>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</si>
  <si>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</si>
  <si>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</si>
  <si>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</si>
  <si>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</si>
  <si>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</si>
  <si>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</si>
  <si>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</si>
  <si>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</si>
  <si>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</si>
  <si>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</si>
  <si>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</si>
  <si>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</si>
  <si>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</si>
  <si>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</si>
  <si>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</si>
  <si>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</si>
  <si>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</si>
  <si>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</si>
  <si>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</si>
  <si>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</si>
  <si>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</si>
  <si>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</si>
  <si>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</si>
  <si>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</si>
  <si>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</si>
  <si>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</si>
  <si>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</si>
  <si>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</si>
  <si>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</si>
  <si>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</si>
  <si>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</si>
  <si>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</si>
  <si>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</si>
  <si>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</si>
  <si>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</si>
  <si>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</si>
  <si>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</si>
  <si>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</si>
  <si>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</si>
  <si>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</si>
  <si>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</si>
  <si>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</si>
  <si>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</si>
  <si>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</si>
  <si>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</si>
  <si>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</si>
  <si>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</si>
  <si>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</si>
  <si>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</si>
  <si>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</si>
  <si>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</si>
  <si>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</si>
  <si>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</si>
  <si>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</si>
  <si>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</si>
  <si>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</si>
  <si>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</si>
  <si>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</si>
  <si>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</si>
  <si>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</si>
  <si>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</si>
  <si>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</si>
  <si>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</si>
  <si>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</si>
  <si>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</si>
  <si>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</si>
  <si>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</si>
  <si>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</si>
  <si>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</si>
  <si>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</si>
  <si>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</si>
  <si>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</si>
  <si>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</si>
  <si>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</si>
  <si>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</si>
  <si>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</si>
  <si>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</si>
  <si>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</si>
  <si>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</si>
  <si>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</si>
  <si>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</si>
  <si>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</si>
  <si>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</si>
  <si>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</si>
  <si>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</si>
  <si>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</si>
  <si>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</si>
  <si>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</si>
  <si>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</si>
  <si>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</si>
  <si>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</si>
  <si>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</si>
  <si>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</si>
  <si>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</si>
  <si>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</si>
  <si>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</si>
  <si>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</si>
  <si>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</si>
  <si>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</si>
  <si>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</si>
  <si>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</si>
  <si>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</si>
  <si>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</si>
  <si>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</si>
  <si>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</si>
  <si>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</si>
  <si>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</si>
  <si>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</si>
  <si>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</si>
  <si>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</si>
  <si>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</si>
  <si>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</si>
  <si>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</si>
  <si>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</si>
  <si>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</si>
  <si>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</si>
  <si>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</si>
  <si>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</si>
  <si>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</si>
  <si>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</si>
  <si>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</si>
  <si>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</si>
  <si>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</si>
  <si>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</si>
  <si>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</si>
  <si>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</si>
  <si>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</si>
  <si>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</si>
  <si>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</si>
  <si>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</si>
  <si>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</si>
  <si>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</si>
  <si>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</si>
  <si>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</si>
  <si>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</si>
  <si>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</si>
  <si>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</si>
  <si>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</si>
  <si>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</si>
  <si>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</si>
  <si>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</si>
  <si>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</si>
  <si>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</si>
  <si>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</si>
  <si>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</si>
  <si>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</si>
  <si>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</si>
  <si>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</si>
  <si>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</si>
  <si>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</si>
  <si>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</si>
  <si>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</si>
  <si>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</si>
  <si>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</si>
  <si>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</si>
  <si>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</si>
  <si>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</si>
  <si>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</si>
  <si>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</si>
  <si>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</si>
  <si>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</si>
  <si>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</si>
  <si>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</si>
  <si>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</si>
  <si>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</si>
  <si>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</si>
  <si>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</si>
  <si>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</si>
  <si>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</si>
  <si>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</si>
  <si>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</si>
  <si>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</si>
  <si>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</si>
  <si>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</si>
  <si>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</si>
  <si>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</si>
  <si>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</si>
  <si>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</si>
  <si>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</si>
  <si>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</si>
  <si>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</si>
  <si>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</si>
  <si>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</si>
  <si>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</si>
  <si>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</si>
  <si>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</si>
  <si>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</si>
  <si>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</si>
  <si>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</si>
  <si>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</si>
  <si>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</si>
  <si>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</si>
  <si>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</si>
  <si>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</si>
  <si>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</si>
  <si>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</si>
  <si>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</si>
  <si>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</si>
  <si>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</si>
  <si>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</si>
  <si>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</si>
  <si>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</si>
  <si>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</si>
  <si>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</si>
  <si>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</si>
  <si>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</si>
  <si>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</si>
  <si>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</si>
  <si>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</si>
  <si>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</si>
  <si>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</si>
  <si>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</si>
  <si>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</si>
  <si>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</si>
  <si>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</si>
  <si>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</si>
  <si>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</si>
  <si>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</si>
  <si>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</si>
  <si>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</si>
  <si>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</si>
  <si>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</si>
  <si>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</si>
  <si>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</si>
  <si>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</si>
  <si>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</si>
  <si>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</si>
  <si>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</si>
  <si>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</si>
  <si>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</si>
  <si>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</si>
  <si>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</si>
  <si>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</si>
  <si>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</si>
  <si>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</si>
  <si>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</si>
  <si>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</si>
  <si>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</si>
  <si>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</si>
  <si>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</si>
  <si>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</si>
  <si>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</si>
  <si>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</si>
  <si>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</si>
  <si>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</si>
  <si>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</si>
  <si>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</si>
  <si>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</si>
  <si>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</si>
  <si>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</si>
  <si>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</si>
  <si>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</si>
  <si>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</si>
  <si>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</si>
  <si>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</si>
  <si>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</si>
  <si>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</si>
  <si>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</si>
  <si>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</si>
  <si>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</si>
  <si>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</si>
  <si>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</si>
  <si>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</si>
  <si>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</si>
  <si>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</si>
  <si>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</si>
  <si>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</si>
  <si>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</si>
  <si>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</si>
  <si>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</si>
  <si>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</si>
  <si>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</si>
  <si>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</si>
  <si>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</si>
  <si>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</si>
  <si>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</si>
  <si>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</si>
  <si>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</si>
  <si>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</si>
  <si>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</si>
  <si>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</si>
  <si>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</si>
  <si>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</si>
  <si>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</si>
  <si>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</si>
  <si>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</si>
  <si>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</si>
  <si>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</si>
  <si>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</si>
  <si>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</si>
  <si>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</si>
  <si>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</si>
  <si>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</si>
  <si>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</si>
  <si>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</si>
  <si>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</si>
  <si>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</si>
  <si>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</si>
  <si>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</si>
  <si>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</si>
  <si>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</si>
  <si>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</si>
  <si>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</si>
  <si>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</si>
  <si>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</si>
  <si>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</si>
  <si>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</si>
  <si>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</si>
  <si>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</si>
  <si>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</si>
  <si>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</si>
  <si>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</si>
  <si>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</si>
  <si>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</si>
  <si>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</si>
  <si>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</si>
  <si>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</si>
  <si>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</si>
  <si>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</si>
  <si>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</si>
  <si>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</si>
  <si>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</si>
  <si>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</si>
  <si>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</si>
  <si>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</si>
  <si>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</si>
  <si>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</si>
  <si>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</si>
  <si>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</si>
  <si>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</si>
  <si>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</si>
  <si>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</si>
  <si>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</si>
  <si>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</si>
  <si>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</si>
  <si>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</si>
  <si>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</si>
  <si>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</si>
  <si>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</si>
  <si>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</si>
  <si>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</si>
  <si>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</si>
  <si>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</si>
  <si>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</si>
  <si>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</si>
  <si>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</si>
  <si>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</si>
  <si>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</si>
  <si>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</si>
  <si>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</si>
  <si>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</si>
  <si>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</si>
  <si>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</si>
  <si>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</si>
  <si>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</si>
  <si>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</si>
  <si>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</si>
  <si>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</si>
  <si>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</si>
  <si>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</si>
  <si>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</si>
  <si>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</si>
  <si>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</si>
  <si>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</si>
  <si>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</si>
  <si>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</si>
  <si>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</si>
  <si>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</si>
  <si>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</si>
  <si>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</si>
  <si>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</si>
  <si>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</si>
  <si>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</si>
  <si>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</si>
  <si>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</si>
  <si>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</si>
  <si>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</si>
  <si>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</si>
  <si>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</si>
  <si>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</si>
  <si>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</si>
  <si>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</si>
  <si>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</si>
  <si>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</si>
  <si>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</si>
  <si>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</si>
  <si>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</si>
  <si>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</si>
  <si>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</si>
  <si>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</si>
  <si>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</si>
  <si>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</si>
  <si>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</si>
  <si>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</si>
  <si>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</si>
  <si>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</si>
  <si>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</si>
  <si>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</si>
  <si>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</si>
  <si>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</si>
  <si>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</si>
  <si>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</si>
  <si>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</si>
  <si>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</si>
  <si>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</si>
  <si>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</si>
  <si>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</si>
  <si>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</si>
  <si>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</si>
  <si>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</si>
  <si>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</si>
  <si>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</si>
  <si>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</si>
  <si>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</si>
  <si>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</si>
  <si>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</si>
  <si>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</si>
  <si>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</si>
  <si>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</si>
  <si>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</si>
  <si>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</si>
  <si>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</si>
  <si>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</si>
  <si>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</si>
  <si>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</si>
  <si>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</si>
  <si>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</si>
  <si>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</si>
  <si>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</si>
  <si>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</si>
  <si>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</si>
  <si>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</si>
  <si>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</si>
  <si>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</si>
  <si>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</si>
  <si>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</si>
  <si>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</si>
  <si>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</si>
  <si>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</si>
  <si>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</si>
  <si>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</si>
  <si>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</si>
  <si>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</si>
  <si>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</si>
  <si>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</si>
  <si>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</si>
  <si>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</si>
  <si>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</si>
  <si>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</si>
  <si>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</si>
  <si>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</si>
  <si>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</si>
  <si>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</si>
  <si>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</si>
  <si>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</si>
  <si>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</si>
  <si>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</si>
  <si>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</si>
  <si>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</si>
  <si>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</si>
  <si>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</si>
  <si>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</si>
  <si>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</si>
  <si>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</si>
  <si>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</si>
  <si>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</si>
  <si>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</si>
  <si>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</si>
  <si>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</si>
  <si>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</si>
  <si>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</si>
  <si>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</si>
  <si>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</si>
  <si>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</si>
  <si>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</si>
  <si>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</si>
  <si>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</si>
  <si>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</si>
  <si>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</si>
  <si>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</si>
  <si>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</si>
  <si>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</si>
  <si>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</si>
  <si>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</si>
  <si>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</si>
  <si>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</si>
  <si>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</si>
  <si>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</si>
  <si>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</si>
  <si>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</si>
  <si>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</si>
  <si>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</si>
  <si>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</si>
  <si>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</si>
  <si>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</si>
  <si>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</si>
  <si>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</si>
  <si>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</si>
  <si>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</si>
  <si>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</si>
  <si>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</si>
  <si>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</si>
  <si>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</si>
  <si>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</si>
  <si>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</si>
  <si>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</si>
  <si>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</si>
  <si>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</si>
  <si>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</si>
  <si>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</si>
  <si>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</si>
  <si>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</si>
  <si>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</si>
  <si>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</si>
  <si>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</si>
  <si>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</si>
  <si>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</si>
  <si>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</si>
  <si>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</si>
  <si>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</si>
  <si>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</si>
  <si>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</si>
  <si>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</si>
  <si>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</si>
  <si>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</si>
  <si>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</si>
  <si>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</si>
  <si>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</si>
  <si>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</si>
  <si>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</si>
  <si>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</si>
  <si>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</si>
  <si>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</si>
  <si>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</si>
  <si>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</si>
  <si>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</si>
  <si>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</si>
  <si>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</si>
  <si>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</si>
  <si>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</si>
  <si>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</si>
  <si>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</si>
  <si>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</si>
  <si>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</si>
  <si>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</si>
  <si>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</si>
  <si>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</si>
  <si>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</si>
  <si>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</si>
  <si>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</si>
  <si>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</si>
  <si>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</si>
  <si>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</si>
  <si>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</si>
  <si>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</si>
  <si>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</si>
  <si>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</si>
  <si>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</si>
  <si>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</si>
  <si>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</si>
  <si>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</si>
  <si>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</si>
  <si>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</si>
  <si>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</si>
  <si>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</si>
  <si>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</si>
  <si>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</si>
  <si>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</si>
  <si>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</si>
  <si>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</si>
  <si>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</si>
  <si>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</si>
  <si>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</si>
  <si>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</si>
  <si>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</si>
  <si>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</si>
  <si>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</si>
  <si>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</si>
  <si>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</si>
  <si>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</si>
  <si>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</si>
  <si>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</si>
  <si>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</si>
  <si>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</si>
  <si>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</si>
  <si>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</si>
  <si>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</si>
  <si>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</si>
  <si>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</si>
  <si>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</si>
  <si>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</si>
  <si>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</si>
  <si>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</si>
  <si>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</si>
  <si>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</si>
  <si>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</si>
  <si>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</si>
  <si>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</si>
  <si>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</si>
  <si>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</si>
  <si>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</si>
  <si>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</si>
  <si>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</si>
  <si>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</si>
  <si>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</si>
  <si>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</si>
  <si>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</si>
  <si>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</si>
  <si>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</si>
  <si>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</si>
  <si>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</si>
  <si>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</si>
  <si>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</si>
  <si>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</si>
  <si>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</si>
  <si>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</si>
  <si>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</si>
  <si>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</si>
  <si>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</si>
  <si>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</si>
  <si>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</si>
  <si>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</si>
  <si>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</si>
  <si>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</si>
  <si>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</si>
  <si>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</si>
  <si>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</si>
  <si>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</si>
  <si>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</si>
  <si>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</si>
  <si>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</si>
  <si>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</si>
  <si>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</si>
  <si>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</si>
  <si>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</si>
  <si>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</si>
  <si>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</si>
  <si>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</si>
  <si>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</si>
  <si>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</si>
  <si>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</si>
  <si>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</si>
  <si>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</si>
  <si>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</si>
  <si>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</si>
  <si>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</si>
  <si>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</si>
  <si>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</si>
  <si>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</si>
  <si>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</si>
  <si>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</si>
  <si>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</si>
  <si>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</si>
  <si>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</si>
  <si>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</si>
  <si>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</si>
  <si>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</si>
  <si>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</si>
  <si>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</si>
  <si>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</si>
  <si>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</si>
  <si>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</si>
  <si>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</si>
  <si>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</si>
  <si>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</si>
  <si>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</si>
  <si>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</si>
  <si>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</si>
  <si>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</si>
  <si>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</si>
  <si>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</si>
  <si>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</si>
  <si>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</si>
  <si>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</si>
  <si>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</si>
  <si>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</si>
  <si>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</si>
  <si>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</si>
  <si>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</si>
  <si>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</si>
  <si>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</si>
  <si>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</si>
  <si>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</si>
  <si>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</si>
  <si>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</si>
  <si>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</si>
  <si>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</si>
  <si>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</si>
  <si>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</si>
  <si>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</si>
  <si>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</si>
  <si>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</si>
  <si>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</si>
  <si>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</si>
  <si>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</si>
  <si>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</si>
  <si>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</si>
  <si>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</si>
  <si>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</si>
  <si>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</si>
  <si>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</si>
  <si>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</si>
  <si>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</si>
  <si>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</si>
  <si>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</si>
  <si>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</si>
  <si>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</si>
  <si>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</si>
  <si>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</si>
  <si>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</si>
  <si>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</si>
  <si>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</si>
  <si>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</si>
  <si>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</si>
  <si>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</si>
  <si>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</si>
  <si>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</si>
  <si>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</si>
  <si>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</si>
  <si>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</si>
  <si>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</si>
  <si>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</si>
  <si>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</si>
  <si>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</si>
  <si>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</si>
  <si>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</si>
  <si>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</si>
  <si>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</si>
  <si>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</si>
  <si>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</si>
  <si>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</si>
  <si>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</si>
  <si>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</si>
  <si>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</si>
  <si>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</si>
  <si>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</si>
  <si>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</si>
  <si>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</si>
  <si>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</si>
  <si>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</si>
  <si>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</si>
  <si>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</si>
  <si>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</si>
  <si>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</si>
  <si>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</si>
  <si>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</si>
  <si>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</si>
  <si>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</si>
  <si>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</si>
  <si>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</si>
  <si>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</si>
  <si>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</si>
  <si>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</si>
  <si>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</si>
  <si>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</si>
  <si>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</si>
  <si>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</si>
  <si>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</si>
  <si>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</si>
  <si>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</si>
  <si>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</si>
  <si>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</si>
  <si>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</si>
  <si>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</si>
  <si>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</si>
  <si>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</si>
  <si>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</si>
  <si>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</si>
  <si>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</si>
  <si>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</si>
  <si>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</si>
  <si>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</si>
  <si>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</si>
  <si>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</si>
  <si>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</si>
  <si>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</si>
  <si>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</si>
  <si>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</si>
  <si>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</si>
  <si>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</si>
  <si>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</si>
  <si>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</si>
  <si>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</si>
  <si>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</si>
  <si>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</si>
  <si>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</si>
  <si>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</si>
  <si>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</si>
  <si>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</si>
  <si>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</si>
  <si>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</si>
  <si>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</si>
  <si>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</si>
  <si>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</si>
  <si>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</si>
  <si>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</si>
  <si>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</si>
  <si>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</si>
  <si>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</si>
  <si>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</si>
  <si>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</si>
  <si>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</si>
  <si>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</si>
  <si>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</si>
  <si>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</si>
  <si>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</si>
  <si>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</si>
  <si>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</si>
  <si>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</si>
  <si>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</si>
  <si>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</si>
  <si>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</si>
  <si>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</si>
  <si>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</si>
  <si>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</si>
  <si>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</si>
  <si>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</si>
  <si>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</si>
  <si>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</si>
  <si>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</si>
  <si>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</si>
  <si>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</si>
  <si>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</si>
  <si>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</si>
  <si>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</si>
  <si>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</si>
  <si>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</si>
  <si>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</si>
  <si>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</si>
  <si>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</si>
  <si>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</si>
  <si>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</si>
  <si>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</si>
  <si>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</si>
  <si>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</si>
  <si>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</si>
  <si>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</si>
  <si>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</si>
  <si>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</si>
  <si>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</si>
  <si>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</si>
  <si>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</si>
  <si>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</si>
  <si>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</si>
  <si>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</si>
  <si>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</si>
  <si>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</si>
  <si>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</si>
  <si>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</si>
  <si>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</si>
  <si>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</si>
  <si>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</si>
  <si>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</si>
  <si>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</si>
  <si>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</si>
  <si>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</si>
  <si>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</si>
  <si>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</si>
  <si>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</si>
  <si>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</si>
  <si>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</si>
  <si>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</si>
  <si>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</si>
  <si>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</si>
  <si>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</si>
  <si>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</si>
  <si>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</si>
  <si>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</si>
  <si>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</si>
  <si>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</si>
  <si>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</si>
  <si>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</si>
  <si>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</si>
  <si>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</si>
  <si>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</si>
  <si>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</si>
  <si>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</si>
  <si>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</si>
  <si>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</si>
  <si>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</si>
  <si>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</si>
  <si>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</si>
  <si>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</si>
  <si>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</si>
  <si>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</si>
  <si>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</si>
  <si>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</si>
  <si>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</si>
  <si>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</si>
  <si>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</si>
  <si>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</si>
  <si>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</si>
  <si>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</si>
  <si>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</si>
  <si>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</si>
  <si>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</si>
  <si>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</si>
  <si>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</si>
  <si>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</si>
  <si>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</si>
  <si>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</si>
  <si>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</si>
  <si>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</si>
  <si>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</si>
  <si>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</si>
  <si>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</si>
  <si>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</si>
  <si>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</si>
  <si>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</si>
  <si>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</si>
  <si>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</si>
  <si>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</si>
  <si>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</si>
  <si>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</si>
  <si>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</si>
  <si>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</si>
  <si>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</si>
  <si>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</si>
  <si>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</si>
  <si>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</si>
  <si>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</si>
  <si>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</si>
  <si>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</si>
  <si>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</si>
  <si>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</si>
  <si>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</si>
  <si>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</si>
  <si>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</si>
  <si>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</si>
  <si>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</si>
  <si>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</si>
  <si>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</si>
  <si>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</si>
  <si>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</si>
  <si>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</si>
  <si>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</si>
  <si>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</si>
  <si>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</si>
  <si>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</si>
  <si>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</si>
  <si>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</si>
  <si>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</si>
  <si>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</si>
  <si>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</si>
  <si>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</si>
  <si>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</si>
  <si>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</si>
  <si>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</si>
  <si>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</si>
  <si>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</si>
  <si>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</si>
  <si>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</si>
  <si>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</si>
  <si>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</si>
  <si>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</si>
  <si>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</si>
  <si>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</si>
  <si>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</si>
  <si>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</si>
  <si>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</si>
  <si>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</si>
  <si>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</si>
  <si>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</si>
  <si>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</si>
  <si>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</si>
  <si>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</si>
  <si>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</si>
  <si>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</si>
  <si>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</si>
  <si>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</si>
  <si>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</si>
  <si>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</si>
  <si>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</si>
  <si>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</si>
  <si>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</si>
  <si>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</si>
  <si>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</si>
  <si>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</si>
  <si>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</si>
  <si>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</si>
  <si>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</si>
  <si>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</si>
  <si>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</si>
  <si>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</si>
  <si>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</si>
  <si>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</si>
  <si>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</si>
  <si>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</si>
  <si>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</si>
  <si>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</si>
  <si>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</si>
  <si>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</si>
  <si>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</si>
  <si>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</si>
  <si>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</si>
  <si>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</si>
  <si>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</si>
  <si>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</si>
  <si>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</si>
  <si>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</si>
  <si>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</si>
  <si>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</si>
  <si>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</si>
  <si>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</si>
  <si>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</si>
  <si>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</si>
  <si>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</si>
  <si>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</si>
  <si>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</si>
  <si>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</si>
  <si>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</si>
  <si>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</si>
  <si>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</si>
  <si>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</si>
  <si>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</si>
  <si>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</si>
  <si>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</si>
  <si>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</si>
  <si>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</si>
  <si>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</si>
  <si>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</si>
  <si>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</si>
  <si>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</si>
  <si>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</si>
  <si>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</si>
  <si>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</si>
  <si>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</si>
  <si>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</si>
  <si>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</si>
  <si>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</si>
  <si>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</si>
  <si>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</si>
  <si>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</si>
  <si>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</si>
  <si>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</si>
  <si>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</si>
  <si>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</si>
  <si>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</si>
  <si>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</si>
  <si>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</si>
  <si>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</si>
  <si>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</si>
  <si>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</si>
  <si>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</si>
  <si>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</si>
  <si>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</si>
  <si>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</si>
  <si>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</si>
  <si>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</si>
  <si>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</si>
  <si>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</si>
  <si>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</si>
  <si>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</si>
  <si>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</si>
  <si>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</si>
  <si>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</si>
  <si>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</si>
  <si>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</si>
  <si>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</si>
  <si>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</si>
  <si>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</si>
  <si>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</si>
  <si>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</si>
  <si>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</si>
  <si>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</si>
  <si>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</si>
  <si>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</si>
  <si>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</si>
  <si>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</si>
  <si>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</si>
  <si>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</si>
  <si>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</si>
  <si>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</si>
  <si>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</si>
  <si>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</si>
  <si>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</si>
  <si>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</si>
  <si>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</si>
  <si>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</si>
  <si>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</si>
  <si>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</si>
  <si>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</si>
  <si>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</si>
  <si>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</si>
  <si>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</si>
  <si>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</si>
  <si>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</si>
  <si>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</si>
  <si>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</si>
  <si>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</si>
  <si>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</si>
  <si>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</si>
  <si>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</si>
  <si>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</si>
  <si>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</si>
  <si>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</si>
  <si>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</si>
  <si>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</si>
  <si>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</si>
  <si>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</si>
  <si>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</si>
  <si>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</si>
  <si>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</si>
  <si>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</si>
  <si>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</si>
  <si>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</si>
  <si>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</si>
  <si>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</si>
  <si>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</si>
  <si>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</si>
  <si>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</si>
  <si>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</si>
  <si>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</si>
  <si>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</si>
  <si>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</si>
  <si>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</si>
  <si>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</si>
  <si>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</si>
  <si>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</si>
  <si>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</si>
  <si>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</si>
  <si>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</si>
  <si>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</si>
  <si>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</si>
  <si>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</si>
  <si>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</si>
  <si>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</si>
  <si>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</si>
  <si>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</si>
  <si>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</si>
  <si>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</si>
  <si>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</si>
  <si>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</si>
  <si>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</si>
  <si>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</si>
  <si>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</si>
  <si>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</si>
  <si>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</si>
  <si>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</si>
  <si>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</si>
  <si>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</si>
  <si>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</si>
  <si>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</si>
  <si>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</si>
  <si>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</si>
  <si>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</si>
  <si>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</si>
  <si>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</si>
  <si>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</si>
  <si>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</si>
  <si>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</si>
  <si>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</si>
  <si>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</si>
  <si>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</si>
  <si>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</si>
  <si>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</si>
  <si>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</si>
  <si>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</si>
  <si>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</si>
  <si>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</si>
  <si>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</si>
  <si>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</si>
  <si>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</si>
  <si>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</si>
  <si>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</si>
  <si>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</si>
  <si>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</si>
  <si>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</si>
  <si>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</si>
  <si>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</si>
  <si>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</si>
  <si>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</si>
  <si>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</si>
  <si>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</si>
  <si>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</si>
  <si>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</si>
  <si>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</si>
  <si>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</si>
  <si>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</si>
  <si>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</si>
  <si>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</si>
  <si>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</si>
  <si>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</si>
  <si>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</si>
  <si>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</si>
  <si>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</si>
  <si>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</si>
  <si>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</si>
  <si>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</si>
  <si>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</si>
  <si>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</si>
  <si>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</si>
  <si>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</si>
  <si>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</si>
  <si>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</si>
  <si>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</si>
  <si>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</si>
  <si>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</si>
  <si>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</si>
  <si>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</si>
  <si>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</si>
  <si>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</si>
  <si>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</si>
  <si>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</si>
  <si>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</si>
  <si>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</si>
  <si>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</si>
  <si>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</si>
  <si>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</si>
  <si>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</si>
  <si>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</si>
  <si>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</si>
  <si>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</si>
  <si>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</si>
  <si>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</si>
  <si>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</si>
  <si>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</si>
  <si>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</si>
  <si>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</si>
  <si>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</si>
  <si>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</si>
  <si>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</si>
  <si>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</si>
  <si>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</si>
  <si>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</si>
  <si>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</si>
  <si>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</si>
  <si>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</si>
  <si>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</si>
  <si>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</si>
  <si>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</si>
  <si>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</si>
  <si>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</si>
  <si>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</si>
  <si>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</si>
  <si>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</si>
  <si>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</si>
  <si>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</si>
  <si>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</si>
  <si>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</si>
  <si>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</si>
  <si>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</si>
  <si>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</si>
  <si>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</si>
  <si>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</si>
  <si>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</si>
  <si>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</si>
  <si>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</si>
  <si>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</si>
  <si>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</si>
  <si>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</si>
  <si>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</si>
  <si>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</si>
  <si>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</si>
  <si>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</si>
  <si>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</si>
  <si>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</si>
  <si>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</si>
  <si>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</si>
  <si>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</si>
  <si>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</si>
  <si>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</si>
  <si>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</si>
  <si>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</si>
  <si>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</si>
  <si>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</si>
  <si>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</si>
  <si>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</si>
  <si>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</si>
  <si>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</si>
  <si>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</si>
  <si>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</si>
  <si>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</si>
  <si>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</si>
  <si>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</si>
  <si>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</si>
  <si>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</si>
  <si>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</si>
  <si>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</si>
  <si>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</si>
  <si>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</si>
  <si>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</si>
  <si>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</si>
  <si>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</si>
  <si>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</si>
  <si>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</si>
  <si>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</si>
  <si>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</si>
  <si>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</si>
  <si>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</si>
  <si>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</si>
  <si>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</si>
  <si>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</si>
  <si>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</si>
  <si>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</si>
  <si>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</si>
  <si>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</si>
  <si>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</si>
  <si>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</si>
  <si>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</si>
  <si>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</si>
  <si>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</si>
  <si>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</si>
  <si>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</si>
  <si>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</si>
  <si>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</si>
  <si>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</si>
  <si>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</si>
  <si>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</si>
  <si>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</si>
  <si>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</si>
  <si>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</si>
  <si>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</si>
  <si>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</si>
  <si>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</si>
  <si>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</si>
  <si>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</si>
  <si>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</si>
  <si>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</si>
  <si>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</si>
  <si>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</si>
  <si>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</si>
  <si>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</si>
  <si>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</si>
  <si>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</si>
  <si>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</si>
  <si>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</si>
  <si>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</si>
  <si>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</si>
  <si>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</si>
  <si>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</si>
  <si>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</si>
  <si>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</si>
  <si>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</si>
  <si>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</si>
  <si>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</si>
  <si>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</si>
  <si>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</si>
  <si>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</si>
  <si>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</si>
  <si>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</si>
  <si>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</si>
  <si>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</si>
  <si>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</si>
  <si>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</si>
  <si>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</si>
  <si>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</si>
  <si>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</si>
  <si>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</si>
  <si>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</si>
  <si>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</si>
  <si>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</si>
  <si>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</si>
  <si>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</si>
  <si>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</si>
  <si>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</si>
  <si>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</si>
  <si>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</si>
  <si>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</si>
  <si>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</si>
  <si>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</si>
  <si>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</si>
  <si>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</si>
  <si>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</si>
  <si>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</si>
  <si>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</si>
  <si>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</si>
  <si>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</si>
  <si>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</si>
  <si>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</si>
  <si>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</si>
  <si>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</si>
  <si>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</si>
  <si>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</si>
  <si>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</si>
  <si>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</si>
  <si>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</si>
  <si>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</si>
  <si>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</si>
  <si>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</si>
  <si>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</si>
  <si>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</si>
  <si>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</si>
  <si>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</si>
  <si>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</si>
  <si>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</si>
  <si>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</si>
  <si>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</si>
  <si>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</si>
  <si>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</si>
  <si>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</si>
  <si>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</si>
  <si>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</si>
  <si>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</si>
  <si>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</si>
  <si>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</si>
  <si>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</si>
  <si>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</si>
  <si>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</si>
  <si>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</si>
  <si>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</si>
  <si>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</si>
  <si>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</si>
  <si>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</si>
  <si>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</si>
  <si>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</si>
  <si>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</si>
  <si>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</si>
  <si>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</si>
  <si>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</si>
  <si>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</si>
  <si>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</si>
  <si>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</si>
  <si>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</si>
  <si>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</si>
  <si>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</si>
  <si>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</si>
  <si>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</si>
  <si>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</si>
  <si>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</si>
  <si>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</si>
  <si>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</si>
  <si>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</si>
  <si>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</si>
  <si>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</si>
  <si>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</si>
  <si>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</si>
  <si>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</si>
  <si>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</si>
  <si>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</si>
  <si>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</si>
  <si>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</si>
  <si>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</si>
  <si>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</si>
  <si>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</si>
  <si>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</si>
  <si>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</si>
  <si>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</si>
  <si>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</si>
  <si>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</si>
  <si>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</si>
  <si>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</si>
  <si>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</si>
  <si>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</si>
  <si>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</si>
  <si>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</si>
  <si>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</si>
  <si>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</si>
  <si>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</si>
  <si>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</si>
  <si>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</si>
  <si>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</si>
  <si>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</si>
  <si>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</si>
  <si>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</si>
  <si>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</si>
  <si>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</si>
  <si>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</si>
  <si>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</si>
  <si>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</si>
  <si>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</si>
  <si>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</si>
  <si>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</si>
  <si>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</si>
  <si>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</si>
  <si>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</si>
  <si>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</si>
  <si>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</si>
  <si>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</si>
  <si>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</si>
  <si>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</si>
  <si>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</si>
  <si>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</si>
  <si>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</si>
  <si>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</si>
  <si>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</si>
  <si>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</si>
  <si>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</si>
  <si>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</si>
  <si>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</si>
  <si>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</si>
  <si>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</si>
  <si>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</si>
  <si>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</si>
  <si>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</si>
  <si>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</si>
  <si>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</si>
  <si>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</si>
  <si>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</si>
  <si>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</si>
  <si>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</si>
  <si>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</si>
  <si>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</si>
  <si>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</si>
  <si>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</si>
  <si>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</si>
  <si>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</si>
  <si>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</si>
  <si>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</si>
  <si>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</si>
  <si>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</si>
  <si>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</si>
  <si>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</si>
  <si>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</si>
  <si>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</si>
  <si>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</si>
  <si>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</si>
  <si>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</si>
  <si>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</si>
  <si>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</si>
  <si>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</si>
  <si>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</si>
  <si>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</si>
  <si>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</si>
  <si>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</si>
  <si>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</si>
  <si>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</si>
  <si>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</si>
  <si>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</si>
  <si>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</si>
  <si>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</si>
  <si>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</si>
  <si>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</si>
  <si>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</si>
  <si>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</si>
  <si>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</si>
  <si>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</si>
  <si>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</si>
  <si>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</si>
  <si>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</si>
  <si>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</si>
  <si>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</si>
  <si>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</si>
  <si>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</si>
  <si>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</si>
  <si>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</si>
  <si>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</si>
  <si>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</si>
  <si>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</si>
  <si>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</si>
  <si>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</si>
  <si>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</si>
  <si>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</si>
  <si>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</si>
  <si>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</si>
  <si>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</si>
  <si>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</si>
  <si>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</si>
  <si>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</si>
  <si>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</si>
  <si>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</si>
  <si>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</si>
  <si>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</si>
  <si>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</si>
  <si>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</si>
  <si>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</si>
  <si>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</si>
  <si>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</si>
  <si>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</si>
  <si>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</si>
  <si>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</si>
  <si>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</si>
  <si>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</si>
  <si>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</si>
  <si>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</si>
  <si>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</si>
  <si>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</si>
  <si>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</si>
  <si>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</si>
  <si>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</si>
  <si>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</si>
  <si>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</si>
  <si>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</si>
  <si>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</si>
  <si>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</si>
  <si>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</si>
  <si>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</si>
  <si>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</si>
  <si>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</si>
  <si>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</si>
  <si>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</si>
  <si>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</si>
  <si>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</si>
  <si>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</si>
  <si>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</si>
  <si>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</si>
  <si>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</si>
  <si>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</si>
  <si>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</si>
  <si>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</si>
  <si>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</si>
  <si>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</si>
  <si>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</si>
  <si>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</si>
  <si>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</si>
  <si>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</si>
  <si>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</si>
  <si>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</si>
  <si>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</si>
  <si>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</si>
  <si>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</si>
  <si>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</si>
  <si>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</si>
  <si>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</si>
  <si>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</si>
  <si>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</si>
  <si>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</si>
  <si>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</si>
  <si>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</si>
  <si>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</si>
  <si>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</si>
  <si>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</si>
  <si>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</si>
  <si>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</si>
  <si>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</si>
  <si>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</si>
  <si>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</si>
  <si>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</si>
  <si>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</si>
  <si>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</si>
  <si>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</si>
  <si>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</si>
  <si>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</si>
  <si>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</si>
  <si>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</si>
  <si>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</si>
  <si>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</si>
  <si>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</si>
  <si>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</si>
  <si>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</si>
  <si>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</si>
  <si>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</si>
  <si>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</si>
  <si>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</si>
  <si>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</si>
  <si>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</si>
  <si>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</si>
  <si>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</si>
  <si>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</si>
  <si>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</si>
  <si>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</si>
  <si>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</si>
  <si>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</si>
  <si>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</si>
  <si>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</si>
  <si>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</si>
  <si>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</si>
  <si>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</si>
  <si>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</si>
  <si>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</si>
  <si>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</si>
  <si>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</si>
  <si>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</si>
  <si>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</si>
  <si>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</si>
  <si>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</si>
  <si>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</si>
  <si>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</si>
  <si>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</si>
  <si>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</si>
  <si>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</si>
  <si>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</si>
  <si>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</si>
  <si>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</si>
  <si>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</si>
  <si>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</si>
  <si>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</si>
  <si>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</si>
  <si>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</si>
  <si>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</si>
  <si>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</si>
  <si>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</si>
  <si>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</si>
  <si>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</si>
  <si>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</si>
  <si>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</si>
  <si>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</si>
  <si>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</si>
  <si>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</si>
  <si>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</si>
  <si>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</si>
  <si>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</si>
  <si>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</si>
  <si>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</si>
  <si>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</si>
  <si>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</si>
  <si>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</si>
  <si>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</si>
  <si>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</si>
  <si>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</si>
  <si>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</si>
  <si>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</si>
  <si>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</si>
  <si>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</si>
  <si>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</si>
  <si>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</si>
  <si>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</si>
  <si>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</si>
  <si>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</si>
  <si>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</si>
  <si>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</si>
  <si>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</si>
  <si>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</si>
  <si>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</si>
  <si>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</si>
  <si>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</si>
  <si>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</si>
  <si>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</si>
  <si>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</si>
  <si>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</si>
  <si>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</si>
  <si>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</si>
  <si>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</si>
  <si>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</si>
  <si>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</si>
  <si>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</si>
  <si>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</si>
  <si>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</si>
  <si>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</si>
  <si>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</si>
  <si>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</si>
  <si>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</si>
  <si>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</si>
  <si>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</si>
  <si>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</si>
  <si>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</si>
  <si>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</si>
  <si>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</si>
  <si>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</si>
  <si>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</si>
  <si>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</si>
  <si>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</si>
  <si>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</si>
  <si>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</si>
  <si>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</si>
  <si>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</si>
  <si>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</si>
  <si>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</si>
  <si>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</si>
  <si>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</si>
  <si>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</si>
  <si>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</si>
  <si>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</si>
  <si>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</si>
  <si>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</si>
  <si>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</si>
  <si>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</si>
  <si>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</si>
  <si>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</si>
  <si>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</si>
  <si>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</si>
  <si>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</si>
  <si>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</si>
  <si>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</si>
  <si>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</si>
  <si>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</si>
  <si>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</si>
  <si>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</si>
  <si>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</si>
  <si>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</si>
  <si>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</si>
  <si>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</si>
  <si>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</si>
  <si>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</si>
  <si>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</si>
  <si>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</si>
  <si>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</si>
  <si>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</si>
  <si>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</si>
  <si>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</si>
  <si>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</si>
  <si>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</si>
  <si>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</si>
  <si>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</si>
  <si>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</si>
  <si>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</si>
  <si>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</si>
  <si>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</si>
  <si>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</si>
  <si>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</si>
  <si>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</si>
  <si>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</si>
  <si>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</si>
  <si>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</si>
  <si>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</si>
  <si>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</si>
  <si>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</si>
  <si>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</si>
  <si>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</si>
  <si>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</si>
  <si>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</si>
  <si>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</si>
  <si>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</si>
  <si>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</si>
  <si>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</si>
  <si>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</si>
  <si>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</si>
  <si>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</si>
  <si>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</si>
  <si>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</si>
  <si>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</si>
  <si>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</si>
  <si>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</si>
  <si>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</si>
  <si>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</si>
  <si>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</si>
  <si>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</si>
  <si>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</si>
  <si>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</si>
  <si>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</si>
  <si>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</si>
  <si>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</si>
  <si>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</si>
  <si>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</si>
  <si>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</si>
  <si>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</si>
  <si>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</si>
  <si>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</si>
  <si>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</si>
  <si>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</si>
  <si>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</si>
  <si>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</si>
  <si>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</si>
  <si>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</si>
  <si>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</si>
  <si>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</si>
  <si>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</si>
  <si>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</si>
  <si>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</si>
  <si>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</si>
  <si>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</si>
  <si>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</si>
  <si>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</si>
  <si>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</si>
  <si>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</si>
  <si>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</si>
  <si>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</si>
  <si>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</si>
  <si>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</si>
  <si>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</si>
  <si>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</si>
  <si>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</si>
  <si>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</si>
  <si>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</si>
  <si>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</si>
  <si>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</si>
  <si>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</si>
  <si>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</si>
  <si>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</si>
  <si>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</si>
  <si>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</si>
  <si>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</si>
  <si>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</si>
  <si>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</si>
  <si>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</si>
  <si>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</si>
  <si>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</si>
  <si>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</si>
  <si>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</si>
  <si>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</si>
  <si>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</si>
  <si>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</si>
  <si>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</si>
  <si>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</si>
  <si>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</si>
  <si>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</si>
  <si>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</si>
  <si>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</si>
  <si>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</si>
  <si>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</si>
  <si>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</si>
  <si>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</si>
  <si>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</si>
  <si>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</si>
  <si>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</si>
  <si>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</si>
  <si>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</si>
  <si>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</si>
  <si>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</si>
  <si>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</si>
  <si>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</si>
  <si>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</si>
  <si>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</si>
  <si>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</si>
  <si>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</si>
  <si>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</si>
  <si>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</si>
  <si>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</si>
  <si>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</si>
  <si>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</si>
  <si>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</si>
  <si>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</si>
  <si>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</si>
  <si>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</si>
  <si>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</si>
  <si>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</si>
  <si>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</si>
  <si>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</si>
  <si>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</si>
  <si>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</si>
  <si>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</si>
  <si>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</si>
  <si>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</si>
  <si>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</si>
  <si>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</si>
  <si>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</si>
  <si>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</si>
  <si>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</si>
  <si>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</si>
  <si>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</si>
  <si>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</si>
  <si>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</si>
  <si>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</si>
  <si>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</si>
  <si>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</si>
  <si>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</si>
  <si>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</si>
  <si>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</si>
  <si>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</si>
  <si>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</si>
  <si>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</si>
  <si>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</si>
  <si>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</si>
  <si>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</si>
  <si>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</si>
  <si>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</si>
  <si>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</si>
  <si>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</si>
  <si>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</si>
  <si>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</si>
  <si>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</si>
  <si>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</si>
  <si>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</si>
  <si>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</si>
  <si>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</si>
  <si>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</si>
  <si>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</si>
  <si>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</si>
  <si>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</si>
  <si>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</si>
  <si>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</si>
  <si>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</si>
  <si>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</si>
  <si>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</si>
  <si>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</si>
  <si>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</si>
  <si>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</si>
  <si>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</si>
  <si>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</si>
  <si>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</si>
  <si>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</si>
  <si>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</si>
  <si>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</si>
  <si>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</si>
  <si>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</si>
  <si>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</si>
  <si>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</si>
  <si>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</si>
  <si>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-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</si>
  <si>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</si>
  <si>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</si>
  <si>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</si>
  <si>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</si>
  <si>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</si>
  <si>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</si>
  <si>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</si>
  <si>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</si>
  <si>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</si>
  <si>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</si>
  <si>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</si>
  <si>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</si>
  <si>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</si>
  <si>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</si>
  <si>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</si>
  <si>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</si>
  <si>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</si>
  <si>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</si>
  <si>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</si>
  <si>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</si>
  <si>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</si>
  <si>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</si>
  <si>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</si>
  <si>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</si>
  <si>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</si>
  <si>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</si>
  <si>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</si>
  <si>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</si>
  <si>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</si>
  <si>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</si>
  <si>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</si>
  <si>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</si>
  <si>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</si>
  <si>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</si>
  <si>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</si>
  <si>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</si>
  <si>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</si>
  <si>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</si>
  <si>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</si>
  <si>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</si>
  <si>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</si>
  <si>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</si>
  <si>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</si>
  <si>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</si>
  <si>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</si>
  <si>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</si>
  <si>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</si>
  <si>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</si>
  <si>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</si>
  <si>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</si>
  <si>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</si>
  <si>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</si>
  <si>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</si>
  <si>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</si>
  <si>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</si>
  <si>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</si>
  <si>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</si>
  <si>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</si>
  <si>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</si>
  <si>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</si>
  <si>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</si>
  <si>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</si>
  <si>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</si>
  <si>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</si>
  <si>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</si>
  <si>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</si>
  <si>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</si>
  <si>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</si>
  <si>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</si>
  <si>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</si>
  <si>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</si>
  <si>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</si>
  <si>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</si>
  <si>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</si>
  <si>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</si>
  <si>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</si>
  <si>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</si>
  <si>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</si>
  <si>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</si>
  <si>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</si>
  <si>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</si>
  <si>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</si>
  <si>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</si>
  <si>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</si>
  <si>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</si>
  <si>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</si>
  <si>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</si>
  <si>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</si>
  <si>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</si>
  <si>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</si>
  <si>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</si>
  <si>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</si>
  <si>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</si>
  <si>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</si>
  <si>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</si>
  <si>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</si>
  <si>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</si>
  <si>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</si>
  <si>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</si>
  <si>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</si>
  <si>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</si>
  <si>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</si>
  <si>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</si>
  <si>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</si>
  <si>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</si>
  <si>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</si>
  <si>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</si>
  <si>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</si>
  <si>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</si>
  <si>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</si>
  <si>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</si>
  <si>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</si>
  <si>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</si>
  <si>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</si>
  <si>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</si>
  <si>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</si>
  <si>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</si>
  <si>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</si>
  <si>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</si>
  <si>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</si>
  <si>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</si>
  <si>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</si>
  <si>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</si>
  <si>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</si>
  <si>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</si>
  <si>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</si>
  <si>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</si>
  <si>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</si>
  <si>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</si>
  <si>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</si>
  <si>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</si>
  <si>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</si>
  <si>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</si>
  <si>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</si>
  <si>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</si>
  <si>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</si>
  <si>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</si>
  <si>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</si>
  <si>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</si>
  <si>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</si>
  <si>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</si>
  <si>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</si>
  <si>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</si>
  <si>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</si>
  <si>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</si>
  <si>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</si>
  <si>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</si>
  <si>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</si>
  <si>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</si>
  <si>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</si>
  <si>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</si>
  <si>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</si>
  <si>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</si>
  <si>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</si>
  <si>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</si>
  <si>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</si>
  <si>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</si>
  <si>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</si>
  <si>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</si>
  <si>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</si>
  <si>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</si>
  <si>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</si>
  <si>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2026-018</t>
  </si>
  <si>
    <t>Tcendo o Futuro 1</t>
  </si>
  <si>
    <t>24/04/2026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</si>
  <si>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</si>
  <si>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</si>
  <si>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</si>
  <si>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</si>
  <si>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</si>
  <si>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</si>
  <si>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</si>
  <si>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</si>
  <si>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</si>
  <si>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</si>
  <si>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</si>
  <si>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</si>
  <si>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</si>
  <si>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</si>
  <si>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</si>
  <si>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</si>
  <si>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</si>
  <si>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</si>
  <si>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</si>
  <si>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(IESB)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</si>
  <si>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</si>
  <si>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</si>
  <si>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</si>
  <si>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</si>
  <si>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</si>
  <si>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</si>
  <si>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</si>
  <si>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</si>
  <si>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</si>
  <si>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</si>
  <si>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</si>
  <si>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</si>
  <si>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</si>
  <si>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</si>
  <si>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</si>
  <si>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</si>
  <si>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</si>
  <si>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</si>
  <si>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</si>
  <si>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</si>
  <si>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</si>
  <si>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</si>
  <si>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</si>
  <si>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</si>
  <si>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</si>
  <si>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</si>
  <si>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</si>
  <si>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</si>
  <si>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</si>
  <si>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</si>
  <si>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</si>
  <si>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e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</si>
  <si>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</si>
  <si>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</si>
  <si>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</si>
  <si>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</si>
  <si>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</si>
  <si>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</si>
  <si>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</si>
  <si>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</si>
  <si>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</si>
  <si>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</si>
  <si>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</si>
  <si>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</si>
  <si>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</si>
  <si>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</si>
  <si>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</si>
  <si>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</si>
  <si>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</si>
  <si>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</si>
  <si>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</si>
  <si>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</si>
  <si>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</si>
  <si>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</si>
  <si>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</si>
  <si>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</si>
  <si>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</si>
  <si>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</si>
  <si>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</si>
  <si>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</si>
  <si>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</si>
  <si>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</si>
  <si>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</si>
  <si>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</si>
  <si>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</si>
  <si>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</si>
  <si>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</si>
  <si>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</si>
  <si>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</si>
  <si>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</si>
  <si>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</si>
  <si>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</si>
  <si>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</si>
  <si>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</si>
  <si>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</si>
  <si>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</si>
  <si>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</si>
  <si>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</si>
  <si>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</si>
  <si>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</si>
  <si>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</si>
  <si>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</si>
  <si>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</si>
  <si>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</si>
  <si>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</si>
  <si>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</si>
  <si>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</si>
  <si>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</si>
  <si>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</si>
  <si>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</si>
  <si>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</si>
  <si>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</si>
  <si>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</si>
  <si>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</si>
  <si>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</si>
  <si>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</si>
  <si>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</si>
  <si>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</si>
  <si>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</si>
  <si>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</si>
  <si>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</si>
  <si>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</si>
  <si>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</si>
  <si>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</si>
  <si>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</si>
  <si>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</si>
  <si>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</si>
  <si>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</si>
  <si>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</si>
  <si>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</si>
  <si>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</si>
  <si>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</si>
  <si>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</si>
  <si>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</si>
  <si>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</si>
  <si>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</si>
  <si>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</si>
  <si>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</si>
  <si>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</si>
  <si>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</si>
  <si>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</si>
  <si>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</si>
  <si>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</si>
  <si>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</si>
  <si>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</si>
  <si>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</si>
  <si>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</si>
  <si>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</si>
  <si>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</si>
  <si>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</si>
  <si>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</si>
  <si>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</si>
  <si>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</si>
  <si>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</si>
  <si>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</si>
  <si>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</si>
  <si>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</si>
  <si>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</si>
  <si>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</si>
  <si>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</si>
  <si>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</si>
  <si>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</si>
  <si>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</si>
  <si>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</si>
  <si>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</si>
  <si>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</si>
  <si>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</si>
  <si>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</si>
  <si>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</si>
  <si>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</si>
  <si>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</si>
  <si>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</si>
  <si>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</si>
  <si>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</si>
  <si>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</si>
  <si>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</si>
  <si>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</si>
  <si>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</si>
  <si>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</si>
  <si>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</si>
  <si>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</si>
  <si>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</si>
  <si>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</si>
  <si>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</si>
  <si>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</si>
  <si>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</si>
  <si>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</si>
  <si>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</si>
  <si>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</si>
  <si>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</si>
  <si>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</si>
  <si>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</si>
  <si>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</si>
  <si>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</si>
  <si>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</si>
  <si>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</si>
  <si>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</si>
  <si>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</si>
  <si>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</si>
  <si>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</si>
  <si>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</si>
  <si>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</si>
  <si>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</si>
  <si>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</si>
  <si>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</si>
  <si>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</si>
  <si>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</si>
  <si>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</si>
  <si>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</si>
  <si>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</si>
  <si>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</si>
  <si>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</si>
  <si>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</si>
  <si>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</si>
  <si>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</si>
  <si>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</si>
  <si>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</si>
  <si>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</si>
  <si>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</si>
  <si>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</si>
  <si>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</si>
  <si>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</si>
  <si>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</si>
  <si>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</si>
  <si>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</si>
  <si>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</si>
  <si>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</si>
  <si>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</si>
  <si>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</si>
  <si>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</si>
  <si>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</si>
  <si>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</si>
  <si>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</si>
  <si>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</si>
  <si>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</si>
  <si>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</si>
  <si>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</si>
  <si>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</si>
  <si>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</si>
  <si>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</si>
  <si>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</si>
  <si>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</si>
  <si>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</si>
  <si>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</si>
  <si>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</si>
  <si>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</si>
  <si>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</si>
  <si>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</si>
  <si>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</si>
  <si>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</si>
  <si>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</si>
  <si>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</si>
  <si>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</si>
  <si>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</si>
  <si>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</si>
  <si>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</si>
  <si>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</si>
  <si>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</si>
  <si>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Luiz Felipe Tenório de Lima Gondim</t>
  </si>
  <si>
    <t>Fernanda Viana de Souza; Karine Caroline de Oliveira; Luiz Felipe Tenório de Lima Gondim; Priscila Nolasco de Oliveira; Yasmin Carla Marchioro Silverio</t>
  </si>
  <si>
    <t>Cinthia Thais de Carvalho Luz Thomazi; Adriana Cuoco Portugal; Fernanda Viana de Souza; Denise Duarte Guirra Kuhlmann; Priscila Nolasco de Oliveira; Luiz Felipe Tenório de Lima Gondim</t>
  </si>
  <si>
    <t>Adriana Cuoco Portugal; Cinthia Thais de Carvalho Luz Thomazi; Denise Duarte Guirra Kuhlmann; Fernanda Viana de Souza; Luiz Felipe Tenório de Lima Gondim; Priscila Nolasco de Oliveira</t>
  </si>
  <si>
    <t>Cinthia Thais de Carvalho Luz Thomazi; Denise Duarte Guirra Kuhlmann; Fernanda Viana de Souza; Luiz Felipe Tenório de Lima Gondim; Priscila Nolasco de Oliveira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</si>
</sst>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59" fillId="0" borderId="0" xfId="0" applyFont="1" applyAlignment="1">
      <alignment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2">
      <filters>
        <filter val="Em andamento"/>
        <filter val="Realizado"/>
      </filters>
    </filterColumn>
  </autoFilter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687" activePane="bottomLeft" state="frozen"/>
      <selection pane="bottomLeft" activeCell="F1" sqref="F1:K1048576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hidden="1" customWidth="1"/>
    <col min="9" max="9" width="10.7109375" style="1" hidden="1" customWidth="1"/>
    <col min="10" max="10" width="13" style="3" hidden="1" customWidth="1"/>
    <col min="11" max="11" width="18.140625" style="109" hidden="1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hidden="1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hidden="1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hidden="1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hidden="1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2566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 t="s">
        <v>2789</v>
      </c>
      <c r="N677" s="199" t="s">
        <v>2789</v>
      </c>
      <c r="O677" s="200" t="s">
        <v>2789</v>
      </c>
      <c r="P677" s="200" t="s">
        <v>2789</v>
      </c>
      <c r="Q677" s="200" t="s">
        <v>2789</v>
      </c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hidden="1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hidden="1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hidden="1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hidden="1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hidden="1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hidden="1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hidden="1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28" t="s">
        <v>3214</v>
      </c>
    </row>
    <row r="715" spans="1:21" ht="30" x14ac:dyDescent="0.25">
      <c r="A715" s="191" t="s">
        <v>2933</v>
      </c>
      <c r="B715" s="152">
        <v>2026</v>
      </c>
      <c r="C715" s="183" t="s">
        <v>22</v>
      </c>
      <c r="D715" s="183" t="s">
        <v>2930</v>
      </c>
      <c r="E715" s="184" t="s">
        <v>2934</v>
      </c>
      <c r="F715" s="185" t="s">
        <v>88</v>
      </c>
      <c r="G715" s="186" t="s">
        <v>2719</v>
      </c>
      <c r="H715" s="191" t="s">
        <v>2935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28" t="s">
        <v>3214</v>
      </c>
    </row>
    <row r="716" spans="1:21" ht="15" hidden="1" x14ac:dyDescent="0.25">
      <c r="A716" s="191" t="s">
        <v>2936</v>
      </c>
      <c r="B716" s="152">
        <v>2026</v>
      </c>
      <c r="C716" s="183" t="s">
        <v>2697</v>
      </c>
      <c r="D716" s="183" t="s">
        <v>2930</v>
      </c>
      <c r="E716" s="184" t="s">
        <v>2937</v>
      </c>
      <c r="F716" s="185" t="s">
        <v>88</v>
      </c>
      <c r="G716" s="186" t="s">
        <v>2719</v>
      </c>
      <c r="H716" s="191" t="s">
        <v>2938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hidden="1" x14ac:dyDescent="0.25">
      <c r="A717" s="191" t="s">
        <v>2939</v>
      </c>
      <c r="B717" s="152">
        <v>2026</v>
      </c>
      <c r="C717" s="183" t="s">
        <v>2697</v>
      </c>
      <c r="D717" s="183" t="s">
        <v>2930</v>
      </c>
      <c r="E717" s="184" t="s">
        <v>2940</v>
      </c>
      <c r="F717" s="185" t="s">
        <v>88</v>
      </c>
      <c r="G717" s="186" t="s">
        <v>2719</v>
      </c>
      <c r="H717" s="191" t="s">
        <v>2941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hidden="1" x14ac:dyDescent="0.25">
      <c r="A718" s="191" t="s">
        <v>2942</v>
      </c>
      <c r="B718" s="152">
        <v>2026</v>
      </c>
      <c r="C718" s="183" t="s">
        <v>2697</v>
      </c>
      <c r="D718" s="183" t="s">
        <v>2930</v>
      </c>
      <c r="E718" s="184" t="s">
        <v>2943</v>
      </c>
      <c r="F718" s="185" t="s">
        <v>88</v>
      </c>
      <c r="G718" s="186" t="s">
        <v>2719</v>
      </c>
      <c r="H718" s="191" t="s">
        <v>2944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hidden="1" x14ac:dyDescent="0.25">
      <c r="A719" s="191" t="s">
        <v>2945</v>
      </c>
      <c r="B719" s="152">
        <v>2026</v>
      </c>
      <c r="C719" s="183" t="s">
        <v>2697</v>
      </c>
      <c r="D719" s="183" t="s">
        <v>2930</v>
      </c>
      <c r="E719" s="184" t="s">
        <v>2946</v>
      </c>
      <c r="F719" s="185" t="s">
        <v>88</v>
      </c>
      <c r="G719" s="186" t="s">
        <v>2719</v>
      </c>
      <c r="H719" s="191" t="s">
        <v>2947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2948</v>
      </c>
      <c r="B720" s="152">
        <v>2026</v>
      </c>
      <c r="C720" s="127" t="s">
        <v>22</v>
      </c>
      <c r="D720" s="127" t="s">
        <v>2949</v>
      </c>
      <c r="E720" s="128" t="s">
        <v>2950</v>
      </c>
      <c r="F720" s="129" t="s">
        <v>24</v>
      </c>
      <c r="G720" s="130" t="s">
        <v>206</v>
      </c>
      <c r="H720" s="131" t="s">
        <v>2951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3217</v>
      </c>
    </row>
    <row r="721" spans="1:20" ht="45" x14ac:dyDescent="0.25">
      <c r="A721" s="137" t="s">
        <v>2952</v>
      </c>
      <c r="B721" s="152">
        <v>2026</v>
      </c>
      <c r="C721" s="152" t="s">
        <v>22</v>
      </c>
      <c r="D721" s="152" t="s">
        <v>2930</v>
      </c>
      <c r="E721" s="153" t="s">
        <v>2953</v>
      </c>
      <c r="F721" s="161" t="s">
        <v>88</v>
      </c>
      <c r="G721" s="168" t="s">
        <v>2719</v>
      </c>
      <c r="H721" s="155" t="s">
        <v>2954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3215</v>
      </c>
    </row>
    <row r="722" spans="1:20" ht="45" x14ac:dyDescent="0.25">
      <c r="A722" s="137" t="s">
        <v>2955</v>
      </c>
      <c r="B722" s="127">
        <v>2026</v>
      </c>
      <c r="C722" s="127" t="s">
        <v>22</v>
      </c>
      <c r="D722" s="127" t="s">
        <v>2930</v>
      </c>
      <c r="E722" s="128" t="s">
        <v>2956</v>
      </c>
      <c r="F722" s="129" t="s">
        <v>88</v>
      </c>
      <c r="G722" s="164" t="s">
        <v>2719</v>
      </c>
      <c r="H722" s="131" t="s">
        <v>2957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3216</v>
      </c>
    </row>
    <row r="723" spans="1:20" ht="15" x14ac:dyDescent="0.25">
      <c r="A723" s="137" t="s">
        <v>2958</v>
      </c>
      <c r="B723" s="152">
        <v>2026</v>
      </c>
      <c r="C723" s="183" t="s">
        <v>22</v>
      </c>
      <c r="D723" s="183" t="s">
        <v>2959</v>
      </c>
      <c r="E723" s="184" t="s">
        <v>2960</v>
      </c>
      <c r="F723" s="185" t="s">
        <v>88</v>
      </c>
      <c r="G723" s="186" t="s">
        <v>2719</v>
      </c>
      <c r="H723" s="191" t="s">
        <v>2961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2962</v>
      </c>
      <c r="B724" s="151">
        <v>2026</v>
      </c>
      <c r="C724" s="183" t="s">
        <v>22</v>
      </c>
      <c r="D724" s="183" t="s">
        <v>2963</v>
      </c>
      <c r="E724" s="184" t="s">
        <v>2964</v>
      </c>
      <c r="F724" s="185" t="s">
        <v>88</v>
      </c>
      <c r="G724" s="186" t="s">
        <v>2719</v>
      </c>
      <c r="H724" s="191" t="s">
        <v>2965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2966</v>
      </c>
      <c r="B725" s="183">
        <v>2026</v>
      </c>
      <c r="C725" s="183" t="s">
        <v>22</v>
      </c>
      <c r="D725" s="183" t="s">
        <v>2959</v>
      </c>
      <c r="E725" s="184" t="s">
        <v>2967</v>
      </c>
      <c r="F725" s="185"/>
      <c r="G725" s="186" t="s">
        <v>2719</v>
      </c>
      <c r="H725" s="191" t="s">
        <v>2968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hidden="1" x14ac:dyDescent="0.25">
      <c r="A726" s="191" t="s">
        <v>2969</v>
      </c>
      <c r="B726" s="183">
        <v>2026</v>
      </c>
      <c r="C726" s="183" t="s">
        <v>2697</v>
      </c>
      <c r="D726" s="183" t="s">
        <v>2959</v>
      </c>
      <c r="E726" s="184" t="s">
        <v>2970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hidden="1" x14ac:dyDescent="0.25">
      <c r="A727" s="191" t="s">
        <v>2971</v>
      </c>
      <c r="B727" s="183">
        <v>2026</v>
      </c>
      <c r="C727" s="183" t="s">
        <v>2697</v>
      </c>
      <c r="D727" s="183" t="s">
        <v>2959</v>
      </c>
      <c r="E727" s="180" t="s">
        <v>2972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hidden="1" x14ac:dyDescent="0.25">
      <c r="A728" s="191" t="s">
        <v>2973</v>
      </c>
      <c r="B728" s="183">
        <v>2026</v>
      </c>
      <c r="C728" s="183" t="s">
        <v>2697</v>
      </c>
      <c r="D728" s="183" t="s">
        <v>2959</v>
      </c>
      <c r="E728" s="180" t="s">
        <v>2974</v>
      </c>
      <c r="F728" s="185"/>
      <c r="G728" s="186" t="s">
        <v>2719</v>
      </c>
      <c r="H728" s="191" t="s">
        <v>2975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hidden="1" x14ac:dyDescent="0.25">
      <c r="A729" s="191" t="s">
        <v>2976</v>
      </c>
      <c r="B729" s="183">
        <v>2026</v>
      </c>
      <c r="C729" s="183" t="s">
        <v>2697</v>
      </c>
      <c r="D729" s="183" t="s">
        <v>2959</v>
      </c>
      <c r="E729" s="180" t="s">
        <v>2977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hidden="1" x14ac:dyDescent="0.25">
      <c r="A730" s="175" t="s">
        <v>2978</v>
      </c>
      <c r="B730" s="183">
        <v>2026</v>
      </c>
      <c r="C730" s="183" t="s">
        <v>2697</v>
      </c>
      <c r="D730" s="183" t="s">
        <v>2959</v>
      </c>
      <c r="E730" s="203" t="s">
        <v>2979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hidden="1" x14ac:dyDescent="0.25">
      <c r="A731" s="191" t="s">
        <v>2980</v>
      </c>
      <c r="B731" s="183">
        <v>2026</v>
      </c>
      <c r="C731" s="183" t="s">
        <v>2697</v>
      </c>
      <c r="D731" s="183" t="s">
        <v>2959</v>
      </c>
      <c r="E731" s="203" t="s">
        <v>2981</v>
      </c>
      <c r="F731" s="185"/>
      <c r="G731" s="186" t="s">
        <v>2719</v>
      </c>
      <c r="H731" s="191" t="s">
        <v>2982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hidden="1" x14ac:dyDescent="0.25">
      <c r="A732" s="191" t="s">
        <v>2983</v>
      </c>
      <c r="B732" s="183">
        <v>2026</v>
      </c>
      <c r="C732" s="183" t="s">
        <v>2697</v>
      </c>
      <c r="D732" s="183"/>
      <c r="E732" s="184" t="s">
        <v>2984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hidden="1" x14ac:dyDescent="0.25">
      <c r="A733" s="191" t="s">
        <v>2985</v>
      </c>
      <c r="B733" s="183">
        <v>2026</v>
      </c>
      <c r="C733" s="183" t="s">
        <v>2697</v>
      </c>
      <c r="D733" s="183"/>
      <c r="E733" s="203" t="s">
        <v>2986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hidden="1" x14ac:dyDescent="0.25">
      <c r="A734" s="191" t="s">
        <v>2987</v>
      </c>
      <c r="B734" s="183">
        <v>2026</v>
      </c>
      <c r="C734" s="183" t="s">
        <v>2697</v>
      </c>
      <c r="D734" s="183"/>
      <c r="E734" s="184" t="s">
        <v>2988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2989</v>
      </c>
      <c r="E735" s="184" t="s">
        <v>2990</v>
      </c>
      <c r="F735" s="185"/>
      <c r="G735" s="186" t="s">
        <v>206</v>
      </c>
      <c r="H735" s="191" t="s">
        <v>2989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2991</v>
      </c>
    </row>
    <row r="736" spans="1:20" ht="15" hidden="1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2992</v>
      </c>
      <c r="E736" s="184" t="s">
        <v>2993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hidden="1" x14ac:dyDescent="0.25">
      <c r="A737" s="191" t="s">
        <v>2994</v>
      </c>
      <c r="B737" s="183">
        <v>2026</v>
      </c>
      <c r="C737" s="183" t="s">
        <v>2697</v>
      </c>
      <c r="D737" s="183" t="s">
        <v>2995</v>
      </c>
      <c r="E737" s="180" t="s">
        <v>2996</v>
      </c>
      <c r="F737" s="185"/>
      <c r="G737" s="186" t="s">
        <v>79</v>
      </c>
      <c r="H737" s="191" t="s">
        <v>2997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hidden="1" x14ac:dyDescent="0.25">
      <c r="A738" s="191" t="s">
        <v>2998</v>
      </c>
      <c r="B738" s="183">
        <v>2026</v>
      </c>
      <c r="C738" s="183" t="s">
        <v>2697</v>
      </c>
      <c r="D738" s="183" t="s">
        <v>2999</v>
      </c>
      <c r="E738" s="180" t="s">
        <v>3000</v>
      </c>
      <c r="F738" s="185" t="s">
        <v>69</v>
      </c>
      <c r="G738" s="186" t="s">
        <v>2694</v>
      </c>
      <c r="H738" s="191" t="s">
        <v>3001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3002</v>
      </c>
    </row>
    <row r="739" spans="1:20" ht="15" hidden="1" x14ac:dyDescent="0.25">
      <c r="A739" s="191" t="s">
        <v>3003</v>
      </c>
      <c r="B739" s="183">
        <v>2026</v>
      </c>
      <c r="C739" s="183" t="s">
        <v>2697</v>
      </c>
      <c r="D739" s="183" t="s">
        <v>3004</v>
      </c>
      <c r="E739" s="180" t="s">
        <v>3005</v>
      </c>
      <c r="F739" s="185" t="s">
        <v>24</v>
      </c>
      <c r="G739" s="186" t="s">
        <v>2700</v>
      </c>
      <c r="H739" s="175" t="s">
        <v>3006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hidden="1" x14ac:dyDescent="0.25">
      <c r="A740" s="191" t="s">
        <v>3007</v>
      </c>
      <c r="B740" s="183">
        <v>2026</v>
      </c>
      <c r="C740" s="183" t="s">
        <v>2697</v>
      </c>
      <c r="D740" s="183" t="s">
        <v>3008</v>
      </c>
      <c r="E740" s="180" t="s">
        <v>3009</v>
      </c>
      <c r="F740" s="185" t="s">
        <v>24</v>
      </c>
      <c r="G740" s="186" t="s">
        <v>2700</v>
      </c>
      <c r="H740" s="191" t="s">
        <v>3010</v>
      </c>
      <c r="I740" s="192">
        <v>46311</v>
      </c>
      <c r="J740" s="192">
        <v>46311</v>
      </c>
      <c r="K740" s="183" t="s">
        <v>38</v>
      </c>
      <c r="L740" s="187"/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hidden="1" x14ac:dyDescent="0.25">
      <c r="A741" s="191" t="s">
        <v>3011</v>
      </c>
      <c r="B741" s="183">
        <v>2026</v>
      </c>
      <c r="C741" s="183" t="s">
        <v>2697</v>
      </c>
      <c r="D741" s="183" t="s">
        <v>3012</v>
      </c>
      <c r="E741" s="180" t="s">
        <v>3013</v>
      </c>
      <c r="F741" s="185" t="s">
        <v>24</v>
      </c>
      <c r="G741" s="186" t="s">
        <v>2700</v>
      </c>
      <c r="H741" s="191" t="s">
        <v>3014</v>
      </c>
      <c r="I741" s="192">
        <v>46286</v>
      </c>
      <c r="J741" s="192">
        <v>46288</v>
      </c>
      <c r="K741" s="183" t="s">
        <v>38</v>
      </c>
      <c r="L741" s="187"/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hidden="1" x14ac:dyDescent="0.25">
      <c r="A742" s="191" t="s">
        <v>3015</v>
      </c>
      <c r="B742" s="183">
        <v>2026</v>
      </c>
      <c r="C742" s="183" t="s">
        <v>2697</v>
      </c>
      <c r="D742" s="183" t="s">
        <v>3012</v>
      </c>
      <c r="E742" s="184" t="s">
        <v>3016</v>
      </c>
      <c r="F742" s="185" t="s">
        <v>24</v>
      </c>
      <c r="G742" s="186" t="s">
        <v>2700</v>
      </c>
      <c r="H742" s="191" t="s">
        <v>3017</v>
      </c>
      <c r="I742" s="192">
        <v>46322</v>
      </c>
      <c r="J742" s="192">
        <v>46324</v>
      </c>
      <c r="K742" s="183" t="s">
        <v>38</v>
      </c>
      <c r="L742" s="187"/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hidden="1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hidden="1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hidden="1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hidden="1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hidden="1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hidden="1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hidden="1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hidden="1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hidden="1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hidden="1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hidden="1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hidden="1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hidden="1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hidden="1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713 A716:T2001 A714:S715">
    <cfRule type="expression" dxfId="52" priority="9">
      <formula>MOD(ROW(),2)=0</formula>
    </cfRule>
  </conditionalFormatting>
  <conditionalFormatting sqref="A2002:A2006 E2007 A2:T713 A716:T2001 A714:S715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41" workbookViewId="0">
      <selection activeCell="B58" sqref="B58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3018</v>
      </c>
      <c r="H1" s="213" t="s">
        <v>3019</v>
      </c>
    </row>
    <row r="2" spans="1:8" x14ac:dyDescent="0.25">
      <c r="H2" s="212" t="s">
        <v>3020</v>
      </c>
    </row>
    <row r="3" spans="1:8" x14ac:dyDescent="0.25">
      <c r="A3" t="s">
        <v>0</v>
      </c>
      <c r="B3" t="s">
        <v>19</v>
      </c>
      <c r="C3" t="s">
        <v>3021</v>
      </c>
      <c r="D3" t="s">
        <v>3022</v>
      </c>
      <c r="E3" t="s">
        <v>3023</v>
      </c>
      <c r="H3" s="212" t="s">
        <v>3024</v>
      </c>
    </row>
    <row r="4" spans="1:8" x14ac:dyDescent="0.25">
      <c r="A4">
        <v>1</v>
      </c>
      <c r="B4" t="s">
        <v>3025</v>
      </c>
      <c r="D4" t="s">
        <v>3026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3027</v>
      </c>
    </row>
    <row r="5" spans="1:8" x14ac:dyDescent="0.25">
      <c r="A5">
        <v>2</v>
      </c>
      <c r="B5" t="s">
        <v>2507</v>
      </c>
      <c r="D5" t="s">
        <v>3026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3028</v>
      </c>
    </row>
    <row r="6" spans="1:8" x14ac:dyDescent="0.25">
      <c r="A6">
        <v>3</v>
      </c>
      <c r="B6" t="s">
        <v>1030</v>
      </c>
      <c r="D6" t="s">
        <v>3026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3029</v>
      </c>
      <c r="D7" t="s">
        <v>3026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3030</v>
      </c>
    </row>
    <row r="8" spans="1:8" x14ac:dyDescent="0.25">
      <c r="A8">
        <v>5</v>
      </c>
      <c r="B8" t="s">
        <v>3031</v>
      </c>
      <c r="D8" t="s">
        <v>3026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3026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3026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3026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3026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3026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3026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3026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3026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3026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3026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3026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3026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3026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3026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3032</v>
      </c>
      <c r="D23" t="s">
        <v>3026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3026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3033</v>
      </c>
      <c r="D25" t="s">
        <v>3026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3034</v>
      </c>
      <c r="D26" t="s">
        <v>3026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3026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3026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3035</v>
      </c>
      <c r="D29" t="s">
        <v>3026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3026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3026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3026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3036</v>
      </c>
      <c r="D33" t="s">
        <v>3026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3037</v>
      </c>
      <c r="D34" t="s">
        <v>3026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3026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3026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3026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3038</v>
      </c>
      <c r="D38" t="s">
        <v>3026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3039</v>
      </c>
      <c r="D39" t="s">
        <v>3026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3026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3040</v>
      </c>
      <c r="D41" t="s">
        <v>3026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3026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3026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3041</v>
      </c>
      <c r="D44" t="s">
        <v>3026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3026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3026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3026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3026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3042</v>
      </c>
      <c r="D49" t="s">
        <v>3026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3026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3043</v>
      </c>
      <c r="D51" t="s">
        <v>3026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3026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3026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3044</v>
      </c>
      <c r="D54" t="s">
        <v>3026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3026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3026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3026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3213</v>
      </c>
      <c r="D58" t="s">
        <v>3026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3026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3026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3045</v>
      </c>
      <c r="D61" t="s">
        <v>3026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3046</v>
      </c>
      <c r="D62" t="s">
        <v>3026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3047</v>
      </c>
      <c r="D63" t="s">
        <v>3026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3048</v>
      </c>
      <c r="D64" t="s">
        <v>3026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3026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3026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3049</v>
      </c>
      <c r="D67" t="s">
        <v>3026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3050</v>
      </c>
      <c r="D68" t="s">
        <v>3026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3026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3051</v>
      </c>
      <c r="D70" t="s">
        <v>3026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3026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3026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3026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3052</v>
      </c>
      <c r="D74" t="s">
        <v>3026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3026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3026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3026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3026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3053</v>
      </c>
      <c r="D79" t="s">
        <v>3026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3054</v>
      </c>
      <c r="D80" t="s">
        <v>3026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3055</v>
      </c>
      <c r="D81" t="s">
        <v>3026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3056</v>
      </c>
      <c r="D82" t="s">
        <v>3026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3026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3057</v>
      </c>
      <c r="D84" t="s">
        <v>3026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3026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3058</v>
      </c>
      <c r="D86" t="s">
        <v>3026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3059</v>
      </c>
      <c r="D87" t="s">
        <v>3026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3060</v>
      </c>
      <c r="D88" t="s">
        <v>3026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3061</v>
      </c>
      <c r="D89" t="s">
        <v>3026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3062</v>
      </c>
      <c r="D90" t="s">
        <v>3026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3063</v>
      </c>
      <c r="D91" t="s">
        <v>3026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3064</v>
      </c>
      <c r="D92" t="s">
        <v>3026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3065</v>
      </c>
      <c r="D93" t="s">
        <v>3026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3066</v>
      </c>
      <c r="D94" t="s">
        <v>3026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3026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3067</v>
      </c>
      <c r="D96" t="s">
        <v>3026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2913</v>
      </c>
      <c r="D97" t="s">
        <v>3026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3068</v>
      </c>
      <c r="D98" t="s">
        <v>3026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3069</v>
      </c>
      <c r="D99" t="s">
        <v>3026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3070</v>
      </c>
      <c r="D100" t="s">
        <v>3026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3071</v>
      </c>
      <c r="D101" t="s">
        <v>3026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2715</v>
      </c>
      <c r="D102" t="s">
        <v>3026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3072</v>
      </c>
      <c r="D103" t="s">
        <v>3026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3073</v>
      </c>
      <c r="D104" t="s">
        <v>3026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3074</v>
      </c>
      <c r="D105" t="s">
        <v>3026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3026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2873</v>
      </c>
      <c r="D107" t="s">
        <v>3026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3075</v>
      </c>
      <c r="D108" t="s">
        <v>3026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4" activePane="bottomLeft" state="frozen"/>
      <selection pane="bottomLeft" activeCell="Y85" sqref="Y85:AA8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3076</v>
      </c>
      <c r="C1" s="19" t="s">
        <v>3077</v>
      </c>
      <c r="D1" s="19" t="s">
        <v>4</v>
      </c>
      <c r="E1" s="19" t="s">
        <v>3078</v>
      </c>
      <c r="F1" s="19" t="s">
        <v>19</v>
      </c>
      <c r="G1" s="19" t="s">
        <v>3079</v>
      </c>
      <c r="H1" s="19" t="s">
        <v>3080</v>
      </c>
      <c r="I1" s="19" t="s">
        <v>3081</v>
      </c>
      <c r="J1" s="19" t="s">
        <v>3082</v>
      </c>
      <c r="L1" s="112" t="s">
        <v>3083</v>
      </c>
      <c r="M1" s="23">
        <v>2026</v>
      </c>
      <c r="U1" s="80" t="s">
        <v>3084</v>
      </c>
      <c r="V1" s="79"/>
      <c r="X1" s="78" t="s">
        <v>3085</v>
      </c>
      <c r="Y1" s="27"/>
      <c r="Z1" s="27"/>
      <c r="AA1" s="27"/>
      <c r="AC1" s="100" t="s">
        <v>3086</v>
      </c>
    </row>
    <row r="2" spans="1:31" x14ac:dyDescent="0.25">
      <c r="A2" s="21" cm="1">
        <f t="array" aca="1" ref="A2:J13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3087</v>
      </c>
      <c r="M2" s="107" t="s">
        <v>2929</v>
      </c>
      <c r="X2" s="114" t="s">
        <v>3076</v>
      </c>
      <c r="Y2" s="114" t="s">
        <v>19</v>
      </c>
      <c r="Z2" s="114" t="s">
        <v>3088</v>
      </c>
      <c r="AA2" s="114" t="s">
        <v>3089</v>
      </c>
      <c r="AC2" s="115" t="s">
        <v>1</v>
      </c>
      <c r="AD2" s="115" t="s">
        <v>3090</v>
      </c>
      <c r="AE2" s="115" t="s">
        <v>3091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3092</v>
      </c>
      <c r="M3" s="113" t="s">
        <v>3093</v>
      </c>
      <c r="N3" s="113" t="s">
        <v>3094</v>
      </c>
      <c r="O3" s="113" t="s">
        <v>3095</v>
      </c>
      <c r="P3" s="113" t="s">
        <v>3096</v>
      </c>
      <c r="Q3" s="113" t="s">
        <v>3097</v>
      </c>
      <c r="R3" s="113" t="s">
        <v>3098</v>
      </c>
      <c r="S3" s="113" t="s">
        <v>3099</v>
      </c>
      <c r="T3" s="113" t="s">
        <v>3100</v>
      </c>
      <c r="X3" t="s">
        <v>2838</v>
      </c>
      <c r="Y3" t="s">
        <v>3039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3101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3039</v>
      </c>
      <c r="Z6">
        <v>1</v>
      </c>
      <c r="AA6">
        <v>0</v>
      </c>
      <c r="AC6" s="97">
        <v>2026</v>
      </c>
      <c r="AD6" s="18" t="s">
        <v>3102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2948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2948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2948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2948</v>
      </c>
      <c r="Y11" s="18" t="s">
        <v>3033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2948</v>
      </c>
      <c r="Y12" s="18" t="s">
        <v>3050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2955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2955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2955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2955</v>
      </c>
      <c r="Y16" s="18" t="s">
        <v>3033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2955</v>
      </c>
      <c r="Y17" s="18" t="s">
        <v>3050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2952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2952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2952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2952</v>
      </c>
      <c r="Y21" s="18" t="s">
        <v>3033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2952</v>
      </c>
      <c r="Y22" s="18" t="s">
        <v>3050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3039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3039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3073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3069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3051</v>
      </c>
      <c r="Z33">
        <v>4</v>
      </c>
      <c r="AA33">
        <v>0.6</v>
      </c>
      <c r="AC33" s="99"/>
      <c r="AD33" s="116" t="s">
        <v>3103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3052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3044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3060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3059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3071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3068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3070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3067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3104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3074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3072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2785</v>
      </c>
      <c r="Y55" t="s">
        <v>3059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2936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e Responsabilidade Fiscal (IESB)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2750</v>
      </c>
      <c r="Y58" s="110" t="s">
        <v>3066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126</v>
      </c>
      <c r="T59">
        <f ca="1"/>
        <v>123</v>
      </c>
      <c r="X59" t="s">
        <v>2750</v>
      </c>
      <c r="Y59" t="s">
        <v>3065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127</v>
      </c>
      <c r="T60">
        <f ca="1"/>
        <v>126</v>
      </c>
      <c r="X60" t="s">
        <v>2750</v>
      </c>
      <c r="Y60" t="s">
        <v>3064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129</v>
      </c>
      <c r="T61">
        <f ca="1"/>
        <v>127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130</v>
      </c>
      <c r="T62">
        <f ca="1"/>
        <v>129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131</v>
      </c>
      <c r="T63">
        <f ca="1"/>
        <v>130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133</v>
      </c>
      <c r="T64">
        <f ca="1"/>
        <v>131</v>
      </c>
      <c r="X64" t="s">
        <v>2702</v>
      </c>
      <c r="Y64" t="s">
        <v>3056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135</v>
      </c>
      <c r="T65">
        <f ca="1"/>
        <v>133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135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2958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2958</v>
      </c>
      <c r="Y68" t="s">
        <v>3054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3039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3044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3057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3061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3058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3062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2948</v>
      </c>
      <c r="Y83" t="s">
        <v>3213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2952</v>
      </c>
      <c r="Y84" t="s">
        <v>3213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2955</v>
      </c>
      <c r="Y85" t="s">
        <v>3213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A realizar</v>
      </c>
      <c r="D123" t="str">
        <f ca="1"/>
        <v>UniTCDF: Gestão Pública e Responsabilidade Fiscal (IESB)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A realizar</v>
      </c>
      <c r="D124" t="str">
        <f ca="1"/>
        <v>UniTCDF: Gestão Pública e Responsabilidade Fiscal (IESB)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2026-079</v>
      </c>
      <c r="C125" t="str">
        <f ca="1"/>
        <v>Realizado</v>
      </c>
      <c r="D125" t="str">
        <f ca="1"/>
        <v>Café e Tertúlia: Gincana dos Neurotransmissores</v>
      </c>
      <c r="E125">
        <f ca="1"/>
        <v>2</v>
      </c>
      <c r="F125" t="str">
        <f ca="1"/>
        <v>Isac Mendes Caixeta de Pamplona Araújo</v>
      </c>
      <c r="G125">
        <f ca="1"/>
        <v>3</v>
      </c>
      <c r="H125">
        <f ca="1"/>
        <v>2</v>
      </c>
      <c r="I125">
        <f ca="1"/>
        <v>0.6</v>
      </c>
      <c r="J125">
        <f ca="1"/>
        <v>2.6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Valéria Feitoza</v>
      </c>
      <c r="G126">
        <f ca="1"/>
        <v>3</v>
      </c>
      <c r="H126">
        <f ca="1"/>
        <v>2</v>
      </c>
      <c r="I126">
        <f ca="1"/>
        <v>0.6</v>
      </c>
      <c r="J126">
        <f ca="1"/>
        <v>2.6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Cinthia Thais de Carvalho Luz Thomazi</v>
      </c>
      <c r="G127">
        <f ca="1"/>
        <v>3</v>
      </c>
      <c r="H127">
        <f ca="1"/>
        <v>2</v>
      </c>
      <c r="I127">
        <f ca="1"/>
        <v>0.6</v>
      </c>
      <c r="J127">
        <f ca="1"/>
        <v>2.6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2026-081</v>
      </c>
      <c r="C128" t="str">
        <f ca="1"/>
        <v>A realizar</v>
      </c>
      <c r="D128" t="str">
        <f ca="1"/>
        <v>Contratações de TIC com base na jurisprudência do TCDF - SGDI</v>
      </c>
      <c r="E128">
        <f ca="1"/>
        <v>8</v>
      </c>
      <c r="F128" t="str">
        <f ca="1"/>
        <v>Felipe da Costa Malaquias</v>
      </c>
      <c r="G128">
        <f ca="1"/>
        <v>1</v>
      </c>
      <c r="H128">
        <f ca="1"/>
        <v>8</v>
      </c>
      <c r="I128">
        <f ca="1"/>
        <v>2.4</v>
      </c>
      <c r="J128">
        <f ca="1"/>
        <v>10.4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2026-082</v>
      </c>
      <c r="C129" t="str">
        <f ca="1"/>
        <v>A realizar</v>
      </c>
      <c r="D129" t="str">
        <f ca="1"/>
        <v>Curso de formação para gestores e fiscais de contrato nas unidades hospitalares – Turma 4</v>
      </c>
      <c r="E129">
        <f ca="1"/>
        <v>12</v>
      </c>
      <c r="F129" t="str">
        <f ca="1"/>
        <v>Luciana Alvim</v>
      </c>
      <c r="G129">
        <f ca="1"/>
        <v>2</v>
      </c>
      <c r="H129">
        <f ca="1"/>
        <v>12</v>
      </c>
      <c r="I129">
        <f ca="1"/>
        <v>3.5999999999999996</v>
      </c>
      <c r="J129">
        <f ca="1"/>
        <v>15.6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Tarsila Firmino Ely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2026-083</v>
      </c>
      <c r="C131" t="str">
        <f ca="1"/>
        <v>A realizar</v>
      </c>
      <c r="D131" t="str">
        <f ca="1"/>
        <v>Oficina básica de Power Automate</v>
      </c>
      <c r="E131">
        <f ca="1"/>
        <v>9</v>
      </c>
      <c r="F131" t="str">
        <f ca="1"/>
        <v>Josdeyvi Magalhães Russi</v>
      </c>
      <c r="G131">
        <f ca="1"/>
        <v>1</v>
      </c>
      <c r="H131">
        <f ca="1"/>
        <v>9</v>
      </c>
      <c r="I131">
        <f ca="1"/>
        <v>2.6999999999999997</v>
      </c>
      <c r="J131">
        <f ca="1"/>
        <v>11.7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2026-084</v>
      </c>
      <c r="C132" t="str">
        <f ca="1"/>
        <v>A realizar</v>
      </c>
      <c r="D132" t="str">
        <f ca="1"/>
        <v>Oficina EmentAI: o seu assistente de IA na elaboração de ementas jurisprudenciais</v>
      </c>
      <c r="E132">
        <f ca="1"/>
        <v>4</v>
      </c>
      <c r="F132" t="str">
        <f ca="1"/>
        <v>Caio Filipe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2026-085</v>
      </c>
      <c r="C133" t="str">
        <f ca="1"/>
        <v>A realizar</v>
      </c>
      <c r="D133" t="str">
        <f ca="1"/>
        <v xml:space="preserve">Introdução à Engenharia de Prompt – T5 </v>
      </c>
      <c r="E133">
        <f ca="1"/>
        <v>8</v>
      </c>
      <c r="F133" t="str">
        <f ca="1"/>
        <v>Arthur Wú</v>
      </c>
      <c r="G133">
        <f ca="1"/>
        <v>2</v>
      </c>
      <c r="H133">
        <f ca="1"/>
        <v>8</v>
      </c>
      <c r="I133">
        <f ca="1"/>
        <v>2.4</v>
      </c>
      <c r="J133">
        <f ca="1"/>
        <v>10.4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Gustavo Takahashi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2026-086</v>
      </c>
      <c r="C135" t="str">
        <f ca="1"/>
        <v>A realizar</v>
      </c>
      <c r="D135" t="str">
        <f ca="1"/>
        <v>Introdução à Engenharia de Prompt – T6</v>
      </c>
      <c r="E135">
        <f ca="1"/>
        <v>8</v>
      </c>
      <c r="F135" t="str">
        <f ca="1"/>
        <v>Arthur Wú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Gustavo Takahashi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R137" t="str">
        <f ca="1"/>
        <v/>
      </c>
      <c r="S137" t="str">
        <f ca="1"/>
        <v/>
      </c>
    </row>
    <row r="138" spans="1:19" x14ac:dyDescent="0.25">
      <c r="R138" t="str">
        <f ca="1"/>
        <v/>
      </c>
      <c r="S138" t="str">
        <f ca="1"/>
        <v/>
      </c>
    </row>
    <row r="139" spans="1:19" x14ac:dyDescent="0.25"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1" t="s">
        <v>3105</v>
      </c>
      <c r="B1" s="231"/>
      <c r="C1" s="231"/>
      <c r="D1" s="231"/>
      <c r="E1" s="231"/>
      <c r="F1" s="231"/>
      <c r="G1" s="231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2" t="s">
        <v>3106</v>
      </c>
      <c r="B4" s="233"/>
      <c r="D4" s="234" t="s">
        <v>3107</v>
      </c>
      <c r="E4" s="235"/>
      <c r="G4" s="45" t="s">
        <v>3108</v>
      </c>
    </row>
    <row r="5" spans="1:7" ht="54.95" customHeight="1" thickBot="1" x14ac:dyDescent="0.75">
      <c r="A5" s="35">
        <f>COUNTIF('Ações InCompany'!B:B,2026)</f>
        <v>86</v>
      </c>
      <c r="B5" s="36" t="s">
        <v>3109</v>
      </c>
      <c r="D5" s="43">
        <f>COUNTIFS('Ações InCompany'!B:B,2026,'Ações InCompany'!C:C,"Realizado")</f>
        <v>53</v>
      </c>
      <c r="E5" s="44" t="s">
        <v>3109</v>
      </c>
      <c r="G5" s="46">
        <f>COUNTIFS('Ações InCompany'!B:B,2026,'Ações InCompany'!C:C,"A realizar")</f>
        <v>28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9" t="s">
        <v>3110</v>
      </c>
      <c r="B8" s="229"/>
      <c r="D8" s="229" t="s">
        <v>3111</v>
      </c>
      <c r="E8" s="229"/>
    </row>
    <row r="9" spans="1:7" ht="5.0999999999999996" customHeight="1" x14ac:dyDescent="0.25">
      <c r="A9" s="230"/>
      <c r="B9" s="230"/>
      <c r="D9" s="230"/>
      <c r="E9" s="230"/>
    </row>
    <row r="10" spans="1:7" ht="24.95" customHeight="1" x14ac:dyDescent="0.25">
      <c r="A10" s="28" t="s">
        <v>5</v>
      </c>
      <c r="B10" s="28" t="s">
        <v>3112</v>
      </c>
      <c r="D10" s="28" t="s">
        <v>3113</v>
      </c>
      <c r="E10" s="28" t="s">
        <v>3114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3115</v>
      </c>
      <c r="E11" s="30">
        <f>SUMIFS('Ações InCompany'!O:O,'Ações InCompany'!B:B,2026,'Ações InCompany'!C:C,"Realizado")</f>
        <v>818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3116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3117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3118</v>
      </c>
      <c r="B14" s="34">
        <f>SUM(B11:B13)</f>
        <v>51</v>
      </c>
      <c r="D14" s="33" t="s">
        <v>3119</v>
      </c>
      <c r="E14" s="34">
        <f>SUM(E11:E13)</f>
        <v>2814</v>
      </c>
    </row>
    <row r="30" spans="1:5" ht="17.25" x14ac:dyDescent="0.3">
      <c r="A30" s="229" t="s">
        <v>3120</v>
      </c>
      <c r="B30" s="229"/>
      <c r="C30" s="229"/>
      <c r="D30" s="229"/>
      <c r="E30" s="229"/>
    </row>
    <row r="31" spans="1:5" ht="5.0999999999999996" customHeight="1" x14ac:dyDescent="0.25">
      <c r="A31" s="230"/>
      <c r="B31" s="230"/>
      <c r="C31" s="230"/>
      <c r="D31" s="230"/>
      <c r="E31" s="230"/>
    </row>
    <row r="32" spans="1:5" ht="24.95" customHeight="1" x14ac:dyDescent="0.25">
      <c r="A32" s="28" t="s">
        <v>6</v>
      </c>
      <c r="B32" s="28" t="s">
        <v>3121</v>
      </c>
      <c r="C32" s="28" t="s">
        <v>3122</v>
      </c>
      <c r="D32" s="28" t="s">
        <v>3123</v>
      </c>
      <c r="E32" s="28" t="s">
        <v>3124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0.25925925925925924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6.1728395061728392E-2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5</v>
      </c>
      <c r="D35" s="37">
        <f t="shared" si="0"/>
        <v>10</v>
      </c>
      <c r="E35" s="38">
        <f t="shared" si="1"/>
        <v>0.12345679012345678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2.4691358024691357E-2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7.407407407407407E-2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0.27160493827160492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4.9382716049382713E-2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2.4691358024691357E-2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8.6419753086419748E-2</v>
      </c>
    </row>
    <row r="42" spans="1:5" ht="24" customHeight="1" x14ac:dyDescent="0.25">
      <c r="A42" s="75" t="s">
        <v>3125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2.4691358024691357E-2</v>
      </c>
    </row>
    <row r="44" spans="1:5" ht="24" customHeight="1" x14ac:dyDescent="0.25">
      <c r="A44" s="67" t="s">
        <v>3126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3118</v>
      </c>
      <c r="B45" s="41">
        <f>SUM(B33:B44)</f>
        <v>53</v>
      </c>
      <c r="C45" s="41">
        <f>SUM(C33:C44)</f>
        <v>28</v>
      </c>
      <c r="D45" s="41">
        <f>SUM(D33:D44)</f>
        <v>81</v>
      </c>
      <c r="E45" s="42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3127</v>
      </c>
      <c r="B1" s="12" t="s">
        <v>3128</v>
      </c>
      <c r="C1" s="13" t="s">
        <v>3129</v>
      </c>
      <c r="D1" s="13" t="s">
        <v>3130</v>
      </c>
      <c r="E1" s="13" t="s">
        <v>3131</v>
      </c>
    </row>
    <row r="2" spans="1:5" ht="18" customHeight="1" x14ac:dyDescent="0.25">
      <c r="A2" s="12" t="s">
        <v>3132</v>
      </c>
      <c r="B2" s="12" t="s">
        <v>3133</v>
      </c>
      <c r="C2" s="12" t="s">
        <v>1736</v>
      </c>
      <c r="D2" s="12" t="s">
        <v>3134</v>
      </c>
      <c r="E2" s="12" t="s">
        <v>3135</v>
      </c>
    </row>
    <row r="3" spans="1:5" ht="18" customHeight="1" x14ac:dyDescent="0.25">
      <c r="A3" s="12" t="s">
        <v>3132</v>
      </c>
      <c r="B3" s="12" t="s">
        <v>3133</v>
      </c>
      <c r="C3" s="14" t="s">
        <v>25</v>
      </c>
      <c r="D3" s="12" t="s">
        <v>3136</v>
      </c>
      <c r="E3" s="12" t="s">
        <v>3137</v>
      </c>
    </row>
    <row r="4" spans="1:5" ht="18" customHeight="1" x14ac:dyDescent="0.25">
      <c r="A4" s="12" t="s">
        <v>3132</v>
      </c>
      <c r="B4" s="12" t="s">
        <v>3133</v>
      </c>
      <c r="C4" s="12" t="s">
        <v>75</v>
      </c>
      <c r="D4" s="12" t="s">
        <v>3134</v>
      </c>
      <c r="E4" s="12" t="s">
        <v>3138</v>
      </c>
    </row>
    <row r="5" spans="1:5" ht="18" customHeight="1" x14ac:dyDescent="0.25">
      <c r="A5" s="12" t="s">
        <v>3132</v>
      </c>
      <c r="B5" s="12" t="s">
        <v>3133</v>
      </c>
      <c r="C5" s="12" t="s">
        <v>79</v>
      </c>
      <c r="D5" s="12" t="s">
        <v>3139</v>
      </c>
      <c r="E5" s="12" t="s">
        <v>3140</v>
      </c>
    </row>
    <row r="6" spans="1:5" ht="18" customHeight="1" x14ac:dyDescent="0.25">
      <c r="A6" s="12" t="s">
        <v>3132</v>
      </c>
      <c r="B6" s="12" t="s">
        <v>3133</v>
      </c>
      <c r="C6" s="12" t="s">
        <v>2719</v>
      </c>
      <c r="D6" s="12" t="s">
        <v>3141</v>
      </c>
      <c r="E6" s="12" t="s">
        <v>3142</v>
      </c>
    </row>
    <row r="7" spans="1:5" ht="18" customHeight="1" x14ac:dyDescent="0.25">
      <c r="A7" s="12" t="s">
        <v>3132</v>
      </c>
      <c r="B7" s="12" t="s">
        <v>3143</v>
      </c>
      <c r="C7" s="12" t="s">
        <v>36</v>
      </c>
      <c r="D7" s="12" t="s">
        <v>3144</v>
      </c>
      <c r="E7" s="12" t="s">
        <v>3145</v>
      </c>
    </row>
    <row r="8" spans="1:5" ht="18" customHeight="1" x14ac:dyDescent="0.25">
      <c r="A8" s="12" t="s">
        <v>3132</v>
      </c>
      <c r="B8" s="12" t="s">
        <v>3143</v>
      </c>
      <c r="C8" s="12" t="s">
        <v>42</v>
      </c>
      <c r="D8" s="12" t="s">
        <v>3146</v>
      </c>
      <c r="E8" s="12" t="s">
        <v>3147</v>
      </c>
    </row>
    <row r="9" spans="1:5" ht="18" customHeight="1" x14ac:dyDescent="0.25">
      <c r="A9" s="12" t="s">
        <v>3132</v>
      </c>
      <c r="B9" s="12" t="s">
        <v>3148</v>
      </c>
      <c r="C9" s="12" t="s">
        <v>464</v>
      </c>
      <c r="D9" s="12" t="s">
        <v>3149</v>
      </c>
      <c r="E9" s="12" t="s">
        <v>3150</v>
      </c>
    </row>
    <row r="10" spans="1:5" ht="18" customHeight="1" x14ac:dyDescent="0.25">
      <c r="A10" s="12" t="s">
        <v>3132</v>
      </c>
      <c r="B10" s="12" t="s">
        <v>3148</v>
      </c>
      <c r="C10" s="12" t="s">
        <v>206</v>
      </c>
      <c r="D10" s="12" t="s">
        <v>24</v>
      </c>
      <c r="E10" s="12" t="s">
        <v>3151</v>
      </c>
    </row>
    <row r="11" spans="1:5" ht="18" customHeight="1" x14ac:dyDescent="0.25">
      <c r="A11" s="12" t="s">
        <v>3132</v>
      </c>
      <c r="B11" s="12" t="s">
        <v>3148</v>
      </c>
      <c r="C11" s="12" t="s">
        <v>371</v>
      </c>
      <c r="D11" s="12" t="s">
        <v>24</v>
      </c>
      <c r="E11" s="12" t="s">
        <v>3152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3153</v>
      </c>
      <c r="B1" s="5" t="s">
        <v>10</v>
      </c>
      <c r="C1" s="15" t="s">
        <v>3154</v>
      </c>
      <c r="D1" s="15" t="s">
        <v>3077</v>
      </c>
    </row>
    <row r="2" spans="1:4" ht="21" customHeight="1" x14ac:dyDescent="0.25">
      <c r="A2" s="103" t="s">
        <v>24</v>
      </c>
      <c r="B2" s="103" t="s">
        <v>38</v>
      </c>
      <c r="C2" s="12" t="s">
        <v>3155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3156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3157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3127</v>
      </c>
      <c r="B1" s="12" t="s">
        <v>3128</v>
      </c>
      <c r="C1" s="13" t="s">
        <v>3129</v>
      </c>
      <c r="D1" s="13" t="s">
        <v>3130</v>
      </c>
      <c r="E1" s="13" t="s">
        <v>3131</v>
      </c>
    </row>
    <row r="2" spans="1:5" ht="18" customHeight="1" x14ac:dyDescent="0.25">
      <c r="A2" s="12" t="s">
        <v>3158</v>
      </c>
      <c r="B2" s="12" t="s">
        <v>3133</v>
      </c>
      <c r="C2" s="14" t="s">
        <v>25</v>
      </c>
      <c r="D2" s="12" t="s">
        <v>3134</v>
      </c>
      <c r="E2" s="17" t="s">
        <v>3159</v>
      </c>
    </row>
    <row r="3" spans="1:5" ht="18" customHeight="1" x14ac:dyDescent="0.25">
      <c r="A3" s="12" t="s">
        <v>3158</v>
      </c>
      <c r="B3" s="12" t="s">
        <v>3133</v>
      </c>
      <c r="C3" s="12" t="s">
        <v>75</v>
      </c>
      <c r="D3" s="12" t="s">
        <v>3136</v>
      </c>
      <c r="E3" s="12" t="s">
        <v>3160</v>
      </c>
    </row>
    <row r="4" spans="1:5" ht="18" customHeight="1" x14ac:dyDescent="0.25">
      <c r="A4" s="12" t="s">
        <v>3158</v>
      </c>
      <c r="B4" s="12" t="s">
        <v>3133</v>
      </c>
      <c r="C4" s="12" t="s">
        <v>79</v>
      </c>
      <c r="D4" s="12" t="s">
        <v>3139</v>
      </c>
      <c r="E4" s="12" t="s">
        <v>3161</v>
      </c>
    </row>
    <row r="5" spans="1:5" ht="27.75" customHeight="1" x14ac:dyDescent="0.25">
      <c r="A5" s="12" t="s">
        <v>3158</v>
      </c>
      <c r="B5" s="12" t="s">
        <v>3133</v>
      </c>
      <c r="C5" s="12" t="s">
        <v>2694</v>
      </c>
      <c r="D5" s="17" t="s">
        <v>3162</v>
      </c>
      <c r="E5" s="12" t="s">
        <v>3163</v>
      </c>
    </row>
    <row r="6" spans="1:5" ht="18" customHeight="1" x14ac:dyDescent="0.25">
      <c r="A6" s="12" t="s">
        <v>3158</v>
      </c>
      <c r="B6" s="12" t="s">
        <v>3133</v>
      </c>
      <c r="C6" s="12" t="s">
        <v>2719</v>
      </c>
      <c r="D6" s="12" t="s">
        <v>3141</v>
      </c>
      <c r="E6" s="12" t="s">
        <v>3142</v>
      </c>
    </row>
    <row r="7" spans="1:5" ht="18" customHeight="1" x14ac:dyDescent="0.25">
      <c r="A7" s="12" t="s">
        <v>3158</v>
      </c>
      <c r="B7" s="12" t="s">
        <v>3143</v>
      </c>
      <c r="C7" s="12" t="s">
        <v>2700</v>
      </c>
      <c r="D7" s="12" t="s">
        <v>3164</v>
      </c>
      <c r="E7" s="12" t="s">
        <v>3165</v>
      </c>
    </row>
    <row r="8" spans="1:5" ht="18" customHeight="1" x14ac:dyDescent="0.25">
      <c r="A8" s="12" t="s">
        <v>3158</v>
      </c>
      <c r="B8" s="12" t="s">
        <v>3143</v>
      </c>
      <c r="C8" s="12" t="s">
        <v>42</v>
      </c>
      <c r="D8" s="12" t="s">
        <v>3146</v>
      </c>
      <c r="E8" s="12" t="s">
        <v>3147</v>
      </c>
    </row>
    <row r="9" spans="1:5" ht="18" customHeight="1" x14ac:dyDescent="0.25">
      <c r="A9" s="12" t="s">
        <v>3158</v>
      </c>
      <c r="B9" s="12" t="s">
        <v>3143</v>
      </c>
      <c r="C9" s="12" t="s">
        <v>2795</v>
      </c>
      <c r="D9" s="12" t="s">
        <v>3166</v>
      </c>
      <c r="E9" s="17" t="s">
        <v>3167</v>
      </c>
    </row>
    <row r="10" spans="1:5" ht="18" customHeight="1" x14ac:dyDescent="0.25">
      <c r="A10" s="12" t="s">
        <v>3158</v>
      </c>
      <c r="B10" s="12" t="s">
        <v>3168</v>
      </c>
      <c r="C10" s="12" t="s">
        <v>3125</v>
      </c>
      <c r="D10" s="12" t="s">
        <v>3169</v>
      </c>
      <c r="E10" s="17" t="s">
        <v>3170</v>
      </c>
    </row>
    <row r="11" spans="1:5" ht="18" customHeight="1" x14ac:dyDescent="0.25">
      <c r="A11" s="12" t="s">
        <v>3158</v>
      </c>
      <c r="B11" s="12" t="s">
        <v>3168</v>
      </c>
      <c r="C11" s="12" t="s">
        <v>206</v>
      </c>
      <c r="D11" s="12" t="s">
        <v>24</v>
      </c>
      <c r="E11" s="12" t="s">
        <v>3151</v>
      </c>
    </row>
    <row r="12" spans="1:5" ht="18" customHeight="1" x14ac:dyDescent="0.25">
      <c r="A12" s="12" t="s">
        <v>3158</v>
      </c>
      <c r="B12" s="12" t="s">
        <v>3168</v>
      </c>
      <c r="C12" s="12" t="s">
        <v>371</v>
      </c>
      <c r="D12" s="12" t="s">
        <v>24</v>
      </c>
      <c r="E12" s="12" t="s">
        <v>3152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6" t="s">
        <v>3171</v>
      </c>
      <c r="B1" s="236"/>
      <c r="C1" s="236"/>
      <c r="D1" s="236"/>
      <c r="E1" s="236"/>
      <c r="F1" s="236"/>
      <c r="G1" s="236"/>
      <c r="H1" s="236"/>
    </row>
    <row r="2" spans="1:8" x14ac:dyDescent="0.25">
      <c r="A2" s="49" t="s">
        <v>3172</v>
      </c>
    </row>
    <row r="4" spans="1:8" ht="21.95" customHeight="1" x14ac:dyDescent="0.25">
      <c r="A4" s="237" t="s">
        <v>3173</v>
      </c>
      <c r="B4" s="238"/>
      <c r="D4" s="237" t="s">
        <v>3174</v>
      </c>
      <c r="E4" s="238"/>
      <c r="G4" s="237" t="s">
        <v>3175</v>
      </c>
      <c r="H4" s="238"/>
    </row>
    <row r="5" spans="1:8" ht="35.1" customHeight="1" x14ac:dyDescent="0.25">
      <c r="A5" s="241">
        <f>COUNTIF('Ações InCompany'!E:E,"*maratona*")</f>
        <v>13</v>
      </c>
      <c r="B5" s="240"/>
      <c r="D5" s="239">
        <f>SUM(H8:H100)</f>
        <v>1762</v>
      </c>
      <c r="E5" s="240"/>
      <c r="G5" s="239">
        <f>IFERROR(ROUND(D5/A5,0),"-")</f>
        <v>136</v>
      </c>
      <c r="H5" s="240"/>
    </row>
    <row r="6" spans="1:8" ht="9.9499999999999993" customHeight="1" x14ac:dyDescent="0.25"/>
    <row r="7" spans="1:8" ht="24.95" customHeight="1" thickBot="1" x14ac:dyDescent="0.3">
      <c r="A7" s="62" t="s">
        <v>3176</v>
      </c>
      <c r="B7" s="62" t="s">
        <v>3177</v>
      </c>
      <c r="C7" s="62" t="s">
        <v>1</v>
      </c>
      <c r="D7" s="62" t="s">
        <v>3178</v>
      </c>
      <c r="E7" s="62" t="s">
        <v>3179</v>
      </c>
      <c r="F7" s="62" t="s">
        <v>3077</v>
      </c>
      <c r="G7" s="62" t="s">
        <v>5</v>
      </c>
      <c r="H7" s="62" t="s">
        <v>3180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2" t="s">
        <v>3181</v>
      </c>
      <c r="B1" s="242"/>
      <c r="C1" s="242"/>
      <c r="D1" s="242"/>
      <c r="E1" s="242"/>
      <c r="F1" s="242"/>
    </row>
    <row r="2" spans="1:7" x14ac:dyDescent="0.25">
      <c r="A2" s="243" t="s">
        <v>3182</v>
      </c>
      <c r="B2" s="243"/>
      <c r="C2" s="243"/>
      <c r="D2" s="243"/>
      <c r="E2" s="243"/>
      <c r="F2" s="243"/>
    </row>
    <row r="4" spans="1:7" x14ac:dyDescent="0.25">
      <c r="A4" s="25" t="s">
        <v>19</v>
      </c>
      <c r="B4" s="25" t="s">
        <v>3080</v>
      </c>
      <c r="C4" s="25" t="s">
        <v>3081</v>
      </c>
      <c r="D4" s="25" t="s">
        <v>3183</v>
      </c>
      <c r="E4" s="25" t="s">
        <v>3082</v>
      </c>
      <c r="F4" s="25" t="s">
        <v>3184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4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12</v>
      </c>
      <c r="C6" s="26">
        <f ca="1">IF($A6="","",SUMIFS('GECC 2026'!I$2:I$200,'GECC 2026'!F$2:F$200,$A6))</f>
        <v>3.5999999999999996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15.600000000000001</v>
      </c>
      <c r="F6" s="24">
        <f ca="1">IF($A6="","",COUNTIFS('GECC 2026'!F$2:F$200,$A6))</f>
        <v>3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 x14ac:dyDescent="0.25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 x14ac:dyDescent="0.25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 x14ac:dyDescent="0.25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6">
        <f ca="1">IF($A41="","",SUMIFS('GECC 2026'!H$2:H$200,'GECC 2026'!F$2:F$200,$A41))</f>
        <v>20</v>
      </c>
      <c r="C41" s="26">
        <f ca="1">IF($A41="","",SUMIFS('GECC 2026'!I$2:I$200,'GECC 2026'!F$2:F$200,$A41))</f>
        <v>6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26</v>
      </c>
      <c r="F41" s="24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 x14ac:dyDescent="0.25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 x14ac:dyDescent="0.25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 x14ac:dyDescent="0.25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 x14ac:dyDescent="0.25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 x14ac:dyDescent="0.25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 x14ac:dyDescent="0.25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 x14ac:dyDescent="0.25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 x14ac:dyDescent="0.25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 x14ac:dyDescent="0.25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 x14ac:dyDescent="0.25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 x14ac:dyDescent="0.25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 x14ac:dyDescent="0.25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 x14ac:dyDescent="0.25">
      <c r="A58" t="str">
        <f ca="1"/>
        <v>Valéria Feitoza</v>
      </c>
      <c r="B58" s="26">
        <f ca="1">IF($A58="","",SUMIFS('GECC 2026'!H$2:H$200,'GECC 2026'!F$2:F$200,$A58))</f>
        <v>2</v>
      </c>
      <c r="C58" s="26">
        <f ca="1">IF($A58="","",SUMIFS('GECC 2026'!I$2:I$200,'GECC 2026'!F$2:F$200,$A58))</f>
        <v>0.6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2.6</v>
      </c>
      <c r="F58" s="24">
        <f ca="1">IF($A58="","",COUNTIFS('GECC 2026'!F$2:F$200,$A58))</f>
        <v>2</v>
      </c>
    </row>
    <row r="59" spans="1:6" x14ac:dyDescent="0.25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 x14ac:dyDescent="0.25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3119</v>
      </c>
      <c r="B105" s="95">
        <f ca="1">SUM(B5:B100)</f>
        <v>813</v>
      </c>
      <c r="C105" s="95">
        <f ca="1">SUM(C5:C100)</f>
        <v>364.23999999999995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3185</v>
      </c>
      <c r="B1" s="123" t="s">
        <v>3186</v>
      </c>
      <c r="C1" s="123" t="s">
        <v>3187</v>
      </c>
      <c r="D1" s="123" t="s">
        <v>3188</v>
      </c>
      <c r="E1" s="123" t="s">
        <v>3189</v>
      </c>
      <c r="F1" s="123" t="s">
        <v>3190</v>
      </c>
      <c r="G1" s="123" t="s">
        <v>10</v>
      </c>
      <c r="H1" s="123" t="s">
        <v>3191</v>
      </c>
      <c r="I1" s="123" t="s">
        <v>3192</v>
      </c>
      <c r="J1" s="123" t="s">
        <v>3193</v>
      </c>
      <c r="K1" s="123" t="s">
        <v>3194</v>
      </c>
      <c r="L1" s="123" t="s">
        <v>3195</v>
      </c>
      <c r="N1" s="124" t="s">
        <v>3196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3197</v>
      </c>
      <c r="L2" t="str">
        <f>IF(K2="","",IFERROR(INDEX(Tabela2[Curso],MATCH(K2,Tabela2[ID],0)),""))</f>
        <v/>
      </c>
      <c r="N2" s="123" t="s">
        <v>3076</v>
      </c>
      <c r="O2" s="123" t="s">
        <v>4</v>
      </c>
      <c r="P2" s="123" t="s">
        <v>3198</v>
      </c>
      <c r="Q2" s="123" t="s">
        <v>3199</v>
      </c>
      <c r="R2" s="123" t="s">
        <v>3200</v>
      </c>
      <c r="S2" s="123" t="s">
        <v>3201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3197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3197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3197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3197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3197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3197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3197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3197</v>
      </c>
      <c r="L10" t="str">
        <f>IF(K10="","",IFERROR(INDEX(Tabela2[Curso],MATCH(K10,Tabela2[ID],0)),""))</f>
        <v/>
      </c>
      <c r="N10" s="122" t="s">
        <v>3202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3197</v>
      </c>
      <c r="L11" t="str">
        <f>IF(K11="","",IFERROR(INDEX(Tabela2[Curso],MATCH(K11,Tabela2[ID],0)),""))</f>
        <v/>
      </c>
      <c r="N11" s="125" t="s">
        <v>3203</v>
      </c>
      <c r="O11" s="125" t="s">
        <v>3204</v>
      </c>
      <c r="P11" s="125" t="s">
        <v>3205</v>
      </c>
      <c r="Q11" s="125" t="s">
        <v>3188</v>
      </c>
      <c r="R11" s="125" t="s">
        <v>3189</v>
      </c>
      <c r="S11" s="125" t="s">
        <v>3206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3197</v>
      </c>
      <c r="L12" t="str">
        <f>IF(K12="","",IFERROR(INDEX(Tabela2[Curso],MATCH(K12,Tabela2[ID],0)),""))</f>
        <v/>
      </c>
      <c r="N12" t="s">
        <v>3207</v>
      </c>
      <c r="O12" t="s">
        <v>2755</v>
      </c>
      <c r="P12" t="s">
        <v>3208</v>
      </c>
      <c r="Q12">
        <v>0</v>
      </c>
      <c r="R12">
        <v>0</v>
      </c>
      <c r="S12" t="s">
        <v>3209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3197</v>
      </c>
      <c r="L13" t="str">
        <f>IF(K13="","",IFERROR(INDEX(Tabela2[Curso],MATCH(K13,Tabela2[ID],0)),""))</f>
        <v/>
      </c>
      <c r="N13" t="s">
        <v>3210</v>
      </c>
      <c r="O13" t="s">
        <v>2686</v>
      </c>
      <c r="P13" t="s">
        <v>3211</v>
      </c>
      <c r="Q13">
        <v>0</v>
      </c>
      <c r="R13">
        <v>0</v>
      </c>
      <c r="S13" t="s">
        <v>3212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3197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3197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3197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3197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3197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3197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3197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3197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3197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3197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3197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3197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3197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3197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3197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3197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3197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3197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3197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3197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3197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3197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3197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3197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3197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3197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3197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3197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3197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3197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3197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3197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3197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3197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3197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3197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3197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3197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3197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3197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3197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3197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3197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3197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3197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3197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3197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3197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3197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3197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3197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3197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2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2026-08-28T20:02:36Z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