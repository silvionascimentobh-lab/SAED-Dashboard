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18" documentId="13_ncr:1_{6A2CC3E2-FAFB-4D8F-B284-5E8FB5045DFE}" xr6:coauthVersionLast="47" xr6:coauthVersionMax="47" xr10:uidLastSave="{866894F5-6698-410D-A44C-933200DAE98C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 iterateDelta="1E-4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B8" i="27" l="1"/>
  <c r="A8" i="27"/>
  <c r="L4" i="20"/>
  <c r="R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l="1" a="1"/>
  <c r="T4" i="20" s="1"/>
  <c r="A2" i="20" l="1" a="1"/>
  <c r="E105" i="23" s="1"/>
  <c r="A2" i="20" l="1"/>
  <c r="A5" i="23" a="1"/>
  <c r="D34" i="23" s="1"/>
  <c r="D33" i="23" l="1"/>
  <c r="B43" i="23"/>
  <c r="D54" i="23"/>
  <c r="F33" i="23"/>
  <c r="D41" i="23"/>
  <c r="F57" i="23"/>
  <c r="E39" i="23"/>
  <c r="C52" i="23"/>
  <c r="C20" i="23"/>
  <c r="E13" i="23"/>
  <c r="D15" i="23"/>
  <c r="E49" i="23"/>
  <c r="D19" i="23"/>
  <c r="D55" i="23"/>
  <c r="E41" i="23"/>
  <c r="B31" i="23"/>
  <c r="F7" i="23"/>
  <c r="C16" i="23"/>
  <c r="B22" i="23"/>
  <c r="C14" i="23"/>
  <c r="F17" i="23"/>
  <c r="C7" i="23"/>
  <c r="C13" i="23"/>
  <c r="F11" i="23"/>
  <c r="D30" i="23"/>
  <c r="E30" i="23"/>
  <c r="F29" i="23"/>
  <c r="C34" i="23"/>
  <c r="B47" i="23"/>
  <c r="C6" i="23"/>
  <c r="B13" i="23"/>
  <c r="F50" i="23"/>
  <c r="C43" i="23"/>
  <c r="C31" i="23"/>
  <c r="D10" i="23"/>
  <c r="F46" i="23"/>
  <c r="E21" i="23"/>
  <c r="B53" i="23"/>
  <c r="F54" i="23"/>
  <c r="B33" i="23"/>
  <c r="D45" i="23"/>
  <c r="D38" i="23"/>
  <c r="E12" i="23"/>
  <c r="F45" i="23"/>
  <c r="E42" i="23"/>
  <c r="F53" i="23"/>
  <c r="B57" i="23"/>
  <c r="D32" i="23"/>
  <c r="B16" i="23"/>
  <c r="F44" i="23"/>
  <c r="D13" i="23"/>
  <c r="E52" i="23"/>
  <c r="F19" i="23"/>
  <c r="F16" i="23"/>
  <c r="B54" i="23"/>
  <c r="E14" i="23"/>
  <c r="F37" i="23"/>
  <c r="E22" i="23"/>
  <c r="E33" i="23"/>
  <c r="E35" i="23"/>
  <c r="D11" i="23"/>
  <c r="F39" i="23"/>
  <c r="B36" i="23"/>
  <c r="C15" i="23"/>
  <c r="F20" i="23"/>
  <c r="E43" i="23"/>
  <c r="E18" i="23"/>
  <c r="F25" i="23"/>
  <c r="E38" i="23"/>
  <c r="E31" i="23"/>
  <c r="F8" i="23"/>
  <c r="C27" i="23"/>
  <c r="B44" i="23"/>
  <c r="D35" i="23"/>
  <c r="E57" i="23"/>
  <c r="E26" i="23"/>
  <c r="E54" i="23"/>
  <c r="C23" i="23"/>
  <c r="F23" i="23"/>
  <c r="B55" i="23"/>
  <c r="C50" i="23"/>
  <c r="C35" i="23"/>
  <c r="C56" i="23"/>
  <c r="B51" i="23"/>
  <c r="B19" i="23"/>
  <c r="F30" i="23"/>
  <c r="D26" i="23"/>
  <c r="C17" i="23"/>
  <c r="D56" i="23"/>
  <c r="E6" i="23"/>
  <c r="D31" i="23"/>
  <c r="B6" i="23"/>
  <c r="B20" i="23"/>
  <c r="B29" i="23"/>
  <c r="B30" i="23"/>
  <c r="C57" i="23"/>
  <c r="C10" i="23"/>
  <c r="E15" i="23"/>
  <c r="C18" i="23"/>
  <c r="D6" i="23"/>
  <c r="E40" i="23"/>
  <c r="F38" i="23"/>
  <c r="F12" i="23"/>
  <c r="F49" i="23"/>
  <c r="F9" i="23"/>
  <c r="F28" i="23"/>
  <c r="E32" i="23"/>
  <c r="C22" i="23"/>
  <c r="D47" i="23"/>
  <c r="C28" i="23"/>
  <c r="B38" i="23"/>
  <c r="B21" i="23"/>
  <c r="E47" i="23"/>
  <c r="F22" i="23"/>
  <c r="D20" i="23"/>
  <c r="F40" i="23"/>
  <c r="D9" i="23"/>
  <c r="F42" i="23"/>
  <c r="F34" i="23"/>
  <c r="B9" i="23"/>
  <c r="C47" i="23"/>
  <c r="E45" i="23"/>
  <c r="C25" i="23"/>
  <c r="D8" i="23"/>
  <c r="D14" i="23"/>
  <c r="D27" i="23"/>
  <c r="F18" i="23"/>
  <c r="B27" i="23"/>
  <c r="E16" i="23"/>
  <c r="D40" i="23"/>
  <c r="B23" i="23"/>
  <c r="C19" i="23"/>
  <c r="B39" i="23"/>
  <c r="D50" i="23"/>
  <c r="F15" i="23"/>
  <c r="F21" i="23"/>
  <c r="C40" i="23"/>
  <c r="C29" i="23"/>
  <c r="E37" i="23"/>
  <c r="D29" i="23"/>
  <c r="D18" i="23"/>
  <c r="C36" i="23"/>
  <c r="D28" i="23"/>
  <c r="F55" i="23"/>
  <c r="F52" i="23"/>
  <c r="D23" i="23"/>
  <c r="C55" i="23"/>
  <c r="F47" i="23"/>
  <c r="E10" i="23"/>
  <c r="C49" i="23"/>
  <c r="D43" i="23"/>
  <c r="D49" i="23"/>
  <c r="C21" i="23"/>
  <c r="E25" i="23"/>
  <c r="D57" i="23"/>
  <c r="B15" i="23"/>
  <c r="E28" i="23"/>
  <c r="C39" i="23"/>
  <c r="B48" i="23"/>
  <c r="B32" i="23"/>
  <c r="D42" i="23"/>
  <c r="E36" i="23"/>
  <c r="E23" i="23"/>
  <c r="C37" i="23"/>
  <c r="C26" i="23"/>
  <c r="C48" i="23"/>
  <c r="C9" i="23"/>
  <c r="B11" i="23"/>
  <c r="D24" i="23"/>
  <c r="D7" i="23"/>
  <c r="C30" i="23"/>
  <c r="F35" i="23"/>
  <c r="D46" i="23"/>
  <c r="C11" i="23"/>
  <c r="E44" i="23"/>
  <c r="E55" i="23"/>
  <c r="B45" i="23"/>
  <c r="B7" i="23"/>
  <c r="D17" i="23"/>
  <c r="F14" i="23"/>
  <c r="A5" i="23"/>
  <c r="D12" i="23"/>
  <c r="E27" i="23"/>
  <c r="B56" i="23"/>
  <c r="B37" i="23"/>
  <c r="C12" i="23"/>
  <c r="C44" i="23"/>
  <c r="D36" i="23"/>
  <c r="C54" i="23"/>
  <c r="F41" i="23"/>
  <c r="C38" i="23"/>
  <c r="F56" i="23"/>
  <c r="F31" i="23"/>
  <c r="F36" i="23"/>
  <c r="C45" i="23"/>
  <c r="B12" i="23"/>
  <c r="F26" i="23"/>
  <c r="D52" i="23"/>
  <c r="D51" i="23"/>
  <c r="F43" i="23"/>
  <c r="B52" i="23"/>
  <c r="F51" i="23"/>
  <c r="F48" i="23"/>
  <c r="E56" i="23"/>
  <c r="D25" i="23"/>
  <c r="E8" i="23"/>
  <c r="C8" i="23"/>
  <c r="D21" i="23"/>
  <c r="F10" i="23"/>
  <c r="E20" i="23"/>
  <c r="F27" i="23"/>
  <c r="C51" i="23"/>
  <c r="E24" i="23"/>
  <c r="C46" i="23"/>
  <c r="E50" i="23"/>
  <c r="E34" i="23"/>
  <c r="E29" i="23"/>
  <c r="F24" i="23"/>
  <c r="E9" i="23"/>
  <c r="D44" i="23"/>
  <c r="B28" i="23"/>
  <c r="B34" i="23"/>
  <c r="B14" i="23"/>
  <c r="D37" i="23"/>
  <c r="D22" i="23"/>
  <c r="B41" i="23"/>
  <c r="F13" i="23"/>
  <c r="E11" i="23"/>
  <c r="B18" i="23"/>
  <c r="C32" i="23"/>
  <c r="B24" i="23"/>
  <c r="E46" i="23"/>
  <c r="C24" i="23"/>
  <c r="D53" i="23"/>
  <c r="D16" i="23"/>
  <c r="E7" i="23"/>
  <c r="F6" i="23"/>
  <c r="B40" i="23"/>
  <c r="B25" i="23"/>
  <c r="C53" i="23"/>
  <c r="B35" i="23"/>
  <c r="B46" i="23"/>
  <c r="F32" i="23"/>
  <c r="D48" i="23"/>
  <c r="E19" i="23"/>
  <c r="C33" i="23"/>
  <c r="B49" i="23"/>
  <c r="E51" i="23"/>
  <c r="B50" i="23"/>
  <c r="C41" i="23"/>
  <c r="D39" i="23"/>
  <c r="B26" i="23"/>
  <c r="B8" i="23"/>
  <c r="E48" i="23"/>
  <c r="B42" i="23"/>
  <c r="E53" i="23"/>
  <c r="E17" i="23"/>
  <c r="B17" i="23"/>
  <c r="C42" i="23"/>
  <c r="B10" i="23"/>
  <c r="E5" i="23"/>
  <c r="G5" i="23"/>
  <c r="C5" i="23"/>
  <c r="B5" i="23"/>
  <c r="F5" i="23"/>
  <c r="D5" i="23"/>
  <c r="F105" i="23" l="1"/>
  <c r="C105" i="23"/>
  <c r="B10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<sst xmlns="http://schemas.openxmlformats.org/spreadsheetml/2006/main" count="7305" uniqueCount="3210">
  <si>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</si>
  <si>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</si>
  <si>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</si>
  <si>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</si>
  <si>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</si>
  <si>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</si>
  <si>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</si>
  <si>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</si>
  <si>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</si>
  <si>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</si>
  <si>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</si>
  <si>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</si>
  <si>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</si>
  <si>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</si>
  <si>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</si>
  <si>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</si>
  <si>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</si>
  <si>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</si>
  <si>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</si>
  <si>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</si>
  <si>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</si>
  <si>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</si>
  <si>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</si>
  <si>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</si>
  <si>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</si>
  <si>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</si>
  <si>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</si>
  <si>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</si>
  <si>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</si>
  <si>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</si>
  <si>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</si>
  <si>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</si>
  <si>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</si>
  <si>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</si>
  <si>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</si>
  <si>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</si>
  <si>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</si>
  <si>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</si>
  <si>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</si>
  <si>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</si>
  <si>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</si>
  <si>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</si>
  <si>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</si>
  <si>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</si>
  <si>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</si>
  <si>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</si>
  <si>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</si>
  <si>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</si>
  <si>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</si>
  <si>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</si>
  <si>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</si>
  <si>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</si>
  <si>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</si>
  <si>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</si>
  <si>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</si>
  <si>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</si>
  <si>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</si>
  <si>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</si>
  <si>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</si>
  <si>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</si>
  <si>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</si>
  <si>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</si>
  <si>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</si>
  <si>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</si>
  <si>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</si>
  <si>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</si>
  <si>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</si>
  <si>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</si>
  <si>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</si>
  <si>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</si>
  <si>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</si>
  <si>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</si>
  <si>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</si>
  <si>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</si>
  <si>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</si>
  <si>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</si>
  <si>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</si>
  <si>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</si>
  <si>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</si>
  <si>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</si>
  <si>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</si>
  <si>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</si>
  <si>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</si>
  <si>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</si>
  <si>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</si>
  <si>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</si>
  <si>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</si>
  <si>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</si>
  <si>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</si>
  <si>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</si>
  <si>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</si>
  <si>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</si>
  <si>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</si>
  <si>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</si>
  <si>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</si>
  <si>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</si>
  <si>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</si>
  <si>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</si>
  <si>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</si>
  <si>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</si>
  <si>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</si>
  <si>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</si>
  <si>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</si>
  <si>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</si>
  <si>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</si>
  <si>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</si>
  <si>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</si>
  <si>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</si>
  <si>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</si>
  <si>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</si>
  <si>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</si>
  <si>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</si>
  <si>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</si>
  <si>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</si>
  <si>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</si>
  <si>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</si>
  <si>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</si>
  <si>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</si>
  <si>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</si>
  <si>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</si>
  <si>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</si>
  <si>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</si>
  <si>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</si>
  <si>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</si>
  <si>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</si>
  <si>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</si>
  <si>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</si>
  <si>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</si>
  <si>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</si>
  <si>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</si>
  <si>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</si>
  <si>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</si>
  <si>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</si>
  <si>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</si>
  <si>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</si>
  <si>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</si>
  <si>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</si>
  <si>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</si>
  <si>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</si>
  <si>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</si>
  <si>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</si>
  <si>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</si>
  <si>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</si>
  <si>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</si>
  <si>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</si>
  <si>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</si>
  <si>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</si>
  <si>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</si>
  <si>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</si>
  <si>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</si>
  <si>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</si>
  <si>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</si>
  <si>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</si>
  <si>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</si>
  <si>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</si>
  <si>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</si>
  <si>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</si>
  <si>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</si>
  <si>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</si>
  <si>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</si>
  <si>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</si>
  <si>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</si>
  <si>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</si>
  <si>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</si>
  <si>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</si>
  <si>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</si>
  <si>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</si>
  <si>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</si>
  <si>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</si>
  <si>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</si>
  <si>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</si>
  <si>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</si>
  <si>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</si>
  <si>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</si>
  <si>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</si>
  <si>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</si>
  <si>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</si>
  <si>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</si>
  <si>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</si>
  <si>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</si>
  <si>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</si>
  <si>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</si>
  <si>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</si>
  <si>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</si>
  <si>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</si>
  <si>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</si>
  <si>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</si>
  <si>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</si>
  <si>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</si>
  <si>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</si>
  <si>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</si>
  <si>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</si>
  <si>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</si>
  <si>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</si>
  <si>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</si>
  <si>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</si>
  <si>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</si>
  <si>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</si>
  <si>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</si>
  <si>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</si>
  <si>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</si>
  <si>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</si>
  <si>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</si>
  <si>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</si>
  <si>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</si>
  <si>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</si>
  <si>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</si>
  <si>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</si>
  <si>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</si>
  <si>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</si>
  <si>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</si>
  <si>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</si>
  <si>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</si>
  <si>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</si>
  <si>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</si>
  <si>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</si>
  <si>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</si>
  <si>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</si>
  <si>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</si>
  <si>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</si>
  <si>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</si>
  <si>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</si>
  <si>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</si>
  <si>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</si>
  <si>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</si>
  <si>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</si>
  <si>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</si>
  <si>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</si>
  <si>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</si>
  <si>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</si>
  <si>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</si>
  <si>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</si>
  <si>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</si>
  <si>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</si>
  <si>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</si>
  <si>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</si>
  <si>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</si>
  <si>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</si>
  <si>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</si>
  <si>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</si>
  <si>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</si>
  <si>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</si>
  <si>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</si>
  <si>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</si>
  <si>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</si>
  <si>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</si>
  <si>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</si>
  <si>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</si>
  <si>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</si>
  <si>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</si>
  <si>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</si>
  <si>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</si>
  <si>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</si>
  <si>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</si>
  <si>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</si>
  <si>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</si>
  <si>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</si>
  <si>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</si>
  <si>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</si>
  <si>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</si>
  <si>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</si>
  <si>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</si>
  <si>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</si>
  <si>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</si>
  <si>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</si>
  <si>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</si>
  <si>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</si>
  <si>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</si>
  <si>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</si>
  <si>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</si>
  <si>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</si>
  <si>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</si>
  <si>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</si>
  <si>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</si>
  <si>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</si>
  <si>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</si>
  <si>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</si>
  <si>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</si>
  <si>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</si>
  <si>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</si>
  <si>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</si>
  <si>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</si>
  <si>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</si>
  <si>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</si>
  <si>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</si>
  <si>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</si>
  <si>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</si>
  <si>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</si>
  <si>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</si>
  <si>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</si>
  <si>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</si>
  <si>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</si>
  <si>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</si>
  <si>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</si>
  <si>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</si>
  <si>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</si>
  <si>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</si>
  <si>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</si>
  <si>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</si>
  <si>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</si>
  <si>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</si>
  <si>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</si>
  <si>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</si>
  <si>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</si>
  <si>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</si>
  <si>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</si>
  <si>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</si>
  <si>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</si>
  <si>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</si>
  <si>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</si>
  <si>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</si>
  <si>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</si>
  <si>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</si>
  <si>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</si>
  <si>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</si>
  <si>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</si>
  <si>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</si>
  <si>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</si>
  <si>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</si>
  <si>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</si>
  <si>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</si>
  <si>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</si>
  <si>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</si>
  <si>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</si>
  <si>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</si>
  <si>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</si>
  <si>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</si>
  <si>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</si>
  <si>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</si>
  <si>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</si>
  <si>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</si>
  <si>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</si>
  <si>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</si>
  <si>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</si>
  <si>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</si>
  <si>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</si>
  <si>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</si>
  <si>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</si>
  <si>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</si>
  <si>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</si>
  <si>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</si>
  <si>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</si>
  <si>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</si>
  <si>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</si>
  <si>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</si>
  <si>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</si>
  <si>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</si>
  <si>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</si>
  <si>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</si>
  <si>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</si>
  <si>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</si>
  <si>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</si>
  <si>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</si>
  <si>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</si>
  <si>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</si>
  <si>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</si>
  <si>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</si>
  <si>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</si>
  <si>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</si>
  <si>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</si>
  <si>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</si>
  <si>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</si>
  <si>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</si>
  <si>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</si>
  <si>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</si>
  <si>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</si>
  <si>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</si>
  <si>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</si>
  <si>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</si>
  <si>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</si>
  <si>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</si>
  <si>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</si>
  <si>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</si>
  <si>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</si>
  <si>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</si>
  <si>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</si>
  <si>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</si>
  <si>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</si>
  <si>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</si>
  <si>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</si>
  <si>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</si>
  <si>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</si>
  <si>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</si>
  <si>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</si>
  <si>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</si>
  <si>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</si>
  <si>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</si>
  <si>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</si>
  <si>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</si>
  <si>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</si>
  <si>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</si>
  <si>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</si>
  <si>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</si>
  <si>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</si>
  <si>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</si>
  <si>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</si>
  <si>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</si>
  <si>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</si>
  <si>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</si>
  <si>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</si>
  <si>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</si>
  <si>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</si>
  <si>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</si>
  <si>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</si>
  <si>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</si>
  <si>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</si>
  <si>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</si>
  <si>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</si>
  <si>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</si>
  <si>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</si>
  <si>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</si>
  <si>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</si>
  <si>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</si>
  <si>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</si>
  <si>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</si>
  <si>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</si>
  <si>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</si>
  <si>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</si>
  <si>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</si>
  <si>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</si>
  <si>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</si>
  <si>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</si>
  <si>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</si>
  <si>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</si>
  <si>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</si>
  <si>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</si>
  <si>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</si>
  <si>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</si>
  <si>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</si>
  <si>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</si>
  <si>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</si>
  <si>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</si>
  <si>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</si>
  <si>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</si>
  <si>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</si>
  <si>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</si>
  <si>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</si>
  <si>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</si>
  <si>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</si>
  <si>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</si>
  <si>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</si>
  <si>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</si>
  <si>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</si>
  <si>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</si>
  <si>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</si>
  <si>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</si>
  <si>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</si>
  <si>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</si>
  <si>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</si>
  <si>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</si>
  <si>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</si>
  <si>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</si>
  <si>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</si>
  <si>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</si>
  <si>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</si>
  <si>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</si>
  <si>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</si>
  <si>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</si>
  <si>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</si>
  <si>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</si>
  <si>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</si>
  <si>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</si>
  <si>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</si>
  <si>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</si>
  <si>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</si>
  <si>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</si>
  <si>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</si>
  <si>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</si>
  <si>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</si>
  <si>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</si>
  <si>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</si>
  <si>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</si>
  <si>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</si>
  <si>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</si>
  <si>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</si>
  <si>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</si>
  <si>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</si>
  <si>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</si>
  <si>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</si>
  <si>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</si>
  <si>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</si>
  <si>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</si>
  <si>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</si>
  <si>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</si>
  <si>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</si>
  <si>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</si>
  <si>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</si>
  <si>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</si>
  <si>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</si>
  <si>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</si>
  <si>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</si>
  <si>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</si>
  <si>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</si>
  <si>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</si>
  <si>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</si>
  <si>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</si>
  <si>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</si>
  <si>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</si>
  <si>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</si>
  <si>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</si>
  <si>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</si>
  <si>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</si>
  <si>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</si>
  <si>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</si>
  <si>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</si>
  <si>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</si>
  <si>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</si>
  <si>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</si>
  <si>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</si>
  <si>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</si>
  <si>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</si>
  <si>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</si>
  <si>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</si>
  <si>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</si>
  <si>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</si>
  <si>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</si>
  <si>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</si>
  <si>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</si>
  <si>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</si>
  <si>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</si>
  <si>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</si>
  <si>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</si>
  <si>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</si>
  <si>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</si>
  <si>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</si>
  <si>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</si>
  <si>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</si>
  <si>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</si>
  <si>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</si>
  <si>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</si>
  <si>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</si>
  <si>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</si>
  <si>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</si>
  <si>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</si>
  <si>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</si>
  <si>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</si>
  <si>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</si>
  <si>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</si>
  <si>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</si>
  <si>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</si>
  <si>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</si>
  <si>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</si>
  <si>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</si>
  <si>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</si>
  <si>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</si>
  <si>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</si>
  <si>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</si>
  <si>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</si>
  <si>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</si>
  <si>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</si>
  <si>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</si>
  <si>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</si>
  <si>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</si>
  <si>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</si>
  <si>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</si>
  <si>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</si>
  <si>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</si>
  <si>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</si>
  <si>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</si>
  <si>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</si>
  <si>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</si>
  <si>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</si>
  <si>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</si>
  <si>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</si>
  <si>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</si>
  <si>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</si>
  <si>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</si>
  <si>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</si>
  <si>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</si>
  <si>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</si>
  <si>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</si>
  <si>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</si>
  <si>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</si>
  <si>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</si>
  <si>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</si>
  <si>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</si>
  <si>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</si>
  <si>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</si>
  <si>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</si>
  <si>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</si>
  <si>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</si>
  <si>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</si>
  <si>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</si>
  <si>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</si>
  <si>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</si>
  <si>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</si>
  <si>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</si>
  <si>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</si>
  <si>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</si>
  <si>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</si>
  <si>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</si>
  <si>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</si>
  <si>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</si>
  <si>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</si>
  <si>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</si>
  <si>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</si>
  <si>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</si>
  <si>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</si>
  <si>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</si>
  <si>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</si>
  <si>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</si>
  <si>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</si>
  <si>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</si>
  <si>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</si>
  <si>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</si>
  <si>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</si>
  <si>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</si>
  <si>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</si>
  <si>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</si>
  <si>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</si>
  <si>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</si>
  <si>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</si>
  <si>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</si>
  <si>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</si>
  <si>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</si>
  <si>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</si>
  <si>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</si>
  <si>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</si>
  <si>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</si>
  <si>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</si>
  <si>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</si>
  <si>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</si>
  <si>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</si>
  <si>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</si>
  <si>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</si>
  <si>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</si>
  <si>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</si>
  <si>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</si>
  <si>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</si>
  <si>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</si>
  <si>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</si>
  <si>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</si>
  <si>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</si>
  <si>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</si>
  <si>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</si>
  <si>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</si>
  <si>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</si>
  <si>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</si>
  <si>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</si>
  <si>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</si>
  <si>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</si>
  <si>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</si>
  <si>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</si>
  <si>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</si>
  <si>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</si>
  <si>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</si>
  <si>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</si>
  <si>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</si>
  <si>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</si>
  <si>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</si>
  <si>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</si>
  <si>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</si>
  <si>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</si>
  <si>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</si>
  <si>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</si>
  <si>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</si>
  <si>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</si>
  <si>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</si>
  <si>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</si>
  <si>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</si>
  <si>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</si>
  <si>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</si>
  <si>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</si>
  <si>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</si>
  <si>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</si>
  <si>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</si>
  <si>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</si>
  <si>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</si>
  <si>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</si>
  <si>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</si>
  <si>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</si>
  <si>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</si>
  <si>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</si>
  <si>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</si>
  <si>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</si>
  <si>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</si>
  <si>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</si>
  <si>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</si>
  <si>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</si>
  <si>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</si>
  <si>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</si>
  <si>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</si>
  <si>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</si>
  <si>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</si>
  <si>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</si>
  <si>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</si>
  <si>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</si>
  <si>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</si>
  <si>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</si>
  <si>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</si>
  <si>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</si>
  <si>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</si>
  <si>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</si>
  <si>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</si>
  <si>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</si>
  <si>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</si>
  <si>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</si>
  <si>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</si>
  <si>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</si>
  <si>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</si>
  <si>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</si>
  <si>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</si>
  <si>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</si>
  <si>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</si>
  <si>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</si>
  <si>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</si>
  <si>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</si>
  <si>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</si>
  <si>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</si>
  <si>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</si>
  <si>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</si>
  <si>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</si>
  <si>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</si>
  <si>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</si>
  <si>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</si>
  <si>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</si>
  <si>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</si>
  <si>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</si>
  <si>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</si>
  <si>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</si>
  <si>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</si>
  <si>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</si>
  <si>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</si>
  <si>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</si>
  <si>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</si>
  <si>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</si>
  <si>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</si>
  <si>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</si>
  <si>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</si>
  <si>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</si>
  <si>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</si>
  <si>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</si>
  <si>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</si>
  <si>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</si>
  <si>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</si>
  <si>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</si>
  <si>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</si>
  <si>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</si>
  <si>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</si>
  <si>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</si>
  <si>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</si>
  <si>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</si>
  <si>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</si>
  <si>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</si>
  <si>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</si>
  <si>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</si>
  <si>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</si>
  <si>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</si>
  <si>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</si>
  <si>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</si>
  <si>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</si>
  <si>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</si>
  <si>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</si>
  <si>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</si>
  <si>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</si>
  <si>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</si>
  <si>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</si>
  <si>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</si>
  <si>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</si>
  <si>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</si>
  <si>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</si>
  <si>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</si>
  <si>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</si>
  <si>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</si>
  <si>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</si>
  <si>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</si>
  <si>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</si>
  <si>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</si>
  <si>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</si>
  <si>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</si>
  <si>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</si>
  <si>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</si>
  <si>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</si>
  <si>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</si>
  <si>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</si>
  <si>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</si>
  <si>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</si>
  <si>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</si>
  <si>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</si>
  <si>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</si>
  <si>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</si>
  <si>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</si>
  <si>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</si>
  <si>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</si>
  <si>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</si>
  <si>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</si>
  <si>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</si>
  <si>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</si>
  <si>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</si>
  <si>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</si>
  <si>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</si>
  <si>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</si>
  <si>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</si>
  <si>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</si>
  <si>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</si>
  <si>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</si>
  <si>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</si>
  <si>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</si>
  <si>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</si>
  <si>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</si>
  <si>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</si>
  <si>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</si>
  <si>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</si>
  <si>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</si>
  <si>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</si>
  <si>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</si>
  <si>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</si>
  <si>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</si>
  <si>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</si>
  <si>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</si>
  <si>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</si>
  <si>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</si>
  <si>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</si>
  <si>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</si>
  <si>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</si>
  <si>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</si>
  <si>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</si>
  <si>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</si>
  <si>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</si>
  <si>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</si>
  <si>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</si>
  <si>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</si>
  <si>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</si>
  <si>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</si>
  <si>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</si>
  <si>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</si>
  <si>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</si>
  <si>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</si>
  <si>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</si>
  <si>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</si>
  <si>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</si>
  <si>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</si>
  <si>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</si>
  <si>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</si>
  <si>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</si>
  <si>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</si>
  <si>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</si>
  <si>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</si>
  <si>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</si>
  <si>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</si>
  <si>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</si>
  <si>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</si>
  <si>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</si>
  <si>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</si>
  <si>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</si>
  <si>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</si>
  <si>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</si>
  <si>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</si>
  <si>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</si>
  <si>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</si>
  <si>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</si>
  <si>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</si>
  <si>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</si>
  <si>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</si>
  <si>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</si>
  <si>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</si>
  <si>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</si>
  <si>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</si>
  <si>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</si>
  <si>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</si>
  <si>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</si>
  <si>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</si>
  <si>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</si>
  <si>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</si>
  <si>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</si>
  <si>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</si>
  <si>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</si>
  <si>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</si>
  <si>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</si>
  <si>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</si>
  <si>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</si>
  <si>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</si>
  <si>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</si>
  <si>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</si>
  <si>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</si>
  <si>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</si>
  <si>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</si>
  <si>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</si>
  <si>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</si>
  <si>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</si>
  <si>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</si>
  <si>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</si>
  <si>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</si>
  <si>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</si>
  <si>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</si>
  <si>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</si>
  <si>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</si>
  <si>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</si>
  <si>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</si>
  <si>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</si>
  <si>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</si>
  <si>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</si>
  <si>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</si>
  <si>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</si>
  <si>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</si>
  <si>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</si>
  <si>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</si>
  <si>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</si>
  <si>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</si>
  <si>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</si>
  <si>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</si>
  <si>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</si>
  <si>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</si>
  <si>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</si>
  <si>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</si>
  <si>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</si>
  <si>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</si>
  <si>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</si>
  <si>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</si>
  <si>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</si>
  <si>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</si>
  <si>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</si>
  <si>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</si>
  <si>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</si>
  <si>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</si>
  <si>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</si>
  <si>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</si>
  <si>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</si>
  <si>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</si>
  <si>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</si>
  <si>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</si>
  <si>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</si>
  <si>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</si>
  <si>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</si>
  <si>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</si>
  <si>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</si>
  <si>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</si>
  <si>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</si>
  <si>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</si>
  <si>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</si>
  <si>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</si>
  <si>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</si>
  <si>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</si>
  <si>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</si>
  <si>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</si>
  <si>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</si>
  <si>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</si>
  <si>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</si>
  <si>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</si>
  <si>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</si>
  <si>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</si>
  <si>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</si>
  <si>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</si>
  <si>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</si>
  <si>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</si>
  <si>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</si>
  <si>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</si>
  <si>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</si>
  <si>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</si>
  <si>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</si>
  <si>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</si>
  <si>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</si>
  <si>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</si>
  <si>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</si>
  <si>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</si>
  <si>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</si>
  <si>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</si>
  <si>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</si>
  <si>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</si>
  <si>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</si>
  <si>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</si>
  <si>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</si>
  <si>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</si>
  <si>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</si>
  <si>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</si>
  <si>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</si>
  <si>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</si>
  <si>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</si>
  <si>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</si>
  <si>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</si>
  <si>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</si>
  <si>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</si>
  <si>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</si>
  <si>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</si>
  <si>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</si>
  <si>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</si>
  <si>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</si>
  <si>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</si>
  <si>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</si>
  <si>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</si>
  <si>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</si>
  <si>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</si>
  <si>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</si>
  <si>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</si>
  <si>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</si>
  <si>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</si>
  <si>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</si>
  <si>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</si>
  <si>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</si>
  <si>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</si>
  <si>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</si>
  <si>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</si>
  <si>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</si>
  <si>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</si>
  <si>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</si>
  <si>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</si>
  <si>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</si>
  <si>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</si>
  <si>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</si>
  <si>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</si>
  <si>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</si>
  <si>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</si>
  <si>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</si>
  <si>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</si>
  <si>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</si>
  <si>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</si>
  <si>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</si>
  <si>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</si>
  <si>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</si>
  <si>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</si>
  <si>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</si>
  <si>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</si>
  <si>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</si>
  <si>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</si>
  <si>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</si>
  <si>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</si>
  <si>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</si>
  <si>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</si>
  <si>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</si>
  <si>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</si>
  <si>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</si>
  <si>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</si>
  <si>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</si>
  <si>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</si>
  <si>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</si>
  <si>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</si>
  <si>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</si>
  <si>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</si>
  <si>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</si>
  <si>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</si>
  <si>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</si>
  <si>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</si>
  <si>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</si>
  <si>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</si>
  <si>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</si>
  <si>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</si>
  <si>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</si>
  <si>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</si>
  <si>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</si>
  <si>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</si>
  <si>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</si>
  <si>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</si>
  <si>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</si>
  <si>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</si>
  <si>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</si>
  <si>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</si>
  <si>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</si>
  <si>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</si>
  <si>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</si>
  <si>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</si>
  <si>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</si>
  <si>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</si>
  <si>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</si>
  <si>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</si>
  <si>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</si>
  <si>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</si>
  <si>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</si>
  <si>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</si>
  <si>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</si>
  <si>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</si>
  <si>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</si>
  <si>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</si>
  <si>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</si>
  <si>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</si>
  <si>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</si>
  <si>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</si>
  <si>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</si>
  <si>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</si>
  <si>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</si>
  <si>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</si>
  <si>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</si>
  <si>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</si>
  <si>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</si>
  <si>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</si>
  <si>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</si>
  <si>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</si>
  <si>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</si>
  <si>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</si>
  <si>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</si>
  <si>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</si>
  <si>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</si>
  <si>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</si>
  <si>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</si>
  <si>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</si>
  <si>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</si>
  <si>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</si>
  <si>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</si>
  <si>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</si>
  <si>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</si>
  <si>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</si>
  <si>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</si>
  <si>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</si>
  <si>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</si>
  <si>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</si>
  <si>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</si>
  <si>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</si>
  <si>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</si>
  <si>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</si>
  <si>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</si>
  <si>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</si>
  <si>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</si>
  <si>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</si>
  <si>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</si>
  <si>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</si>
  <si>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</si>
  <si>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</si>
  <si>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</si>
  <si>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</si>
  <si>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</si>
  <si>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</si>
  <si>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</si>
  <si>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</si>
  <si>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</si>
  <si>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</si>
  <si>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</si>
  <si>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</si>
  <si>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</si>
  <si>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</si>
  <si>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</si>
  <si>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</si>
  <si>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</si>
  <si>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</si>
  <si>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</si>
  <si>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</si>
  <si>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</si>
  <si>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</si>
  <si>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</si>
  <si>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</si>
  <si>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</si>
  <si>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</si>
  <si>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</si>
  <si>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</si>
  <si>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</si>
  <si>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</si>
  <si>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</si>
  <si>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</si>
  <si>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</si>
  <si>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</si>
  <si>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</si>
  <si>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</si>
  <si>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</si>
  <si>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</si>
  <si>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</si>
  <si>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</si>
  <si>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</si>
  <si>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</si>
  <si>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</si>
  <si>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</si>
  <si>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</si>
  <si>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</si>
  <si>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</si>
  <si>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</si>
  <si>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</si>
  <si>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</si>
  <si>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</si>
  <si>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</si>
  <si>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</si>
  <si>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</si>
  <si>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</si>
  <si>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</si>
  <si>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</si>
  <si>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</si>
  <si>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</si>
  <si>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</si>
  <si>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</si>
  <si>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</si>
  <si>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</si>
  <si>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</si>
  <si>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</si>
  <si>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</si>
  <si>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</si>
  <si>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</si>
  <si>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</si>
  <si>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</si>
  <si>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</si>
  <si>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</si>
  <si>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</si>
  <si>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</si>
  <si>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</si>
  <si>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</si>
  <si>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</si>
  <si>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</si>
  <si>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</si>
  <si>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</si>
  <si>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</si>
  <si>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</si>
  <si>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</si>
  <si>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</si>
  <si>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</si>
  <si>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</si>
  <si>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</si>
  <si>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</si>
  <si>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</si>
  <si>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</si>
  <si>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</si>
  <si>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</si>
  <si>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</si>
  <si>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</si>
  <si>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</si>
  <si>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</si>
  <si>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</si>
  <si>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</si>
  <si>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</si>
  <si>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</si>
  <si>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</si>
  <si>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</si>
  <si>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</si>
  <si>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</si>
  <si>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</si>
  <si>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</si>
  <si>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</si>
  <si>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</si>
  <si>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</si>
  <si>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</si>
  <si>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</si>
  <si>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</si>
  <si>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</si>
  <si>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</si>
  <si>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</si>
  <si>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</si>
  <si>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</si>
  <si>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</si>
  <si>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</si>
  <si>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</si>
  <si>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</si>
  <si>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</si>
  <si>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</si>
  <si>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</si>
  <si>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</si>
  <si>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</si>
  <si>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</si>
  <si>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</si>
  <si>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</si>
  <si>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</si>
  <si>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</si>
  <si>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</si>
  <si>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</si>
  <si>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</si>
  <si>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</si>
  <si>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</si>
  <si>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</si>
  <si>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</si>
  <si>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</si>
  <si>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</si>
  <si>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</si>
  <si>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</si>
  <si>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</si>
  <si>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</si>
  <si>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</si>
  <si>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</si>
  <si>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</si>
  <si>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</si>
  <si>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</si>
  <si>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</si>
  <si>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</si>
  <si>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</si>
  <si>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</si>
  <si>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</si>
  <si>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</si>
  <si>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</si>
  <si>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</si>
  <si>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</si>
  <si>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</si>
  <si>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</si>
  <si>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</si>
  <si>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</si>
  <si>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</si>
  <si>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</si>
  <si>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</si>
  <si>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</si>
  <si>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</si>
  <si>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</si>
  <si>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</si>
  <si>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</si>
  <si>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</si>
  <si>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</si>
  <si>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</si>
  <si>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</si>
  <si>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</si>
  <si>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</si>
  <si>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</si>
  <si>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</si>
  <si>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</si>
  <si>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</si>
  <si>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</si>
  <si>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</si>
  <si>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</si>
  <si>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</si>
  <si>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</si>
  <si>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</si>
  <si>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</si>
  <si>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</si>
  <si>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</si>
  <si>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</si>
  <si>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</si>
  <si>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</si>
  <si>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</si>
  <si>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</si>
  <si>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</si>
  <si>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</si>
  <si>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</si>
  <si>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</si>
  <si>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</si>
  <si>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</si>
  <si>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</si>
  <si>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</si>
  <si>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</si>
  <si>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</si>
  <si>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</si>
  <si>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</si>
  <si>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</si>
  <si>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</si>
  <si>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</si>
  <si>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</si>
  <si>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</si>
  <si>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</si>
  <si>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</si>
  <si>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</si>
  <si>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</si>
  <si>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</si>
  <si>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</si>
  <si>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</si>
  <si>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</si>
  <si>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</si>
  <si>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</si>
  <si>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</si>
  <si>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</si>
  <si>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</si>
  <si>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</si>
  <si>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</si>
  <si>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</si>
  <si>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</si>
  <si>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</si>
  <si>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</si>
  <si>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</si>
  <si>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</si>
  <si>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</si>
  <si>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</si>
  <si>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</si>
  <si>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</si>
  <si>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</si>
  <si>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</si>
  <si>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</si>
  <si>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</si>
  <si>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</si>
  <si>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</si>
  <si>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</si>
  <si>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</si>
  <si>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</si>
  <si>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</si>
  <si>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</si>
  <si>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</si>
  <si>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</si>
  <si>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</si>
  <si>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</si>
  <si>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</si>
  <si>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</si>
  <si>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</si>
  <si>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</si>
  <si>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</si>
  <si>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</si>
  <si>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</si>
  <si>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</si>
  <si>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</si>
  <si>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</si>
  <si>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</si>
  <si>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</si>
  <si>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</si>
  <si>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</si>
  <si>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</si>
  <si>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</si>
  <si>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</si>
  <si>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</si>
  <si>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</si>
  <si>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</si>
  <si>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</si>
  <si>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</si>
  <si>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</si>
  <si>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</si>
  <si>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</si>
  <si>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</si>
  <si>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</si>
  <si>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</si>
  <si>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</si>
  <si>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</si>
  <si>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</si>
  <si>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</si>
  <si>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</si>
  <si>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</si>
  <si>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</si>
  <si>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</si>
  <si>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</si>
  <si>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</si>
  <si>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</si>
  <si>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</si>
  <si>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</si>
  <si>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</si>
  <si>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</si>
  <si>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</si>
  <si>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</si>
  <si>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</si>
  <si>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</si>
  <si>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</si>
  <si>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</si>
  <si>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</si>
  <si>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</si>
  <si>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</si>
  <si>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</si>
  <si>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</si>
  <si>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</si>
  <si>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</si>
  <si>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</si>
  <si>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</si>
  <si>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</si>
  <si>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</si>
  <si>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</si>
  <si>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</si>
  <si>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</si>
  <si>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</si>
  <si>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</si>
  <si>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</si>
  <si>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</si>
  <si>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</si>
  <si>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</si>
  <si>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</si>
  <si>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</si>
  <si>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</si>
  <si>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</si>
  <si>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</si>
  <si>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</si>
  <si>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</si>
  <si>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</si>
  <si>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</si>
  <si>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</si>
  <si>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</si>
  <si>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</si>
  <si>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</si>
  <si>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</si>
  <si>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</si>
  <si>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</si>
  <si>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</si>
  <si>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</si>
  <si>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</si>
  <si>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</si>
  <si>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</si>
  <si>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</si>
  <si>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</si>
  <si>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</si>
  <si>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</si>
  <si>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</si>
  <si>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</si>
  <si>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</si>
  <si>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</si>
  <si>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</si>
  <si>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</si>
  <si>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</si>
  <si>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</si>
  <si>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</si>
  <si>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</si>
  <si>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</si>
  <si>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</si>
  <si>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</si>
  <si>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</si>
  <si>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</si>
  <si>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</si>
  <si>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</si>
  <si>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</si>
  <si>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</si>
  <si>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</si>
  <si>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</si>
  <si>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</si>
  <si>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</si>
  <si>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</si>
  <si>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</si>
  <si>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</si>
  <si>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</si>
  <si>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</si>
  <si>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</si>
  <si>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</si>
  <si>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</si>
  <si>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</si>
  <si>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</si>
  <si>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</si>
  <si>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</si>
  <si>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</si>
  <si>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</si>
  <si>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</si>
  <si>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</si>
  <si>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</si>
  <si>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</si>
  <si>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</si>
  <si>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</si>
  <si>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</si>
  <si>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</si>
  <si>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</si>
  <si>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</si>
  <si>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</si>
  <si>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</si>
  <si>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</si>
  <si>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</si>
  <si>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</si>
  <si>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</si>
  <si>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</si>
  <si>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</si>
  <si>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</si>
  <si>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</si>
  <si>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</si>
  <si>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</si>
  <si>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</si>
  <si>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</si>
  <si>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</si>
  <si>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</si>
  <si>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</si>
  <si>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</si>
  <si>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</si>
  <si>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</si>
  <si>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</si>
  <si>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</si>
  <si>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</si>
  <si>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</si>
  <si>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</si>
  <si>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</si>
  <si>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</si>
  <si>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</si>
  <si>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</si>
  <si>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</si>
  <si>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</si>
  <si>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</si>
  <si>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</si>
  <si>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</si>
  <si>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</si>
  <si>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</si>
  <si>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</si>
  <si>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</si>
  <si>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</si>
  <si>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</si>
  <si>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</si>
  <si>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</si>
  <si>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</si>
  <si>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</si>
  <si>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</si>
  <si>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</si>
  <si>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</si>
  <si>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</si>
  <si>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</si>
  <si>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</si>
  <si>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</si>
  <si>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</si>
  <si>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</si>
  <si>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</si>
  <si>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</si>
  <si>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</si>
  <si>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</si>
  <si>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</si>
  <si>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</si>
  <si>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</si>
  <si>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</si>
  <si>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</si>
  <si>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</si>
  <si>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</si>
  <si>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</si>
  <si>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</si>
  <si>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</si>
  <si>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</si>
  <si>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</si>
  <si>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</si>
  <si>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</si>
  <si>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</si>
  <si>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</si>
  <si>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</si>
  <si>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</si>
  <si>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</si>
  <si>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</si>
  <si>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</si>
  <si>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</si>
  <si>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</si>
  <si>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</si>
  <si>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</si>
  <si>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</si>
  <si>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</si>
  <si>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</si>
  <si>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</si>
  <si>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</si>
  <si>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</si>
  <si>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</si>
  <si>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</si>
  <si>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</si>
  <si>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</si>
  <si>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</si>
  <si>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</si>
  <si>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</si>
  <si>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</si>
  <si>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</si>
  <si>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</si>
  <si>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</si>
  <si>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</si>
  <si>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</si>
  <si>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</si>
  <si>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</si>
  <si>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</si>
  <si>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</si>
  <si>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</si>
  <si>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</si>
  <si>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</si>
  <si>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</si>
  <si>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</si>
  <si>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</si>
  <si>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</si>
  <si>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</si>
  <si>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</si>
  <si>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</si>
  <si>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</si>
  <si>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</si>
  <si>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</si>
  <si>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</si>
  <si>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</si>
  <si>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</si>
  <si>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</si>
  <si>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</si>
  <si>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</si>
  <si>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</si>
  <si>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</si>
  <si>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</si>
  <si>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</si>
  <si>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</si>
  <si>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</si>
  <si>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</si>
  <si>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</si>
  <si>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</si>
  <si>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</si>
  <si>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</si>
  <si>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</si>
  <si>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</si>
  <si>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</si>
  <si>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</si>
  <si>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</si>
  <si>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</si>
  <si>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</si>
  <si>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</si>
  <si>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</si>
  <si>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</si>
  <si>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</si>
  <si>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</si>
  <si>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</si>
  <si>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</si>
  <si>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</si>
  <si>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</si>
  <si>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</si>
  <si>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</si>
  <si>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</si>
  <si>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</si>
  <si>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</si>
  <si>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</si>
  <si>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</si>
  <si>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</si>
  <si>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</si>
  <si>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</si>
  <si>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</si>
  <si>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</si>
  <si>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</si>
  <si>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</si>
  <si>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</si>
  <si>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</si>
  <si>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</si>
  <si>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</si>
  <si>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</si>
  <si>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</si>
  <si>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</si>
  <si>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</si>
  <si>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</si>
  <si>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</si>
  <si>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</si>
  <si>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</si>
  <si>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</si>
  <si>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</si>
  <si>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</si>
  <si>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</si>
  <si>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</si>
  <si>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</si>
  <si>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</si>
  <si>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</si>
  <si>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</si>
  <si>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</si>
  <si>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</si>
  <si>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</si>
  <si>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</si>
  <si>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</si>
  <si>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</si>
  <si>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</si>
  <si>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</si>
  <si>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</si>
  <si>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</si>
  <si>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</si>
  <si>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</si>
  <si>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</si>
  <si>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</si>
  <si>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</si>
  <si>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</si>
  <si>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</si>
  <si>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</si>
  <si>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</si>
  <si>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</si>
  <si>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</si>
  <si>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</si>
  <si>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</si>
  <si>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</si>
  <si>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</si>
  <si>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</si>
  <si>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</si>
  <si>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</si>
  <si>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</si>
  <si>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</si>
  <si>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</si>
  <si>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</si>
  <si>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</si>
  <si>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</si>
  <si>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</si>
  <si>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</si>
  <si>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</si>
  <si>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</si>
  <si>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</si>
  <si>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</si>
  <si>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</si>
  <si>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</si>
  <si>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</si>
  <si>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</si>
  <si>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</si>
  <si>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</si>
  <si>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</si>
  <si>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</si>
  <si>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</si>
  <si>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</si>
  <si>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</si>
  <si>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</si>
  <si>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</si>
  <si>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</si>
  <si>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</si>
  <si>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</si>
  <si>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</si>
  <si>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</si>
  <si>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</si>
  <si>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</si>
  <si>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</si>
  <si>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</si>
  <si>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</si>
  <si>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</si>
  <si>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</si>
  <si>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</si>
  <si>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</si>
  <si>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</si>
  <si>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</si>
  <si>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</si>
  <si>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</si>
  <si>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</si>
  <si>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</si>
  <si>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</si>
  <si>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</si>
  <si>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</si>
  <si>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</si>
  <si>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</si>
  <si>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</si>
  <si>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</si>
  <si>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</si>
  <si>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</si>
  <si>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</si>
  <si>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</si>
  <si>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</si>
  <si>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</si>
  <si>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</si>
  <si>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</si>
  <si>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</si>
  <si>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</si>
  <si>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</si>
  <si>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</si>
  <si>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</si>
  <si>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</si>
  <si>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</si>
  <si>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</si>
  <si>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</si>
  <si>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</si>
  <si>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</si>
  <si>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</si>
  <si>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</si>
  <si>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</si>
  <si>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</si>
  <si>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</si>
  <si>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</si>
  <si>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</si>
  <si>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</si>
  <si>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</si>
  <si>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</si>
  <si>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</si>
  <si>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</si>
  <si>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</si>
  <si>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</si>
  <si>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</si>
  <si>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</si>
  <si>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</si>
  <si>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</si>
  <si>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</si>
  <si>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</si>
  <si>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</si>
  <si>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</si>
  <si>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</si>
  <si>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</si>
  <si>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</si>
  <si>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</si>
  <si>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</si>
  <si>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</si>
  <si>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</si>
  <si>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</si>
  <si>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</si>
  <si>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</si>
  <si>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</si>
  <si>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</si>
  <si>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</si>
  <si>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</si>
  <si>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</si>
  <si>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</si>
  <si>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</si>
  <si>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</si>
  <si>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</si>
  <si>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</si>
  <si>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</si>
  <si>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</si>
  <si>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</si>
  <si>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</si>
  <si>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</si>
  <si>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</si>
  <si>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</si>
  <si>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</si>
  <si>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</si>
  <si>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</si>
  <si>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</si>
  <si>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</si>
  <si>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</si>
  <si>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</si>
  <si>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</si>
  <si>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</si>
  <si>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</si>
  <si>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</si>
  <si>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</si>
  <si>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</si>
  <si>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</si>
  <si>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</si>
  <si>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</si>
  <si>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</si>
  <si>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</si>
  <si>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</si>
  <si>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</si>
  <si>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</si>
  <si>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</si>
  <si>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</si>
  <si>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</si>
  <si>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</si>
  <si>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</si>
  <si>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</si>
  <si>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</si>
  <si>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</si>
  <si>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</si>
  <si>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</si>
  <si>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</si>
  <si>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</si>
  <si>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</si>
  <si>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</si>
  <si>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</si>
  <si>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</si>
  <si>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</si>
  <si>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</si>
  <si>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</si>
  <si>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</si>
  <si>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</si>
  <si>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</si>
  <si>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</si>
  <si>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</si>
  <si>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</si>
  <si>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</si>
  <si>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</si>
  <si>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</si>
  <si>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</si>
  <si>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</si>
  <si>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</si>
  <si>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</si>
  <si>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</si>
  <si>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</si>
  <si>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</si>
  <si>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</si>
  <si>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</si>
  <si>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</si>
  <si>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</si>
  <si>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</si>
  <si>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</si>
  <si>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</si>
  <si>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</si>
  <si>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</si>
  <si>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</si>
  <si>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</si>
  <si>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</si>
  <si>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</si>
  <si>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</si>
  <si>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</si>
  <si>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</si>
  <si>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</si>
  <si>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</si>
  <si>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</si>
  <si>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</si>
  <si>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</si>
  <si>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</si>
  <si>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</si>
  <si>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</si>
  <si>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</si>
  <si>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</si>
  <si>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</si>
  <si>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</si>
  <si>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</si>
  <si>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</si>
  <si>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</si>
  <si>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</si>
  <si>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</si>
  <si>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</si>
  <si>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</si>
  <si>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</si>
  <si>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</si>
  <si>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</si>
  <si>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</si>
  <si>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</si>
  <si>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</si>
  <si>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</si>
  <si>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</si>
  <si>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</si>
  <si>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</si>
  <si>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</si>
  <si>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</si>
  <si>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</si>
  <si>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</si>
  <si>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</si>
  <si>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</si>
  <si>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</si>
  <si>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</si>
  <si>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</si>
  <si>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</si>
  <si>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</si>
  <si>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</si>
  <si>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</si>
  <si>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</si>
  <si>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</si>
  <si>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</si>
  <si>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</si>
  <si>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</si>
  <si>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</si>
  <si>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</si>
  <si>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</si>
  <si>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</si>
  <si>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</si>
  <si>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</si>
  <si>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</si>
  <si>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</si>
  <si>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</si>
  <si>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</si>
  <si>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</si>
  <si>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</si>
  <si>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</si>
  <si>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</si>
  <si>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</si>
  <si>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</si>
  <si>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</si>
  <si>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</si>
  <si>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</si>
  <si>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</si>
  <si>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</si>
  <si>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</si>
  <si>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</si>
  <si>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</si>
  <si>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</si>
  <si>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</si>
  <si>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</si>
  <si>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</si>
  <si>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</si>
  <si>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</si>
  <si>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</si>
  <si>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</si>
  <si>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</si>
  <si>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</si>
  <si>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</si>
  <si>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</si>
  <si>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</si>
  <si>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</si>
  <si>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</si>
  <si>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</si>
  <si>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</si>
  <si>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</si>
  <si>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</si>
  <si>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</si>
  <si>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</si>
  <si>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</si>
  <si>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</si>
  <si>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</si>
  <si>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</si>
  <si>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</si>
  <si>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</si>
  <si>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</si>
  <si>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</si>
  <si>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</si>
  <si>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</si>
  <si>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</si>
  <si>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</si>
  <si>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</si>
  <si>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</si>
  <si>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</si>
  <si>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</si>
  <si>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</si>
  <si>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</si>
  <si>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</si>
  <si>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</si>
  <si>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</si>
  <si>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</si>
  <si>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</si>
  <si>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</si>
  <si>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</si>
  <si>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</si>
  <si>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</si>
  <si>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</si>
  <si>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</si>
  <si>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</si>
  <si>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</si>
  <si>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</si>
  <si>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</si>
  <si>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</si>
  <si>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</si>
  <si>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</si>
  <si>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</si>
  <si>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</si>
  <si>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</si>
  <si>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</si>
  <si>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</si>
  <si>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</si>
  <si>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</si>
  <si>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</si>
  <si>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</si>
  <si>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</si>
  <si>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</si>
  <si>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</si>
  <si>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</si>
  <si>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</si>
  <si>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</si>
  <si>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</si>
  <si>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</si>
  <si>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</si>
  <si>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</si>
  <si>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</si>
  <si>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</si>
  <si>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</si>
  <si>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</si>
  <si>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</si>
  <si>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</si>
  <si>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</si>
  <si>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</si>
  <si>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</si>
  <si>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</si>
  <si>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</si>
  <si>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</si>
  <si>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</si>
  <si>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</si>
  <si>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</si>
  <si>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</si>
  <si>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</si>
  <si>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</si>
  <si>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</si>
  <si>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</si>
  <si>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</si>
  <si>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</si>
  <si>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</si>
  <si>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</si>
  <si>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</si>
  <si>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</si>
  <si>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</si>
  <si>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</si>
  <si>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</si>
  <si>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</si>
  <si>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</si>
  <si>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</si>
  <si>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</si>
  <si>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</si>
  <si>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</si>
  <si>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</si>
  <si>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</si>
  <si>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</si>
  <si>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</si>
  <si>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</si>
  <si>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</si>
  <si>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</si>
  <si>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</si>
  <si>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</si>
  <si>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</si>
  <si>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</si>
  <si>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</si>
  <si>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</si>
  <si>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</si>
  <si>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</si>
  <si>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</si>
  <si>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</si>
  <si>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</si>
  <si>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</si>
  <si>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</si>
  <si>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</si>
  <si>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</si>
  <si>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</si>
  <si>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</si>
  <si>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</si>
  <si>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</si>
  <si>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</si>
  <si>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</si>
  <si>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</si>
  <si>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</si>
  <si>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</si>
  <si>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</si>
  <si>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</si>
  <si>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</si>
  <si>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</si>
  <si>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</si>
  <si>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</si>
  <si>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</si>
  <si>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</si>
  <si>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</si>
  <si>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</si>
  <si>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</si>
  <si>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</si>
  <si>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</si>
  <si>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</si>
  <si>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</si>
  <si>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</si>
  <si>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</si>
  <si>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</si>
  <si>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</si>
  <si>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</si>
  <si>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</si>
  <si>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</si>
  <si>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</si>
  <si>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</si>
  <si>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</si>
  <si>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</si>
  <si>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</si>
  <si>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</si>
  <si>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</si>
  <si>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</si>
  <si>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</si>
  <si>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</si>
  <si>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</si>
  <si>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</si>
  <si>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</si>
  <si>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</si>
  <si>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</si>
  <si>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</si>
  <si>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</si>
  <si>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</si>
  <si>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</si>
  <si>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</si>
  <si>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</si>
  <si>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</si>
  <si>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</si>
  <si>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</si>
  <si>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</si>
  <si>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</si>
  <si>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</si>
  <si>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</si>
  <si>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</si>
  <si>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</si>
  <si>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</si>
  <si>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</si>
  <si>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</si>
  <si>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</si>
  <si>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</si>
  <si>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</si>
  <si>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</si>
  <si>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</si>
  <si>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</si>
  <si>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</si>
  <si>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</si>
  <si>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</si>
  <si>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</si>
  <si>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</si>
  <si>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</si>
  <si>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</si>
  <si>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</si>
  <si>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</si>
  <si>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</si>
  <si>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</si>
  <si>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</si>
  <si>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</si>
  <si>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</si>
  <si>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</si>
  <si>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</si>
  <si>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</si>
  <si>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</si>
  <si>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</si>
  <si>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</si>
  <si>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</si>
  <si>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</si>
  <si>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</si>
  <si>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</si>
  <si>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</si>
  <si>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</si>
  <si>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</si>
  <si>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</si>
  <si>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</si>
  <si>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</si>
  <si>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</si>
  <si>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</si>
  <si>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</si>
  <si>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</si>
  <si>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</si>
  <si>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</si>
  <si>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</si>
  <si>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</si>
  <si>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</si>
  <si>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</si>
  <si>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</si>
  <si>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</si>
  <si>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</si>
  <si>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</si>
  <si>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</si>
  <si>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</si>
  <si>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</si>
  <si>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</si>
  <si>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</si>
  <si>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</si>
  <si>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</si>
  <si>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</si>
  <si>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</si>
  <si>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</si>
  <si>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</si>
  <si>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</si>
  <si>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</si>
  <si>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</si>
  <si>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</si>
  <si>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</si>
  <si>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</si>
  <si>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</si>
  <si>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</si>
  <si>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</si>
  <si>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</si>
  <si>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</si>
  <si>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</si>
  <si>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</si>
  <si>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</si>
  <si>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</si>
  <si>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</si>
  <si>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</si>
  <si>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</si>
  <si>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</si>
  <si>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</si>
  <si>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</si>
  <si>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</si>
  <si>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</si>
  <si>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</si>
  <si>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</si>
  <si>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</si>
  <si>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</si>
  <si>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</si>
  <si>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</si>
  <si>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</si>
  <si>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</si>
  <si>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</si>
  <si>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</si>
  <si>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</si>
  <si>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</si>
  <si>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</si>
  <si>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</si>
  <si>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</si>
  <si>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</si>
  <si>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</si>
  <si>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</si>
  <si>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</si>
  <si>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</si>
  <si>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</si>
  <si>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</si>
  <si>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</si>
  <si>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</si>
  <si>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</si>
  <si>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</si>
  <si>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</si>
  <si>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</si>
  <si>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</si>
  <si>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</si>
  <si>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</si>
  <si>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</si>
  <si>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</si>
  <si>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</si>
  <si>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</si>
  <si>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</si>
  <si>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</si>
  <si>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</si>
  <si>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</si>
  <si>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</si>
  <si>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</si>
  <si>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</si>
  <si>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</si>
  <si>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</si>
  <si>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</si>
  <si>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</si>
  <si>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</si>
  <si>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</si>
  <si>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</si>
  <si>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</si>
  <si>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</si>
  <si>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</si>
  <si>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</si>
  <si>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</si>
  <si>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</si>
  <si>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</si>
  <si>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</si>
  <si>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</si>
  <si>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</si>
  <si>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</si>
  <si>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</si>
  <si>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</si>
  <si>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</si>
  <si>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</si>
  <si>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</si>
  <si>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</si>
  <si>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</si>
  <si>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</si>
  <si>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</si>
  <si>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</si>
  <si>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</si>
  <si>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</si>
  <si>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</si>
  <si>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</si>
  <si>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</si>
  <si>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</si>
  <si>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</si>
  <si>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</si>
  <si>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</si>
  <si>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</si>
  <si>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</si>
  <si>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</si>
  <si>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</si>
  <si>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</si>
  <si>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</si>
  <si>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</si>
  <si>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</si>
  <si>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</si>
  <si>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</si>
  <si>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</si>
  <si>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</si>
  <si>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</si>
  <si>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</si>
  <si>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</si>
  <si>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</si>
  <si>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</si>
  <si>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</si>
  <si>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</si>
  <si>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</si>
  <si>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</si>
  <si>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</si>
  <si>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</si>
  <si>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</si>
  <si>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</si>
  <si>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</si>
  <si>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</si>
  <si>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</si>
  <si>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</si>
  <si>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</si>
  <si>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</si>
  <si>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</si>
  <si>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</si>
  <si>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</si>
  <si>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</si>
  <si>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</si>
  <si>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</si>
  <si>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</si>
  <si>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</si>
  <si>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</si>
  <si>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</si>
  <si>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</si>
  <si>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</si>
  <si>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</si>
  <si>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</si>
  <si>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</si>
  <si>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</si>
  <si>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</si>
  <si>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</si>
  <si>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</si>
  <si>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</si>
  <si>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</si>
  <si>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</si>
  <si>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</si>
  <si>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</si>
  <si>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</si>
  <si>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</si>
  <si>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</si>
  <si>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</si>
  <si>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</si>
  <si>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</si>
  <si>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</si>
  <si>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</si>
  <si>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</si>
  <si>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</si>
  <si>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</si>
  <si>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</si>
  <si>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</si>
  <si>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</si>
  <si>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</si>
  <si>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</si>
  <si>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</si>
  <si>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</si>
  <si>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</si>
  <si>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</si>
  <si>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</si>
  <si>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</si>
  <si>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</si>
  <si>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</si>
  <si>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</si>
  <si>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</si>
  <si>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</si>
  <si>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</si>
  <si>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</si>
  <si>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</si>
  <si>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</si>
  <si>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</si>
  <si>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</si>
  <si>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</si>
  <si>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</si>
  <si>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</si>
  <si>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</si>
  <si>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</si>
  <si>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</si>
  <si>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</si>
  <si>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</si>
  <si>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</si>
  <si>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</si>
  <si>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</si>
  <si>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</si>
  <si>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</si>
  <si>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</si>
  <si>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</si>
  <si>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</si>
  <si>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</si>
  <si>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</si>
  <si>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</si>
  <si>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</si>
  <si>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</si>
  <si>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</si>
  <si>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</si>
  <si>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</si>
  <si>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</si>
  <si>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</si>
  <si>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</si>
  <si>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</si>
  <si>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</si>
  <si>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</si>
  <si>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</si>
  <si>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</si>
  <si>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</si>
  <si>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</si>
  <si>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</si>
  <si>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</si>
  <si>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</si>
  <si>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</si>
  <si>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</si>
  <si>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</si>
  <si>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</si>
  <si>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</si>
  <si>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</si>
  <si>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</si>
  <si>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</si>
  <si>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</si>
  <si>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</si>
  <si>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</si>
  <si>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</si>
  <si>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</si>
  <si>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</si>
  <si>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</si>
  <si>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</si>
  <si>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</si>
  <si>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</si>
  <si>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</si>
  <si>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</si>
  <si>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</si>
  <si>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</si>
  <si>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</si>
  <si>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</si>
  <si>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</si>
  <si>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</si>
  <si>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</si>
  <si>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</si>
  <si>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</si>
  <si>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</si>
  <si>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</si>
  <si>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</si>
  <si>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</si>
  <si>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</si>
  <si>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</si>
  <si>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</si>
  <si>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</si>
  <si>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</si>
  <si>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</si>
  <si>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</si>
  <si>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</si>
  <si>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</si>
  <si>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</si>
  <si>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</si>
  <si>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</si>
  <si>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</si>
  <si>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</si>
  <si>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</si>
  <si>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</si>
  <si>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</si>
  <si>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</si>
  <si>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</si>
  <si>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</si>
  <si>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</si>
  <si>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</si>
  <si>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</si>
  <si>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</si>
  <si>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</si>
  <si>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</si>
  <si>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</si>
  <si>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</si>
  <si>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</si>
  <si>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</si>
  <si>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</si>
  <si>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</si>
  <si>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</si>
  <si>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</si>
  <si>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</si>
  <si>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</si>
  <si>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</si>
  <si>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</si>
  <si>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</si>
  <si>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</si>
  <si>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</si>
  <si>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</si>
  <si>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</si>
  <si>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</si>
  <si>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</si>
  <si>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</si>
  <si>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</si>
  <si>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</si>
  <si>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</si>
  <si>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</si>
  <si>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</si>
  <si>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</si>
  <si>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</si>
  <si>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</si>
  <si>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</si>
  <si>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</si>
  <si>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</si>
  <si>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</si>
  <si>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</si>
  <si>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</si>
  <si>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</si>
  <si>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</si>
  <si>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</si>
  <si>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</si>
  <si>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</si>
  <si>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</si>
  <si>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</si>
  <si>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</si>
  <si>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</si>
  <si>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</si>
  <si>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</si>
  <si>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</si>
  <si>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</si>
  <si>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</si>
  <si>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</si>
  <si>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</si>
  <si>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</si>
  <si>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</si>
  <si>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</si>
  <si>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</si>
  <si>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</si>
  <si>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</si>
  <si>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</si>
  <si>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</si>
  <si>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</si>
  <si>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</si>
  <si>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</si>
  <si>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</si>
  <si>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</si>
  <si>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</si>
  <si>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</si>
  <si>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</si>
  <si>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</si>
  <si>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</si>
  <si>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</si>
  <si>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</si>
  <si>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</si>
  <si>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</si>
  <si>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</si>
  <si>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</si>
  <si>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</si>
  <si>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</si>
  <si>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</si>
  <si>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</si>
  <si>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</si>
  <si>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</si>
  <si>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</si>
  <si>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</si>
  <si>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</si>
  <si>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</si>
  <si>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</si>
  <si>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</si>
  <si>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</si>
  <si>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</si>
  <si>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</si>
  <si>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</si>
  <si>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</si>
  <si>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</si>
  <si>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</si>
  <si>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</si>
  <si>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</si>
  <si>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</si>
  <si>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</si>
  <si>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</si>
  <si>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</si>
  <si>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</si>
  <si>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</si>
  <si>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</si>
  <si>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</si>
  <si>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</si>
  <si>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</si>
  <si>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</si>
  <si>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</si>
  <si>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</si>
  <si>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</si>
  <si>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</si>
  <si>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</si>
  <si>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</si>
  <si>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</si>
  <si>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</si>
  <si>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</si>
  <si>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</si>
  <si>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</si>
  <si>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</si>
  <si>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</si>
  <si>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</si>
  <si>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</si>
  <si>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</si>
  <si>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</si>
  <si>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</si>
  <si>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</si>
  <si>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</si>
  <si>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</si>
  <si>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</si>
  <si>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</si>
  <si>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</si>
  <si>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</si>
  <si>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</si>
  <si>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</si>
  <si>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</si>
  <si>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</si>
  <si>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</si>
  <si>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</si>
  <si>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</si>
  <si>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</si>
  <si>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</si>
  <si>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</si>
  <si>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</si>
  <si>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</si>
  <si>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</si>
  <si>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</si>
  <si>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</si>
  <si>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</si>
  <si>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</si>
  <si>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</si>
  <si>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</si>
  <si>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</si>
  <si>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</si>
  <si>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</si>
  <si>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</si>
  <si>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</si>
  <si>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</si>
  <si>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</si>
  <si>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</si>
  <si>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</si>
  <si>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</si>
  <si>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</si>
  <si>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</si>
  <si>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</si>
  <si>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</si>
  <si>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</si>
  <si>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</si>
  <si>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</si>
  <si>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</si>
  <si>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</si>
  <si>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</si>
  <si>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</si>
  <si>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</si>
  <si>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</si>
  <si>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</si>
  <si>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</si>
  <si>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</si>
  <si>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</si>
  <si>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</si>
  <si>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</si>
  <si>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</si>
  <si>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</si>
  <si>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</si>
  <si>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</si>
  <si>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</si>
  <si>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</si>
  <si>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</si>
  <si>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</si>
  <si>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</si>
  <si>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</si>
  <si>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</si>
  <si>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</si>
  <si>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</si>
  <si>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</si>
  <si>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</si>
  <si>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</si>
  <si>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</si>
  <si>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</si>
  <si>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</si>
  <si>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</si>
  <si>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</si>
  <si>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</si>
  <si>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</si>
  <si>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</si>
  <si>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</si>
  <si>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</si>
  <si>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</si>
  <si>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</si>
  <si>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</si>
  <si>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</si>
  <si>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</si>
  <si>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</si>
  <si>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</si>
  <si>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</si>
  <si>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</si>
  <si>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</si>
  <si>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</si>
  <si>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</si>
  <si>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</si>
  <si>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</si>
  <si>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</si>
  <si>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</si>
  <si>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</si>
  <si>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</si>
  <si>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</si>
  <si>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</si>
  <si>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</si>
  <si>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</si>
  <si>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</si>
  <si>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</si>
  <si>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</si>
  <si>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</si>
  <si>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</si>
  <si>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</si>
  <si>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</si>
  <si>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</si>
  <si>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</si>
  <si>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</si>
  <si>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</si>
  <si>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</si>
  <si>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</si>
  <si>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</si>
  <si>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</si>
  <si>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</si>
  <si>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</si>
  <si>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</si>
  <si>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</si>
  <si>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</si>
  <si>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</si>
  <si>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</si>
  <si>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</si>
  <si>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</si>
  <si>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</si>
  <si>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</si>
  <si>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</si>
  <si>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</si>
  <si>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</si>
  <si>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</si>
  <si>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</si>
  <si>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</si>
  <si>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</si>
  <si>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</si>
  <si>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</si>
  <si>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</si>
  <si>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</si>
  <si>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</si>
  <si>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</si>
  <si>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</si>
  <si>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</si>
  <si>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</si>
  <si>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</si>
  <si>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</si>
  <si>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</si>
  <si>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-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</si>
  <si>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</si>
  <si>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</si>
  <si>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</si>
  <si>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</si>
  <si>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</si>
  <si>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</si>
  <si>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</si>
  <si>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</si>
  <si>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</si>
  <si>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</si>
  <si>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</si>
  <si>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</si>
  <si>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</si>
  <si>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</si>
  <si>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</si>
  <si>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</si>
  <si>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</si>
  <si>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</si>
  <si>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</si>
  <si>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</si>
  <si>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</si>
  <si>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</si>
  <si>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</si>
  <si>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</si>
  <si>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</si>
  <si>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</si>
  <si>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</si>
  <si>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</si>
  <si>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</si>
  <si>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</si>
  <si>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</si>
  <si>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</si>
  <si>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</si>
  <si>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</si>
  <si>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</si>
  <si>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</si>
  <si>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</si>
  <si>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</si>
  <si>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</si>
  <si>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</si>
  <si>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</si>
  <si>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</si>
  <si>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</si>
  <si>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</si>
  <si>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</si>
  <si>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</si>
  <si>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</si>
  <si>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</si>
  <si>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</si>
  <si>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</si>
  <si>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</si>
  <si>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</si>
  <si>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</si>
  <si>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</si>
  <si>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</si>
  <si>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</si>
  <si>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</si>
  <si>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</si>
  <si>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</si>
  <si>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</si>
  <si>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</si>
  <si>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</si>
  <si>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</si>
  <si>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</si>
  <si>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</si>
  <si>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</si>
  <si>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</si>
  <si>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</si>
  <si>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</si>
  <si>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</si>
  <si>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</si>
  <si>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</si>
  <si>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</si>
  <si>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</si>
  <si>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</si>
  <si>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</si>
  <si>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</si>
  <si>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</si>
  <si>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</si>
  <si>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</si>
  <si>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</si>
  <si>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</si>
  <si>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</si>
  <si>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</si>
  <si>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</si>
  <si>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</si>
  <si>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</si>
  <si>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</si>
  <si>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</si>
  <si>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</si>
  <si>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</si>
  <si>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</si>
  <si>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</si>
  <si>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</si>
  <si>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</si>
  <si>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</si>
  <si>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</si>
  <si>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</si>
  <si>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</si>
  <si>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</si>
  <si>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</si>
  <si>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</si>
  <si>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</si>
  <si>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</si>
  <si>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</si>
  <si>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</si>
  <si>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</si>
  <si>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</si>
  <si>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</si>
  <si>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</si>
  <si>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</si>
  <si>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</si>
  <si>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</si>
  <si>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</si>
  <si>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</si>
  <si>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</si>
  <si>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</si>
  <si>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</si>
  <si>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</si>
  <si>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</si>
  <si>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</si>
  <si>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</si>
  <si>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</si>
  <si>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</si>
  <si>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</si>
  <si>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</si>
  <si>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</si>
  <si>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</si>
  <si>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</si>
  <si>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</si>
  <si>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</si>
  <si>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</si>
  <si>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</si>
  <si>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</si>
  <si>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</si>
  <si>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</si>
  <si>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</si>
  <si>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</si>
  <si>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</si>
  <si>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</si>
  <si>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</si>
  <si>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</si>
  <si>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</si>
  <si>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</si>
  <si>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</si>
  <si>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</si>
  <si>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</si>
  <si>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</si>
  <si>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</si>
  <si>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</si>
  <si>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</si>
  <si>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</si>
  <si>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</si>
  <si>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</si>
  <si>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</si>
  <si>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</si>
  <si>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</si>
  <si>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</si>
  <si>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</si>
  <si>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</si>
  <si>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</si>
  <si>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</si>
  <si>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</si>
  <si>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</si>
  <si>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</si>
  <si>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</si>
  <si>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</si>
  <si>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</si>
  <si>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</si>
  <si>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</si>
  <si>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</si>
  <si>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</si>
  <si>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</si>
  <si>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</si>
  <si>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</si>
  <si>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</si>
  <si>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</si>
  <si>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</si>
  <si>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</si>
  <si>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</si>
  <si>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</si>
  <si>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(IESB)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</si>
  <si>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</si>
  <si>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</si>
  <si>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</si>
  <si>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</si>
  <si>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</si>
  <si>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</si>
  <si>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</si>
  <si>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</si>
  <si>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</si>
  <si>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</si>
  <si>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</si>
  <si>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</si>
  <si>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</si>
  <si>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</si>
  <si>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</si>
  <si>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</si>
  <si>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</si>
  <si>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</si>
  <si>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</si>
  <si>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</si>
  <si>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</si>
  <si>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</si>
  <si>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</si>
  <si>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</si>
  <si>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</si>
  <si>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</si>
  <si>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</si>
  <si>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</si>
  <si>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</si>
  <si>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</si>
  <si>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</si>
  <si>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e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</si>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</sst>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3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19</c:v>
                </c:pt>
                <c:pt idx="1">
                  <c:v>23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818</c:v>
                </c:pt>
                <c:pt idx="1">
                  <c:v>1486</c:v>
                </c:pt>
                <c:pt idx="2">
                  <c:v>510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4</c:v>
                </c:pt>
                <c:pt idx="5">
                  <c:v>10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5</c:v>
                </c:pt>
                <c:pt idx="3">
                  <c:v>0</c:v>
                </c:pt>
                <c:pt idx="4">
                  <c:v>2</c:v>
                </c:pt>
                <c:pt idx="5">
                  <c:v>12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tabSelected="1" zoomScaleNormal="100" workbookViewId="0">
      <pane ySplit="1" topLeftCell="A658" activePane="bottomLeft" state="frozen"/>
      <selection pane="bottomLeft" activeCell="D669" sqref="D669:H686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2026-087</v>
      </c>
    </row>
    <row r="4" spans="1:23" ht="15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2715</v>
      </c>
    </row>
    <row r="663" spans="1:20" ht="30" x14ac:dyDescent="0.25">
      <c r="A663" s="191" t="s">
        <v>2716</v>
      </c>
      <c r="B663" s="127">
        <v>2026</v>
      </c>
      <c r="C663" s="164" t="s">
        <v>2697</v>
      </c>
      <c r="D663" s="127" t="s">
        <v>2717</v>
      </c>
      <c r="E663" s="162" t="s">
        <v>2718</v>
      </c>
      <c r="F663" s="129" t="s">
        <v>88</v>
      </c>
      <c r="G663" s="130" t="s">
        <v>2719</v>
      </c>
      <c r="H663" s="131" t="s">
        <v>2720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2721</v>
      </c>
    </row>
    <row r="664" spans="1:20" ht="15" x14ac:dyDescent="0.25">
      <c r="A664" s="191" t="s">
        <v>2722</v>
      </c>
      <c r="B664" s="127">
        <v>2026</v>
      </c>
      <c r="C664" s="183" t="s">
        <v>22</v>
      </c>
      <c r="D664" s="183" t="s">
        <v>2723</v>
      </c>
      <c r="E664" s="184" t="s">
        <v>2724</v>
      </c>
      <c r="F664" s="185" t="s">
        <v>24</v>
      </c>
      <c r="G664" s="186" t="s">
        <v>25</v>
      </c>
      <c r="H664" s="191" t="s">
        <v>2725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2726</v>
      </c>
    </row>
    <row r="665" spans="1:20" ht="15" x14ac:dyDescent="0.25">
      <c r="A665" s="137" t="s">
        <v>2727</v>
      </c>
      <c r="B665" s="127">
        <v>2026</v>
      </c>
      <c r="C665" s="183" t="s">
        <v>22</v>
      </c>
      <c r="D665" s="183" t="s">
        <v>2728</v>
      </c>
      <c r="E665" s="184" t="s">
        <v>2676</v>
      </c>
      <c r="F665" s="185" t="s">
        <v>24</v>
      </c>
      <c r="G665" s="186" t="s">
        <v>42</v>
      </c>
      <c r="H665" s="191" t="s">
        <v>2729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2730</v>
      </c>
      <c r="B666" s="127">
        <v>2026</v>
      </c>
      <c r="C666" s="183" t="s">
        <v>22</v>
      </c>
      <c r="D666" s="183" t="s">
        <v>2731</v>
      </c>
      <c r="E666" s="184" t="s">
        <v>2732</v>
      </c>
      <c r="F666" s="185" t="s">
        <v>24</v>
      </c>
      <c r="G666" s="186" t="s">
        <v>371</v>
      </c>
      <c r="H666" s="191" t="s">
        <v>2733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2734</v>
      </c>
      <c r="B667" s="127">
        <v>2026</v>
      </c>
      <c r="C667" s="127" t="s">
        <v>22</v>
      </c>
      <c r="D667" s="173" t="s">
        <v>2735</v>
      </c>
      <c r="E667" s="180" t="s">
        <v>2736</v>
      </c>
      <c r="F667" s="129" t="s">
        <v>88</v>
      </c>
      <c r="G667" s="130" t="s">
        <v>2719</v>
      </c>
      <c r="H667" s="175" t="s">
        <v>2737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2738</v>
      </c>
      <c r="B668" s="127">
        <v>2026</v>
      </c>
      <c r="C668" s="215" t="s">
        <v>22</v>
      </c>
      <c r="D668" s="183" t="s">
        <v>2739</v>
      </c>
      <c r="E668" s="184" t="s">
        <v>2740</v>
      </c>
      <c r="F668" s="185" t="s">
        <v>88</v>
      </c>
      <c r="G668" s="186" t="s">
        <v>2719</v>
      </c>
      <c r="H668" s="191" t="s">
        <v>2741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2742</v>
      </c>
      <c r="B669" s="127">
        <v>2026</v>
      </c>
      <c r="C669" s="127" t="s">
        <v>22</v>
      </c>
      <c r="D669" s="173" t="s">
        <v>2743</v>
      </c>
      <c r="E669" s="180" t="s">
        <v>2744</v>
      </c>
      <c r="F669" s="129" t="s">
        <v>69</v>
      </c>
      <c r="G669" s="174" t="s">
        <v>2694</v>
      </c>
      <c r="H669" s="175" t="s">
        <v>2745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2746</v>
      </c>
    </row>
    <row r="670" spans="1:20" ht="30" x14ac:dyDescent="0.25">
      <c r="A670" s="191" t="s">
        <v>2747</v>
      </c>
      <c r="B670" s="127">
        <v>2026</v>
      </c>
      <c r="C670" s="127" t="s">
        <v>22</v>
      </c>
      <c r="D670" s="173" t="s">
        <v>2743</v>
      </c>
      <c r="E670" s="208" t="s">
        <v>2748</v>
      </c>
      <c r="F670" s="129" t="s">
        <v>69</v>
      </c>
      <c r="G670" s="174" t="s">
        <v>2694</v>
      </c>
      <c r="H670" s="175" t="s">
        <v>2749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2746</v>
      </c>
    </row>
    <row r="671" spans="1:20" ht="15" x14ac:dyDescent="0.25">
      <c r="A671" s="191" t="s">
        <v>2750</v>
      </c>
      <c r="B671" s="127">
        <v>2026</v>
      </c>
      <c r="C671" s="183" t="s">
        <v>2566</v>
      </c>
      <c r="D671" s="183" t="s">
        <v>2751</v>
      </c>
      <c r="E671" s="184" t="s">
        <v>2752</v>
      </c>
      <c r="F671" s="185" t="s">
        <v>69</v>
      </c>
      <c r="G671" s="186" t="s">
        <v>79</v>
      </c>
      <c r="H671" s="209" t="s">
        <v>2753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2754</v>
      </c>
    </row>
    <row r="672" spans="1:20" ht="15" x14ac:dyDescent="0.25">
      <c r="A672" s="137" t="s">
        <v>2755</v>
      </c>
      <c r="B672" s="127">
        <v>2026</v>
      </c>
      <c r="C672" s="183" t="s">
        <v>22</v>
      </c>
      <c r="D672" s="183" t="s">
        <v>2756</v>
      </c>
      <c r="E672" s="184" t="s">
        <v>2757</v>
      </c>
      <c r="F672" s="185" t="s">
        <v>24</v>
      </c>
      <c r="G672" s="186" t="s">
        <v>25</v>
      </c>
      <c r="H672" s="191" t="s">
        <v>2758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2759</v>
      </c>
    </row>
    <row r="673" spans="1:20" ht="15" x14ac:dyDescent="0.25">
      <c r="A673" s="137" t="s">
        <v>2760</v>
      </c>
      <c r="B673" s="127">
        <v>2026</v>
      </c>
      <c r="C673" s="127" t="s">
        <v>22</v>
      </c>
      <c r="D673" s="127" t="s">
        <v>2761</v>
      </c>
      <c r="E673" s="128" t="s">
        <v>2762</v>
      </c>
      <c r="F673" s="129" t="s">
        <v>24</v>
      </c>
      <c r="G673" s="144" t="s">
        <v>371</v>
      </c>
      <c r="H673" s="155" t="s">
        <v>2763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2764</v>
      </c>
    </row>
    <row r="674" spans="1:20" ht="15" x14ac:dyDescent="0.25">
      <c r="A674" s="137" t="s">
        <v>2765</v>
      </c>
      <c r="B674" s="127">
        <v>2026</v>
      </c>
      <c r="C674" s="127" t="s">
        <v>22</v>
      </c>
      <c r="D674" s="127" t="s">
        <v>2766</v>
      </c>
      <c r="E674" s="128" t="s">
        <v>2767</v>
      </c>
      <c r="F674" s="129" t="s">
        <v>69</v>
      </c>
      <c r="G674" s="130" t="s">
        <v>2694</v>
      </c>
      <c r="H674" s="172" t="s">
        <v>2768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2769</v>
      </c>
    </row>
    <row r="675" spans="1:20" ht="15" x14ac:dyDescent="0.25">
      <c r="A675" s="137" t="s">
        <v>2770</v>
      </c>
      <c r="B675" s="127">
        <v>2026</v>
      </c>
      <c r="C675" s="127" t="s">
        <v>22</v>
      </c>
      <c r="D675" s="173" t="s">
        <v>2771</v>
      </c>
      <c r="E675" s="128" t="s">
        <v>2772</v>
      </c>
      <c r="F675" s="129" t="s">
        <v>69</v>
      </c>
      <c r="G675" s="174" t="s">
        <v>2694</v>
      </c>
      <c r="H675" s="217" t="s">
        <v>2773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2769</v>
      </c>
    </row>
    <row r="676" spans="1:20" ht="15" x14ac:dyDescent="0.25">
      <c r="A676" s="137" t="s">
        <v>2774</v>
      </c>
      <c r="B676" s="127">
        <v>2026</v>
      </c>
      <c r="C676" s="127" t="s">
        <v>22</v>
      </c>
      <c r="D676" s="127" t="s">
        <v>2775</v>
      </c>
      <c r="E676" s="128" t="s">
        <v>2776</v>
      </c>
      <c r="F676" s="129" t="s">
        <v>69</v>
      </c>
      <c r="G676" s="130" t="s">
        <v>79</v>
      </c>
      <c r="H676" s="127" t="s">
        <v>2777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2778</v>
      </c>
      <c r="B677" s="127">
        <v>2026</v>
      </c>
      <c r="C677" s="193" t="s">
        <v>2697</v>
      </c>
      <c r="D677" s="193" t="s">
        <v>2779</v>
      </c>
      <c r="E677" s="184" t="s">
        <v>2780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2746</v>
      </c>
    </row>
    <row r="678" spans="1:20" ht="15" x14ac:dyDescent="0.25">
      <c r="A678" s="191" t="s">
        <v>2781</v>
      </c>
      <c r="B678" s="127">
        <v>2026</v>
      </c>
      <c r="C678" s="193" t="s">
        <v>22</v>
      </c>
      <c r="D678" s="193" t="s">
        <v>2782</v>
      </c>
      <c r="E678" s="184" t="s">
        <v>2783</v>
      </c>
      <c r="F678" s="185" t="s">
        <v>69</v>
      </c>
      <c r="G678" s="194" t="s">
        <v>79</v>
      </c>
      <c r="H678" s="195" t="s">
        <v>2784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2785</v>
      </c>
      <c r="B679" s="127">
        <v>2026</v>
      </c>
      <c r="C679" s="193" t="s">
        <v>22</v>
      </c>
      <c r="D679" s="193" t="s">
        <v>2786</v>
      </c>
      <c r="E679" s="203" t="s">
        <v>2787</v>
      </c>
      <c r="F679" s="185" t="s">
        <v>69</v>
      </c>
      <c r="G679" s="186" t="s">
        <v>79</v>
      </c>
      <c r="H679" s="195" t="s">
        <v>2788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2789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2790</v>
      </c>
    </row>
    <row r="680" spans="1:20" ht="15" x14ac:dyDescent="0.25">
      <c r="A680" s="137" t="s">
        <v>2791</v>
      </c>
      <c r="B680" s="127">
        <v>2026</v>
      </c>
      <c r="C680" s="168" t="s">
        <v>2792</v>
      </c>
      <c r="D680" s="152" t="s">
        <v>2793</v>
      </c>
      <c r="E680" s="153" t="s">
        <v>2794</v>
      </c>
      <c r="F680" s="129" t="s">
        <v>24</v>
      </c>
      <c r="G680" s="130" t="s">
        <v>2795</v>
      </c>
      <c r="H680" s="155" t="s">
        <v>2796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2797</v>
      </c>
    </row>
    <row r="681" spans="1:20" ht="15" x14ac:dyDescent="0.25">
      <c r="A681" s="191" t="s">
        <v>2798</v>
      </c>
      <c r="B681" s="127">
        <v>2026</v>
      </c>
      <c r="C681" s="168" t="s">
        <v>22</v>
      </c>
      <c r="D681" s="152" t="s">
        <v>2793</v>
      </c>
      <c r="E681" s="153" t="s">
        <v>2799</v>
      </c>
      <c r="F681" s="129" t="s">
        <v>24</v>
      </c>
      <c r="G681" s="154" t="s">
        <v>2795</v>
      </c>
      <c r="H681" s="155" t="s">
        <v>2800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2797</v>
      </c>
    </row>
    <row r="682" spans="1:20" ht="15" x14ac:dyDescent="0.25">
      <c r="A682" s="191" t="s">
        <v>2801</v>
      </c>
      <c r="B682" s="127">
        <v>2026</v>
      </c>
      <c r="C682" s="193" t="s">
        <v>2792</v>
      </c>
      <c r="D682" s="152" t="s">
        <v>2793</v>
      </c>
      <c r="E682" s="153" t="s">
        <v>2799</v>
      </c>
      <c r="F682" s="185" t="s">
        <v>24</v>
      </c>
      <c r="G682" s="194" t="s">
        <v>2795</v>
      </c>
      <c r="H682" s="195" t="s">
        <v>2802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2797</v>
      </c>
    </row>
    <row r="683" spans="1:20" ht="15" x14ac:dyDescent="0.25">
      <c r="A683" s="137" t="s">
        <v>2803</v>
      </c>
      <c r="B683" s="127">
        <v>2026</v>
      </c>
      <c r="C683" s="152" t="s">
        <v>22</v>
      </c>
      <c r="D683" s="152" t="s">
        <v>2804</v>
      </c>
      <c r="E683" s="153" t="s">
        <v>2805</v>
      </c>
      <c r="F683" s="129" t="s">
        <v>24</v>
      </c>
      <c r="G683" s="130" t="s">
        <v>42</v>
      </c>
      <c r="H683" s="218" t="s">
        <v>2806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2807</v>
      </c>
    </row>
    <row r="684" spans="1:20" ht="15" x14ac:dyDescent="0.25">
      <c r="A684" s="191" t="s">
        <v>2808</v>
      </c>
      <c r="B684" s="152">
        <v>2026</v>
      </c>
      <c r="C684" s="168" t="s">
        <v>22</v>
      </c>
      <c r="D684" s="152" t="s">
        <v>2809</v>
      </c>
      <c r="E684" s="153" t="s">
        <v>2810</v>
      </c>
      <c r="F684" s="161" t="s">
        <v>24</v>
      </c>
      <c r="G684" s="154" t="s">
        <v>25</v>
      </c>
      <c r="H684" s="207" t="s">
        <v>2811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2812</v>
      </c>
    </row>
    <row r="685" spans="1:20" ht="15" x14ac:dyDescent="0.25">
      <c r="A685" s="137" t="s">
        <v>2813</v>
      </c>
      <c r="B685" s="152">
        <v>2026</v>
      </c>
      <c r="C685" s="127" t="s">
        <v>22</v>
      </c>
      <c r="D685" s="131" t="s">
        <v>2814</v>
      </c>
      <c r="E685" s="128" t="s">
        <v>2815</v>
      </c>
      <c r="F685" s="129" t="s">
        <v>24</v>
      </c>
      <c r="G685" s="144" t="s">
        <v>2795</v>
      </c>
      <c r="H685" s="131" t="s">
        <v>2816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2797</v>
      </c>
    </row>
    <row r="686" spans="1:20" ht="15" x14ac:dyDescent="0.25">
      <c r="A686" s="137" t="s">
        <v>2817</v>
      </c>
      <c r="B686" s="152">
        <v>2026</v>
      </c>
      <c r="C686" s="127" t="s">
        <v>22</v>
      </c>
      <c r="D686" s="127" t="s">
        <v>2818</v>
      </c>
      <c r="E686" s="128" t="s">
        <v>2819</v>
      </c>
      <c r="F686" s="129" t="s">
        <v>69</v>
      </c>
      <c r="G686" s="130" t="s">
        <v>2694</v>
      </c>
      <c r="H686" s="131" t="s">
        <v>2820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2746</v>
      </c>
    </row>
    <row r="687" spans="1:20" ht="15" x14ac:dyDescent="0.25">
      <c r="A687" s="191" t="s">
        <v>2821</v>
      </c>
      <c r="B687" s="152">
        <v>2026</v>
      </c>
      <c r="C687" s="127" t="s">
        <v>22</v>
      </c>
      <c r="D687" s="173" t="s">
        <v>2822</v>
      </c>
      <c r="E687" s="180" t="s">
        <v>2823</v>
      </c>
      <c r="F687" s="216" t="s">
        <v>24</v>
      </c>
      <c r="G687" s="174" t="s">
        <v>42</v>
      </c>
      <c r="H687" s="175" t="s">
        <v>2824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2789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2825</v>
      </c>
      <c r="B688" s="152">
        <v>2026</v>
      </c>
      <c r="C688" s="183" t="s">
        <v>22</v>
      </c>
      <c r="D688" s="183" t="s">
        <v>2826</v>
      </c>
      <c r="E688" s="184" t="s">
        <v>2827</v>
      </c>
      <c r="F688" s="185" t="s">
        <v>69</v>
      </c>
      <c r="G688" s="186" t="s">
        <v>79</v>
      </c>
      <c r="H688" s="191" t="s">
        <v>2828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2829</v>
      </c>
    </row>
    <row r="689" spans="1:20" ht="15" x14ac:dyDescent="0.25">
      <c r="A689" s="137" t="s">
        <v>2830</v>
      </c>
      <c r="B689" s="152">
        <v>2026</v>
      </c>
      <c r="C689" s="127" t="s">
        <v>22</v>
      </c>
      <c r="D689" s="127" t="s">
        <v>2831</v>
      </c>
      <c r="E689" s="128" t="s">
        <v>2832</v>
      </c>
      <c r="F689" s="129" t="s">
        <v>24</v>
      </c>
      <c r="G689" s="144" t="s">
        <v>2700</v>
      </c>
      <c r="H689" s="131" t="s">
        <v>2833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2834</v>
      </c>
    </row>
    <row r="690" spans="1:20" ht="15" x14ac:dyDescent="0.25">
      <c r="A690" s="137" t="s">
        <v>2835</v>
      </c>
      <c r="B690" s="152">
        <v>2026</v>
      </c>
      <c r="C690" s="127" t="s">
        <v>22</v>
      </c>
      <c r="D690" s="127" t="s">
        <v>2831</v>
      </c>
      <c r="E690" s="128" t="s">
        <v>2836</v>
      </c>
      <c r="F690" s="129" t="s">
        <v>24</v>
      </c>
      <c r="G690" s="144" t="s">
        <v>2700</v>
      </c>
      <c r="H690" s="131" t="s">
        <v>2837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2829</v>
      </c>
    </row>
    <row r="691" spans="1:20" ht="15" x14ac:dyDescent="0.25">
      <c r="A691" s="137" t="s">
        <v>2838</v>
      </c>
      <c r="B691" s="152">
        <v>2026</v>
      </c>
      <c r="C691" s="183" t="s">
        <v>22</v>
      </c>
      <c r="D691" s="183" t="s">
        <v>2839</v>
      </c>
      <c r="E691" s="184" t="s">
        <v>2840</v>
      </c>
      <c r="F691" s="185" t="s">
        <v>24</v>
      </c>
      <c r="G691" s="186" t="s">
        <v>2700</v>
      </c>
      <c r="H691" s="191" t="s">
        <v>2841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2829</v>
      </c>
    </row>
    <row r="692" spans="1:20" ht="15" x14ac:dyDescent="0.25">
      <c r="A692" s="191" t="s">
        <v>2842</v>
      </c>
      <c r="B692" s="152">
        <v>2026</v>
      </c>
      <c r="C692" s="183" t="s">
        <v>22</v>
      </c>
      <c r="D692" s="183" t="s">
        <v>2839</v>
      </c>
      <c r="E692" s="184" t="s">
        <v>2843</v>
      </c>
      <c r="F692" s="185" t="s">
        <v>24</v>
      </c>
      <c r="G692" s="186" t="s">
        <v>2700</v>
      </c>
      <c r="H692" s="191" t="s">
        <v>2844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2829</v>
      </c>
    </row>
    <row r="693" spans="1:20" ht="15" x14ac:dyDescent="0.25">
      <c r="A693" s="191" t="s">
        <v>2845</v>
      </c>
      <c r="B693" s="152">
        <v>2026</v>
      </c>
      <c r="C693" s="183" t="s">
        <v>2697</v>
      </c>
      <c r="D693" s="183" t="s">
        <v>2846</v>
      </c>
      <c r="E693" s="184" t="s">
        <v>2847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2848</v>
      </c>
      <c r="B694" s="152">
        <v>2026</v>
      </c>
      <c r="C694" s="127" t="s">
        <v>2697</v>
      </c>
      <c r="D694" s="173" t="s">
        <v>2849</v>
      </c>
      <c r="E694" s="180" t="s">
        <v>2850</v>
      </c>
      <c r="F694" s="129" t="s">
        <v>69</v>
      </c>
      <c r="G694" s="130" t="s">
        <v>79</v>
      </c>
      <c r="H694" s="175" t="s">
        <v>2851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2852</v>
      </c>
      <c r="B695" s="152">
        <v>2026</v>
      </c>
      <c r="C695" s="183" t="s">
        <v>2697</v>
      </c>
      <c r="D695" s="183" t="s">
        <v>2853</v>
      </c>
      <c r="E695" s="184" t="s">
        <v>2854</v>
      </c>
      <c r="F695" s="185" t="s">
        <v>69</v>
      </c>
      <c r="G695" s="186" t="s">
        <v>79</v>
      </c>
      <c r="H695" s="191" t="s">
        <v>2855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2856</v>
      </c>
      <c r="B696" s="152">
        <v>2026</v>
      </c>
      <c r="C696" s="127" t="s">
        <v>22</v>
      </c>
      <c r="D696" s="127" t="s">
        <v>2857</v>
      </c>
      <c r="E696" s="128" t="s">
        <v>2858</v>
      </c>
      <c r="F696" s="129" t="s">
        <v>69</v>
      </c>
      <c r="G696" s="130" t="s">
        <v>79</v>
      </c>
      <c r="H696" s="131" t="s">
        <v>2859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2860</v>
      </c>
      <c r="B697" s="152">
        <v>2026</v>
      </c>
      <c r="C697" s="127" t="s">
        <v>22</v>
      </c>
      <c r="D697" s="173" t="s">
        <v>2861</v>
      </c>
      <c r="E697" s="180" t="s">
        <v>2862</v>
      </c>
      <c r="F697" s="129" t="s">
        <v>24</v>
      </c>
      <c r="G697" s="144" t="s">
        <v>2700</v>
      </c>
      <c r="H697" s="175" t="s">
        <v>2863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2829</v>
      </c>
    </row>
    <row r="698" spans="1:20" ht="15" x14ac:dyDescent="0.25">
      <c r="A698" s="191" t="s">
        <v>2864</v>
      </c>
      <c r="B698" s="152">
        <v>2026</v>
      </c>
      <c r="C698" s="183" t="s">
        <v>2792</v>
      </c>
      <c r="D698" s="183" t="s">
        <v>2865</v>
      </c>
      <c r="E698" s="184" t="s">
        <v>2866</v>
      </c>
      <c r="F698" s="185" t="s">
        <v>24</v>
      </c>
      <c r="G698" s="186" t="s">
        <v>75</v>
      </c>
      <c r="H698" s="191" t="s">
        <v>2867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2868</v>
      </c>
    </row>
    <row r="699" spans="1:20" ht="15" x14ac:dyDescent="0.25">
      <c r="A699" s="137" t="s">
        <v>2869</v>
      </c>
      <c r="B699" s="152">
        <v>2026</v>
      </c>
      <c r="C699" s="127" t="s">
        <v>22</v>
      </c>
      <c r="D699" s="127" t="s">
        <v>2870</v>
      </c>
      <c r="E699" s="128" t="s">
        <v>2871</v>
      </c>
      <c r="F699" s="129" t="s">
        <v>24</v>
      </c>
      <c r="G699" s="130" t="s">
        <v>206</v>
      </c>
      <c r="H699" s="131" t="s">
        <v>2872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2873</v>
      </c>
    </row>
    <row r="700" spans="1:20" ht="15" x14ac:dyDescent="0.25">
      <c r="A700" s="191" t="s">
        <v>2874</v>
      </c>
      <c r="B700" s="152">
        <v>2026</v>
      </c>
      <c r="C700" s="183" t="s">
        <v>22</v>
      </c>
      <c r="D700" s="183" t="s">
        <v>2875</v>
      </c>
      <c r="E700" s="184" t="s">
        <v>2876</v>
      </c>
      <c r="F700" s="185" t="s">
        <v>88</v>
      </c>
      <c r="G700" s="186" t="s">
        <v>2719</v>
      </c>
      <c r="H700" s="191" t="s">
        <v>2877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2878</v>
      </c>
      <c r="B701" s="152">
        <v>2026</v>
      </c>
      <c r="C701" s="183" t="s">
        <v>22</v>
      </c>
      <c r="D701" s="183" t="s">
        <v>2879</v>
      </c>
      <c r="E701" s="184" t="s">
        <v>2880</v>
      </c>
      <c r="F701" s="185" t="s">
        <v>24</v>
      </c>
      <c r="G701" s="186" t="s">
        <v>75</v>
      </c>
      <c r="H701" s="191" t="s">
        <v>2881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2812</v>
      </c>
    </row>
    <row r="702" spans="1:20" ht="15" x14ac:dyDescent="0.25">
      <c r="A702" s="191" t="s">
        <v>2882</v>
      </c>
      <c r="B702" s="152">
        <v>2026</v>
      </c>
      <c r="C702" s="183" t="s">
        <v>22</v>
      </c>
      <c r="D702" s="183" t="s">
        <v>2883</v>
      </c>
      <c r="E702" s="184" t="s">
        <v>2884</v>
      </c>
      <c r="F702" s="185" t="s">
        <v>69</v>
      </c>
      <c r="G702" s="186" t="s">
        <v>79</v>
      </c>
      <c r="H702" s="191" t="s">
        <v>2788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2885</v>
      </c>
    </row>
    <row r="703" spans="1:20" ht="15" x14ac:dyDescent="0.25">
      <c r="A703" s="191" t="s">
        <v>2886</v>
      </c>
      <c r="B703" s="152">
        <v>2026</v>
      </c>
      <c r="C703" s="183" t="s">
        <v>22</v>
      </c>
      <c r="D703" s="183" t="s">
        <v>2887</v>
      </c>
      <c r="E703" s="184" t="s">
        <v>2888</v>
      </c>
      <c r="F703" s="185" t="s">
        <v>69</v>
      </c>
      <c r="G703" s="186" t="s">
        <v>79</v>
      </c>
      <c r="H703" s="191" t="s">
        <v>2784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2889</v>
      </c>
    </row>
    <row r="704" spans="1:20" ht="15" x14ac:dyDescent="0.25">
      <c r="A704" s="191" t="s">
        <v>2890</v>
      </c>
      <c r="B704" s="152">
        <v>2026</v>
      </c>
      <c r="C704" s="183" t="s">
        <v>22</v>
      </c>
      <c r="D704" s="183" t="s">
        <v>2891</v>
      </c>
      <c r="E704" s="184" t="s">
        <v>2892</v>
      </c>
      <c r="F704" s="185" t="s">
        <v>69</v>
      </c>
      <c r="G704" s="186" t="s">
        <v>79</v>
      </c>
      <c r="H704" s="191" t="s">
        <v>2893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2715</v>
      </c>
    </row>
    <row r="705" spans="1:21" ht="15" x14ac:dyDescent="0.25">
      <c r="A705" s="191" t="s">
        <v>2894</v>
      </c>
      <c r="B705" s="152">
        <v>2026</v>
      </c>
      <c r="C705" s="183" t="s">
        <v>22</v>
      </c>
      <c r="D705" s="183" t="s">
        <v>2895</v>
      </c>
      <c r="E705" s="184" t="s">
        <v>2896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2897</v>
      </c>
    </row>
    <row r="706" spans="1:21" ht="15" x14ac:dyDescent="0.25">
      <c r="A706" s="191" t="s">
        <v>2898</v>
      </c>
      <c r="B706" s="152">
        <v>2026</v>
      </c>
      <c r="C706" s="183" t="s">
        <v>22</v>
      </c>
      <c r="D706" s="183" t="s">
        <v>2899</v>
      </c>
      <c r="E706" s="184" t="s">
        <v>2896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2901</v>
      </c>
      <c r="B707" s="152">
        <v>2026</v>
      </c>
      <c r="C707" s="183" t="s">
        <v>22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2908</v>
      </c>
    </row>
    <row r="709" spans="1:21" ht="15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2918</v>
      </c>
      <c r="B711" s="152">
        <v>2026</v>
      </c>
      <c r="C711" s="183" t="s">
        <v>22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2921</v>
      </c>
    </row>
    <row r="712" spans="1:21" ht="15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x14ac:dyDescent="0.25">
      <c r="A714" s="191" t="s">
        <v>2929</v>
      </c>
      <c r="B714" s="152">
        <v>2026</v>
      </c>
      <c r="C714" s="183" t="s">
        <v>22</v>
      </c>
      <c r="D714" s="183" t="s">
        <v>2930</v>
      </c>
      <c r="E714" s="184" t="s">
        <v>2931</v>
      </c>
      <c r="F714" s="185" t="s">
        <v>88</v>
      </c>
      <c r="G714" s="186" t="s">
        <v>2719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x14ac:dyDescent="0.25">
      <c r="A715" s="191" t="s">
        <v>2933</v>
      </c>
      <c r="B715" s="152">
        <v>2026</v>
      </c>
      <c r="C715" s="183" t="s">
        <v>22</v>
      </c>
      <c r="D715" s="183" t="s">
        <v>2930</v>
      </c>
      <c r="E715" s="184" t="s">
        <v>2931</v>
      </c>
      <c r="F715" s="185" t="s">
        <v>88</v>
      </c>
      <c r="G715" s="186" t="s">
        <v>2719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2719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2719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2719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2719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2719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2719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2719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2719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2719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2719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2719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2719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2719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2719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2719</v>
      </c>
      <c r="H731" s="191" t="s">
        <v>2979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2980</v>
      </c>
      <c r="B732" s="183">
        <v>2026</v>
      </c>
      <c r="C732" s="183" t="s">
        <v>2697</v>
      </c>
      <c r="D732" s="183"/>
      <c r="E732" s="184" t="s">
        <v>2981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2982</v>
      </c>
      <c r="B733" s="183">
        <v>2026</v>
      </c>
      <c r="C733" s="183" t="s">
        <v>2697</v>
      </c>
      <c r="D733" s="183"/>
      <c r="E733" s="203" t="s">
        <v>2983</v>
      </c>
      <c r="F733" s="185"/>
      <c r="G733" s="186" t="s">
        <v>2719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2984</v>
      </c>
      <c r="B734" s="183">
        <v>2026</v>
      </c>
      <c r="C734" s="183" t="s">
        <v>2697</v>
      </c>
      <c r="D734" s="183"/>
      <c r="E734" s="184" t="s">
        <v>2985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2986</v>
      </c>
      <c r="E735" s="184" t="s">
        <v>2987</v>
      </c>
      <c r="F735" s="185"/>
      <c r="G735" s="186" t="s">
        <v>206</v>
      </c>
      <c r="H735" s="191" t="s">
        <v>2986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2988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2989</v>
      </c>
      <c r="E736" s="184" t="s">
        <v>2990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2991</v>
      </c>
      <c r="B737" s="183">
        <v>2026</v>
      </c>
      <c r="C737" s="183" t="s">
        <v>2697</v>
      </c>
      <c r="D737" s="183" t="s">
        <v>2992</v>
      </c>
      <c r="E737" s="180" t="s">
        <v>2993</v>
      </c>
      <c r="F737" s="185"/>
      <c r="G737" s="186" t="s">
        <v>79</v>
      </c>
      <c r="H737" s="191" t="s">
        <v>2994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2715</v>
      </c>
    </row>
    <row r="738" spans="1:20" ht="15" x14ac:dyDescent="0.25">
      <c r="A738" s="191" t="s">
        <v>2995</v>
      </c>
      <c r="B738" s="183">
        <v>2026</v>
      </c>
      <c r="C738" s="183" t="s">
        <v>2697</v>
      </c>
      <c r="D738" s="183" t="s">
        <v>2996</v>
      </c>
      <c r="E738" s="180" t="s">
        <v>2997</v>
      </c>
      <c r="F738" s="185" t="s">
        <v>69</v>
      </c>
      <c r="G738" s="186" t="s">
        <v>2694</v>
      </c>
      <c r="H738" s="191" t="s">
        <v>2998</v>
      </c>
      <c r="I738" s="192">
        <v>46273</v>
      </c>
      <c r="J738" s="192">
        <v>46275</v>
      </c>
      <c r="K738" s="183" t="s">
        <v>38</v>
      </c>
      <c r="L738" s="187"/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2999</v>
      </c>
    </row>
    <row r="739" spans="1:20" ht="15" x14ac:dyDescent="0.25">
      <c r="A739" s="191" t="s">
        <v>3000</v>
      </c>
      <c r="B739" s="183">
        <v>2026</v>
      </c>
      <c r="C739" s="183" t="s">
        <v>2697</v>
      </c>
      <c r="D739" s="183" t="s">
        <v>3001</v>
      </c>
      <c r="E739" s="180" t="s">
        <v>3002</v>
      </c>
      <c r="F739" s="185" t="s">
        <v>24</v>
      </c>
      <c r="G739" s="186" t="s">
        <v>2700</v>
      </c>
      <c r="H739" s="175" t="s">
        <v>3003</v>
      </c>
      <c r="I739" s="192">
        <v>46054</v>
      </c>
      <c r="J739" s="192">
        <v>46267</v>
      </c>
      <c r="K739" s="183" t="s">
        <v>38</v>
      </c>
      <c r="L739" s="187"/>
      <c r="M739" s="188"/>
      <c r="N739" s="189">
        <v>20</v>
      </c>
      <c r="O739" s="190"/>
      <c r="P739" s="190"/>
      <c r="Q739" s="190"/>
      <c r="R739" s="190">
        <f t="shared" si="14"/>
        <v>0</v>
      </c>
      <c r="S739" s="183">
        <v>9</v>
      </c>
      <c r="T739" s="186" t="s">
        <v>218</v>
      </c>
    </row>
    <row r="740" spans="1:20" ht="15" x14ac:dyDescent="0.25">
      <c r="A740" s="191" t="s">
        <v>3004</v>
      </c>
      <c r="B740" s="183">
        <v>2026</v>
      </c>
      <c r="C740" s="183" t="s">
        <v>2697</v>
      </c>
      <c r="D740" s="183" t="s">
        <v>3005</v>
      </c>
      <c r="E740" s="180" t="s">
        <v>3006</v>
      </c>
      <c r="F740" s="185" t="s">
        <v>24</v>
      </c>
      <c r="G740" s="186" t="s">
        <v>2700</v>
      </c>
      <c r="H740" s="191" t="s">
        <v>3007</v>
      </c>
      <c r="I740" s="192">
        <v>46311</v>
      </c>
      <c r="J740" s="192">
        <v>46311</v>
      </c>
      <c r="K740" s="183" t="s">
        <v>38</v>
      </c>
      <c r="L740" s="187"/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3008</v>
      </c>
      <c r="B741" s="183">
        <v>2026</v>
      </c>
      <c r="C741" s="183" t="s">
        <v>2697</v>
      </c>
      <c r="D741" s="183" t="s">
        <v>3009</v>
      </c>
      <c r="E741" s="180" t="s">
        <v>3010</v>
      </c>
      <c r="F741" s="185" t="s">
        <v>24</v>
      </c>
      <c r="G741" s="186" t="s">
        <v>2700</v>
      </c>
      <c r="H741" s="191" t="s">
        <v>3011</v>
      </c>
      <c r="I741" s="192">
        <v>46286</v>
      </c>
      <c r="J741" s="192">
        <v>46288</v>
      </c>
      <c r="K741" s="183" t="s">
        <v>38</v>
      </c>
      <c r="L741" s="187"/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2829</v>
      </c>
    </row>
    <row r="742" spans="1:20" ht="15" x14ac:dyDescent="0.25">
      <c r="A742" s="191" t="s">
        <v>3012</v>
      </c>
      <c r="B742" s="183">
        <v>2026</v>
      </c>
      <c r="C742" s="183" t="s">
        <v>2697</v>
      </c>
      <c r="D742" s="183" t="s">
        <v>3009</v>
      </c>
      <c r="E742" s="184" t="s">
        <v>3013</v>
      </c>
      <c r="F742" s="185" t="s">
        <v>24</v>
      </c>
      <c r="G742" s="186" t="s">
        <v>2700</v>
      </c>
      <c r="H742" s="191" t="s">
        <v>3014</v>
      </c>
      <c r="I742" s="192">
        <v>46322</v>
      </c>
      <c r="J742" s="192">
        <v>46324</v>
      </c>
      <c r="K742" s="183" t="s">
        <v>38</v>
      </c>
      <c r="L742" s="187"/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2829</v>
      </c>
    </row>
    <row r="743" spans="1:20" ht="15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26:J734 I736:J2001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3015</v>
      </c>
      <c r="H1" s="213" t="s">
        <v>3016</v>
      </c>
    </row>
    <row r="2" spans="1:8" x14ac:dyDescent="0.25">
      <c r="H2" s="212" t="s">
        <v>3017</v>
      </c>
    </row>
    <row r="3" spans="1:8" x14ac:dyDescent="0.25">
      <c r="A3" t="s">
        <v>0</v>
      </c>
      <c r="B3" t="s">
        <v>19</v>
      </c>
      <c r="C3" t="s">
        <v>3018</v>
      </c>
      <c r="D3" t="s">
        <v>3019</v>
      </c>
      <c r="E3" t="s">
        <v>3020</v>
      </c>
      <c r="H3" s="212" t="s">
        <v>3021</v>
      </c>
    </row>
    <row r="4" spans="1:8" x14ac:dyDescent="0.25">
      <c r="A4">
        <v>1</v>
      </c>
      <c r="B4" t="s">
        <v>3022</v>
      </c>
      <c r="D4" t="s">
        <v>3023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3024</v>
      </c>
    </row>
    <row r="5" spans="1:8" x14ac:dyDescent="0.25">
      <c r="A5">
        <v>2</v>
      </c>
      <c r="B5" t="s">
        <v>2507</v>
      </c>
      <c r="D5" t="s">
        <v>3023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3025</v>
      </c>
    </row>
    <row r="6" spans="1:8" x14ac:dyDescent="0.25">
      <c r="A6">
        <v>3</v>
      </c>
      <c r="B6" t="s">
        <v>1030</v>
      </c>
      <c r="D6" t="s">
        <v>3023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3026</v>
      </c>
      <c r="D7" t="s">
        <v>3023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3027</v>
      </c>
    </row>
    <row r="8" spans="1:8" x14ac:dyDescent="0.25">
      <c r="A8">
        <v>5</v>
      </c>
      <c r="B8" t="s">
        <v>3028</v>
      </c>
      <c r="D8" t="s">
        <v>3023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3023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3023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3023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2834</v>
      </c>
      <c r="D12" t="s">
        <v>3023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3023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3023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2807</v>
      </c>
      <c r="D15" t="s">
        <v>3023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3023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3023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3023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3023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3023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3023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3023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3029</v>
      </c>
      <c r="D23" t="s">
        <v>3023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3023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3030</v>
      </c>
      <c r="D25" t="s">
        <v>3023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3031</v>
      </c>
      <c r="D26" t="s">
        <v>3023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3023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3023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3032</v>
      </c>
      <c r="D29" t="s">
        <v>3023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3023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3023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3023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3033</v>
      </c>
      <c r="D33" t="s">
        <v>3023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3034</v>
      </c>
      <c r="D34" t="s">
        <v>3023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3023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3023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3023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3035</v>
      </c>
      <c r="D38" t="s">
        <v>3023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3036</v>
      </c>
      <c r="D39" t="s">
        <v>3023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3023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3037</v>
      </c>
      <c r="D41" t="s">
        <v>3023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3023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3023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3038</v>
      </c>
      <c r="D44" t="s">
        <v>3023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3023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3023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3023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3023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3039</v>
      </c>
      <c r="D49" t="s">
        <v>3023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2721</v>
      </c>
      <c r="D50" t="s">
        <v>3023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3040</v>
      </c>
      <c r="D51" t="s">
        <v>3023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3023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3023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3041</v>
      </c>
      <c r="D54" t="s">
        <v>3023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3023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3023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3023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57</v>
      </c>
      <c r="B58" t="s">
        <v>3042</v>
      </c>
      <c r="D58" t="s">
        <v>3023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58</v>
      </c>
      <c r="B59" t="s">
        <v>1880</v>
      </c>
      <c r="D59" t="s">
        <v>3023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59</v>
      </c>
      <c r="B60" t="s">
        <v>2089</v>
      </c>
      <c r="D60" t="s">
        <v>3023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60</v>
      </c>
      <c r="B61" t="s">
        <v>2021</v>
      </c>
      <c r="D61" t="s">
        <v>3023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61</v>
      </c>
      <c r="B62" t="s">
        <v>3043</v>
      </c>
      <c r="D62" t="s">
        <v>3023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62</v>
      </c>
      <c r="B63" t="s">
        <v>3044</v>
      </c>
      <c r="D63" t="s">
        <v>3023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63</v>
      </c>
      <c r="B64" t="s">
        <v>3045</v>
      </c>
      <c r="D64" t="s">
        <v>3023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64</v>
      </c>
      <c r="B65" t="s">
        <v>3046</v>
      </c>
      <c r="D65" t="s">
        <v>3023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65</v>
      </c>
      <c r="B66" t="s">
        <v>2797</v>
      </c>
      <c r="D66" t="s">
        <v>3023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66</v>
      </c>
      <c r="B67" t="s">
        <v>2556</v>
      </c>
      <c r="D67" t="s">
        <v>3023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67</v>
      </c>
      <c r="B68" t="s">
        <v>3047</v>
      </c>
      <c r="D68" t="s">
        <v>3023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68</v>
      </c>
      <c r="B69" t="s">
        <v>3048</v>
      </c>
      <c r="D69" t="s">
        <v>3023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69</v>
      </c>
      <c r="B70" t="s">
        <v>2457</v>
      </c>
      <c r="D70" t="s">
        <v>3023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70</v>
      </c>
      <c r="B71" t="s">
        <v>3049</v>
      </c>
      <c r="D71" t="s">
        <v>3023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71</v>
      </c>
      <c r="B72" t="s">
        <v>2670</v>
      </c>
      <c r="D72" t="s">
        <v>3023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72</v>
      </c>
      <c r="B73" t="s">
        <v>2322</v>
      </c>
      <c r="D73" t="s">
        <v>3023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73</v>
      </c>
      <c r="B74" t="s">
        <v>2301</v>
      </c>
      <c r="D74" t="s">
        <v>3023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74</v>
      </c>
      <c r="B75" t="s">
        <v>3050</v>
      </c>
      <c r="D75" t="s">
        <v>3023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75</v>
      </c>
      <c r="B76" t="s">
        <v>115</v>
      </c>
      <c r="D76" t="s">
        <v>3023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76</v>
      </c>
      <c r="B77" t="s">
        <v>942</v>
      </c>
      <c r="D77" t="s">
        <v>3023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77</v>
      </c>
      <c r="B78" t="s">
        <v>803</v>
      </c>
      <c r="D78" t="s">
        <v>3023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78</v>
      </c>
      <c r="B79" t="s">
        <v>425</v>
      </c>
      <c r="D79" t="s">
        <v>3023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79</v>
      </c>
      <c r="B80" t="s">
        <v>3051</v>
      </c>
      <c r="D80" t="s">
        <v>3023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80</v>
      </c>
      <c r="B81" t="s">
        <v>3052</v>
      </c>
      <c r="D81" t="s">
        <v>3023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81</v>
      </c>
      <c r="B82" t="s">
        <v>3053</v>
      </c>
      <c r="D82" t="s">
        <v>3023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82</v>
      </c>
      <c r="B83" t="s">
        <v>3054</v>
      </c>
      <c r="D83" t="s">
        <v>3023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83</v>
      </c>
      <c r="B84" t="s">
        <v>2482</v>
      </c>
      <c r="D84" t="s">
        <v>3023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84</v>
      </c>
      <c r="B85" t="s">
        <v>3055</v>
      </c>
      <c r="D85" t="s">
        <v>3023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85</v>
      </c>
      <c r="B86" t="s">
        <v>2578</v>
      </c>
      <c r="D86" t="s">
        <v>3023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86</v>
      </c>
      <c r="B87" t="s">
        <v>3056</v>
      </c>
      <c r="D87" t="s">
        <v>3023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87</v>
      </c>
      <c r="B88" t="s">
        <v>3057</v>
      </c>
      <c r="D88" t="s">
        <v>3023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88</v>
      </c>
      <c r="B89" t="s">
        <v>3058</v>
      </c>
      <c r="D89" t="s">
        <v>3023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89</v>
      </c>
      <c r="B90" t="s">
        <v>3059</v>
      </c>
      <c r="D90" t="s">
        <v>3023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90</v>
      </c>
      <c r="B91" t="s">
        <v>3060</v>
      </c>
      <c r="D91" t="s">
        <v>3023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91</v>
      </c>
      <c r="B92" t="s">
        <v>3061</v>
      </c>
      <c r="D92" t="s">
        <v>3023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92</v>
      </c>
      <c r="B93" t="s">
        <v>3062</v>
      </c>
      <c r="D93" t="s">
        <v>3023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93</v>
      </c>
      <c r="B94" t="s">
        <v>3063</v>
      </c>
      <c r="D94" t="s">
        <v>3023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94</v>
      </c>
      <c r="B95" t="s">
        <v>3064</v>
      </c>
      <c r="D95" t="s">
        <v>3023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95</v>
      </c>
      <c r="B96" t="s">
        <v>2921</v>
      </c>
      <c r="D96" t="s">
        <v>3023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96</v>
      </c>
      <c r="B97" t="s">
        <v>3065</v>
      </c>
      <c r="D97" t="s">
        <v>3023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97</v>
      </c>
      <c r="B98" t="s">
        <v>2913</v>
      </c>
      <c r="D98" t="s">
        <v>3023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98</v>
      </c>
      <c r="B99" t="s">
        <v>3066</v>
      </c>
      <c r="D99" t="s">
        <v>3023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99</v>
      </c>
      <c r="B100" t="s">
        <v>3067</v>
      </c>
      <c r="D100" t="s">
        <v>3023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100</v>
      </c>
      <c r="B101" t="s">
        <v>3068</v>
      </c>
      <c r="D101" t="s">
        <v>3023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101</v>
      </c>
      <c r="B102" t="s">
        <v>3069</v>
      </c>
      <c r="D102" t="s">
        <v>3023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102</v>
      </c>
      <c r="B103" t="s">
        <v>2715</v>
      </c>
      <c r="D103" t="s">
        <v>3023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103</v>
      </c>
      <c r="B104" t="s">
        <v>3070</v>
      </c>
      <c r="D104" t="s">
        <v>3023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104</v>
      </c>
      <c r="B105" t="s">
        <v>3071</v>
      </c>
      <c r="D105" t="s">
        <v>3023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105</v>
      </c>
      <c r="B106" t="s">
        <v>3072</v>
      </c>
      <c r="D106" t="s">
        <v>3023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106</v>
      </c>
      <c r="B107" t="s">
        <v>2868</v>
      </c>
      <c r="D107" t="s">
        <v>3023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107</v>
      </c>
      <c r="B108" t="s">
        <v>2873</v>
      </c>
      <c r="D108" t="s">
        <v>3023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8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0:B5010" xr:uid="{925DC1AF-F4AC-41EC-B8FF-405E79928C52}">
      <formula1>COUNTIF($B$4:$B$5010,B300)&lt;=1</formula1>
    </dataValidation>
    <dataValidation type="list" allowBlank="1" showInputMessage="1" showErrorMessage="1" sqref="C4:C5010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299" xr:uid="{B5101473-17B5-44AC-A6D8-A704A18D3D58}">
      <formula1>COUNTIF($B$4:$B$299,B4)&lt;=1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5" activePane="bottomLeft" state="frozen"/>
      <selection pane="bottomLeft" activeCell="H111" sqref="H11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3073</v>
      </c>
      <c r="C1" s="19" t="s">
        <v>3074</v>
      </c>
      <c r="D1" s="19" t="s">
        <v>4</v>
      </c>
      <c r="E1" s="19" t="s">
        <v>3075</v>
      </c>
      <c r="F1" s="19" t="s">
        <v>19</v>
      </c>
      <c r="G1" s="19" t="s">
        <v>3076</v>
      </c>
      <c r="H1" s="19" t="s">
        <v>3077</v>
      </c>
      <c r="I1" s="19" t="s">
        <v>3078</v>
      </c>
      <c r="J1" s="19" t="s">
        <v>3079</v>
      </c>
      <c r="L1" s="112" t="s">
        <v>3080</v>
      </c>
      <c r="M1" s="23">
        <v>2026</v>
      </c>
      <c r="U1" s="80" t="s">
        <v>3081</v>
      </c>
      <c r="V1" s="79"/>
      <c r="X1" s="78" t="s">
        <v>3082</v>
      </c>
      <c r="Y1" s="27"/>
      <c r="Z1" s="27"/>
      <c r="AA1" s="27"/>
      <c r="AC1" s="100" t="s">
        <v>3083</v>
      </c>
    </row>
    <row r="2" spans="1:31" x14ac:dyDescent="0.25">
      <c r="A2" s="21" cm="1">
        <f t="array" aca="1" ref="A2:J126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3084</v>
      </c>
      <c r="M2" s="107" t="s">
        <v>2929</v>
      </c>
      <c r="X2" s="114" t="s">
        <v>3073</v>
      </c>
      <c r="Y2" s="114" t="s">
        <v>19</v>
      </c>
      <c r="Z2" s="114" t="s">
        <v>3085</v>
      </c>
      <c r="AA2" s="114" t="s">
        <v>3086</v>
      </c>
      <c r="AC2" s="115" t="s">
        <v>1</v>
      </c>
      <c r="AD2" s="115" t="s">
        <v>3087</v>
      </c>
      <c r="AE2" s="115" t="s">
        <v>3088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3089</v>
      </c>
      <c r="M3" s="113" t="s">
        <v>3090</v>
      </c>
      <c r="N3" s="113" t="s">
        <v>3091</v>
      </c>
      <c r="O3" s="113" t="s">
        <v>3092</v>
      </c>
      <c r="P3" s="113" t="s">
        <v>3093</v>
      </c>
      <c r="Q3" s="113" t="s">
        <v>3094</v>
      </c>
      <c r="R3" s="113" t="s">
        <v>3095</v>
      </c>
      <c r="S3" s="113" t="s">
        <v>3096</v>
      </c>
      <c r="T3" s="113" t="s">
        <v>3097</v>
      </c>
      <c r="X3" t="s">
        <v>2838</v>
      </c>
      <c r="Y3" t="s">
        <v>3036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5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6" ca="1">_xlfn.VSTACK(0,_xlfn._xlws.FILTER(S4:S200,S4:S200&lt;&gt;""))</f>
        <v>0</v>
      </c>
      <c r="X4" t="s">
        <v>2838</v>
      </c>
      <c r="Y4" t="s">
        <v>2834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2860</v>
      </c>
      <c r="Y5" t="s">
        <v>2834</v>
      </c>
      <c r="Z5">
        <v>1</v>
      </c>
      <c r="AA5">
        <v>0.6</v>
      </c>
      <c r="AC5" s="97">
        <v>2026</v>
      </c>
      <c r="AD5" s="18" t="s">
        <v>3098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2860</v>
      </c>
      <c r="Y6" t="s">
        <v>3036</v>
      </c>
      <c r="Z6">
        <v>1</v>
      </c>
      <c r="AA6">
        <v>0</v>
      </c>
      <c r="AC6" s="97">
        <v>2026</v>
      </c>
      <c r="AD6" s="18" t="s">
        <v>3099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2813</v>
      </c>
      <c r="Y7" t="s">
        <v>2797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3030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3048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Em andamento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3030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3048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3030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3048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2835</v>
      </c>
      <c r="Y23" s="18" t="s">
        <v>2834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2835</v>
      </c>
      <c r="Y24" s="18" t="s">
        <v>3036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2842</v>
      </c>
      <c r="Y25" s="18" t="s">
        <v>2834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2842</v>
      </c>
      <c r="Y26" s="18" t="s">
        <v>3036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2798</v>
      </c>
      <c r="Y27" s="18" t="s">
        <v>2797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Em andamento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2722</v>
      </c>
      <c r="Y28" s="18" t="s">
        <v>3071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Em andamento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2722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Em andamento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2722</v>
      </c>
      <c r="Y30" s="18" t="s">
        <v>3067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Em andamento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2842</v>
      </c>
      <c r="Y31" s="18" t="s">
        <v>2834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2755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2755</v>
      </c>
      <c r="Y33" t="s">
        <v>3049</v>
      </c>
      <c r="Z33">
        <v>4</v>
      </c>
      <c r="AA33">
        <v>0.6</v>
      </c>
      <c r="AC33" s="99"/>
      <c r="AD33" s="116" t="s">
        <v>3100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2755</v>
      </c>
      <c r="Y34" t="s">
        <v>3050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2755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2755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2778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2778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2845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2730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2898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2898</v>
      </c>
      <c r="Y42" t="s">
        <v>3041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3058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3057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3069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3066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3068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3065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3101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3072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3070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2785</v>
      </c>
      <c r="Y55" t="s">
        <v>3057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2750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e Responsabilidade Fiscal (IESB)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2750</v>
      </c>
      <c r="Y58" s="110" t="s">
        <v>3064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2750</v>
      </c>
      <c r="Y59" t="s">
        <v>3063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 - SGDI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2750</v>
      </c>
      <c r="Y60" t="s">
        <v>3062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2026-082</v>
      </c>
      <c r="N61" t="str">
        <f ca="1"/>
        <v>A realizar</v>
      </c>
      <c r="O61" t="str">
        <f ca="1"/>
        <v>Curso de formação para gestores e fiscais de contrato nas unidades hospitalares – Turma 4</v>
      </c>
      <c r="P61">
        <f ca="1"/>
        <v>12</v>
      </c>
      <c r="Q61" t="str">
        <f ca="1"/>
        <v>Luciana Alvim; Tarsila Firmino Ely</v>
      </c>
      <c r="R61">
        <f ca="1"/>
        <v>2</v>
      </c>
      <c r="S61">
        <f ca="1"/>
        <v>119</v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2026-083</v>
      </c>
      <c r="N62" t="str">
        <f ca="1"/>
        <v>A realizar</v>
      </c>
      <c r="O62" t="str">
        <f ca="1"/>
        <v>Oficina básica de Power Automate</v>
      </c>
      <c r="P62">
        <f ca="1"/>
        <v>9</v>
      </c>
      <c r="Q62" t="str">
        <f ca="1"/>
        <v>Josdeyvi Magalhães Russi</v>
      </c>
      <c r="R62">
        <f ca="1"/>
        <v>1</v>
      </c>
      <c r="S62">
        <f ca="1"/>
        <v>120</v>
      </c>
      <c r="T62">
        <f ca="1"/>
        <v>119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2026-084</v>
      </c>
      <c r="N63" t="str">
        <f ca="1"/>
        <v>A realizar</v>
      </c>
      <c r="O63" t="str">
        <f ca="1"/>
        <v>Oficina EmentAI: o seu assistente de IA na elaboração de ementas jurisprudenciais</v>
      </c>
      <c r="P63">
        <f ca="1"/>
        <v>4</v>
      </c>
      <c r="Q63" t="str">
        <f ca="1"/>
        <v>Caio Filipe</v>
      </c>
      <c r="R63">
        <f ca="1"/>
        <v>1</v>
      </c>
      <c r="S63">
        <f ca="1"/>
        <v>121</v>
      </c>
      <c r="T63">
        <f ca="1"/>
        <v>120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2026-085</v>
      </c>
      <c r="N64" t="str">
        <f ca="1"/>
        <v>A realizar</v>
      </c>
      <c r="O64" t="str">
        <f ca="1"/>
        <v xml:space="preserve">Introdução à Engenharia de Prompt – T5 </v>
      </c>
      <c r="P64">
        <f ca="1"/>
        <v>8</v>
      </c>
      <c r="Q64" t="str">
        <f ca="1"/>
        <v>Arthur Wú; Gustavo Takahashi</v>
      </c>
      <c r="R64">
        <f ca="1"/>
        <v>2</v>
      </c>
      <c r="S64">
        <f ca="1"/>
        <v>123</v>
      </c>
      <c r="T64">
        <f ca="1"/>
        <v>121</v>
      </c>
      <c r="X64" t="s">
        <v>2702</v>
      </c>
      <c r="Y64" t="s">
        <v>3054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2026-086</v>
      </c>
      <c r="N65" t="str">
        <f ca="1"/>
        <v>A realizar</v>
      </c>
      <c r="O65" t="str">
        <f ca="1"/>
        <v>Introdução à Engenharia de Prompt – T6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125</v>
      </c>
      <c r="T65">
        <f ca="1"/>
        <v>123</v>
      </c>
      <c r="X65" t="s">
        <v>2710</v>
      </c>
      <c r="Y65" t="s">
        <v>2715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T66">
        <f ca="1"/>
        <v>125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3052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2791</v>
      </c>
      <c r="Y69" t="s">
        <v>2797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2825</v>
      </c>
      <c r="Y70" s="18" t="s">
        <v>2834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2825</v>
      </c>
      <c r="Y71" s="18" t="s">
        <v>3036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2874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2874</v>
      </c>
      <c r="Y73" t="s">
        <v>3041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2801</v>
      </c>
      <c r="Y75" t="s">
        <v>2797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3055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2886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2886</v>
      </c>
      <c r="Y79" t="s">
        <v>3059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2785</v>
      </c>
      <c r="Y80" t="s">
        <v>3056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2882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2882</v>
      </c>
      <c r="Y82" t="s">
        <v>3060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Realizado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e Responsabilidade Fiscal (IESB)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e Responsabilidade Fiscal (IESB)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 - SGDI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2026-082</v>
      </c>
      <c r="C119" t="str">
        <f ca="1"/>
        <v>A realizar</v>
      </c>
      <c r="D119" t="str">
        <f ca="1"/>
        <v>Curso de formação para gestores e fiscais de contrato nas unidades hospitalares – Turma 4</v>
      </c>
      <c r="E119">
        <f ca="1"/>
        <v>12</v>
      </c>
      <c r="F119" t="str">
        <f ca="1"/>
        <v>Luciana Alvim</v>
      </c>
      <c r="G119">
        <f ca="1"/>
        <v>2</v>
      </c>
      <c r="H119">
        <f ca="1"/>
        <v>12</v>
      </c>
      <c r="I119">
        <f ca="1"/>
        <v>3.5999999999999996</v>
      </c>
      <c r="J119">
        <f ca="1"/>
        <v>15.6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2026-082</v>
      </c>
      <c r="C120" t="str">
        <f ca="1"/>
        <v>A realizar</v>
      </c>
      <c r="D120" t="str">
        <f ca="1"/>
        <v>Curso de formação para gestores e fiscais de contrato nas unidades hospitalares – Turma 4</v>
      </c>
      <c r="E120">
        <f ca="1"/>
        <v>12</v>
      </c>
      <c r="F120" t="str">
        <f ca="1"/>
        <v>Tarsila Firmino Ely</v>
      </c>
      <c r="G120">
        <f ca="1"/>
        <v>2</v>
      </c>
      <c r="H120">
        <f ca="1"/>
        <v>12</v>
      </c>
      <c r="I120">
        <f ca="1"/>
        <v>3.5999999999999996</v>
      </c>
      <c r="J120">
        <f ca="1"/>
        <v>15.6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2026-083</v>
      </c>
      <c r="C121" t="str">
        <f ca="1"/>
        <v>A realizar</v>
      </c>
      <c r="D121" t="str">
        <f ca="1"/>
        <v>Oficina básica de Power Automate</v>
      </c>
      <c r="E121">
        <f ca="1"/>
        <v>9</v>
      </c>
      <c r="F121" t="str">
        <f ca="1"/>
        <v>Josdeyvi Magalhães Russi</v>
      </c>
      <c r="G121">
        <f ca="1"/>
        <v>1</v>
      </c>
      <c r="H121">
        <f ca="1"/>
        <v>9</v>
      </c>
      <c r="I121">
        <f ca="1"/>
        <v>2.6999999999999997</v>
      </c>
      <c r="J121">
        <f ca="1"/>
        <v>11.7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2026-084</v>
      </c>
      <c r="C122" t="str">
        <f ca="1"/>
        <v>A realizar</v>
      </c>
      <c r="D122" t="str">
        <f ca="1"/>
        <v>Oficina EmentAI: o seu assistente de IA na elaboração de ementas jurisprudenciais</v>
      </c>
      <c r="E122">
        <f ca="1"/>
        <v>4</v>
      </c>
      <c r="F122" t="str">
        <f ca="1"/>
        <v>Caio Filipe</v>
      </c>
      <c r="G122">
        <f ca="1"/>
        <v>1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2026-085</v>
      </c>
      <c r="C123" t="str">
        <f ca="1"/>
        <v>A realizar</v>
      </c>
      <c r="D123" t="str">
        <f ca="1"/>
        <v xml:space="preserve">Introdução à Engenharia de Prompt – T5 </v>
      </c>
      <c r="E123">
        <f ca="1"/>
        <v>8</v>
      </c>
      <c r="F123" t="str">
        <f ca="1"/>
        <v>Arthur Wú</v>
      </c>
      <c r="G123">
        <f ca="1"/>
        <v>2</v>
      </c>
      <c r="H123">
        <f ca="1"/>
        <v>8</v>
      </c>
      <c r="I123">
        <f ca="1"/>
        <v>2.4</v>
      </c>
      <c r="J123">
        <f ca="1"/>
        <v>10.4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2026-085</v>
      </c>
      <c r="C124" t="str">
        <f ca="1"/>
        <v>A realizar</v>
      </c>
      <c r="D124" t="str">
        <f ca="1"/>
        <v xml:space="preserve">Introdução à Engenharia de Prompt – T5 </v>
      </c>
      <c r="E124">
        <f ca="1"/>
        <v>8</v>
      </c>
      <c r="F124" t="str">
        <f ca="1"/>
        <v>Gustavo Takahashi</v>
      </c>
      <c r="G124">
        <f ca="1"/>
        <v>2</v>
      </c>
      <c r="H124">
        <f ca="1"/>
        <v>8</v>
      </c>
      <c r="I124">
        <f ca="1"/>
        <v>2.4</v>
      </c>
      <c r="J124">
        <f ca="1"/>
        <v>10.4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2026-086</v>
      </c>
      <c r="C125" t="str">
        <f ca="1"/>
        <v>A realizar</v>
      </c>
      <c r="D125" t="str">
        <f ca="1"/>
        <v>Introdução à Engenharia de Prompt – T6</v>
      </c>
      <c r="E125">
        <f ca="1"/>
        <v>8</v>
      </c>
      <c r="F125" t="str">
        <f ca="1"/>
        <v>Arthur Wú</v>
      </c>
      <c r="G125">
        <f ca="1"/>
        <v>2</v>
      </c>
      <c r="H125">
        <f ca="1"/>
        <v>8</v>
      </c>
      <c r="I125">
        <f ca="1"/>
        <v>2.4</v>
      </c>
      <c r="J125">
        <f ca="1"/>
        <v>10.4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2026-086</v>
      </c>
      <c r="C126" t="str">
        <f ca="1"/>
        <v>A realizar</v>
      </c>
      <c r="D126" t="str">
        <f ca="1"/>
        <v>Introdução à Engenharia de Prompt – T6</v>
      </c>
      <c r="E126">
        <f ca="1"/>
        <v>8</v>
      </c>
      <c r="F126" t="str">
        <f ca="1"/>
        <v>Gustavo Takahashi</v>
      </c>
      <c r="G126">
        <f ca="1"/>
        <v>2</v>
      </c>
      <c r="H126">
        <f ca="1"/>
        <v>8</v>
      </c>
      <c r="I126">
        <f ca="1"/>
        <v>2.4</v>
      </c>
      <c r="J126">
        <f ca="1"/>
        <v>10.4</v>
      </c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3102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3103</v>
      </c>
      <c r="B4" s="232"/>
      <c r="D4" s="233" t="s">
        <v>3104</v>
      </c>
      <c r="E4" s="234"/>
      <c r="G4" s="45" t="s">
        <v>3105</v>
      </c>
    </row>
    <row r="5" spans="1:7" ht="54.95" customHeight="1" thickBot="1" x14ac:dyDescent="0.75">
      <c r="A5" s="35">
        <f>COUNTIF('Ações InCompany'!B:B,2026)</f>
        <v>86</v>
      </c>
      <c r="B5" s="36" t="s">
        <v>3106</v>
      </c>
      <c r="D5" s="43">
        <f>COUNTIFS('Ações InCompany'!B:B,2026,'Ações InCompany'!C:C,"Realizado")</f>
        <v>53</v>
      </c>
      <c r="E5" s="44" t="s">
        <v>3106</v>
      </c>
      <c r="G5" s="46">
        <f>COUNTIFS('Ações InCompany'!B:B,2026,'Ações InCompany'!C:C,"A realizar")</f>
        <v>29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3107</v>
      </c>
      <c r="B8" s="228"/>
      <c r="D8" s="228" t="s">
        <v>3108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3109</v>
      </c>
      <c r="D10" s="28" t="s">
        <v>3110</v>
      </c>
      <c r="E10" s="28" t="s">
        <v>3111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19</v>
      </c>
      <c r="D11" s="29" t="s">
        <v>3112</v>
      </c>
      <c r="E11" s="30">
        <f>SUMIFS('Ações InCompany'!O:O,'Ações InCompany'!B:B,2026,'Ações InCompany'!C:C,"Realizado")</f>
        <v>818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23</v>
      </c>
      <c r="D12" s="31" t="s">
        <v>3113</v>
      </c>
      <c r="E12" s="32">
        <f>SUMIFS('Ações InCompany'!P:P,'Ações InCompany'!B:B,2026,'Ações InCompany'!C:C,"Realizado")</f>
        <v>1486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9</v>
      </c>
      <c r="D13" s="29" t="s">
        <v>3114</v>
      </c>
      <c r="E13" s="30">
        <f>SUMIFS('Ações InCompany'!Q:Q,'Ações InCompany'!B:B,2026,'Ações InCompany'!C:C,"Realizado")</f>
        <v>510</v>
      </c>
    </row>
    <row r="14" spans="1:7" ht="27.95" customHeight="1" x14ac:dyDescent="0.3">
      <c r="A14" s="33" t="s">
        <v>3115</v>
      </c>
      <c r="B14" s="34">
        <f>SUM(B11:B13)</f>
        <v>51</v>
      </c>
      <c r="D14" s="33" t="s">
        <v>3116</v>
      </c>
      <c r="E14" s="34">
        <f>SUM(E11:E13)</f>
        <v>2814</v>
      </c>
    </row>
    <row r="30" spans="1:5" ht="17.25" x14ac:dyDescent="0.3">
      <c r="A30" s="228" t="s">
        <v>3117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3118</v>
      </c>
      <c r="C32" s="28" t="s">
        <v>3119</v>
      </c>
      <c r="D32" s="28" t="s">
        <v>3120</v>
      </c>
      <c r="E32" s="28" t="s">
        <v>3121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17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21</v>
      </c>
      <c r="E33" s="38">
        <f t="shared" ref="E33:E44" si="1">D33/$D$45</f>
        <v>0.25609756097560976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6.097560975609756E-2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5</v>
      </c>
      <c r="D35" s="37">
        <f t="shared" si="0"/>
        <v>10</v>
      </c>
      <c r="E35" s="38">
        <f t="shared" si="1"/>
        <v>0.12195121951219512</v>
      </c>
    </row>
    <row r="36" spans="1:5" ht="24" customHeight="1" x14ac:dyDescent="0.25">
      <c r="A36" s="31" t="s">
        <v>2795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2.4390243902439025E-2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4</v>
      </c>
      <c r="C37" s="47">
        <f>COUNTIFS('Ações InCompany'!B:B,2026,'Ações InCompany'!C:C,"A realizar",'Ações InCompany'!G:G,A37)</f>
        <v>2</v>
      </c>
      <c r="D37" s="37">
        <f t="shared" si="0"/>
        <v>6</v>
      </c>
      <c r="E37" s="38">
        <f t="shared" si="1"/>
        <v>7.3170731707317069E-2</v>
      </c>
    </row>
    <row r="38" spans="1:5" ht="24" customHeight="1" x14ac:dyDescent="0.25">
      <c r="A38" s="31" t="s">
        <v>2719</v>
      </c>
      <c r="B38" s="39">
        <f>COUNTIFS('Ações InCompany'!B:B,2026,'Ações InCompany'!C:C,"Realizado",'Ações InCompany'!G:G,A38)</f>
        <v>10</v>
      </c>
      <c r="C38" s="48">
        <f>COUNTIFS('Ações InCompany'!B:B,2026,'Ações InCompany'!C:C,"A realizar",'Ações InCompany'!G:G,A38)</f>
        <v>12</v>
      </c>
      <c r="D38" s="39">
        <f t="shared" si="0"/>
        <v>22</v>
      </c>
      <c r="E38" s="40">
        <f t="shared" si="1"/>
        <v>0.26829268292682928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4.878048780487805E-2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2.4390243902439025E-2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2</v>
      </c>
      <c r="D41" s="70">
        <f>B41+C41</f>
        <v>8</v>
      </c>
      <c r="E41" s="76">
        <f>D41/$D$45</f>
        <v>9.7560975609756101E-2</v>
      </c>
    </row>
    <row r="42" spans="1:5" ht="24" customHeight="1" x14ac:dyDescent="0.25">
      <c r="A42" s="75" t="s">
        <v>3122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2.4390243902439025E-2</v>
      </c>
    </row>
    <row r="44" spans="1:5" ht="24" customHeight="1" x14ac:dyDescent="0.25">
      <c r="A44" s="67" t="s">
        <v>3123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3115</v>
      </c>
      <c r="B45" s="41">
        <f>SUM(B33:B44)</f>
        <v>53</v>
      </c>
      <c r="C45" s="41">
        <f>SUM(C33:C44)</f>
        <v>29</v>
      </c>
      <c r="D45" s="41">
        <f>SUM(D33:D44)</f>
        <v>82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3129</v>
      </c>
      <c r="B2" s="12" t="s">
        <v>3130</v>
      </c>
      <c r="C2" s="12" t="s">
        <v>1736</v>
      </c>
      <c r="D2" s="12" t="s">
        <v>3131</v>
      </c>
      <c r="E2" s="12" t="s">
        <v>3132</v>
      </c>
    </row>
    <row r="3" spans="1:5" ht="18" customHeight="1" x14ac:dyDescent="0.25">
      <c r="A3" s="12" t="s">
        <v>3129</v>
      </c>
      <c r="B3" s="12" t="s">
        <v>3130</v>
      </c>
      <c r="C3" s="14" t="s">
        <v>25</v>
      </c>
      <c r="D3" s="12" t="s">
        <v>3133</v>
      </c>
      <c r="E3" s="12" t="s">
        <v>3134</v>
      </c>
    </row>
    <row r="4" spans="1:5" ht="18" customHeight="1" x14ac:dyDescent="0.25">
      <c r="A4" s="12" t="s">
        <v>3129</v>
      </c>
      <c r="B4" s="12" t="s">
        <v>3130</v>
      </c>
      <c r="C4" s="12" t="s">
        <v>75</v>
      </c>
      <c r="D4" s="12" t="s">
        <v>3131</v>
      </c>
      <c r="E4" s="12" t="s">
        <v>3135</v>
      </c>
    </row>
    <row r="5" spans="1:5" ht="18" customHeight="1" x14ac:dyDescent="0.25">
      <c r="A5" s="12" t="s">
        <v>3129</v>
      </c>
      <c r="B5" s="12" t="s">
        <v>3130</v>
      </c>
      <c r="C5" s="12" t="s">
        <v>79</v>
      </c>
      <c r="D5" s="12" t="s">
        <v>3136</v>
      </c>
      <c r="E5" s="12" t="s">
        <v>3137</v>
      </c>
    </row>
    <row r="6" spans="1:5" ht="18" customHeight="1" x14ac:dyDescent="0.25">
      <c r="A6" s="12" t="s">
        <v>3129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3129</v>
      </c>
      <c r="B7" s="12" t="s">
        <v>3140</v>
      </c>
      <c r="C7" s="12" t="s">
        <v>36</v>
      </c>
      <c r="D7" s="12" t="s">
        <v>3141</v>
      </c>
      <c r="E7" s="12" t="s">
        <v>3142</v>
      </c>
    </row>
    <row r="8" spans="1:5" ht="18" customHeight="1" x14ac:dyDescent="0.25">
      <c r="A8" s="12" t="s">
        <v>3129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3129</v>
      </c>
      <c r="B9" s="12" t="s">
        <v>3145</v>
      </c>
      <c r="C9" s="12" t="s">
        <v>464</v>
      </c>
      <c r="D9" s="12" t="s">
        <v>3146</v>
      </c>
      <c r="E9" s="12" t="s">
        <v>3147</v>
      </c>
    </row>
    <row r="10" spans="1:5" ht="18" customHeight="1" x14ac:dyDescent="0.25">
      <c r="A10" s="12" t="s">
        <v>3129</v>
      </c>
      <c r="B10" s="12" t="s">
        <v>3145</v>
      </c>
      <c r="C10" s="12" t="s">
        <v>206</v>
      </c>
      <c r="D10" s="12" t="s">
        <v>24</v>
      </c>
      <c r="E10" s="12" t="s">
        <v>3148</v>
      </c>
    </row>
    <row r="11" spans="1:5" ht="18" customHeight="1" x14ac:dyDescent="0.25">
      <c r="A11" s="12" t="s">
        <v>3129</v>
      </c>
      <c r="B11" s="12" t="s">
        <v>3145</v>
      </c>
      <c r="C11" s="12" t="s">
        <v>371</v>
      </c>
      <c r="D11" s="12" t="s">
        <v>24</v>
      </c>
      <c r="E11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3150</v>
      </c>
      <c r="B1" s="5" t="s">
        <v>10</v>
      </c>
      <c r="C1" s="15" t="s">
        <v>3151</v>
      </c>
      <c r="D1" s="15" t="s">
        <v>3074</v>
      </c>
    </row>
    <row r="2" spans="1:4" ht="21" customHeight="1" x14ac:dyDescent="0.25">
      <c r="A2" s="103" t="s">
        <v>24</v>
      </c>
      <c r="B2" s="103" t="s">
        <v>38</v>
      </c>
      <c r="C2" s="12" t="s">
        <v>3152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3153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2792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3154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3124</v>
      </c>
      <c r="B1" s="12" t="s">
        <v>3125</v>
      </c>
      <c r="C1" s="13" t="s">
        <v>3126</v>
      </c>
      <c r="D1" s="13" t="s">
        <v>3127</v>
      </c>
      <c r="E1" s="13" t="s">
        <v>3128</v>
      </c>
    </row>
    <row r="2" spans="1:5" ht="18" customHeight="1" x14ac:dyDescent="0.25">
      <c r="A2" s="12" t="s">
        <v>3155</v>
      </c>
      <c r="B2" s="12" t="s">
        <v>3130</v>
      </c>
      <c r="C2" s="14" t="s">
        <v>25</v>
      </c>
      <c r="D2" s="12" t="s">
        <v>3131</v>
      </c>
      <c r="E2" s="17" t="s">
        <v>3156</v>
      </c>
    </row>
    <row r="3" spans="1:5" ht="18" customHeight="1" x14ac:dyDescent="0.25">
      <c r="A3" s="12" t="s">
        <v>3155</v>
      </c>
      <c r="B3" s="12" t="s">
        <v>3130</v>
      </c>
      <c r="C3" s="12" t="s">
        <v>75</v>
      </c>
      <c r="D3" s="12" t="s">
        <v>3133</v>
      </c>
      <c r="E3" s="12" t="s">
        <v>3157</v>
      </c>
    </row>
    <row r="4" spans="1:5" ht="18" customHeight="1" x14ac:dyDescent="0.25">
      <c r="A4" s="12" t="s">
        <v>3155</v>
      </c>
      <c r="B4" s="12" t="s">
        <v>3130</v>
      </c>
      <c r="C4" s="12" t="s">
        <v>79</v>
      </c>
      <c r="D4" s="12" t="s">
        <v>3136</v>
      </c>
      <c r="E4" s="12" t="s">
        <v>3158</v>
      </c>
    </row>
    <row r="5" spans="1:5" ht="27.75" customHeight="1" x14ac:dyDescent="0.25">
      <c r="A5" s="12" t="s">
        <v>3155</v>
      </c>
      <c r="B5" s="12" t="s">
        <v>3130</v>
      </c>
      <c r="C5" s="12" t="s">
        <v>2694</v>
      </c>
      <c r="D5" s="17" t="s">
        <v>3159</v>
      </c>
      <c r="E5" s="12" t="s">
        <v>3160</v>
      </c>
    </row>
    <row r="6" spans="1:5" ht="18" customHeight="1" x14ac:dyDescent="0.25">
      <c r="A6" s="12" t="s">
        <v>3155</v>
      </c>
      <c r="B6" s="12" t="s">
        <v>3130</v>
      </c>
      <c r="C6" s="12" t="s">
        <v>2719</v>
      </c>
      <c r="D6" s="12" t="s">
        <v>3138</v>
      </c>
      <c r="E6" s="12" t="s">
        <v>3139</v>
      </c>
    </row>
    <row r="7" spans="1:5" ht="18" customHeight="1" x14ac:dyDescent="0.25">
      <c r="A7" s="12" t="s">
        <v>3155</v>
      </c>
      <c r="B7" s="12" t="s">
        <v>3140</v>
      </c>
      <c r="C7" s="12" t="s">
        <v>2700</v>
      </c>
      <c r="D7" s="12" t="s">
        <v>3161</v>
      </c>
      <c r="E7" s="12" t="s">
        <v>3162</v>
      </c>
    </row>
    <row r="8" spans="1:5" ht="18" customHeight="1" x14ac:dyDescent="0.25">
      <c r="A8" s="12" t="s">
        <v>3155</v>
      </c>
      <c r="B8" s="12" t="s">
        <v>3140</v>
      </c>
      <c r="C8" s="12" t="s">
        <v>42</v>
      </c>
      <c r="D8" s="12" t="s">
        <v>3143</v>
      </c>
      <c r="E8" s="12" t="s">
        <v>3144</v>
      </c>
    </row>
    <row r="9" spans="1:5" ht="18" customHeight="1" x14ac:dyDescent="0.25">
      <c r="A9" s="12" t="s">
        <v>3155</v>
      </c>
      <c r="B9" s="12" t="s">
        <v>3140</v>
      </c>
      <c r="C9" s="12" t="s">
        <v>2795</v>
      </c>
      <c r="D9" s="12" t="s">
        <v>3163</v>
      </c>
      <c r="E9" s="17" t="s">
        <v>3164</v>
      </c>
    </row>
    <row r="10" spans="1:5" ht="18" customHeight="1" x14ac:dyDescent="0.25">
      <c r="A10" s="12" t="s">
        <v>3155</v>
      </c>
      <c r="B10" s="12" t="s">
        <v>3165</v>
      </c>
      <c r="C10" s="12" t="s">
        <v>3122</v>
      </c>
      <c r="D10" s="12" t="s">
        <v>3166</v>
      </c>
      <c r="E10" s="17" t="s">
        <v>3167</v>
      </c>
    </row>
    <row r="11" spans="1:5" ht="18" customHeight="1" x14ac:dyDescent="0.25">
      <c r="A11" s="12" t="s">
        <v>3155</v>
      </c>
      <c r="B11" s="12" t="s">
        <v>3165</v>
      </c>
      <c r="C11" s="12" t="s">
        <v>206</v>
      </c>
      <c r="D11" s="12" t="s">
        <v>24</v>
      </c>
      <c r="E11" s="12" t="s">
        <v>3148</v>
      </c>
    </row>
    <row r="12" spans="1:5" ht="18" customHeight="1" x14ac:dyDescent="0.25">
      <c r="A12" s="12" t="s">
        <v>3155</v>
      </c>
      <c r="B12" s="12" t="s">
        <v>3165</v>
      </c>
      <c r="C12" s="12" t="s">
        <v>371</v>
      </c>
      <c r="D12" s="12" t="s">
        <v>24</v>
      </c>
      <c r="E12" s="12" t="s">
        <v>3149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3168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3169</v>
      </c>
    </row>
    <row r="4" spans="1:8" ht="21.95" customHeight="1" x14ac:dyDescent="0.25">
      <c r="A4" s="236" t="s">
        <v>3170</v>
      </c>
      <c r="B4" s="237"/>
      <c r="D4" s="236" t="s">
        <v>3171</v>
      </c>
      <c r="E4" s="237"/>
      <c r="G4" s="236" t="s">
        <v>3172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3173</v>
      </c>
      <c r="B7" s="62" t="s">
        <v>3174</v>
      </c>
      <c r="C7" s="62" t="s">
        <v>1</v>
      </c>
      <c r="D7" s="62" t="s">
        <v>3175</v>
      </c>
      <c r="E7" s="62" t="s">
        <v>3176</v>
      </c>
      <c r="F7" s="62" t="s">
        <v>3074</v>
      </c>
      <c r="G7" s="62" t="s">
        <v>5</v>
      </c>
      <c r="H7" s="62" t="s">
        <v>3177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1" activePane="bottomLeft" state="frozen"/>
      <selection pane="bottomLeft" activeCell="E29" sqref="E29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1" t="s">
        <v>3178</v>
      </c>
      <c r="B1" s="241"/>
      <c r="C1" s="241"/>
      <c r="D1" s="241"/>
      <c r="E1" s="241"/>
      <c r="F1" s="241"/>
    </row>
    <row r="2" spans="1:7" x14ac:dyDescent="0.25">
      <c r="A2" s="242" t="s">
        <v>3179</v>
      </c>
      <c r="B2" s="242"/>
      <c r="C2" s="242"/>
      <c r="D2" s="242"/>
      <c r="E2" s="242"/>
      <c r="F2" s="242"/>
    </row>
    <row r="4" spans="1:7" x14ac:dyDescent="0.25">
      <c r="A4" s="25" t="s">
        <v>19</v>
      </c>
      <c r="B4" s="25" t="s">
        <v>3077</v>
      </c>
      <c r="C4" s="25" t="s">
        <v>3078</v>
      </c>
      <c r="D4" s="25" t="s">
        <v>3180</v>
      </c>
      <c r="E4" s="25" t="s">
        <v>3079</v>
      </c>
      <c r="F4" s="25" t="s">
        <v>3181</v>
      </c>
    </row>
    <row r="5" spans="1:7" x14ac:dyDescent="0.25">
      <c r="A5" t="str" cm="1">
        <f t="array" aca="1" ref="A5:A57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39</v>
      </c>
      <c r="C15" s="26">
        <f ca="1">IF($A15="","",SUMIFS('GECC 2026'!I$2:I$200,'GECC 2026'!F$2:F$200,$A15))</f>
        <v>8.1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47.100000000000009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21</v>
      </c>
      <c r="C25" s="26">
        <f ca="1">IF($A25="","",SUMIFS('GECC 2026'!I$2:I$200,'GECC 2026'!F$2:F$200,$A25))</f>
        <v>6.3000000000000007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27.299999999999997</v>
      </c>
      <c r="F25" s="24">
        <f ca="1">IF($A25="","",COUNTIFS('GECC 2026'!F$2:F$200,$A25))</f>
        <v>6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2</v>
      </c>
      <c r="C33" s="26">
        <f ca="1">IF($A33="","",SUMIFS('GECC 2026'!I$2:I$200,'GECC 2026'!F$2:F$200,$A33))</f>
        <v>0.6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2.6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Leonardo de Melo</v>
      </c>
      <c r="B37" s="26">
        <f ca="1">IF($A37="","",SUMIFS('GECC 2026'!H$2:H$200,'GECC 2026'!F$2:F$200,$A37))</f>
        <v>0</v>
      </c>
      <c r="C37" s="26">
        <f ca="1">IF($A37="","",SUMIFS('GECC 2026'!I$2:I$200,'GECC 2026'!F$2:F$200,$A37))</f>
        <v>0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0</v>
      </c>
      <c r="F37" s="24">
        <f ca="1">IF($A37="","",COUNTIFS('GECC 2026'!F$2:F$200,$A37))</f>
        <v>2</v>
      </c>
    </row>
    <row r="38" spans="1:6" x14ac:dyDescent="0.25">
      <c r="A38" t="str">
        <f ca="1"/>
        <v>Leonardo José Alves Leal Neri</v>
      </c>
      <c r="B38" s="26">
        <f ca="1">IF($A38="","",SUMIFS('GECC 2026'!H$2:H$200,'GECC 2026'!F$2:F$200,$A38))</f>
        <v>40</v>
      </c>
      <c r="C38" s="26">
        <f ca="1">IF($A38="","",SUMIFS('GECC 2026'!I$2:I$200,'GECC 2026'!F$2:F$200,$A38))</f>
        <v>12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52</v>
      </c>
      <c r="F38" s="24">
        <f ca="1">IF($A38="","",COUNTIFS('GECC 2026'!F$2:F$200,$A38))</f>
        <v>2</v>
      </c>
    </row>
    <row r="39" spans="1:6" x14ac:dyDescent="0.25">
      <c r="A39" t="str">
        <f ca="1"/>
        <v>Luciana Alvim</v>
      </c>
      <c r="B39" s="26">
        <f ca="1">IF($A39="","",SUMIFS('GECC 2026'!H$2:H$200,'GECC 2026'!F$2:F$200,$A39))</f>
        <v>72</v>
      </c>
      <c r="C39" s="26">
        <f ca="1">IF($A39="","",SUMIFS('GECC 2026'!I$2:I$200,'GECC 2026'!F$2:F$200,$A39))</f>
        <v>77.599999999999994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149.6</v>
      </c>
      <c r="F39" s="24">
        <f ca="1">IF($A39="","",COUNTIFS('GECC 2026'!F$2:F$200,$A39))</f>
        <v>7</v>
      </c>
    </row>
    <row r="40" spans="1:6" x14ac:dyDescent="0.25">
      <c r="A40" t="str">
        <f ca="1"/>
        <v>Marcelo Bálbio Moraes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Marcelo Silva Santana</v>
      </c>
      <c r="B41" s="26">
        <f ca="1">IF($A41="","",SUMIFS('GECC 2026'!H$2:H$200,'GECC 2026'!F$2:F$200,$A41))</f>
        <v>12</v>
      </c>
      <c r="C41" s="26">
        <f ca="1">IF($A41="","",SUMIFS('GECC 2026'!I$2:I$200,'GECC 2026'!F$2:F$200,$A41))</f>
        <v>1.44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13.440000000000001</v>
      </c>
      <c r="F41" s="24">
        <f ca="1">IF($A41="","",COUNTIFS('GECC 2026'!F$2:F$200,$A41))</f>
        <v>2</v>
      </c>
    </row>
    <row r="42" spans="1:6" x14ac:dyDescent="0.25">
      <c r="A42" t="str">
        <f ca="1"/>
        <v>Mauri Siqueira Montessi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Michel Martins de Morais</v>
      </c>
      <c r="B43" s="26">
        <f ca="1">IF($A43="","",SUMIFS('GECC 2026'!H$2:H$200,'GECC 2026'!F$2:F$200,$A43))</f>
        <v>0</v>
      </c>
      <c r="C43" s="26">
        <f ca="1">IF($A43="","",SUMIFS('GECC 2026'!I$2:I$200,'GECC 2026'!F$2:F$200,$A43))</f>
        <v>0</v>
      </c>
      <c r="D43" s="101">
        <f ca="1">IF($A43="","",SUMIFS('GECC 2026'!$AE$3:$AE$32,'GECC 2026'!$AD$3:$AD$32,$A43))</f>
        <v>16</v>
      </c>
      <c r="E43" s="93">
        <f ca="1">IF($A43="","",SUMIFS('GECC 2026'!J$2:J$200,'GECC 2026'!F$2:F$200,$A43)+SUMIFS('GECC 2026'!$AE$3:$AE$32,'GECC 2026'!$AD$3:$AD$32,$A43))</f>
        <v>16</v>
      </c>
      <c r="F43" s="24">
        <f ca="1">IF($A43="","",COUNTIFS('GECC 2026'!F$2:F$200,$A43))</f>
        <v>0</v>
      </c>
    </row>
    <row r="44" spans="1:6" x14ac:dyDescent="0.25">
      <c r="A44" t="str">
        <f ca="1"/>
        <v>Paulo José Góes Daltro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0</v>
      </c>
      <c r="F44" s="24">
        <f ca="1">IF($A44="","",COUNTIFS('GECC 2026'!F$2:F$200,$A44))</f>
        <v>2</v>
      </c>
    </row>
    <row r="45" spans="1:6" x14ac:dyDescent="0.25">
      <c r="A45" t="str">
        <f ca="1"/>
        <v>Priscila Nolasco de Oliveira</v>
      </c>
      <c r="B45" s="26">
        <f ca="1">IF($A45="","",SUMIFS('GECC 2026'!H$2:H$200,'GECC 2026'!F$2:F$200,$A45))</f>
        <v>12</v>
      </c>
      <c r="C45" s="26">
        <f ca="1">IF($A45="","",SUMIFS('GECC 2026'!I$2:I$200,'GECC 2026'!F$2:F$200,$A45))</f>
        <v>3.5999999999999996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15.600000000000001</v>
      </c>
      <c r="F45" s="24">
        <f ca="1">IF($A45="","",COUNTIFS('GECC 2026'!F$2:F$200,$A45))</f>
        <v>3</v>
      </c>
    </row>
    <row r="46" spans="1:6" x14ac:dyDescent="0.25">
      <c r="A46" t="str">
        <f ca="1"/>
        <v>Reinaldo Alencar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Renan Dias da Silva</v>
      </c>
      <c r="B47" s="26">
        <f ca="1">IF($A47="","",SUMIFS('GECC 2026'!H$2:H$200,'GECC 2026'!F$2:F$200,$A47))</f>
        <v>4</v>
      </c>
      <c r="C47" s="26">
        <f ca="1">IF($A47="","",SUMIFS('GECC 2026'!I$2:I$200,'GECC 2026'!F$2:F$200,$A47))</f>
        <v>1.2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5.2</v>
      </c>
      <c r="F47" s="24">
        <f ca="1">IF($A47="","",COUNTIFS('GECC 2026'!F$2:F$200,$A47))</f>
        <v>1</v>
      </c>
    </row>
    <row r="48" spans="1:6" x14ac:dyDescent="0.25">
      <c r="A48" t="str">
        <f ca="1"/>
        <v>Rogério Ribeiro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Rômulo Miranda Alvim</v>
      </c>
      <c r="B49" s="26">
        <f ca="1">IF($A49="","",SUMIFS('GECC 2026'!H$2:H$200,'GECC 2026'!F$2:F$200,$A49))</f>
        <v>24</v>
      </c>
      <c r="C49" s="26">
        <f ca="1">IF($A49="","",SUMIFS('GECC 2026'!I$2:I$200,'GECC 2026'!F$2:F$200,$A49))</f>
        <v>3.6</v>
      </c>
      <c r="D49" s="101">
        <f ca="1">IF($A49="","",SUMIFS('GECC 2026'!$AE$3:$AE$32,'GECC 2026'!$AD$3:$AD$32,$A49))</f>
        <v>16</v>
      </c>
      <c r="E49" s="93">
        <f ca="1">IF($A49="","",SUMIFS('GECC 2026'!J$2:J$200,'GECC 2026'!F$2:F$200,$A49)+SUMIFS('GECC 2026'!$AE$3:$AE$32,'GECC 2026'!$AD$3:$AD$32,$A49))</f>
        <v>43.6</v>
      </c>
      <c r="F49" s="24">
        <f ca="1">IF($A49="","",COUNTIFS('GECC 2026'!F$2:F$200,$A49))</f>
        <v>2</v>
      </c>
    </row>
    <row r="50" spans="1:6" x14ac:dyDescent="0.25">
      <c r="A50" t="str">
        <f ca="1"/>
        <v>Sara Cristina Lins Ramos</v>
      </c>
      <c r="B50" s="26">
        <f ca="1">IF($A50="","",SUMIFS('GECC 2026'!H$2:H$200,'GECC 2026'!F$2:F$200,$A50))</f>
        <v>8</v>
      </c>
      <c r="C50" s="26">
        <f ca="1">IF($A50="","",SUMIFS('GECC 2026'!I$2:I$200,'GECC 2026'!F$2:F$200,$A50))</f>
        <v>2.4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10.4</v>
      </c>
      <c r="F50" s="24">
        <f ca="1">IF($A50="","",COUNTIFS('GECC 2026'!F$2:F$200,$A50))</f>
        <v>1</v>
      </c>
    </row>
    <row r="51" spans="1:6" x14ac:dyDescent="0.25">
      <c r="A51" t="str">
        <f ca="1"/>
        <v>Servidores, colaboradores e estagiários do TCDF</v>
      </c>
      <c r="B51" s="26">
        <f ca="1">IF($A51="","",SUMIFS('GECC 2026'!H$2:H$200,'GECC 2026'!F$2:F$200,$A51))</f>
        <v>0</v>
      </c>
      <c r="C51" s="26">
        <f ca="1">IF($A51="","",SUMIFS('GECC 2026'!I$2:I$200,'GECC 2026'!F$2:F$200,$A51))</f>
        <v>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0</v>
      </c>
      <c r="F51" s="24">
        <f ca="1">IF($A51="","",COUNTIFS('GECC 2026'!F$2:F$200,$A51))</f>
        <v>1</v>
      </c>
    </row>
    <row r="52" spans="1:6" x14ac:dyDescent="0.25">
      <c r="A52" t="str">
        <f ca="1"/>
        <v>Silvia Lima Damasceno Carvalho</v>
      </c>
      <c r="B52" s="26">
        <f ca="1">IF($A52="","",SUMIFS('GECC 2026'!H$2:H$200,'GECC 2026'!F$2:F$200,$A52))</f>
        <v>21</v>
      </c>
      <c r="C52" s="26">
        <f ca="1">IF($A52="","",SUMIFS('GECC 2026'!I$2:I$200,'GECC 2026'!F$2:F$200,$A52))</f>
        <v>6.3000000000000007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27.299999999999997</v>
      </c>
      <c r="F52" s="24">
        <f ca="1">IF($A52="","",COUNTIFS('GECC 2026'!F$2:F$200,$A52))</f>
        <v>6</v>
      </c>
    </row>
    <row r="53" spans="1:6" x14ac:dyDescent="0.25">
      <c r="A53" t="str">
        <f ca="1"/>
        <v>Tarsila Firmino Ely</v>
      </c>
      <c r="B53" s="26">
        <f ca="1">IF($A53="","",SUMIFS('GECC 2026'!H$2:H$200,'GECC 2026'!F$2:F$200,$A53))</f>
        <v>88</v>
      </c>
      <c r="C53" s="26">
        <f ca="1">IF($A53="","",SUMIFS('GECC 2026'!I$2:I$200,'GECC 2026'!F$2:F$200,$A53))</f>
        <v>83.6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171.6</v>
      </c>
      <c r="F53" s="24">
        <f ca="1">IF($A53="","",COUNTIFS('GECC 2026'!F$2:F$200,$A53))</f>
        <v>7</v>
      </c>
    </row>
    <row r="54" spans="1:6" x14ac:dyDescent="0.25">
      <c r="A54" t="str">
        <f ca="1"/>
        <v>Thiago Magalhães de Oliveira</v>
      </c>
      <c r="B54" s="26">
        <f ca="1">IF($A54="","",SUMIFS('GECC 2026'!H$2:H$200,'GECC 2026'!F$2:F$200,$A54))</f>
        <v>4</v>
      </c>
      <c r="C54" s="26">
        <f ca="1">IF($A54="","",SUMIFS('GECC 2026'!I$2:I$200,'GECC 2026'!F$2:F$200,$A54))</f>
        <v>1.2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5.2</v>
      </c>
      <c r="F54" s="24">
        <f ca="1">IF($A54="","",COUNTIFS('GECC 2026'!F$2:F$200,$A54))</f>
        <v>1</v>
      </c>
    </row>
    <row r="55" spans="1:6" x14ac:dyDescent="0.25">
      <c r="A55" t="str">
        <f ca="1"/>
        <v>Túllio Herbeth Teixeira Moraes</v>
      </c>
      <c r="B55" s="26">
        <f ca="1">IF($A55="","",SUMIFS('GECC 2026'!H$2:H$200,'GECC 2026'!F$2:F$200,$A55))</f>
        <v>9</v>
      </c>
      <c r="C55" s="26">
        <f ca="1">IF($A55="","",SUMIFS('GECC 2026'!I$2:I$200,'GECC 2026'!F$2:F$200,$A55))</f>
        <v>2.6999999999999997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11.7</v>
      </c>
      <c r="F55" s="24">
        <f ca="1">IF($A55="","",COUNTIFS('GECC 2026'!F$2:F$200,$A55))</f>
        <v>3</v>
      </c>
    </row>
    <row r="56" spans="1:6" x14ac:dyDescent="0.25">
      <c r="A56" t="str">
        <f ca="1"/>
        <v>Valéria Feitoza</v>
      </c>
      <c r="B56" s="26">
        <f ca="1">IF($A56="","",SUMIFS('GECC 2026'!H$2:H$200,'GECC 2026'!F$2:F$200,$A56))</f>
        <v>2</v>
      </c>
      <c r="C56" s="26">
        <f ca="1">IF($A56="","",SUMIFS('GECC 2026'!I$2:I$200,'GECC 2026'!F$2:F$200,$A56))</f>
        <v>0.6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2.6</v>
      </c>
      <c r="F56" s="24">
        <f ca="1">IF($A56="","",COUNTIFS('GECC 2026'!F$2:F$200,$A56))</f>
        <v>2</v>
      </c>
    </row>
    <row r="57" spans="1:6" x14ac:dyDescent="0.25">
      <c r="A57" t="str">
        <f ca="1"/>
        <v>Wibys Pereira</v>
      </c>
      <c r="B57" s="26">
        <f ca="1">IF($A57="","",SUMIFS('GECC 2026'!H$2:H$200,'GECC 2026'!F$2:F$200,$A57))</f>
        <v>4</v>
      </c>
      <c r="C57" s="26">
        <f ca="1">IF($A57="","",SUMIFS('GECC 2026'!I$2:I$200,'GECC 2026'!F$2:F$200,$A57))</f>
        <v>1.2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5.2</v>
      </c>
      <c r="F57" s="24">
        <f ca="1">IF($A57="","",COUNTIFS('GECC 2026'!F$2:F$200,$A57))</f>
        <v>1</v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3116</v>
      </c>
      <c r="B105" s="95">
        <f ca="1">SUM(B5:B100)</f>
        <v>773</v>
      </c>
      <c r="C105" s="95">
        <f ca="1">SUM(C5:C100)</f>
        <v>352.23999999999995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125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3182</v>
      </c>
      <c r="B1" s="123" t="s">
        <v>3183</v>
      </c>
      <c r="C1" s="123" t="s">
        <v>3184</v>
      </c>
      <c r="D1" s="123" t="s">
        <v>3185</v>
      </c>
      <c r="E1" s="123" t="s">
        <v>3186</v>
      </c>
      <c r="F1" s="123" t="s">
        <v>3187</v>
      </c>
      <c r="G1" s="123" t="s">
        <v>10</v>
      </c>
      <c r="H1" s="123" t="s">
        <v>3188</v>
      </c>
      <c r="I1" s="123" t="s">
        <v>3189</v>
      </c>
      <c r="J1" s="123" t="s">
        <v>3190</v>
      </c>
      <c r="K1" s="123" t="s">
        <v>3191</v>
      </c>
      <c r="L1" s="123" t="s">
        <v>3192</v>
      </c>
      <c r="N1" s="124" t="s">
        <v>3193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3194</v>
      </c>
      <c r="L2" t="str">
        <f>IF(K2="","",IFERROR(INDEX(Tabela2[Curso],MATCH(K2,Tabela2[ID],0)),""))</f>
        <v/>
      </c>
      <c r="N2" s="123" t="s">
        <v>3073</v>
      </c>
      <c r="O2" s="123" t="s">
        <v>4</v>
      </c>
      <c r="P2" s="123" t="s">
        <v>3195</v>
      </c>
      <c r="Q2" s="123" t="s">
        <v>3196</v>
      </c>
      <c r="R2" s="123" t="s">
        <v>3197</v>
      </c>
      <c r="S2" s="123" t="s">
        <v>3198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3194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3194</v>
      </c>
      <c r="L4" t="str">
        <f>IF(K4="","",IFERROR(INDEX(Tabela2[Curso],MATCH(K4,Tabela2[ID],0)),""))</f>
        <v/>
      </c>
      <c r="N4" t="s">
        <v>2755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3194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3194</v>
      </c>
      <c r="L6" t="str">
        <f>IF(K6="","",IFERROR(INDEX(Tabela2[Curso],MATCH(K6,Tabela2[ID],0)),""))</f>
        <v/>
      </c>
      <c r="N6" t="s">
        <v>2838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3194</v>
      </c>
      <c r="L7" t="str">
        <f>IF(K7="","",IFERROR(INDEX(Tabela2[Curso],MATCH(K7,Tabela2[ID],0)),""))</f>
        <v/>
      </c>
      <c r="N7" t="s">
        <v>2842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3194</v>
      </c>
      <c r="L8" t="str">
        <f>IF(K8="","",IFERROR(INDEX(Tabela2[Curso],MATCH(K8,Tabela2[ID],0)),""))</f>
        <v/>
      </c>
      <c r="N8" t="s">
        <v>2722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3194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3194</v>
      </c>
      <c r="L10" t="str">
        <f>IF(K10="","",IFERROR(INDEX(Tabela2[Curso],MATCH(K10,Tabela2[ID],0)),""))</f>
        <v/>
      </c>
      <c r="N10" s="122" t="s">
        <v>3199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3194</v>
      </c>
      <c r="L11" t="str">
        <f>IF(K11="","",IFERROR(INDEX(Tabela2[Curso],MATCH(K11,Tabela2[ID],0)),""))</f>
        <v/>
      </c>
      <c r="N11" s="125" t="s">
        <v>3200</v>
      </c>
      <c r="O11" s="125" t="s">
        <v>3201</v>
      </c>
      <c r="P11" s="125" t="s">
        <v>3202</v>
      </c>
      <c r="Q11" s="125" t="s">
        <v>3185</v>
      </c>
      <c r="R11" s="125" t="s">
        <v>3186</v>
      </c>
      <c r="S11" s="125" t="s">
        <v>3203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3194</v>
      </c>
      <c r="L12" t="str">
        <f>IF(K12="","",IFERROR(INDEX(Tabela2[Curso],MATCH(K12,Tabela2[ID],0)),""))</f>
        <v/>
      </c>
      <c r="N12" t="s">
        <v>3204</v>
      </c>
      <c r="O12" t="s">
        <v>2755</v>
      </c>
      <c r="P12" t="s">
        <v>3205</v>
      </c>
      <c r="Q12">
        <v>0</v>
      </c>
      <c r="R12">
        <v>0</v>
      </c>
      <c r="S12" t="s">
        <v>3206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3194</v>
      </c>
      <c r="L13" t="str">
        <f>IF(K13="","",IFERROR(INDEX(Tabela2[Curso],MATCH(K13,Tabela2[ID],0)),""))</f>
        <v/>
      </c>
      <c r="N13" t="s">
        <v>3207</v>
      </c>
      <c r="O13" t="s">
        <v>2686</v>
      </c>
      <c r="P13" t="s">
        <v>3208</v>
      </c>
      <c r="Q13">
        <v>0</v>
      </c>
      <c r="R13">
        <v>0</v>
      </c>
      <c r="S13" t="s">
        <v>3209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3194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3194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3194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3194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3194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3194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3194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3194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3194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3194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3194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3194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3194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3194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3194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3194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3194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3194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3194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3194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3194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3194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3194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3194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3194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3194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3194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3194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3194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3194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3194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3194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3194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3194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3194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3194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3194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3194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3194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3194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3194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3194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3194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3194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3194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3194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3194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3194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3194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3194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3194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3194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2026-08-26T19:33:02Z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