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94" documentId="8_{454372C2-A99E-4E47-A759-72B38925853E}" xr6:coauthVersionLast="47" xr6:coauthVersionMax="47" xr10:uidLastSave="{3DC7ABB1-229C-4425-895C-06044A9C1BCE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2" i="3"/>
  <c r="R701" i="3"/>
  <c r="R709" i="3"/>
  <c r="R707" i="3"/>
  <c r="R705" i="3"/>
  <c r="R704" i="3"/>
  <c r="R703" i="3"/>
  <c r="R708" i="3"/>
  <c r="R717" i="3"/>
  <c r="R716" i="3"/>
  <c r="R702" i="3"/>
  <c r="R676" i="3"/>
  <c r="R715" i="3"/>
  <c r="R714" i="3"/>
  <c r="R711" i="3"/>
  <c r="R710" i="3"/>
  <c r="R693" i="3"/>
  <c r="R721" i="3"/>
  <c r="R690" i="3"/>
  <c r="R700" i="3"/>
  <c r="R699" i="3"/>
  <c r="R720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l="1" a="1"/>
  <c r="T4" i="20" s="1"/>
  <c r="A2" i="20" l="1" a="1"/>
  <c r="E105" i="23" l="1"/>
  <c r="A5" i="23" a="1"/>
  <c r="A2" i="20"/>
  <c r="B54" i="23" l="1"/>
  <c r="D14" i="23"/>
  <c r="D36" i="23"/>
  <c r="F32" i="23"/>
  <c r="E45" i="23"/>
  <c r="D47" i="23"/>
  <c r="B13" i="23"/>
  <c r="C46" i="23"/>
  <c r="B17" i="23"/>
  <c r="D12" i="23"/>
  <c r="E42" i="23"/>
  <c r="B24" i="23"/>
  <c r="E25" i="23"/>
  <c r="F23" i="23"/>
  <c r="E22" i="23"/>
  <c r="E38" i="23"/>
  <c r="F44" i="23"/>
  <c r="C26" i="23"/>
  <c r="B42" i="23"/>
  <c r="B46" i="23"/>
  <c r="E8" i="23"/>
  <c r="C40" i="23"/>
  <c r="D41" i="23"/>
  <c r="D53" i="23"/>
  <c r="C19" i="23"/>
  <c r="B10" i="23"/>
  <c r="B29" i="23"/>
  <c r="B45" i="23"/>
  <c r="B27" i="23"/>
  <c r="C36" i="23"/>
  <c r="F6" i="23"/>
  <c r="B50" i="23"/>
  <c r="C21" i="23"/>
  <c r="B21" i="23"/>
  <c r="C20" i="23"/>
  <c r="C52" i="23"/>
  <c r="B25" i="23"/>
  <c r="F7" i="23"/>
  <c r="D40" i="23"/>
  <c r="F46" i="23"/>
  <c r="B37" i="23"/>
  <c r="F52" i="23"/>
  <c r="C7" i="23"/>
  <c r="F15" i="23"/>
  <c r="D26" i="23"/>
  <c r="C37" i="23"/>
  <c r="E50" i="23"/>
  <c r="E37" i="23"/>
  <c r="B32" i="23"/>
  <c r="D37" i="23"/>
  <c r="E35" i="23"/>
  <c r="C22" i="23"/>
  <c r="F42" i="23"/>
  <c r="F34" i="23"/>
  <c r="C16" i="23"/>
  <c r="D38" i="23"/>
  <c r="C47" i="23"/>
  <c r="C17" i="23"/>
  <c r="B15" i="23"/>
  <c r="E53" i="23"/>
  <c r="F22" i="23"/>
  <c r="D7" i="23"/>
  <c r="B30" i="23"/>
  <c r="D48" i="23"/>
  <c r="D30" i="23"/>
  <c r="B43" i="23"/>
  <c r="E46" i="23"/>
  <c r="F9" i="23"/>
  <c r="C49" i="23"/>
  <c r="D11" i="23"/>
  <c r="B28" i="23"/>
  <c r="D50" i="23"/>
  <c r="D49" i="23"/>
  <c r="D54" i="23"/>
  <c r="F24" i="23"/>
  <c r="E21" i="23"/>
  <c r="C11" i="23"/>
  <c r="E11" i="23"/>
  <c r="C25" i="23"/>
  <c r="C43" i="23"/>
  <c r="C41" i="23"/>
  <c r="F33" i="23"/>
  <c r="F27" i="23"/>
  <c r="D15" i="23"/>
  <c r="E18" i="23"/>
  <c r="E44" i="23"/>
  <c r="C28" i="23"/>
  <c r="B33" i="23"/>
  <c r="C15" i="23"/>
  <c r="E39" i="23"/>
  <c r="B14" i="23"/>
  <c r="F12" i="23"/>
  <c r="C42" i="23"/>
  <c r="F13" i="23"/>
  <c r="D25" i="23"/>
  <c r="B52" i="23"/>
  <c r="E20" i="23"/>
  <c r="F11" i="23"/>
  <c r="F18" i="23"/>
  <c r="D27" i="23"/>
  <c r="D52" i="23"/>
  <c r="F37" i="23"/>
  <c r="B40" i="23"/>
  <c r="D28" i="23"/>
  <c r="B18" i="23"/>
  <c r="F47" i="23"/>
  <c r="D31" i="23"/>
  <c r="B51" i="23"/>
  <c r="E17" i="23"/>
  <c r="F45" i="23"/>
  <c r="F38" i="23"/>
  <c r="C30" i="23"/>
  <c r="B49" i="23"/>
  <c r="F20" i="23"/>
  <c r="C54" i="23"/>
  <c r="B36" i="23"/>
  <c r="D10" i="23"/>
  <c r="D39" i="23"/>
  <c r="D13" i="23"/>
  <c r="E33" i="23"/>
  <c r="F14" i="23"/>
  <c r="C50" i="23"/>
  <c r="D43" i="23"/>
  <c r="F8" i="23"/>
  <c r="E32" i="23"/>
  <c r="C14" i="23"/>
  <c r="F17" i="23"/>
  <c r="D8" i="23"/>
  <c r="F48" i="23"/>
  <c r="C24" i="23"/>
  <c r="E13" i="23"/>
  <c r="E15" i="23"/>
  <c r="D44" i="23"/>
  <c r="E43" i="23"/>
  <c r="D51" i="23"/>
  <c r="F40" i="23"/>
  <c r="B41" i="23"/>
  <c r="B26" i="23"/>
  <c r="E19" i="23"/>
  <c r="E49" i="23"/>
  <c r="C10" i="23"/>
  <c r="F30" i="23"/>
  <c r="E27" i="23"/>
  <c r="B35" i="23"/>
  <c r="E16" i="23"/>
  <c r="E41" i="23"/>
  <c r="C12" i="23"/>
  <c r="C38" i="23"/>
  <c r="B12" i="23"/>
  <c r="F43" i="23"/>
  <c r="F49" i="23"/>
  <c r="B8" i="23"/>
  <c r="F39" i="23"/>
  <c r="E29" i="23"/>
  <c r="F25" i="23"/>
  <c r="C53" i="23"/>
  <c r="E36" i="23"/>
  <c r="E34" i="23"/>
  <c r="E12" i="23"/>
  <c r="B20" i="23"/>
  <c r="E26" i="23"/>
  <c r="D42" i="23"/>
  <c r="B34" i="23"/>
  <c r="C6" i="23"/>
  <c r="D18" i="23"/>
  <c r="C27" i="23"/>
  <c r="D34" i="23"/>
  <c r="B11" i="23"/>
  <c r="C51" i="23"/>
  <c r="E52" i="23"/>
  <c r="E47" i="23"/>
  <c r="C33" i="23"/>
  <c r="C44" i="23"/>
  <c r="D45" i="23"/>
  <c r="E14" i="23"/>
  <c r="F51" i="23"/>
  <c r="B48" i="23"/>
  <c r="D29" i="23"/>
  <c r="C32" i="23"/>
  <c r="C9" i="23"/>
  <c r="E51" i="23"/>
  <c r="E10" i="23"/>
  <c r="E54" i="23"/>
  <c r="F54" i="23"/>
  <c r="D19" i="23"/>
  <c r="D33" i="23"/>
  <c r="B19" i="23"/>
  <c r="C29" i="23"/>
  <c r="B44" i="23"/>
  <c r="F35" i="23"/>
  <c r="F50" i="23"/>
  <c r="C13" i="23"/>
  <c r="E30" i="23"/>
  <c r="C23" i="23"/>
  <c r="D9" i="23"/>
  <c r="D35" i="23"/>
  <c r="E24" i="23"/>
  <c r="B23" i="23"/>
  <c r="B16" i="23"/>
  <c r="E7" i="23"/>
  <c r="D24" i="23"/>
  <c r="F16" i="23"/>
  <c r="C35" i="23"/>
  <c r="B47" i="23"/>
  <c r="D16" i="23"/>
  <c r="C45" i="23"/>
  <c r="D46" i="23"/>
  <c r="B53" i="23"/>
  <c r="F10" i="23"/>
  <c r="B39" i="23"/>
  <c r="D6" i="23"/>
  <c r="E40" i="23"/>
  <c r="F28" i="23"/>
  <c r="B9" i="23"/>
  <c r="C18" i="23"/>
  <c r="C31" i="23"/>
  <c r="F31" i="23"/>
  <c r="B6" i="23"/>
  <c r="C48" i="23"/>
  <c r="D21" i="23"/>
  <c r="F36" i="23"/>
  <c r="D20" i="23"/>
  <c r="B31" i="23"/>
  <c r="C39" i="23"/>
  <c r="C34" i="23"/>
  <c r="F21" i="23"/>
  <c r="E28" i="23"/>
  <c r="F41" i="23"/>
  <c r="B22" i="23"/>
  <c r="F26" i="23"/>
  <c r="E6" i="23"/>
  <c r="E23" i="23"/>
  <c r="D17" i="23"/>
  <c r="F53" i="23"/>
  <c r="F19" i="23"/>
  <c r="C8" i="23"/>
  <c r="B7" i="23"/>
  <c r="D32" i="23"/>
  <c r="D22" i="23"/>
  <c r="E31" i="23"/>
  <c r="B38" i="23"/>
  <c r="D23" i="23"/>
  <c r="E48" i="23"/>
  <c r="E9" i="23"/>
  <c r="F29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<sst xmlns="http://schemas.openxmlformats.org/spreadsheetml/2006/main" count="6269" uniqueCount="2418">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</sst>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41" fillId="4" borderId="1" xfId="0" applyNumberFormat="1" applyFont="1" applyFill="1" applyBorder="1" applyAlignment="1">
      <alignment vertical="center"/>
    </xf>
    <xf numFmtId="0" fontId="55" fillId="4" borderId="2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zoomScaleNormal="100" workbookViewId="0">
      <pane ySplit="1" topLeftCell="A691" activePane="bottomLeft" state="frozen"/>
      <selection pane="bottomLeft" activeCell="A712" sqref="A712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>
        <v>0</v>
      </c>
      <c r="P698" s="24">
        <v>0</v>
      </c>
      <c r="Q698" s="254">
        <v>48</v>
      </c>
      <c r="R698" s="254">
        <f>IF(B698="","",SUM(O698:Q698))</f>
        <v>48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>
        <f>IF(B701="","",SUM(O701:Q701))</f>
        <v>0</v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2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2378</v>
      </c>
      <c r="E703" s="237" t="s">
        <v>2399</v>
      </c>
      <c r="F703" s="241" t="s">
        <v>51</v>
      </c>
      <c r="G703" s="243" t="s">
        <v>59</v>
      </c>
      <c r="H703" s="245" t="s">
        <v>2381</v>
      </c>
      <c r="I703" s="247">
        <v>46244</v>
      </c>
      <c r="J703" s="247">
        <v>46244</v>
      </c>
      <c r="K703" s="235" t="s">
        <v>32</v>
      </c>
      <c r="L703" s="302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2383</v>
      </c>
      <c r="E704" s="239" t="s">
        <v>2401</v>
      </c>
      <c r="F704" s="242" t="s">
        <v>51</v>
      </c>
      <c r="G704" s="244" t="s">
        <v>59</v>
      </c>
      <c r="H704" s="246" t="s">
        <v>2381</v>
      </c>
      <c r="I704" s="248">
        <v>46244</v>
      </c>
      <c r="J704" s="248">
        <v>46244</v>
      </c>
      <c r="K704" s="236" t="s">
        <v>32</v>
      </c>
      <c r="L704" s="302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2385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2386</v>
      </c>
      <c r="E705" s="237" t="s">
        <v>2402</v>
      </c>
      <c r="F705" s="241" t="s">
        <v>51</v>
      </c>
      <c r="G705" s="243" t="s">
        <v>59</v>
      </c>
      <c r="H705" s="245" t="s">
        <v>2387</v>
      </c>
      <c r="I705" s="247">
        <v>46245</v>
      </c>
      <c r="J705" s="247">
        <v>46245</v>
      </c>
      <c r="K705" s="235" t="s">
        <v>32</v>
      </c>
      <c r="L705" s="302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2377</v>
      </c>
      <c r="E706" s="239" t="s">
        <v>2379</v>
      </c>
      <c r="F706" s="242" t="s">
        <v>51</v>
      </c>
      <c r="G706" s="244" t="s">
        <v>59</v>
      </c>
      <c r="H706" s="246" t="s">
        <v>2380</v>
      </c>
      <c r="I706" s="248">
        <v>46246</v>
      </c>
      <c r="J706" s="248">
        <v>46246</v>
      </c>
      <c r="K706" s="236" t="s">
        <v>32</v>
      </c>
      <c r="L706" s="302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2388</v>
      </c>
      <c r="E707" s="239" t="s">
        <v>2403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2390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2373</v>
      </c>
      <c r="E708" s="237" t="s">
        <v>2398</v>
      </c>
      <c r="F708" s="241" t="s">
        <v>51</v>
      </c>
      <c r="G708" s="243" t="s">
        <v>59</v>
      </c>
      <c r="H708" s="245" t="s">
        <v>2374</v>
      </c>
      <c r="I708" s="247">
        <v>46247</v>
      </c>
      <c r="J708" s="247">
        <v>46247</v>
      </c>
      <c r="K708" s="235" t="s">
        <v>32</v>
      </c>
      <c r="L708" s="302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2376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2391</v>
      </c>
      <c r="E709" s="237" t="s">
        <v>2404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2393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2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2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234" t="s">
        <v>2102</v>
      </c>
      <c r="D712" s="236" t="s">
        <v>2408</v>
      </c>
      <c r="E712" s="239" t="s">
        <v>2409</v>
      </c>
      <c r="F712" s="242" t="s">
        <v>51</v>
      </c>
      <c r="G712" s="244" t="s">
        <v>59</v>
      </c>
      <c r="H712" s="319" t="s">
        <v>2410</v>
      </c>
      <c r="I712" s="248">
        <v>46259</v>
      </c>
      <c r="J712" s="248">
        <v>46268</v>
      </c>
      <c r="K712" s="236" t="s">
        <v>32</v>
      </c>
      <c r="L712" s="302"/>
      <c r="M712" s="250"/>
      <c r="N712" s="252">
        <v>30</v>
      </c>
      <c r="O712" s="255"/>
      <c r="P712" s="255"/>
      <c r="Q712" s="255"/>
      <c r="R712" s="255">
        <f>IF(B712="","",SUM(O712:Q712))</f>
        <v>0</v>
      </c>
      <c r="S712" s="236">
        <v>20</v>
      </c>
      <c r="T712" s="244" t="s">
        <v>2414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2407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3">
        <v>2026</v>
      </c>
      <c r="C719" s="21" t="s">
        <v>2102</v>
      </c>
      <c r="D719" s="163" t="s">
        <v>2110</v>
      </c>
      <c r="E719" s="321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2026-064</v>
      </c>
      <c r="B720" s="69">
        <v>2026</v>
      </c>
      <c r="C720" s="261" t="s">
        <v>2102</v>
      </c>
      <c r="D720" s="284" t="s">
        <v>2158</v>
      </c>
      <c r="E720" s="285" t="s">
        <v>2159</v>
      </c>
      <c r="F720" s="322" t="s">
        <v>22</v>
      </c>
      <c r="G720" s="287" t="s">
        <v>56</v>
      </c>
      <c r="H720" s="289" t="s">
        <v>2417</v>
      </c>
      <c r="I720" s="291">
        <v>46344</v>
      </c>
      <c r="J720" s="291">
        <v>46345</v>
      </c>
      <c r="K720" s="284" t="s">
        <v>25</v>
      </c>
      <c r="L720" s="303">
        <v>13000</v>
      </c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10</v>
      </c>
      <c r="T720" s="287" t="s">
        <v>2161</v>
      </c>
    </row>
    <row r="721" spans="1:20" ht="22.5" customHeight="1" x14ac:dyDescent="0.25">
      <c r="A721" s="188" t="str">
        <f>IF(B721="","",B721&amp;"-"&amp;TEXT(COUNTIF(B$2:B721,B721),"000"))</f>
        <v>2026-065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>IF(B721="","",SUM(O721:Q721))</f>
        <v>0</v>
      </c>
      <c r="S721" s="235">
        <v>17.45</v>
      </c>
      <c r="T721" s="243" t="s">
        <v>2177</v>
      </c>
    </row>
    <row r="722" spans="1:20" ht="22.5" customHeight="1" x14ac:dyDescent="0.25">
      <c r="A722" s="189" t="str">
        <f>IF(B722="","",B722&amp;"-"&amp;TEXT(COUNTIF(B$2:B722,B722),"000"))</f>
        <v>2026-066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6" t="s">
        <v>2394</v>
      </c>
      <c r="I722" s="317" t="s">
        <v>2394</v>
      </c>
      <c r="J722" s="317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8">
        <f>IF(B722="","",SUM(O722:Q722))</f>
        <v>0</v>
      </c>
      <c r="S722" s="236">
        <v>4</v>
      </c>
      <c r="T722" s="244" t="s">
        <v>2396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721:J1048576 I704:J719 I681:J702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8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8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 Luiz Felipe Tenório de Lima Gondim; Priscila Nolasco de Oliveira</v>
      </c>
      <c r="R49">
        <v>5</v>
      </c>
      <c r="S49">
        <v>99</v>
      </c>
      <c r="T49">
        <v>94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104</v>
      </c>
      <c r="T50">
        <v>99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Curso de formação sobre "Programa de Descentralização Progressiva das Ações de Saúde - PDPAS</v>
      </c>
      <c r="P51">
        <v>20</v>
      </c>
      <c r="Q51" t="str">
        <v>Tarsila Firmino Ely; Sara Cristina Lins Ramos; Carina de Souza Mariuba Herthel; Elvis Aaron Teixeira dos Santos Lima</v>
      </c>
      <c r="R51">
        <v>4</v>
      </c>
      <c r="S51">
        <v>108</v>
      </c>
      <c r="T51">
        <v>104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2026-058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113</v>
      </c>
      <c r="T52">
        <v>108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118</v>
      </c>
      <c r="T53">
        <v>113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123</v>
      </c>
      <c r="T54">
        <v>118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128</v>
      </c>
      <c r="T55">
        <v>123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Contratações de TIC com base na jurisprudência do TCDF - EAD</v>
      </c>
      <c r="P56">
        <v>17.45</v>
      </c>
      <c r="Q56" t="str">
        <v>Flávio José Fonseca de Souza; Felipe da Costa Malaquias</v>
      </c>
      <c r="R56">
        <v>2</v>
      </c>
      <c r="S56">
        <v>130</v>
      </c>
      <c r="T56">
        <v>128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Oficina Temática - SEMAT: Matriz de Riscos em contratos de obras e serviços de engenharia</v>
      </c>
      <c r="P57">
        <v>4</v>
      </c>
      <c r="Q57" t="str">
        <v>Silvia Lima Damasceno Carvalho; Renan Dias da Silva</v>
      </c>
      <c r="R57">
        <v>2</v>
      </c>
      <c r="S57">
        <v>132</v>
      </c>
      <c r="T57">
        <v>130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T58">
        <v>132</v>
      </c>
      <c r="X58" t="s">
        <v>2416</v>
      </c>
      <c r="Y58" s="320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Adriana Cuoco Portugal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Cinthia Thais de Carvalho Luz Thomazi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Fernanda Viana de Souza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Luiz Felipe Tenório de Lima Gondim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2026-054</v>
      </c>
      <c r="C100" t="str">
        <v>A realizar</v>
      </c>
      <c r="D100" t="str">
        <v>TCendo o Futuro</v>
      </c>
      <c r="E100">
        <v>4</v>
      </c>
      <c r="F100" t="str">
        <v>Priscila Nolasco de Oliveira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Adriana Cuoco Portugal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Cinthia Thais de Carvalho Luz Thomazi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Fernanda Viana de Souza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Luiz Felipe Tenório de Lima Gondim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Priscila Nolasco de Oliveira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Tarsila Firmino Ely</v>
      </c>
      <c r="G106">
        <v>4</v>
      </c>
      <c r="H106">
        <v>20</v>
      </c>
      <c r="I106">
        <v>3.6</v>
      </c>
      <c r="J106">
        <v>23.6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Sara Cristina Lins Ramos</v>
      </c>
      <c r="G107">
        <v>4</v>
      </c>
      <c r="H107">
        <v>8</v>
      </c>
      <c r="I107">
        <v>2.4</v>
      </c>
      <c r="J107">
        <v>10.4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Carina de Souza Mariuba Herthel</v>
      </c>
      <c r="G108">
        <v>4</v>
      </c>
      <c r="H108">
        <v>8</v>
      </c>
      <c r="I108">
        <v>2.4</v>
      </c>
      <c r="J108">
        <v>10.4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Curso de formação sobre "Programa de Descentralização Progressiva das Ações de Saúde - PDPAS</v>
      </c>
      <c r="E109">
        <v>20</v>
      </c>
      <c r="F109" t="str">
        <v>Elvis Aaron Teixeira dos Santos Lima</v>
      </c>
      <c r="G109">
        <v>4</v>
      </c>
      <c r="H109">
        <v>0</v>
      </c>
      <c r="I109">
        <v>0</v>
      </c>
      <c r="J109">
        <v>0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Adriana Cuoco Portugal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Cinthia Thais de Carvalho Luz Thomazi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Fernanda Viana de Souza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Luiz Felipe Tenório de Lima Gondim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2026-061</v>
      </c>
      <c r="C129" t="str">
        <v>A realizar</v>
      </c>
      <c r="D129" t="str">
        <v>TCendo o Futuro</v>
      </c>
      <c r="E129">
        <v>4</v>
      </c>
      <c r="F129" t="str">
        <v>Priscila Nolasco de Oliveira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2026-065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Flávio José Fonseca de Souza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Contratações de TIC com base na jurisprudência do TCDF - EAD</v>
      </c>
      <c r="E131">
        <v>17.45</v>
      </c>
      <c r="F131" t="str">
        <v>Felipe da Costa Malaquias</v>
      </c>
      <c r="G131">
        <v>2</v>
      </c>
      <c r="H131">
        <v>17.45</v>
      </c>
      <c r="I131">
        <v>5.2349999999999994</v>
      </c>
      <c r="J131">
        <v>22.684999999999999</v>
      </c>
      <c r="R131" t="str">
        <v/>
      </c>
      <c r="S131" t="str">
        <v/>
      </c>
    </row>
    <row r="132" spans="1:19" x14ac:dyDescent="0.25">
      <c r="A132">
        <v>2026</v>
      </c>
      <c r="B132" t="str">
        <v>2026-066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Silvia Lima Damasceno Carvalho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2026-066</v>
      </c>
      <c r="C133" t="str">
        <v>A realizar</v>
      </c>
      <c r="D133" t="str">
        <v>Oficina Temática - SEMAT: Matriz de Riscos em contratos de obras e serviços de engenharia</v>
      </c>
      <c r="E133">
        <v>4</v>
      </c>
      <c r="F133" t="str">
        <v>Renan Dias da Silva</v>
      </c>
      <c r="G133">
        <v>2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2291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6" t="s">
        <v>2292</v>
      </c>
      <c r="B4" s="327"/>
      <c r="D4" s="328" t="s">
        <v>2293</v>
      </c>
      <c r="E4" s="329"/>
      <c r="G4" s="123" t="s">
        <v>2294</v>
      </c>
    </row>
    <row r="5" spans="1:7" ht="54.95" customHeight="1" thickBot="1" x14ac:dyDescent="0.75">
      <c r="A5" s="113">
        <f>COUNTIF('Ações InCompany'!B:B,2026)</f>
        <v>66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26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3" t="s">
        <v>2296</v>
      </c>
      <c r="B8" s="323"/>
      <c r="D8" s="323" t="s">
        <v>2297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481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1824</v>
      </c>
    </row>
    <row r="30" spans="1:5" ht="17.25" x14ac:dyDescent="0.3">
      <c r="A30" s="323" t="s">
        <v>2306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0.33333333333333331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4.7619047619047616E-2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9.5238095238095233E-2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1</v>
      </c>
      <c r="D36" s="117">
        <f t="shared" si="0"/>
        <v>3</v>
      </c>
      <c r="E36" s="118">
        <f t="shared" si="1"/>
        <v>4.7619047619047616E-2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3.1746031746031744E-2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0.22222222222222221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6.3492063492063489E-2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1.5873015873015872E-2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0.1111111111111111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3.1746031746031744E-2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26</v>
      </c>
      <c r="D45" s="119">
        <f>SUM(D33:D44)</f>
        <v>63</v>
      </c>
      <c r="E45" s="120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2356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8" t="s">
        <v>2357</v>
      </c>
    </row>
    <row r="4" spans="1:8" ht="21.95" customHeight="1" x14ac:dyDescent="0.25">
      <c r="A4" s="331" t="s">
        <v>2358</v>
      </c>
      <c r="B4" s="332"/>
      <c r="D4" s="331" t="s">
        <v>2359</v>
      </c>
      <c r="E4" s="332"/>
      <c r="G4" s="331" t="s">
        <v>2360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2366</v>
      </c>
      <c r="B1" s="336"/>
      <c r="C1" s="336"/>
      <c r="D1" s="336"/>
      <c r="E1" s="336"/>
      <c r="F1" s="336"/>
    </row>
    <row r="2" spans="1:7" x14ac:dyDescent="0.25">
      <c r="A2" s="337" t="s">
        <v>2367</v>
      </c>
      <c r="B2" s="337"/>
      <c r="C2" s="337"/>
      <c r="D2" s="337"/>
      <c r="E2" s="337"/>
      <c r="F2" s="337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8</v>
      </c>
      <c r="C9" s="101">
        <f>IF($A9="","",SUMIFS('GECC 2026'!I$2:I$200,'GECC 2026'!F$2:F$200,$A9))</f>
        <v>2.4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10.4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0</v>
      </c>
      <c r="C19" s="101">
        <f>IF($A19="","",SUMIFS('GECC 2026'!I$2:I$200,'GECC 2026'!F$2:F$200,$A19))</f>
        <v>0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0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43</v>
      </c>
      <c r="C42" s="101">
        <f>IF($A42="","",SUMIFS('GECC 2026'!I$2:I$200,'GECC 2026'!F$2:F$200,$A42))</f>
        <v>12.899999999999999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55.9</v>
      </c>
      <c r="F42" s="99">
        <f>IF($A42="","",COUNTIFS('GECC 2026'!F$2:F$200,$A42))</f>
        <v>4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8</v>
      </c>
      <c r="C48" s="101">
        <f>IF($A48="","",SUMIFS('GECC 2026'!I$2:I$200,'GECC 2026'!F$2:F$200,$A48))</f>
        <v>2.4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10.4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79.999999999999986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155.99999999999997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1017.9</v>
      </c>
      <c r="C105" s="205">
        <f>SUM(C5:C100)</f>
        <v>314.95000000000005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2026-07-28T19:58:28Z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