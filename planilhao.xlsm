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98" documentId="8_{454372C2-A99E-4E47-A759-72B38925853E}" xr6:coauthVersionLast="47" xr6:coauthVersionMax="47" xr10:uidLastSave="{6E3B75D4-653D-419B-A9B4-6B3A27942519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20" i="3" l="1"/>
  <c r="R714" i="3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AE33" i="20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E51" i="23" l="1"/>
  <c r="D51" i="23"/>
  <c r="C51" i="23"/>
  <c r="B51" i="23"/>
  <c r="F51" i="23"/>
  <c r="E50" i="23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<sst xmlns="http://schemas.openxmlformats.org/spreadsheetml/2006/main" count="6238" uniqueCount="2408">
  <si>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</si>
  <si>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</si>
  <si>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</si>
  <si>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</si>
  <si>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</si>
  <si>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</si>
  <si>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</si>
  <si>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</si>
  <si>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</si>
  <si>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</si>
  <si>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</si>
  <si>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</si>
  <si>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</si>
  <si>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</si>
  <si>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</si>
  <si>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</si>
  <si>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</si>
  <si>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</si>
  <si>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</si>
  <si>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</si>
  <si>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</si>
  <si>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</si>
  <si>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</si>
  <si>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</si>
  <si>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</si>
  <si>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</si>
  <si>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</si>
  <si>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</si>
  <si>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</si>
  <si>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</si>
  <si>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</si>
  <si>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</si>
  <si>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</si>
  <si>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</si>
  <si>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</si>
  <si>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</si>
  <si>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</si>
  <si>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</si>
  <si>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</si>
  <si>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</si>
  <si>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</si>
  <si>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</si>
  <si>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</si>
  <si>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</si>
  <si>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</si>
  <si>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</si>
  <si>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</si>
  <si>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</si>
  <si>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</si>
  <si>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</si>
  <si>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</si>
  <si>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</si>
  <si>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</si>
  <si>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</si>
  <si>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</si>
  <si>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</si>
  <si>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</si>
  <si>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</si>
  <si>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</si>
  <si>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</si>
  <si>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</si>
  <si>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</si>
  <si>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</si>
  <si>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</si>
  <si>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</si>
  <si>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</si>
  <si>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</si>
  <si>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</si>
  <si>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</si>
  <si>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</si>
  <si>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</si>
  <si>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</si>
  <si>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</si>
  <si>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</si>
  <si>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</si>
  <si>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</si>
  <si>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</si>
  <si>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</si>
  <si>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</si>
  <si>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</si>
  <si>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</si>
  <si>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</si>
  <si>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</si>
  <si>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</si>
  <si>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</si>
  <si>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</si>
  <si>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</si>
  <si>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</si>
  <si>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</si>
  <si>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</si>
  <si>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</si>
  <si>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</si>
  <si>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</si>
  <si>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</si>
  <si>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</si>
  <si>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</si>
  <si>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</si>
  <si>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</si>
  <si>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</si>
  <si>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</si>
  <si>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</si>
  <si>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</si>
  <si>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</si>
  <si>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</si>
  <si>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</si>
  <si>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</si>
  <si>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</si>
  <si>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</si>
  <si>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</si>
  <si>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</si>
  <si>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</si>
  <si>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</si>
  <si>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</si>
  <si>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</si>
  <si>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</si>
  <si>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</si>
  <si>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</si>
  <si>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</si>
  <si>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</si>
  <si>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</si>
  <si>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</si>
  <si>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</si>
  <si>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</si>
  <si>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</si>
  <si>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</si>
  <si>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</si>
  <si>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</si>
  <si>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</si>
  <si>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</si>
  <si>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</si>
  <si>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</si>
  <si>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</si>
  <si>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</si>
  <si>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</si>
  <si>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</si>
  <si>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</si>
  <si>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</si>
  <si>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</si>
  <si>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</si>
  <si>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</si>
  <si>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</si>
  <si>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</si>
  <si>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</si>
  <si>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</si>
  <si>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</si>
  <si>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</si>
  <si>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</si>
  <si>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</si>
  <si>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</si>
  <si>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</si>
  <si>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</si>
  <si>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</si>
  <si>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</si>
  <si>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</si>
  <si>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</si>
  <si>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</si>
  <si>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</si>
  <si>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</si>
  <si>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</si>
  <si>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</si>
  <si>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</si>
  <si>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</si>
  <si>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</si>
  <si>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</si>
  <si>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</si>
  <si>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</si>
  <si>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</si>
  <si>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</si>
  <si>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</si>
  <si>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</si>
  <si>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</si>
  <si>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</si>
  <si>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</si>
  <si>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</si>
  <si>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</si>
  <si>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</si>
  <si>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</si>
  <si>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</si>
  <si>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</si>
  <si>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</si>
  <si>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</si>
  <si>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</si>
  <si>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</si>
  <si>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</si>
  <si>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</si>
  <si>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</si>
  <si>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</si>
  <si>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</si>
  <si>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</si>
  <si>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</si>
  <si>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</si>
  <si>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</si>
  <si>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</si>
  <si>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</si>
  <si>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</si>
  <si>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</si>
  <si>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</si>
  <si>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</si>
  <si>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</si>
  <si>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</si>
  <si>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</si>
  <si>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</si>
  <si>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</si>
  <si>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</si>
  <si>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</si>
  <si>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</si>
  <si>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</si>
  <si>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</si>
  <si>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</si>
  <si>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</si>
  <si>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</si>
  <si>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</si>
  <si>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</si>
  <si>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</si>
  <si>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</si>
  <si>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</si>
  <si>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</si>
  <si>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</si>
  <si>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</si>
  <si>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</si>
  <si>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</si>
  <si>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</si>
  <si>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</si>
  <si>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</si>
  <si>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</si>
  <si>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</si>
  <si>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</si>
  <si>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</si>
  <si>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</si>
  <si>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</si>
  <si>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</si>
  <si>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</si>
  <si>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</si>
  <si>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</si>
  <si>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</si>
  <si>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</si>
  <si>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</si>
  <si>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</si>
  <si>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</si>
  <si>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</si>
  <si>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</si>
  <si>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</si>
  <si>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</si>
  <si>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</si>
  <si>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</si>
  <si>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</si>
  <si>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</si>
  <si>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</si>
  <si>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</si>
  <si>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</si>
  <si>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</si>
  <si>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</si>
  <si>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</si>
  <si>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</si>
  <si>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</si>
  <si>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</si>
  <si>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</si>
  <si>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</si>
  <si>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</si>
  <si>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</si>
  <si>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</si>
  <si>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</si>
  <si>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</si>
  <si>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</si>
  <si>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</si>
  <si>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</si>
  <si>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</si>
  <si>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</si>
  <si>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</si>
  <si>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</si>
  <si>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</si>
  <si>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</si>
  <si>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</si>
  <si>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</si>
  <si>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</si>
  <si>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</si>
  <si>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</si>
  <si>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</si>
  <si>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</si>
  <si>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</si>
  <si>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</si>
  <si>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</si>
  <si>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</si>
  <si>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</si>
  <si>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</si>
  <si>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</si>
  <si>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</si>
  <si>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</si>
  <si>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</si>
  <si>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</si>
  <si>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</si>
  <si>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</si>
  <si>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</si>
  <si>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</si>
  <si>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</si>
  <si>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</si>
  <si>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</si>
  <si>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</si>
  <si>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</si>
  <si>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</si>
  <si>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</si>
  <si>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</si>
  <si>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</si>
  <si>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</si>
  <si>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</si>
  <si>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</si>
  <si>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</si>
  <si>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</si>
  <si>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</si>
  <si>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</si>
  <si>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</si>
  <si>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</si>
  <si>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</si>
  <si>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</si>
  <si>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</si>
  <si>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</si>
  <si>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</si>
  <si>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</si>
  <si>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</si>
  <si>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</si>
  <si>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</si>
  <si>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</si>
  <si>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</si>
  <si>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</si>
  <si>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</si>
  <si>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</si>
  <si>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</si>
  <si>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</si>
  <si>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</si>
  <si>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</si>
  <si>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</si>
  <si>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</si>
  <si>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</si>
  <si>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</si>
  <si>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</si>
  <si>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</si>
  <si>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</si>
  <si>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</si>
  <si>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</si>
  <si>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</si>
  <si>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</si>
  <si>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</si>
  <si>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</si>
  <si>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</si>
  <si>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</si>
  <si>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</si>
  <si>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</si>
  <si>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</si>
  <si>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</si>
  <si>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</si>
  <si>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</si>
  <si>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</si>
  <si>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</si>
  <si>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</si>
  <si>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</si>
  <si>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</si>
  <si>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</si>
  <si>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</si>
  <si>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</si>
  <si>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</si>
  <si>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</si>
  <si>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</si>
  <si>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</si>
  <si>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</si>
  <si>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</si>
  <si>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</si>
  <si>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</si>
  <si>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</si>
  <si>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</si>
  <si>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</si>
  <si>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</si>
  <si>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</si>
  <si>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</si>
  <si>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</si>
  <si>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</si>
  <si>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</si>
  <si>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</si>
  <si>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</si>
  <si>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</si>
  <si>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</si>
  <si>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</si>
  <si>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</si>
  <si>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</si>
  <si>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</si>
  <si>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</si>
  <si>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</si>
  <si>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</si>
  <si>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</si>
  <si>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</si>
  <si>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</si>
  <si>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</si>
  <si>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</si>
  <si>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</si>
  <si>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</si>
  <si>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</si>
  <si>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</si>
  <si>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</si>
  <si>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</si>
  <si>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</si>
  <si>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</si>
  <si>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</si>
  <si>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</si>
  <si>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</si>
  <si>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</si>
  <si>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</si>
  <si>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</si>
  <si>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</si>
  <si>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</si>
  <si>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</si>
  <si>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</si>
  <si>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</si>
  <si>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</si>
  <si>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</si>
  <si>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</si>
  <si>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</si>
  <si>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</si>
  <si>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</si>
  <si>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</si>
  <si>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</si>
  <si>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</si>
  <si>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</si>
  <si>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</si>
  <si>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</si>
  <si>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</si>
  <si>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</si>
  <si>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</si>
  <si>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</si>
  <si>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</si>
  <si>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</si>
  <si>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</si>
  <si>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</si>
  <si>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</si>
  <si>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</si>
  <si>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</si>
  <si>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</si>
  <si>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</si>
  <si>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</si>
  <si>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</si>
  <si>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</si>
  <si>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</si>
  <si>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</si>
  <si>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</si>
  <si>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</si>
  <si>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</si>
  <si>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</si>
  <si>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</si>
  <si>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</si>
  <si>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</si>
  <si>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</si>
  <si>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</si>
  <si>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</si>
  <si>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</si>
  <si>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</si>
  <si>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</si>
  <si>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</si>
  <si>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</si>
  <si>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</si>
  <si>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</si>
  <si>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</si>
  <si>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</si>
  <si>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</si>
  <si>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</si>
  <si>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</si>
  <si>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</si>
  <si>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</si>
  <si>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</si>
  <si>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</si>
  <si>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</si>
  <si>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</si>
  <si>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</si>
  <si>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</si>
  <si>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</si>
  <si>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</si>
  <si>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</si>
  <si>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</si>
  <si>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</si>
  <si>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</si>
  <si>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</si>
  <si>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</si>
  <si>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</si>
  <si>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</si>
  <si>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</si>
  <si>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</si>
  <si>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</si>
  <si>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</si>
  <si>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</si>
  <si>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</si>
  <si>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</si>
  <si>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</si>
  <si>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</si>
  <si>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</si>
  <si>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</si>
  <si>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</si>
  <si>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</si>
  <si>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</si>
  <si>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</si>
  <si>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</si>
  <si>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</si>
  <si>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</si>
  <si>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</si>
  <si>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</si>
  <si>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</si>
  <si>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</si>
  <si>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</si>
  <si>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</si>
  <si>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</si>
  <si>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</si>
  <si>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</si>
  <si>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</si>
  <si>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</si>
  <si>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</si>
  <si>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</si>
  <si>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</si>
  <si>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</si>
  <si>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</si>
  <si>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</si>
  <si>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</si>
  <si>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</si>
  <si>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</si>
  <si>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</si>
  <si>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</si>
  <si>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</si>
  <si>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</si>
  <si>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</si>
  <si>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</si>
  <si>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</si>
  <si>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</si>
  <si>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</si>
  <si>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</si>
  <si>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</si>
  <si>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</si>
  <si>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</si>
  <si>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</si>
  <si>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</si>
  <si>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</si>
  <si>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</si>
  <si>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</si>
  <si>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</si>
  <si>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</si>
  <si>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</si>
  <si>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</si>
  <si>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</si>
  <si>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</si>
  <si>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</si>
  <si>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</si>
  <si>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</si>
  <si>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</si>
  <si>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</si>
  <si>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</si>
  <si>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</si>
  <si>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</si>
  <si>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</si>
  <si>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</si>
  <si>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</si>
  <si>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</si>
  <si>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</si>
  <si>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</si>
  <si>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</si>
  <si>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</si>
  <si>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</si>
  <si>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</si>
  <si>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</si>
  <si>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</si>
  <si>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</si>
  <si>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</si>
  <si>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</si>
  <si>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</si>
  <si>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</si>
  <si>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</si>
  <si>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</si>
  <si>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</si>
  <si>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</si>
  <si>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</si>
  <si>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</si>
  <si>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</si>
  <si>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</si>
  <si>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</si>
  <si>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</si>
  <si>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</si>
  <si>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</si>
  <si>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</si>
  <si>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</si>
  <si>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</si>
  <si>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</si>
  <si>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</si>
  <si>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</si>
  <si>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</si>
  <si>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</si>
  <si>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</si>
  <si>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</si>
  <si>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</si>
  <si>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</si>
  <si>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</si>
  <si>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</si>
  <si>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</si>
  <si>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</si>
  <si>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</si>
  <si>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</si>
  <si>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</si>
  <si>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</si>
  <si>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</si>
  <si>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</si>
  <si>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</si>
  <si>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</si>
  <si>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</si>
  <si>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</si>
  <si>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</si>
  <si>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</si>
  <si>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</si>
  <si>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</si>
  <si>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</si>
  <si>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</si>
  <si>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</si>
  <si>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</si>
  <si>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</si>
  <si>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</si>
  <si>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</si>
  <si>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</si>
  <si>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</si>
  <si>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</si>
  <si>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</si>
  <si>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</si>
  <si>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</si>
  <si>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</si>
  <si>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</si>
  <si>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</si>
  <si>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</si>
  <si>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</si>
  <si>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</si>
  <si>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</si>
  <si>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</si>
  <si>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</si>
  <si>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</si>
  <si>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</si>
  <si>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</si>
  <si>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</si>
  <si>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</si>
  <si>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</si>
  <si>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</si>
  <si>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</si>
  <si>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</si>
  <si>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</si>
  <si>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</si>
  <si>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</si>
  <si>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</si>
  <si>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</si>
  <si>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</si>
  <si>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</si>
  <si>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</si>
  <si>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</si>
  <si>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</si>
  <si>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</si>
  <si>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</si>
  <si>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</si>
  <si>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</si>
  <si>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</si>
  <si>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</si>
  <si>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</si>
  <si>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</si>
  <si>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</si>
  <si>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</si>
  <si>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</si>
  <si>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</si>
  <si>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</si>
  <si>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</si>
  <si>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</si>
  <si>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</si>
  <si>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</si>
  <si>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</si>
  <si>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</si>
  <si>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</si>
  <si>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</si>
  <si>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</si>
  <si>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</si>
  <si>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</si>
  <si>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</si>
  <si>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</si>
  <si>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</si>
  <si>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</si>
  <si>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</si>
  <si>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</si>
  <si>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</si>
  <si>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</si>
  <si>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</si>
  <si>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</si>
  <si>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</si>
  <si>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</si>
  <si>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</si>
  <si>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</si>
  <si>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</si>
  <si>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</si>
  <si>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</si>
  <si>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</si>
  <si>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</si>
  <si>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</si>
  <si>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</si>
  <si>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</si>
  <si>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</si>
  <si>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</si>
  <si>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</si>
  <si>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</si>
  <si>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</si>
  <si>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</si>
  <si>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</si>
  <si>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</si>
  <si>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</si>
  <si>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</si>
  <si>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</si>
  <si>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</si>
  <si>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</si>
  <si>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</si>
  <si>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</si>
  <si>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</si>
  <si>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</si>
  <si>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</si>
  <si>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</si>
  <si>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</si>
  <si>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</si>
  <si>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</si>
  <si>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</si>
  <si>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</si>
  <si>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</si>
  <si>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</si>
  <si>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</si>
  <si>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</si>
  <si>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</si>
  <si>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</si>
  <si>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</si>
  <si>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</si>
  <si>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</si>
  <si>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</si>
  <si>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</si>
  <si>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</si>
  <si>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</si>
  <si>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</si>
  <si>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</si>
  <si>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</si>
  <si>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</si>
  <si>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</si>
  <si>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</si>
  <si>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</si>
  <si>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</si>
  <si>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</si>
  <si>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</si>
  <si>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</si>
  <si>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</si>
  <si>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</si>
  <si>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</si>
  <si>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</si>
  <si>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</si>
  <si>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</si>
  <si>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</si>
  <si>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</si>
  <si>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</si>
  <si>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</si>
  <si>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</si>
  <si>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</si>
  <si>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</si>
  <si>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</si>
  <si>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</si>
  <si>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</si>
  <si>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</si>
  <si>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</si>
  <si>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</si>
  <si>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</si>
  <si>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</si>
  <si>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</si>
  <si>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</si>
  <si>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</si>
  <si>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</si>
  <si>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</si>
  <si>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</si>
  <si>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</si>
  <si>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</si>
  <si>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</si>
  <si>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</si>
  <si>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</si>
  <si>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</si>
  <si>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</si>
  <si>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</si>
  <si>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</si>
  <si>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</si>
  <si>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</si>
  <si>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</si>
  <si>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</si>
  <si>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</si>
  <si>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</si>
  <si>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</si>
  <si>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</si>
  <si>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</si>
  <si>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</si>
  <si>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</si>
  <si>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</si>
  <si>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</si>
  <si>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</si>
  <si>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</si>
  <si>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</si>
  <si>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</si>
  <si>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</si>
  <si>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</si>
  <si>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</si>
  <si>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</si>
  <si>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</si>
  <si>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</si>
  <si>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</si>
  <si>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</si>
  <si>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</si>
  <si>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</si>
  <si>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</si>
  <si>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</si>
  <si>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</si>
  <si>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</si>
  <si>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</si>
  <si>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</si>
  <si>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</si>
  <si>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</si>
  <si>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</si>
  <si>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</si>
  <si>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</si>
  <si>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</si>
  <si>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</si>
  <si>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</si>
  <si>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</si>
  <si>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</si>
  <si>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</si>
  <si>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</si>
  <si>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</si>
  <si>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</si>
  <si>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</si>
  <si>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</si>
  <si>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</si>
  <si>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</si>
  <si>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</si>
  <si>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</si>
  <si>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</si>
  <si>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</si>
  <si>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</si>
  <si>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</si>
  <si>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</si>
  <si>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</si>
  <si>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</si>
  <si>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</si>
  <si>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</si>
  <si>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</si>
  <si>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</si>
  <si>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</si>
  <si>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</si>
  <si>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</si>
  <si>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</si>
  <si>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</si>
  <si>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</si>
  <si>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</si>
  <si>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</si>
  <si>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</si>
  <si>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</si>
  <si>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</si>
  <si>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</si>
  <si>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</si>
  <si>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</si>
  <si>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</si>
  <si>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</si>
  <si>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</si>
  <si>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</si>
  <si>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</si>
  <si>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</si>
  <si>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</si>
  <si>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</si>
  <si>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</si>
  <si>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</si>
  <si>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</si>
  <si>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</si>
  <si>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</si>
  <si>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</si>
  <si>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</si>
  <si>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</si>
  <si>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</si>
  <si>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</si>
  <si>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</si>
  <si>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</si>
  <si>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</si>
  <si>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</si>
  <si>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</si>
  <si>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</si>
  <si>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</si>
  <si>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</si>
  <si>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</si>
  <si>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</si>
  <si>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</si>
  <si>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</si>
  <si>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</si>
  <si>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</si>
  <si>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</si>
  <si>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</si>
  <si>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</si>
  <si>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</si>
  <si>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</si>
  <si>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</si>
  <si>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</si>
  <si>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</si>
  <si>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</si>
  <si>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</si>
  <si>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</si>
  <si>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</si>
  <si>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</si>
  <si>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</si>
  <si>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</si>
  <si>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</si>
  <si>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</si>
  <si>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</si>
  <si>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</si>
  <si>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</si>
  <si>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</si>
  <si>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</si>
  <si>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</si>
  <si>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</si>
  <si>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</si>
  <si>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</si>
  <si>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</si>
  <si>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</si>
  <si>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</si>
  <si>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</si>
  <si>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</si>
  <si>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</si>
  <si>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</si>
  <si>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</si>
  <si>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</si>
  <si>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</si>
  <si>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</si>
  <si>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</si>
  <si>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</si>
  <si>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</si>
  <si>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</si>
  <si>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</si>
  <si>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</si>
  <si>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</si>
  <si>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</si>
  <si>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</si>
  <si>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</si>
  <si>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</si>
  <si>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</si>
  <si>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</si>
  <si>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</si>
  <si>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</si>
  <si>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</si>
  <si>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</si>
  <si>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</si>
  <si>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</si>
  <si>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</si>
  <si>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</si>
  <si>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</si>
  <si>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</si>
  <si>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</si>
  <si>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</si>
  <si>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</si>
  <si>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</si>
  <si>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</si>
  <si>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</si>
  <si>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</si>
  <si>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</si>
  <si>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</si>
  <si>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</si>
  <si>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</si>
  <si>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</si>
  <si>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</si>
  <si>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</si>
  <si>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</si>
  <si>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</si>
  <si>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</si>
  <si>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</si>
  <si>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</si>
  <si>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</si>
  <si>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</si>
  <si>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</si>
  <si>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</si>
  <si>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</si>
  <si>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</si>
  <si>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</si>
  <si>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</si>
  <si>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</si>
  <si>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</si>
  <si>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</si>
  <si>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</si>
  <si>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</si>
  <si>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</si>
  <si>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</si>
  <si>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</si>
  <si>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</si>
  <si>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</si>
  <si>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</si>
  <si>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</si>
  <si>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</si>
  <si>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</si>
  <si>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</si>
  <si>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</si>
  <si>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</si>
  <si>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</si>
  <si>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</si>
  <si>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</si>
  <si>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</si>
  <si>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</si>
  <si>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</si>
  <si>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</si>
  <si>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</si>
  <si>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</si>
  <si>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</si>
  <si>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</si>
  <si>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</si>
  <si>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</si>
  <si>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</si>
  <si>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</si>
  <si>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</si>
  <si>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</si>
  <si>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</si>
  <si>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</si>
  <si>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</si>
  <si>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</si>
  <si>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</si>
  <si>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</si>
  <si>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</si>
  <si>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</si>
  <si>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</si>
  <si>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</si>
  <si>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</si>
  <si>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</si>
  <si>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</si>
  <si>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</si>
  <si>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</si>
  <si>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</si>
  <si>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</si>
  <si>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</si>
  <si>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</si>
  <si>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</si>
  <si>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</si>
  <si>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</si>
  <si>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</si>
  <si>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</si>
  <si>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</si>
  <si>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</si>
  <si>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</si>
  <si>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</si>
  <si>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</si>
  <si>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</si>
  <si>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</si>
  <si>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</si>
  <si>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</si>
  <si>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</si>
  <si>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</si>
  <si>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</si>
  <si>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</si>
  <si>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</si>
  <si>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</si>
  <si>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</si>
  <si>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</si>
  <si>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</si>
  <si>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</si>
  <si>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</si>
  <si>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</si>
  <si>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</si>
  <si>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</si>
  <si>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</si>
  <si>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</si>
  <si>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</si>
  <si>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</si>
  <si>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</si>
  <si>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</si>
  <si>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</si>
  <si>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</si>
  <si>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</si>
  <si>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</si>
  <si>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</si>
  <si>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</si>
  <si>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</si>
  <si>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</si>
  <si>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</si>
  <si>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</si>
  <si>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</si>
  <si>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</si>
  <si>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</si>
  <si>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</si>
  <si>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</si>
  <si>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</si>
  <si>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</si>
  <si>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</si>
  <si>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</si>
  <si>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</si>
  <si>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</si>
  <si>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</si>
  <si>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</si>
  <si>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</si>
  <si>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</si>
  <si>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</si>
  <si>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</si>
  <si>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</si>
  <si>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</si>
  <si>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</si>
  <si>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</si>
  <si>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</si>
  <si>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</si>
  <si>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</si>
  <si>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</si>
  <si>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</si>
  <si>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</si>
  <si>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</si>
  <si>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</si>
  <si>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</si>
  <si>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</si>
  <si>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</si>
  <si>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</si>
  <si>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</si>
  <si>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</si>
  <si>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</si>
  <si>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</si>
  <si>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</si>
  <si>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</si>
  <si>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</si>
  <si>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</si>
  <si>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</si>
  <si>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</si>
  <si>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</si>
  <si>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</si>
  <si>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</si>
  <si>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</si>
  <si>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</si>
  <si>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</si>
  <si>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</si>
  <si>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</si>
  <si>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</si>
  <si>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</si>
  <si>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</si>
  <si>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</si>
  <si>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</si>
  <si>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</si>
  <si>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</si>
  <si>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</si>
  <si>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</si>
  <si>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</si>
  <si>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</si>
  <si>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</si>
  <si>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</si>
  <si>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</si>
  <si>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</si>
  <si>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</si>
  <si>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</si>
  <si>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</si>
  <si>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</si>
  <si>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</si>
  <si>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</si>
  <si>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</si>
  <si>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</si>
  <si>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</si>
  <si>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</si>
  <si>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</si>
  <si>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</si>
  <si>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</si>
  <si>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</si>
  <si>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</si>
  <si>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</si>
  <si>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</si>
  <si>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</si>
  <si>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</si>
  <si>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</si>
  <si>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</si>
  <si>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</si>
  <si>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</si>
  <si>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</si>
  <si>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</si>
  <si>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</si>
  <si>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</si>
  <si>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</si>
  <si>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</si>
  <si>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</si>
  <si>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</si>
  <si>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</si>
  <si>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</si>
  <si>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</si>
  <si>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</si>
  <si>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</si>
  <si>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</si>
  <si>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</si>
  <si>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</si>
  <si>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</si>
  <si>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</si>
  <si>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</si>
  <si>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</si>
  <si>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</si>
  <si>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</si>
  <si>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</si>
  <si>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</si>
  <si>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</si>
  <si>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</si>
  <si>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</si>
  <si>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</si>
  <si>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</si>
  <si>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</si>
  <si>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</si>
  <si>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</si>
  <si>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</si>
  <si>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</si>
  <si>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</si>
  <si>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</si>
  <si>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</si>
  <si>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</si>
  <si>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</si>
  <si>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</si>
  <si>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</si>
  <si>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</si>
  <si>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</si>
  <si>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</si>
  <si>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</si>
  <si>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</si>
  <si>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</si>
  <si>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</si>
  <si>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</si>
  <si>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</si>
  <si>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</si>
  <si>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</si>
  <si>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</si>
  <si>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</si>
  <si>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</si>
  <si>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</si>
  <si>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</si>
  <si>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</si>
  <si>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</si>
  <si>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</si>
  <si>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</si>
  <si>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</si>
  <si>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</si>
  <si>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</si>
  <si>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</si>
  <si>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</si>
  <si>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</si>
  <si>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</si>
  <si>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</si>
  <si>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</si>
  <si>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</si>
  <si>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</si>
  <si>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</si>
  <si>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</si>
  <si>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</si>
  <si>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</si>
  <si>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</si>
  <si>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</si>
  <si>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</si>
  <si>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</si>
  <si>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</si>
  <si>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</si>
  <si>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</si>
  <si>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</si>
  <si>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</si>
  <si>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</si>
  <si>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</si>
  <si>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</si>
  <si>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</si>
  <si>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</si>
  <si>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</si>
  <si>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</si>
  <si>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</si>
  <si>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</si>
  <si>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</si>
  <si>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</si>
  <si>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</si>
  <si>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</si>
  <si>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</si>
  <si>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</si>
  <si>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</si>
  <si>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</si>
  <si>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</si>
  <si>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</si>
  <si>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</si>
  <si>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</si>
  <si>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</si>
  <si>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</si>
  <si>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</si>
  <si>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</si>
  <si>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</si>
  <si>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</si>
  <si>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</si>
  <si>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</si>
  <si>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</si>
  <si>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</si>
  <si>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</si>
  <si>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</si>
  <si>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</si>
  <si>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</si>
  <si>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</si>
  <si>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</si>
  <si>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</si>
  <si>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</si>
  <si>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</si>
  <si>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</si>
  <si>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</si>
  <si>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</si>
  <si>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</si>
  <si>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</si>
  <si>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</si>
  <si>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</si>
  <si>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</si>
  <si>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</si>
  <si>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</si>
  <si>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</si>
  <si>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</si>
  <si>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</si>
  <si>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</si>
  <si>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</si>
  <si>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</si>
  <si>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</si>
  <si>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</si>
  <si>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</si>
  <si>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</si>
  <si>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</si>
  <si>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</si>
  <si>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</si>
  <si>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</si>
  <si>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</si>
  <si>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</si>
  <si>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</si>
  <si>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</si>
  <si>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</si>
  <si>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</si>
  <si>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</si>
  <si>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</si>
  <si>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</si>
  <si>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</si>
  <si>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</si>
  <si>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</si>
  <si>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</si>
  <si>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</si>
  <si>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</si>
  <si>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</si>
  <si>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</si>
  <si>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</si>
  <si>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</si>
  <si>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</si>
  <si>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</si>
  <si>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</si>
  <si>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</si>
  <si>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</si>
  <si>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</si>
  <si>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</si>
  <si>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</si>
  <si>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</si>
  <si>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</si>
  <si>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</si>
  <si>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</si>
  <si>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</si>
  <si>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</si>
  <si>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</si>
  <si>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</si>
  <si>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</si>
  <si>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</si>
  <si>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</si>
  <si>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</si>
  <si>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</si>
  <si>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</si>
  <si>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</si>
  <si>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</si>
  <si>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</si>
  <si>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</si>
  <si>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</si>
  <si>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</si>
  <si>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</si>
  <si>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</si>
  <si>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</si>
  <si>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</si>
  <si>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</si>
  <si>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</si>
  <si>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</si>
  <si>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</si>
  <si>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</si>
  <si>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</si>
  <si>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</si>
  <si>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</si>
  <si>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</si>
  <si>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</si>
  <si>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</si>
  <si>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</si>
  <si>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</si>
  <si>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</si>
  <si>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</si>
  <si>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</si>
  <si>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</si>
  <si>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</si>
  <si>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</si>
  <si>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</si>
  <si>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</si>
  <si>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</si>
  <si>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</si>
  <si>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</si>
  <si>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</si>
  <si>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</si>
  <si>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</si>
  <si>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</si>
  <si>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</si>
  <si>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</si>
  <si>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</si>
  <si>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</si>
  <si>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</si>
  <si>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</si>
  <si>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</si>
  <si>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</si>
  <si>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</si>
  <si>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</si>
  <si>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</si>
  <si>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</si>
  <si>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</si>
  <si>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</si>
  <si>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</si>
  <si>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</si>
  <si>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</si>
  <si>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</si>
  <si>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</si>
  <si>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</si>
  <si>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</si>
  <si>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</si>
  <si>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</si>
  <si>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</si>
  <si>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</si>
  <si>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</si>
  <si>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</si>
  <si>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</si>
  <si>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</si>
  <si>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</si>
  <si>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</si>
  <si>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</si>
  <si>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</si>
  <si>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</si>
  <si>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</si>
  <si>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</si>
  <si>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</si>
  <si>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</si>
  <si>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</si>
  <si>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</si>
  <si>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</si>
  <si>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</si>
  <si>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</si>
  <si>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</si>
  <si>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</si>
  <si>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</si>
  <si>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</si>
  <si>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</si>
  <si>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</si>
  <si>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</si>
  <si>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</si>
  <si>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</si>
  <si>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</si>
  <si>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</si>
  <si>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</si>
  <si>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</si>
  <si>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</si>
  <si>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</si>
  <si>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</si>
  <si>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</si>
  <si>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</si>
  <si>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</si>
  <si>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</si>
  <si>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</si>
  <si>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</si>
  <si>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</si>
  <si>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</si>
  <si>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</si>
  <si>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</si>
  <si>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</si>
  <si>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</si>
  <si>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</si>
  <si>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</si>
  <si>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</si>
  <si>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</si>
  <si>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</si>
  <si>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</si>
  <si>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</si>
  <si>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</si>
  <si>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</si>
  <si>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</si>
  <si>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</si>
  <si>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</si>
  <si>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</si>
  <si>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</si>
  <si>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</si>
  <si>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</si>
  <si>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</si>
  <si>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</si>
  <si>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</si>
  <si>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</si>
  <si>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</si>
  <si>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</si>
  <si>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</si>
  <si>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</si>
  <si>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</si>
  <si>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</si>
  <si>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</si>
  <si>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</si>
  <si>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</si>
  <si>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</si>
  <si>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</si>
  <si>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</si>
  <si>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</si>
  <si>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</si>
  <si>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</si>
  <si>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</si>
  <si>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</si>
  <si>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</si>
  <si>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</si>
  <si>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</si>
  <si>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</si>
  <si>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</si>
  <si>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</si>
  <si>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</si>
  <si>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</si>
  <si>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</si>
  <si>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</si>
  <si>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</si>
  <si>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</si>
  <si>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</si>
  <si>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</si>
  <si>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</si>
  <si>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</si>
  <si>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</si>
  <si>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</si>
  <si>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</si>
  <si>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</si>
  <si>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</si>
  <si>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</si>
  <si>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</si>
  <si>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</si>
  <si>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</si>
  <si>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</si>
  <si>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</si>
  <si>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</si>
  <si>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</si>
  <si>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</si>
  <si>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</si>
  <si>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</si>
  <si>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</si>
  <si>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</si>
  <si>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</si>
  <si>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</si>
  <si>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</si>
  <si>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</si>
  <si>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</si>
  <si>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</si>
  <si>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</si>
  <si>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</si>
  <si>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</si>
  <si>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</si>
  <si>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</si>
  <si>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</si>
  <si>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</si>
  <si>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</si>
  <si>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</si>
  <si>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</si>
  <si>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</si>
  <si>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</si>
  <si>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</si>
  <si>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</si>
  <si>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</si>
  <si>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</si>
  <si>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</si>
  <si>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</si>
  <si>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</si>
  <si>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</si>
  <si>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</si>
  <si>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</si>
  <si>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</si>
  <si>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</si>
  <si>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</si>
  <si>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</si>
  <si>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</si>
  <si>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</si>
  <si>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</si>
  <si>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</si>
  <si>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</si>
  <si>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</si>
  <si>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</si>
  <si>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</si>
  <si>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</si>
  <si>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</si>
  <si>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</si>
  <si>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</si>
  <si>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</si>
  <si>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</si>
  <si>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</si>
  <si>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</si>
  <si>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</si>
  <si>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</si>
  <si>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</si>
  <si>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</si>
  <si>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</si>
  <si>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</si>
  <si>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</si>
  <si>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</si>
  <si>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</si>
  <si>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</si>
  <si>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</si>
  <si>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</si>
  <si>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</si>
  <si>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</si>
  <si>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</si>
  <si>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</si>
  <si>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</si>
  <si>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</si>
  <si>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</si>
  <si>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</si>
  <si>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</si>
  <si>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</si>
  <si>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</si>
  <si>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</si>
  <si>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</si>
  <si>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</si>
  <si>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</si>
  <si>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</si>
  <si>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</si>
  <si>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</si>
  <si>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</si>
  <si>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</si>
  <si>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</si>
  <si>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</si>
  <si>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</si>
  <si>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</si>
  <si>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</si>
  <si>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</si>
  <si>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</si>
  <si>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</si>
  <si>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</si>
  <si>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</si>
  <si>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</si>
  <si>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</si>
  <si>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</si>
  <si>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</si>
  <si>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</si>
  <si>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</si>
  <si>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</si>
  <si>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</si>
  <si>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</si>
  <si>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</si>
  <si>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</si>
  <si>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</si>
  <si>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</si>
  <si>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</si>
  <si>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</si>
  <si>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</si>
  <si>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</si>
  <si>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</si>
  <si>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</si>
  <si>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</si>
  <si>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</si>
  <si>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</si>
  <si>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</si>
  <si>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</si>
  <si>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</si>
  <si>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</si>
  <si>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</si>
  <si>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</si>
  <si>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</si>
  <si>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</si>
  <si>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</si>
  <si>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</si>
  <si>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</si>
  <si>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</si>
  <si>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</si>
  <si>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</si>
  <si>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</si>
  <si>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</si>
  <si>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</si>
  <si>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</si>
  <si>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</si>
  <si>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</si>
  <si>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</si>
  <si>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</si>
  <si>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</si>
  <si>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</si>
  <si>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</si>
  <si>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</si>
  <si>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</si>
  <si>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</si>
  <si>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</si>
  <si>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</si>
  <si>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</si>
  <si>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</si>
  <si>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</si>
  <si>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</si>
  <si>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</si>
  <si>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</si>
  <si>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</si>
  <si>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</si>
  <si>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</si>
  <si>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</si>
  <si>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</si>
  <si>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</si>
  <si>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</si>
  <si>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</si>
  <si>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</si>
  <si>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</si>
  <si>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</si>
  <si>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</si>
  <si>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</si>
  <si>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</si>
  <si>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</si>
  <si>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</si>
  <si>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</si>
  <si>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</si>
  <si>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</si>
  <si>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</si>
  <si>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</si>
  <si>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</si>
  <si>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</si>
  <si>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</si>
  <si>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</si>
  <si>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</si>
  <si>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</si>
  <si>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</si>
  <si>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</si>
  <si>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</si>
  <si>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</si>
  <si>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</si>
  <si>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</si>
  <si>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</si>
  <si>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</si>
  <si>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</si>
  <si>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</si>
  <si>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</si>
  <si>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</si>
  <si>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</si>
  <si>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</si>
  <si>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</si>
  <si>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</si>
  <si>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</si>
  <si>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</si>
  <si>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</si>
  <si>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</si>
  <si>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</si>
  <si>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</si>
  <si>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</si>
  <si>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</si>
  <si>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</si>
  <si>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</si>
  <si>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</si>
  <si>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</si>
  <si>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</si>
  <si>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</si>
  <si>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</si>
  <si>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</si>
  <si>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</si>
  <si>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</si>
  <si>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</si>
  <si>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</si>
  <si>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</si>
  <si>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</si>
  <si>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</si>
  <si>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</si>
  <si>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</si>
  <si>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</si>
  <si>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</si>
  <si>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</si>
  <si>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</si>
  <si>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</si>
  <si>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</si>
  <si>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</si>
  <si>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</si>
  <si>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</si>
  <si>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</si>
  <si>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</si>
  <si>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</si>
  <si>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</si>
  <si>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</si>
  <si>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</si>
  <si>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</si>
  <si>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</si>
  <si>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</si>
  <si>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</si>
  <si>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</si>
  <si>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</si>
  <si>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</si>
  <si>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</si>
  <si>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</si>
  <si>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</si>
  <si>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</si>
  <si>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</si>
  <si>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</si>
  <si>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</si>
  <si>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</si>
  <si>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</si>
  <si>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</si>
  <si>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</si>
  <si>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</si>
  <si>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</si>
  <si>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</si>
  <si>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</si>
  <si>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</si>
  <si>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</si>
  <si>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</si>
  <si>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</si>
  <si>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</si>
  <si>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</si>
  <si>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</si>
  <si>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</si>
  <si>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</si>
  <si>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</si>
  <si>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</si>
  <si>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</si>
  <si>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</si>
  <si>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</si>
  <si>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</si>
  <si>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</si>
  <si>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</si>
  <si>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</si>
  <si>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</si>
  <si>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</si>
  <si>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</si>
  <si>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</si>
  <si>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</si>
  <si>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</si>
  <si>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</si>
  <si>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</si>
  <si>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</si>
  <si>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</si>
  <si>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</si>
  <si>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</si>
  <si>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</si>
  <si>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</si>
  <si>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</si>
  <si>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</si>
  <si>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</si>
  <si>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</si>
  <si>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</si>
  <si>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</si>
  <si>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</si>
  <si>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</si>
  <si>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</si>
  <si>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</si>
  <si>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</si>
  <si>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</si>
  <si>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</si>
  <si>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</si>
  <si>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</si>
  <si>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</si>
  <si>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</si>
  <si>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</si>
  <si>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</si>
  <si>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</si>
  <si>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</si>
  <si>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</si>
  <si>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</si>
  <si>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</si>
  <si>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</si>
  <si>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</si>
  <si>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</si>
  <si>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</si>
  <si>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</si>
  <si>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</si>
  <si>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</si>
  <si>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</si>
  <si>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</si>
  <si>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</si>
  <si>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</si>
  <si>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</si>
  <si>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</si>
  <si>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</si>
  <si>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</si>
  <si>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</si>
  <si>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</si>
  <si>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</si>
  <si>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</si>
  <si>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</si>
  <si>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</si>
  <si>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</si>
  <si>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</si>
  <si>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</si>
  <si>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</si>
  <si>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</si>
  <si>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</si>
  <si>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</si>
  <si>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</si>
  <si>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</si>
  <si>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</si>
  <si>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</si>
  <si>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</si>
  <si>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</si>
  <si>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</si>
  <si>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</si>
  <si>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</si>
  <si>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</si>
  <si>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</si>
  <si>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</si>
  <si>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</si>
  <si>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</si>
  <si>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</si>
  <si>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</si>
  <si>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</si>
  <si>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</si>
  <si>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</si>
  <si>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</si>
  <si>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</si>
  <si>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</si>
  <si>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</si>
  <si>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</si>
  <si>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</si>
  <si>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</si>
  <si>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</si>
  <si>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</si>
  <si>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</si>
  <si>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</si>
  <si>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</si>
  <si>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</si>
  <si>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</si>
  <si>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</si>
  <si>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</si>
  <si>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</si>
  <si>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</si>
  <si>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</si>
  <si>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</si>
  <si>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</si>
  <si>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</si>
  <si>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</si>
  <si>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</si>
  <si>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</si>
  <si>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</si>
  <si>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</si>
  <si>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</si>
  <si>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</si>
  <si>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</si>
  <si>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</si>
  <si>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</si>
  <si>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</si>
  <si>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</si>
  <si>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</si>
  <si>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</si>
  <si>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</si>
  <si>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</si>
  <si>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</si>
  <si>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</si>
  <si>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</si>
  <si>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</si>
  <si>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</si>
  <si>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</si>
  <si>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</si>
  <si>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</si>
  <si>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</si>
  <si>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</si>
  <si>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</si>
  <si>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</si>
  <si>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</si>
  <si>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</si>
  <si>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</si>
  <si>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</si>
  <si>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</si>
  <si>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</si>
  <si>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</si>
  <si>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</si>
  <si>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</si>
  <si>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</si>
  <si>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</si>
  <si>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</si>
  <si>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</si>
  <si>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</si>
  <si>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</si>
  <si>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</si>
  <si>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</si>
  <si>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</si>
  <si>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</si>
  <si>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</si>
  <si>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</si>
  <si>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</si>
  <si>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</si>
  <si>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</si>
  <si>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</si>
  <si>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</si>
  <si>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</si>
  <si>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</si>
  <si>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</si>
  <si>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</si>
  <si>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</si>
  <si>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</si>
  <si>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</si>
  <si>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</si>
  <si>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</si>
  <si>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</si>
  <si>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</si>
  <si>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</si>
  <si>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</si>
  <si>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</si>
  <si>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</si>
  <si>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</si>
  <si>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</si>
  <si>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</si>
  <si>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</si>
  <si>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</si>
  <si>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</si>
  <si>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</si>
  <si>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</si>
  <si>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</si>
  <si>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</si>
  <si>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</si>
  <si>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</si>
  <si>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</si>
  <si>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</si>
  <si>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</si>
  <si>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</si>
  <si>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</si>
  <si>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</si>
  <si>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</si>
  <si>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</si>
  <si>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</si>
  <si>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</si>
  <si>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</si>
  <si>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</si>
  <si>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</si>
  <si>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</si>
  <si>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</si>
  <si>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</si>
  <si>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</si>
  <si>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</si>
  <si>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</si>
  <si>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</si>
  <si>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</si>
  <si>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</si>
  <si>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</si>
  <si>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</si>
  <si>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</si>
  <si>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</si>
  <si>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</si>
  <si>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</si>
  <si>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</si>
  <si>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</si>
  <si>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</si>
  <si>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</si>
  <si>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</si>
  <si>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</si>
  <si>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</si>
  <si>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</si>
  <si>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</si>
  <si>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</si>
  <si>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</si>
  <si>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</si>
  <si>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</si>
  <si>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</si>
  <si>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</si>
  <si>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</si>
  <si>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</si>
  <si>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</si>
  <si>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</si>
  <si>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</si>
  <si>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</si>
  <si>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</si>
  <si>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</si>
  <si>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</si>
  <si>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</si>
  <si>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</si>
  <si>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</si>
  <si>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</si>
  <si>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</si>
  <si>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</si>
  <si>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</si>
  <si>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</si>
  <si>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</si>
  <si>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</si>
  <si>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</si>
  <si>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</si>
  <si>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</si>
  <si>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</si>
  <si>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</si>
  <si>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</si>
  <si>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</si>
  <si>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</si>
  <si>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</si>
  <si>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</si>
  <si>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</si>
  <si>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</si>
  <si>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</si>
  <si>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</si>
  <si>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</si>
  <si>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</si>
  <si>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</si>
  <si>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</si>
  <si>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</si>
  <si>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</si>
  <si>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</si>
  <si>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</si>
  <si>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</si>
  <si>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</si>
  <si>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</si>
  <si>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</si>
  <si>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</si>
  <si>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</si>
  <si>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</si>
  <si>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</si>
  <si>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</si>
  <si>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</si>
  <si>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</si>
  <si>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</si>
  <si>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</si>
  <si>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</si>
  <si>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</si>
  <si>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</si>
  <si>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</si>
  <si>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</si>
  <si>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</si>
  <si>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</si>
  <si>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</si>
  <si>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</si>
  <si>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</si>
  <si>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</si>
  <si>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</si>
  <si>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</si>
  <si>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</si>
  <si>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</si>
  <si>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</si>
  <si>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</si>
  <si>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</si>
  <si>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</si>
  <si>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</si>
  <si>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</si>
  <si>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</si>
  <si>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</si>
  <si>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</si>
  <si>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</si>
  <si>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</si>
  <si>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</si>
  <si>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</si>
  <si>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</si>
  <si>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</si>
  <si>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</si>
  <si>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</si>
  <si>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</si>
  <si>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</si>
  <si>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</si>
  <si>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</si>
  <si>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</si>
  <si>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</si>
  <si>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</si>
  <si>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</si>
  <si>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</si>
  <si>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</si>
  <si>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</si>
  <si>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</si>
  <si>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</si>
  <si>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</si>
  <si>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</si>
  <si>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</si>
  <si>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</si>
  <si>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</si>
  <si>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</si>
  <si>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</si>
  <si>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</si>
  <si>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</si>
  <si>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</si>
  <si>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</si>
  <si>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</si>
  <si>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</si>
  <si>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</si>
  <si>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</si>
  <si>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</si>
  <si>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</si>
  <si>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</si>
  <si>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</si>
  <si>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</si>
  <si>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</si>
  <si>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</si>
  <si>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</si>
  <si>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</si>
  <si>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</si>
  <si>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</si>
  <si>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</si>
  <si>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</si>
  <si>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</si>
  <si>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</si>
  <si>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</si>
  <si>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</si>
  <si>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</si>
  <si>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</si>
  <si>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</si>
  <si>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</si>
  <si>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</si>
  <si>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</si>
  <si>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</si>
  <si>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</si>
  <si>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</si>
  <si>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</si>
  <si>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</si>
  <si>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</si>
  <si>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</si>
  <si>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</si>
  <si>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</si>
  <si>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</si>
  <si>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</si>
  <si>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</si>
  <si>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</si>
  <si>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</si>
  <si>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</si>
  <si>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</si>
  <si>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</si>
  <si>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</si>
  <si>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</si>
  <si>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</si>
  <si>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</si>
  <si>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</si>
  <si>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</si>
  <si>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</si>
  <si>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</si>
  <si>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</si>
  <si>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</si>
  <si>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</si>
  <si>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</si>
  <si>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</si>
  <si>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</si>
  <si>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</si>
  <si>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</si>
  <si>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</si>
  <si>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</si>
  <si>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</si>
  <si>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</si>
  <si>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</si>
  <si>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</si>
  <si>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</si>
  <si>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</si>
  <si>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</si>
  <si>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</si>
  <si>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</si>
  <si>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</si>
  <si>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</si>
  <si>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</si>
  <si>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</si>
  <si>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</si>
  <si>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</si>
  <si>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</si>
  <si>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</si>
  <si>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</si>
  <si>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</si>
  <si>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</si>
  <si>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</si>
  <si>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</si>
  <si>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</si>
  <si>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</si>
  <si>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</si>
  <si>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</si>
  <si>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</si>
  <si>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</si>
  <si>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</si>
  <si>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</si>
  <si>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</si>
  <si>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</si>
  <si>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</si>
  <si>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</si>
  <si>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</si>
  <si>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</si>
  <si>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</si>
  <si>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</si>
  <si>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</si>
  <si>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</si>
  <si>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</si>
  <si>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</si>
  <si>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</si>
  <si>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</si>
  <si>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</si>
  <si>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</si>
  <si>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</si>
  <si>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</si>
  <si>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</si>
  <si>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</si>
  <si>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</si>
  <si>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</si>
  <si>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</si>
  <si>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</si>
  <si>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</si>
  <si>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</si>
  <si>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</si>
  <si>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</si>
  <si>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</si>
  <si>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</si>
  <si>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</si>
  <si>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</si>
  <si>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</si>
  <si>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</si>
  <si>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</si>
  <si>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</si>
  <si>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</si>
  <si>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</si>
  <si>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</si>
  <si>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</si>
  <si>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</si>
  <si>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</si>
  <si>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</si>
  <si>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</si>
  <si>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</si>
  <si>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</si>
  <si>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</si>
  <si>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</si>
  <si>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</si>
  <si>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</si>
  <si>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</si>
  <si>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</si>
  <si>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</si>
  <si>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</si>
  <si>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</si>
  <si>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</si>
  <si>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</si>
  <si>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</si>
  <si>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</si>
  <si>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</si>
  <si>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</si>
  <si>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</si>
  <si>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</si>
  <si>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</si>
  <si>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</si>
  <si>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</si>
  <si>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</si>
  <si>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</si>
  <si>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</si>
  <si>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</si>
  <si>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</si>
  <si>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</si>
  <si>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</si>
  <si>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</si>
  <si>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</si>
  <si>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</si>
  <si>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</si>
  <si>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</si>
  <si>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</si>
  <si>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</si>
  <si>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</si>
  <si>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</si>
  <si>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</si>
  <si>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</si>
  <si>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</si>
  <si>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</si>
  <si>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</si>
  <si>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</si>
  <si>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</si>
  <si>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</si>
  <si>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</si>
  <si>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</si>
  <si>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</si>
  <si>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</si>
  <si>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</si>
  <si>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</si>
  <si>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</si>
  <si>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</si>
  <si>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</si>
  <si>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</si>
  <si>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</si>
  <si>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</si>
  <si>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</si>
  <si>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</si>
  <si>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</si>
  <si>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</si>
  <si>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</si>
  <si>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</si>
  <si>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</si>
  <si>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</si>
  <si>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</si>
  <si>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</si>
  <si>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</si>
  <si>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</si>
  <si>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</si>
  <si>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</si>
  <si>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</si>
  <si>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</si>
  <si>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</si>
  <si>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</si>
  <si>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</si>
  <si>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</si>
  <si>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</si>
  <si>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</si>
  <si>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</si>
  <si>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</si>
  <si>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</si>
  <si>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</si>
  <si>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</si>
  <si>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</si>
  <si>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</si>
  <si>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</si>
  <si>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</si>
  <si>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</si>
  <si>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</si>
  <si>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</si>
  <si>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</si>
  <si>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</si>
  <si>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</si>
  <si>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</si>
  <si>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</si>
  <si>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</si>
  <si>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</si>
  <si>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</si>
  <si>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</si>
  <si>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</si>
  <si>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</si>
  <si>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</si>
  <si>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</si>
  <si>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</si>
  <si>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</si>
  <si>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</si>
  <si>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</si>
  <si>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</si>
  <si>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</si>
  <si>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</si>
  <si>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</si>
  <si>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</si>
  <si>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10 e 11 de agosto de 2026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</si>
  <si>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</si>
  <si>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</si>
  <si>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</si>
  <si>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</si>
  <si>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</si>
  <si>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</si>
  <si>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1 - SEMAT: Reajuste de preços em contratos de obras e serviços de engenharia</t>
  </si>
  <si>
    <t>Oficina Temática de Obras 2 - SEMAT: Pesquisa de Preços em contratos de obras e serviços de engenharia</t>
  </si>
  <si>
    <t>Oficina Temática de Obras 3 – SEMAT: Controle Tecnológico de obras e serviços de engenharia</t>
  </si>
  <si>
    <t>Oficina Temática de Obras 4 - SEMAT: Aditivos na Contratação Integrada de obras e serviços de engenharia</t>
  </si>
  <si>
    <t>Oficina Temática de Obras 5 - SEMAT: Matriz de Riscos em contratos de obras e serviços de engenharia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</si>
</sst>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16" borderId="22" xfId="0" applyNumberFormat="1" applyFont="1" applyFill="1" applyBorder="1" applyAlignment="1">
      <alignment horizontal="center" vertical="center"/>
    </xf>
    <xf numFmtId="1" fontId="33" fillId="16" borderId="22" xfId="0" applyNumberFormat="1" applyFont="1" applyFill="1" applyBorder="1" applyAlignment="1">
      <alignment horizontal="center" vertical="center"/>
    </xf>
    <xf numFmtId="49" fontId="4" fillId="16" borderId="22" xfId="0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/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705" activePane="bottomLeft" state="frozen"/>
      <selection pane="bottomLeft" activeCell="M690" sqref="M690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>
        <v>4.79</v>
      </c>
      <c r="N682" s="73">
        <v>15</v>
      </c>
      <c r="O682" s="73">
        <v>12</v>
      </c>
      <c r="P682" s="73">
        <v>0</v>
      </c>
      <c r="Q682" s="73">
        <v>0</v>
      </c>
      <c r="R682" s="73">
        <f t="shared" si="13"/>
        <v>12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2396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>
        <v>170</v>
      </c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2401</v>
      </c>
      <c r="F713" s="211" t="s">
        <v>51</v>
      </c>
      <c r="G713" s="208" t="s">
        <v>59</v>
      </c>
      <c r="H713" s="212" t="s">
        <v>2376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2378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2379</v>
      </c>
      <c r="E714" s="245" t="s">
        <v>2381</v>
      </c>
      <c r="F714" s="220" t="s">
        <v>51</v>
      </c>
      <c r="G714" s="217" t="s">
        <v>59</v>
      </c>
      <c r="H714" s="221" t="s">
        <v>2382</v>
      </c>
      <c r="I714" s="222">
        <v>46246</v>
      </c>
      <c r="J714" s="222">
        <v>46246</v>
      </c>
      <c r="K714" s="218" t="s">
        <v>32</v>
      </c>
      <c r="L714" s="223"/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2380</v>
      </c>
      <c r="E715" s="244" t="s">
        <v>2402</v>
      </c>
      <c r="F715" s="211" t="s">
        <v>51</v>
      </c>
      <c r="G715" s="208" t="s">
        <v>59</v>
      </c>
      <c r="H715" s="212" t="s">
        <v>2383</v>
      </c>
      <c r="I715" s="213">
        <v>46244</v>
      </c>
      <c r="J715" s="213">
        <v>46244</v>
      </c>
      <c r="K715" s="209" t="s">
        <v>32</v>
      </c>
      <c r="L715" s="223"/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2385</v>
      </c>
      <c r="E716" s="245" t="s">
        <v>2403</v>
      </c>
      <c r="F716" s="220" t="s">
        <v>51</v>
      </c>
      <c r="G716" s="217" t="s">
        <v>59</v>
      </c>
      <c r="H716" s="221" t="s">
        <v>2383</v>
      </c>
      <c r="I716" s="222">
        <v>46244</v>
      </c>
      <c r="J716" s="222">
        <v>46244</v>
      </c>
      <c r="K716" s="218" t="s">
        <v>32</v>
      </c>
      <c r="L716" s="223"/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2387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2388</v>
      </c>
      <c r="E717" s="244" t="s">
        <v>2404</v>
      </c>
      <c r="F717" s="211" t="s">
        <v>51</v>
      </c>
      <c r="G717" s="208" t="s">
        <v>59</v>
      </c>
      <c r="H717" s="212" t="s">
        <v>2389</v>
      </c>
      <c r="I717" s="213">
        <v>46245</v>
      </c>
      <c r="J717" s="213">
        <v>46245</v>
      </c>
      <c r="K717" s="209" t="s">
        <v>32</v>
      </c>
      <c r="L717" s="223"/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2390</v>
      </c>
      <c r="E718" s="245" t="s">
        <v>2405</v>
      </c>
      <c r="F718" s="220" t="s">
        <v>51</v>
      </c>
      <c r="G718" s="217" t="s">
        <v>59</v>
      </c>
      <c r="H718" s="221" t="s">
        <v>2382</v>
      </c>
      <c r="I718" s="222">
        <v>46246</v>
      </c>
      <c r="J718" s="222">
        <v>46246</v>
      </c>
      <c r="K718" s="218" t="s">
        <v>32</v>
      </c>
      <c r="L718" s="223"/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 t="s">
        <v>2392</v>
      </c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 t="s">
        <v>2393</v>
      </c>
      <c r="E719" s="244" t="s">
        <v>2406</v>
      </c>
      <c r="F719" s="211" t="s">
        <v>51</v>
      </c>
      <c r="G719" s="208" t="s">
        <v>59</v>
      </c>
      <c r="H719" s="212" t="s">
        <v>2376</v>
      </c>
      <c r="I719" s="213">
        <v>46247</v>
      </c>
      <c r="J719" s="213">
        <v>46247</v>
      </c>
      <c r="K719" s="209" t="s">
        <v>32</v>
      </c>
      <c r="L719" s="223"/>
      <c r="M719" s="214"/>
      <c r="N719" s="215">
        <v>30</v>
      </c>
      <c r="O719" s="216"/>
      <c r="P719" s="216"/>
      <c r="Q719" s="216"/>
      <c r="R719" s="216">
        <f t="shared" si="14"/>
        <v>0</v>
      </c>
      <c r="S719" s="209">
        <v>4</v>
      </c>
      <c r="T719" s="208" t="s">
        <v>2395</v>
      </c>
    </row>
    <row r="720" spans="1:21" ht="23.25" customHeight="1" x14ac:dyDescent="0.25">
      <c r="A720" s="217" t="str">
        <f>IF(B720="","",B720&amp;"-"&amp;TEXT(COUNTIF(B$2:B720,B720),"000"))</f>
        <v>2026-064</v>
      </c>
      <c r="B720" s="218">
        <v>2026</v>
      </c>
      <c r="C720" s="218" t="s">
        <v>2103</v>
      </c>
      <c r="D720" s="218" t="s">
        <v>2400</v>
      </c>
      <c r="E720" s="288" t="s">
        <v>2407</v>
      </c>
      <c r="F720" s="220" t="s">
        <v>51</v>
      </c>
      <c r="G720" s="217" t="s">
        <v>59</v>
      </c>
      <c r="H720" s="286" t="s">
        <v>2397</v>
      </c>
      <c r="I720" s="286" t="s">
        <v>2397</v>
      </c>
      <c r="J720" s="286" t="s">
        <v>2397</v>
      </c>
      <c r="K720" s="218" t="s">
        <v>32</v>
      </c>
      <c r="L720" s="223"/>
      <c r="M720" s="214"/>
      <c r="N720" s="225">
        <v>30</v>
      </c>
      <c r="O720" s="224"/>
      <c r="P720" s="224"/>
      <c r="Q720" s="224"/>
      <c r="R720" s="287">
        <f t="shared" si="14"/>
        <v>0</v>
      </c>
      <c r="S720" s="218">
        <v>4</v>
      </c>
      <c r="T720" s="217" t="s">
        <v>2399</v>
      </c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2377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2386</v>
      </c>
      <c r="D90" t="s">
        <v>2203</v>
      </c>
    </row>
    <row r="91" spans="1:4" x14ac:dyDescent="0.25">
      <c r="A91">
        <v>89</v>
      </c>
      <c r="B91" t="s">
        <v>2391</v>
      </c>
      <c r="D91" t="s">
        <v>2203</v>
      </c>
    </row>
    <row r="92" spans="1:4" x14ac:dyDescent="0.25">
      <c r="A92">
        <v>90</v>
      </c>
      <c r="B92" t="s">
        <v>2394</v>
      </c>
      <c r="D92" t="s">
        <v>2203</v>
      </c>
    </row>
    <row r="93" spans="1:4" x14ac:dyDescent="0.25">
      <c r="A93">
        <v>91</v>
      </c>
      <c r="B93" t="s">
        <v>2398</v>
      </c>
      <c r="D93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50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1 -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2 -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3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4 -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L55">
        <v>2026</v>
      </c>
      <c r="M55" t="str">
        <v>2026-064</v>
      </c>
      <c r="N55" t="str">
        <v>A realizar</v>
      </c>
      <c r="O55" t="str">
        <v>Oficina Temática de Obras 5 -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T56">
        <v>127</v>
      </c>
      <c r="X56" t="s">
        <v>2384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1 -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1 -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2 -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2 -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3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3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4 -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4 -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5 -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5 -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91" t="s">
        <v>2293</v>
      </c>
      <c r="B1" s="291"/>
      <c r="C1" s="291"/>
      <c r="D1" s="291"/>
      <c r="E1" s="291"/>
      <c r="F1" s="291"/>
      <c r="G1" s="291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92" t="s">
        <v>2294</v>
      </c>
      <c r="B4" s="293"/>
      <c r="D4" s="294" t="s">
        <v>2295</v>
      </c>
      <c r="E4" s="295"/>
      <c r="G4" s="125" t="s">
        <v>2296</v>
      </c>
    </row>
    <row r="5" spans="1:7" ht="54.95" customHeight="1" thickBot="1" x14ac:dyDescent="0.75">
      <c r="A5" s="115">
        <f>COUNTIF('Ações InCompany'!B:B,2026)</f>
        <v>64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26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9" t="s">
        <v>2298</v>
      </c>
      <c r="B8" s="289"/>
      <c r="D8" s="289" t="s">
        <v>2299</v>
      </c>
      <c r="E8" s="289"/>
    </row>
    <row r="9" spans="1:7" ht="5.0999999999999996" customHeight="1" x14ac:dyDescent="0.25">
      <c r="A9" s="290"/>
      <c r="B9" s="290"/>
      <c r="D9" s="290"/>
      <c r="E9" s="290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516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1556</v>
      </c>
    </row>
    <row r="30" spans="1:5" ht="17.25" x14ac:dyDescent="0.3">
      <c r="A30" s="289" t="s">
        <v>2308</v>
      </c>
      <c r="B30" s="289"/>
      <c r="C30" s="289"/>
      <c r="D30" s="289"/>
      <c r="E30" s="289"/>
    </row>
    <row r="31" spans="1:5" ht="5.0999999999999996" customHeight="1" x14ac:dyDescent="0.25">
      <c r="A31" s="290"/>
      <c r="B31" s="290"/>
      <c r="C31" s="290"/>
      <c r="D31" s="290"/>
      <c r="E31" s="290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14</v>
      </c>
      <c r="D33" s="117">
        <f t="shared" ref="D33:D44" si="0">B33+C33</f>
        <v>20</v>
      </c>
      <c r="E33" s="118">
        <f t="shared" ref="E33:E44" si="1">D33/$D$45</f>
        <v>0.32786885245901637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4.9180327868852458E-2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9.8360655737704916E-2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3.2786885245901641E-2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3.2786885245901641E-2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0.21311475409836064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6.5573770491803282E-2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3.2786885245901641E-2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0.11475409836065574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3.2786885245901641E-2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26</v>
      </c>
      <c r="D45" s="121">
        <f>SUM(D33:D44)</f>
        <v>61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6" t="s">
        <v>2358</v>
      </c>
      <c r="B1" s="296"/>
      <c r="C1" s="296"/>
      <c r="D1" s="296"/>
      <c r="E1" s="296"/>
      <c r="F1" s="296"/>
      <c r="G1" s="296"/>
      <c r="H1" s="296"/>
    </row>
    <row r="2" spans="1:8" x14ac:dyDescent="0.25">
      <c r="A2" s="130" t="s">
        <v>2359</v>
      </c>
    </row>
    <row r="4" spans="1:8" ht="21.95" customHeight="1" x14ac:dyDescent="0.25">
      <c r="A4" s="297" t="s">
        <v>2360</v>
      </c>
      <c r="B4" s="298"/>
      <c r="D4" s="297" t="s">
        <v>2361</v>
      </c>
      <c r="E4" s="298"/>
      <c r="G4" s="297" t="s">
        <v>2362</v>
      </c>
      <c r="H4" s="298"/>
    </row>
    <row r="5" spans="1:8" ht="35.1" customHeight="1" x14ac:dyDescent="0.25">
      <c r="A5" s="301">
        <f>COUNTIF('Ações InCompany'!E:E,"*maratona*")</f>
        <v>13</v>
      </c>
      <c r="B5" s="300"/>
      <c r="D5" s="299">
        <f>SUM(H8:H100)</f>
        <v>1762</v>
      </c>
      <c r="E5" s="300"/>
      <c r="G5" s="299">
        <f>IFERROR(ROUND(D5/A5,0),"-")</f>
        <v>136</v>
      </c>
      <c r="H5" s="300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02" t="s">
        <v>2368</v>
      </c>
      <c r="B1" s="302"/>
      <c r="C1" s="302"/>
      <c r="D1" s="302"/>
      <c r="E1" s="302"/>
      <c r="F1" s="302"/>
    </row>
    <row r="2" spans="1:7" x14ac:dyDescent="0.25">
      <c r="A2" s="303" t="s">
        <v>2369</v>
      </c>
      <c r="B2" s="303"/>
      <c r="C2" s="303"/>
      <c r="D2" s="303"/>
      <c r="E2" s="303"/>
      <c r="F2" s="303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Renan Dias da Silva</v>
      </c>
      <c r="B43" s="103">
        <f>IF($A43="","",SUMIFS('GECC 2026'!H$2:H$200,'GECC 2026'!F$2:F$200,$A43))</f>
        <v>4</v>
      </c>
      <c r="C43" s="103">
        <f>IF($A43="","",SUMIFS('GECC 2026'!I$2:I$200,'GECC 2026'!F$2:F$200,$A43))</f>
        <v>1.2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5.2</v>
      </c>
      <c r="F43" s="101">
        <f>IF($A43="","",COUNTIFS('GECC 2026'!F$2:F$200,$A43))</f>
        <v>1</v>
      </c>
    </row>
    <row r="44" spans="1:6" x14ac:dyDescent="0.25">
      <c r="A44" t="str">
        <v>Rogério Ribeiro</v>
      </c>
      <c r="B44" s="103">
        <f>IF($A44="","",SUMIFS('GECC 2026'!H$2:H$200,'GECC 2026'!F$2:F$200,$A44))</f>
        <v>48</v>
      </c>
      <c r="C44" s="103">
        <f>IF($A44="","",SUMIFS('GECC 2026'!I$2:I$200,'GECC 2026'!F$2:F$200,$A44))</f>
        <v>7.1999999999999993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55.2</v>
      </c>
      <c r="F44" s="101">
        <f>IF($A44="","",COUNTIFS('GECC 2026'!F$2:F$200,$A44))</f>
        <v>3</v>
      </c>
    </row>
    <row r="45" spans="1:6" x14ac:dyDescent="0.25">
      <c r="A45" t="str">
        <v>Rômulo Miranda Alvim</v>
      </c>
      <c r="B45" s="103">
        <f>IF($A45="","",SUMIFS('GECC 2026'!H$2:H$200,'GECC 2026'!F$2:F$200,$A45))</f>
        <v>24</v>
      </c>
      <c r="C45" s="103">
        <f>IF($A45="","",SUMIFS('GECC 2026'!I$2:I$200,'GECC 2026'!F$2:F$200,$A45))</f>
        <v>3.6</v>
      </c>
      <c r="D45" s="255">
        <f>IF($A45="","",SUMIFS('GECC 2026'!$AE$3:$AE$32,'GECC 2026'!$AD$3:$AD$32,$A45))</f>
        <v>16</v>
      </c>
      <c r="E45" s="240">
        <f>IF($A45="","",SUMIFS('GECC 2026'!J$2:J$200,'GECC 2026'!F$2:F$200,$A45)+SUMIFS('GECC 2026'!$AE$3:$AE$32,'GECC 2026'!$AD$3:$AD$32,$A45))</f>
        <v>43.6</v>
      </c>
      <c r="F45" s="101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3">
        <f>IF($A46="","",SUMIFS('GECC 2026'!H$2:H$200,'GECC 2026'!F$2:F$200,$A46))</f>
        <v>0</v>
      </c>
      <c r="C46" s="103">
        <f>IF($A46="","",SUMIFS('GECC 2026'!I$2:I$200,'GECC 2026'!F$2:F$200,$A46))</f>
        <v>0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0</v>
      </c>
      <c r="F46" s="101">
        <f>IF($A46="","",COUNTIFS('GECC 2026'!F$2:F$200,$A46))</f>
        <v>1</v>
      </c>
    </row>
    <row r="47" spans="1:6" x14ac:dyDescent="0.25">
      <c r="A47" t="str">
        <v>Silvia Lima Damasceno Carvalho</v>
      </c>
      <c r="B47" s="103">
        <f>IF($A47="","",SUMIFS('GECC 2026'!H$2:H$200,'GECC 2026'!F$2:F$200,$A47))</f>
        <v>21</v>
      </c>
      <c r="C47" s="103">
        <f>IF($A47="","",SUMIFS('GECC 2026'!I$2:I$200,'GECC 2026'!F$2:F$200,$A47))</f>
        <v>6.3000000000000007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27.299999999999997</v>
      </c>
      <c r="F47" s="101">
        <f>IF($A47="","",COUNTIFS('GECC 2026'!F$2:F$200,$A47))</f>
        <v>6</v>
      </c>
    </row>
    <row r="48" spans="1:6" x14ac:dyDescent="0.25">
      <c r="A48" t="str">
        <v>Tarsila Firmino Ely</v>
      </c>
      <c r="B48" s="103">
        <f>IF($A48="","",SUMIFS('GECC 2026'!H$2:H$200,'GECC 2026'!F$2:F$200,$A48))</f>
        <v>56</v>
      </c>
      <c r="C48" s="103">
        <f>IF($A48="","",SUMIFS('GECC 2026'!I$2:I$200,'GECC 2026'!F$2:F$200,$A48))</f>
        <v>96.4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152.4</v>
      </c>
      <c r="F48" s="101">
        <f>IF($A48="","",COUNTIFS('GECC 2026'!F$2:F$200,$A48))</f>
        <v>5</v>
      </c>
    </row>
    <row r="49" spans="1:6" x14ac:dyDescent="0.25">
      <c r="A49" t="str">
        <v>Thiago Magalhães de Oliveira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A50" t="str">
        <v>Túllio Herbeth Teixeira Moraes</v>
      </c>
      <c r="B50" s="103">
        <f>IF($A50="","",SUMIFS('GECC 2026'!H$2:H$200,'GECC 2026'!F$2:F$200,$A50))</f>
        <v>3</v>
      </c>
      <c r="C50" s="103">
        <f>IF($A50="","",SUMIFS('GECC 2026'!I$2:I$200,'GECC 2026'!F$2:F$200,$A50))</f>
        <v>0.44999999999999996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3.45</v>
      </c>
      <c r="F50" s="101">
        <f>IF($A50="","",COUNTIFS('GECC 2026'!F$2:F$200,$A50))</f>
        <v>1</v>
      </c>
    </row>
    <row r="51" spans="1:6" x14ac:dyDescent="0.25">
      <c r="A51" t="str">
        <v>Wibys Pereira</v>
      </c>
      <c r="B51" s="103">
        <f>IF($A51="","",SUMIFS('GECC 2026'!H$2:H$200,'GECC 2026'!F$2:F$200,$A51))</f>
        <v>4</v>
      </c>
      <c r="C51" s="103">
        <f>IF($A51="","",SUMIFS('GECC 2026'!I$2:I$200,'GECC 2026'!F$2:F$200,$A51))</f>
        <v>1.2</v>
      </c>
      <c r="D51" s="255">
        <f>IF($A51="","",SUMIFS('GECC 2026'!$AE$3:$AE$32,'GECC 2026'!$AD$3:$AD$32,$A51))</f>
        <v>0</v>
      </c>
      <c r="E51" s="240">
        <f>IF($A51="","",SUMIFS('GECC 2026'!J$2:J$200,'GECC 2026'!F$2:F$200,$A51)+SUMIFS('GECC 2026'!$AE$3:$AE$32,'GECC 2026'!$AD$3:$AD$32,$A51))</f>
        <v>5.2</v>
      </c>
      <c r="F51" s="101">
        <f>IF($A51="","",COUNTIFS('GECC 2026'!F$2:F$200,$A51))</f>
        <v>1</v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760</v>
      </c>
      <c r="C105" s="242">
        <f>SUM(C5:C100)</f>
        <v>406.97999999999996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2026-07-14T22:05:56Z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