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09" documentId="13_ncr:1_{6A2CC3E2-FAFB-4D8F-B284-5E8FB5045DFE}" xr6:coauthVersionLast="47" xr6:coauthVersionMax="47" xr10:uidLastSave="{A543D77D-AAFF-45D6-AB64-D23A4D368DA9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B8" i="27" l="1"/>
  <c r="A8" i="27"/>
  <c r="L4" i="20"/>
  <c r="R4" i="20" s="1" a="1"/>
  <c r="R4" i="20" s="1"/>
  <c r="E113" i="28"/>
  <c r="E112" i="28"/>
  <c r="E111" i="28"/>
  <c r="E110" i="28"/>
  <c r="E109" i="28"/>
  <c r="E108" i="28"/>
  <c r="E107" i="28"/>
  <c r="E106" i="28"/>
  <c r="E105" i="28"/>
  <c r="E104" i="28"/>
  <c r="E103" i="28"/>
  <c r="E102" i="28"/>
  <c r="E101" i="28"/>
  <c r="E100" i="28"/>
  <c r="E99" i="28"/>
  <c r="E98" i="28"/>
  <c r="E97" i="28"/>
  <c r="E96" i="28"/>
  <c r="E95" i="28"/>
  <c r="E94" i="28"/>
  <c r="E93" i="28"/>
  <c r="E92" i="28"/>
  <c r="E91" i="28"/>
  <c r="E90" i="28"/>
  <c r="E89" i="28"/>
  <c r="E88" i="28"/>
  <c r="E87" i="28"/>
  <c r="E86" i="28"/>
  <c r="E85" i="28"/>
  <c r="E84" i="28"/>
  <c r="E83" i="28"/>
  <c r="E82" i="28"/>
  <c r="E81" i="28"/>
  <c r="E80" i="28"/>
  <c r="E79" i="28"/>
  <c r="E78" i="28"/>
  <c r="E77" i="28"/>
  <c r="E76" i="28"/>
  <c r="E75" i="28"/>
  <c r="E74" i="28"/>
  <c r="E73" i="28"/>
  <c r="E72" i="28"/>
  <c r="E71" i="28"/>
  <c r="E70" i="28"/>
  <c r="E69" i="28"/>
  <c r="E68" i="28"/>
  <c r="E67" i="28"/>
  <c r="E66" i="28"/>
  <c r="E65" i="28"/>
  <c r="E64" i="28"/>
  <c r="E63" i="28"/>
  <c r="E62" i="28"/>
  <c r="E61" i="28"/>
  <c r="E60" i="28"/>
  <c r="E59" i="28"/>
  <c r="E58" i="28"/>
  <c r="E57" i="28"/>
  <c r="E56" i="28"/>
  <c r="E55" i="28"/>
  <c r="E54" i="28"/>
  <c r="E53" i="28"/>
  <c r="E52" i="28"/>
  <c r="E51" i="28"/>
  <c r="E50" i="28"/>
  <c r="E49" i="28"/>
  <c r="E48" i="28"/>
  <c r="E47" i="28"/>
  <c r="E46" i="28"/>
  <c r="E45" i="28"/>
  <c r="E44" i="28"/>
  <c r="E43" i="28"/>
  <c r="E42" i="28"/>
  <c r="E41" i="28"/>
  <c r="E40" i="28"/>
  <c r="E39" i="28"/>
  <c r="E38" i="28"/>
  <c r="E37" i="28"/>
  <c r="E36" i="28"/>
  <c r="E35" i="28"/>
  <c r="E34" i="28"/>
  <c r="E33" i="28"/>
  <c r="E32" i="28"/>
  <c r="E31" i="28"/>
  <c r="E30" i="28"/>
  <c r="E29" i="28"/>
  <c r="E28" i="28"/>
  <c r="E27" i="28"/>
  <c r="E26" i="28"/>
  <c r="E25" i="28"/>
  <c r="E24" i="28"/>
  <c r="E23" i="28"/>
  <c r="E22" i="28"/>
  <c r="E21" i="28"/>
  <c r="E20" i="28"/>
  <c r="E19" i="28"/>
  <c r="E18" i="28"/>
  <c r="E17" i="28"/>
  <c r="E16" i="28"/>
  <c r="E15" i="28"/>
  <c r="E14" i="28"/>
  <c r="E13" i="28"/>
  <c r="E12" i="28"/>
  <c r="E11" i="28"/>
  <c r="E10" i="28"/>
  <c r="E9" i="28"/>
  <c r="E8" i="28"/>
  <c r="E7" i="28"/>
  <c r="E6" i="28"/>
  <c r="E5" i="28"/>
  <c r="E4" i="28"/>
  <c r="W7" i="3"/>
  <c r="W6" i="3"/>
  <c r="W5" i="3"/>
  <c r="W3" i="3"/>
  <c r="S4" i="20" l="1" a="1"/>
  <c r="S4" i="20" s="1"/>
  <c r="T4" i="20" s="1" a="1"/>
  <c r="T4" i="20" l="1"/>
  <c r="A2" i="20" s="1" a="1"/>
  <c r="A5" i="23" l="1" a="1"/>
  <c r="E105" i="23"/>
  <c r="A2" i="20"/>
  <c r="F15" i="23" l="1"/>
  <c r="D27" i="23"/>
  <c r="B40" i="23"/>
  <c r="F22" i="23"/>
  <c r="C39" i="23"/>
  <c r="F57" i="23"/>
  <c r="C45" i="23"/>
  <c r="E42" i="23"/>
  <c r="B13" i="23"/>
  <c r="B16" i="23"/>
  <c r="B62" i="23"/>
  <c r="C16" i="23"/>
  <c r="F25" i="23"/>
  <c r="F45" i="23"/>
  <c r="F30" i="23"/>
  <c r="D10" i="23"/>
  <c r="E16" i="23"/>
  <c r="B12" i="23"/>
  <c r="B17" i="23"/>
  <c r="E51" i="23"/>
  <c r="B48" i="23"/>
  <c r="E50" i="23"/>
  <c r="F39" i="23"/>
  <c r="D46" i="23"/>
  <c r="B51" i="23"/>
  <c r="E54" i="23"/>
  <c r="E34" i="23"/>
  <c r="B35" i="23"/>
  <c r="C51" i="23"/>
  <c r="C20" i="23"/>
  <c r="C57" i="23"/>
  <c r="D7" i="23"/>
  <c r="E62" i="23"/>
  <c r="C37" i="23"/>
  <c r="E49" i="23"/>
  <c r="D38" i="23"/>
  <c r="E25" i="23"/>
  <c r="E60" i="23"/>
  <c r="B31" i="23"/>
  <c r="F43" i="23"/>
  <c r="C58" i="23"/>
  <c r="C25" i="23"/>
  <c r="B49" i="23"/>
  <c r="F37" i="23"/>
  <c r="E18" i="23"/>
  <c r="B42" i="23"/>
  <c r="D55" i="23"/>
  <c r="D35" i="23"/>
  <c r="B19" i="23"/>
  <c r="F14" i="23"/>
  <c r="F13" i="23"/>
  <c r="B56" i="23"/>
  <c r="C38" i="23"/>
  <c r="E28" i="23"/>
  <c r="B61" i="23"/>
  <c r="E7" i="23"/>
  <c r="F58" i="23"/>
  <c r="F28" i="23"/>
  <c r="E35" i="23"/>
  <c r="D36" i="23"/>
  <c r="E64" i="23"/>
  <c r="D43" i="23"/>
  <c r="E23" i="23"/>
  <c r="D13" i="23"/>
  <c r="D58" i="23"/>
  <c r="B58" i="23"/>
  <c r="F63" i="23"/>
  <c r="C26" i="23"/>
  <c r="E56" i="23"/>
  <c r="E32" i="23"/>
  <c r="B39" i="23"/>
  <c r="C9" i="23"/>
  <c r="D14" i="23"/>
  <c r="F27" i="23"/>
  <c r="F47" i="23"/>
  <c r="B6" i="23"/>
  <c r="F17" i="23"/>
  <c r="C54" i="23"/>
  <c r="B53" i="23"/>
  <c r="F29" i="23"/>
  <c r="B24" i="23"/>
  <c r="D19" i="23"/>
  <c r="F36" i="23"/>
  <c r="E59" i="23"/>
  <c r="F26" i="23"/>
  <c r="D31" i="23"/>
  <c r="B18" i="23"/>
  <c r="D53" i="23"/>
  <c r="D28" i="23"/>
  <c r="B8" i="23"/>
  <c r="E6" i="23"/>
  <c r="F42" i="23"/>
  <c r="F44" i="23"/>
  <c r="F62" i="23"/>
  <c r="E45" i="23"/>
  <c r="D21" i="23"/>
  <c r="F7" i="23"/>
  <c r="D39" i="23"/>
  <c r="E22" i="23"/>
  <c r="F18" i="23"/>
  <c r="D9" i="23"/>
  <c r="B30" i="23"/>
  <c r="E41" i="23"/>
  <c r="C64" i="23"/>
  <c r="E31" i="23"/>
  <c r="D60" i="23"/>
  <c r="D6" i="23"/>
  <c r="C32" i="23"/>
  <c r="C27" i="23"/>
  <c r="E36" i="23"/>
  <c r="B34" i="23"/>
  <c r="F32" i="23"/>
  <c r="C52" i="23"/>
  <c r="D44" i="23"/>
  <c r="F49" i="23"/>
  <c r="B9" i="23"/>
  <c r="D30" i="23"/>
  <c r="B64" i="23"/>
  <c r="D47" i="23"/>
  <c r="B43" i="23"/>
  <c r="B46" i="23"/>
  <c r="C35" i="23"/>
  <c r="E39" i="23"/>
  <c r="F19" i="23"/>
  <c r="F59" i="23"/>
  <c r="B25" i="23"/>
  <c r="C29" i="23"/>
  <c r="C36" i="23"/>
  <c r="D33" i="23"/>
  <c r="B59" i="23"/>
  <c r="D42" i="23"/>
  <c r="D29" i="23"/>
  <c r="C33" i="23"/>
  <c r="E24" i="23"/>
  <c r="E30" i="23"/>
  <c r="B47" i="23"/>
  <c r="C10" i="23"/>
  <c r="E40" i="23"/>
  <c r="F12" i="23"/>
  <c r="C8" i="23"/>
  <c r="B54" i="23"/>
  <c r="E38" i="23"/>
  <c r="D56" i="23"/>
  <c r="D34" i="23"/>
  <c r="E52" i="23"/>
  <c r="E57" i="23"/>
  <c r="B37" i="23"/>
  <c r="C55" i="23"/>
  <c r="F8" i="23"/>
  <c r="C41" i="23"/>
  <c r="C62" i="23"/>
  <c r="C23" i="23"/>
  <c r="E48" i="23"/>
  <c r="B10" i="23"/>
  <c r="E11" i="23"/>
  <c r="E27" i="23"/>
  <c r="D17" i="23"/>
  <c r="E61" i="23"/>
  <c r="F54" i="23"/>
  <c r="D62" i="23"/>
  <c r="D50" i="23"/>
  <c r="E47" i="23"/>
  <c r="D64" i="23"/>
  <c r="D61" i="23"/>
  <c r="C14" i="23"/>
  <c r="F51" i="23"/>
  <c r="D20" i="23"/>
  <c r="C12" i="23"/>
  <c r="D24" i="23"/>
  <c r="B23" i="23"/>
  <c r="B21" i="23"/>
  <c r="C31" i="23"/>
  <c r="F38" i="23"/>
  <c r="C43" i="23"/>
  <c r="F35" i="23"/>
  <c r="C60" i="23"/>
  <c r="C7" i="23"/>
  <c r="D59" i="23"/>
  <c r="C17" i="23"/>
  <c r="E14" i="23"/>
  <c r="C49" i="23"/>
  <c r="C61" i="23"/>
  <c r="F33" i="23"/>
  <c r="D41" i="23"/>
  <c r="E29" i="23"/>
  <c r="D51" i="23"/>
  <c r="C42" i="23"/>
  <c r="E9" i="23"/>
  <c r="B57" i="23"/>
  <c r="F46" i="23"/>
  <c r="B27" i="23"/>
  <c r="C53" i="23"/>
  <c r="C50" i="23"/>
  <c r="B7" i="23"/>
  <c r="B11" i="23"/>
  <c r="B45" i="23"/>
  <c r="F24" i="23"/>
  <c r="F64" i="23"/>
  <c r="C34" i="23"/>
  <c r="B22" i="23"/>
  <c r="E43" i="23"/>
  <c r="D16" i="23"/>
  <c r="B36" i="23"/>
  <c r="E10" i="23"/>
  <c r="C46" i="23"/>
  <c r="D11" i="23"/>
  <c r="F52" i="23"/>
  <c r="B33" i="23"/>
  <c r="C18" i="23"/>
  <c r="C19" i="23"/>
  <c r="F40" i="23"/>
  <c r="C22" i="23"/>
  <c r="D63" i="23"/>
  <c r="F60" i="23"/>
  <c r="D8" i="23"/>
  <c r="C40" i="23"/>
  <c r="B20" i="23"/>
  <c r="F20" i="23"/>
  <c r="C47" i="23"/>
  <c r="F53" i="23"/>
  <c r="E55" i="23"/>
  <c r="C13" i="23"/>
  <c r="E20" i="23"/>
  <c r="F48" i="23"/>
  <c r="F23" i="23"/>
  <c r="D45" i="23"/>
  <c r="B29" i="23"/>
  <c r="E63" i="23"/>
  <c r="D54" i="23"/>
  <c r="C59" i="23"/>
  <c r="F31" i="23"/>
  <c r="C48" i="23"/>
  <c r="E44" i="23"/>
  <c r="D12" i="23"/>
  <c r="E46" i="23"/>
  <c r="D18" i="23"/>
  <c r="E17" i="23"/>
  <c r="F6" i="23"/>
  <c r="F56" i="23"/>
  <c r="B50" i="23"/>
  <c r="F61" i="23"/>
  <c r="F41" i="23"/>
  <c r="C63" i="23"/>
  <c r="B41" i="23"/>
  <c r="C30" i="23"/>
  <c r="D37" i="23"/>
  <c r="D25" i="23"/>
  <c r="C15" i="23"/>
  <c r="C56" i="23"/>
  <c r="B60" i="23"/>
  <c r="F55" i="23"/>
  <c r="D15" i="23"/>
  <c r="E37" i="23"/>
  <c r="B38" i="23"/>
  <c r="B52" i="23"/>
  <c r="F11" i="23"/>
  <c r="C21" i="23"/>
  <c r="B63" i="23"/>
  <c r="F9" i="23"/>
  <c r="B44" i="23"/>
  <c r="D26" i="23"/>
  <c r="E26" i="23"/>
  <c r="B14" i="23"/>
  <c r="F50" i="23"/>
  <c r="B26" i="23"/>
  <c r="B55" i="23"/>
  <c r="E33" i="23"/>
  <c r="D48" i="23"/>
  <c r="B28" i="23"/>
  <c r="D49" i="23"/>
  <c r="C11" i="23"/>
  <c r="D57" i="23"/>
  <c r="F10" i="23"/>
  <c r="C6" i="23"/>
  <c r="D32" i="23"/>
  <c r="E19" i="23"/>
  <c r="E13" i="23"/>
  <c r="B32" i="23"/>
  <c r="E21" i="23"/>
  <c r="D22" i="23"/>
  <c r="D40" i="23"/>
  <c r="E12" i="23"/>
  <c r="B15" i="23"/>
  <c r="F21" i="23"/>
  <c r="E58" i="23"/>
  <c r="E15" i="23"/>
  <c r="D52" i="23"/>
  <c r="C28" i="23"/>
  <c r="C24" i="23"/>
  <c r="F16" i="23"/>
  <c r="D23" i="23"/>
  <c r="E53" i="23"/>
  <c r="F34" i="23"/>
  <c r="C44" i="23"/>
  <c r="E8" i="23"/>
  <c r="A5" i="23"/>
  <c r="D5" i="23" l="1"/>
  <c r="B5" i="23"/>
  <c r="B105" i="23" s="1"/>
  <c r="E5" i="23"/>
  <c r="C5" i="23"/>
  <c r="C105" i="23" s="1"/>
  <c r="G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<sst xmlns="http://schemas.openxmlformats.org/spreadsheetml/2006/main" count="7409" uniqueCount="3262">
  <si>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</si>
  <si>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</si>
  <si>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</si>
  <si>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</si>
  <si>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</si>
  <si>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</si>
  <si>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</si>
  <si>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</si>
  <si>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</si>
  <si>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</si>
  <si>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</si>
  <si>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</si>
  <si>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</si>
  <si>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</si>
  <si>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</si>
  <si>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</si>
  <si>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</si>
  <si>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</si>
  <si>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</si>
  <si>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</si>
  <si>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</si>
  <si>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</si>
  <si>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</si>
  <si>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</si>
  <si>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</si>
  <si>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</si>
  <si>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</si>
  <si>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</si>
  <si>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</si>
  <si>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</si>
  <si>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</si>
  <si>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</si>
  <si>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</si>
  <si>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</si>
  <si>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</si>
  <si>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</si>
  <si>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</si>
  <si>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</si>
  <si>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</si>
  <si>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</si>
  <si>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</si>
  <si>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</si>
  <si>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</si>
  <si>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</si>
  <si>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</si>
  <si>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</si>
  <si>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</si>
  <si>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</si>
  <si>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</si>
  <si>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</si>
  <si>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</si>
  <si>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</si>
  <si>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</si>
  <si>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</si>
  <si>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</si>
  <si>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</si>
  <si>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</si>
  <si>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</si>
  <si>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</si>
  <si>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</si>
  <si>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</si>
  <si>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</si>
  <si>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</si>
  <si>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</si>
  <si>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</si>
  <si>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</si>
  <si>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</si>
  <si>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</si>
  <si>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</si>
  <si>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</si>
  <si>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</si>
  <si>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</si>
  <si>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</si>
  <si>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</si>
  <si>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</si>
  <si>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</si>
  <si>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</si>
  <si>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</si>
  <si>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</si>
  <si>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</si>
  <si>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</si>
  <si>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</si>
  <si>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</si>
  <si>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</si>
  <si>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</si>
  <si>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</si>
  <si>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</si>
  <si>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</si>
  <si>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</si>
  <si>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</si>
  <si>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</si>
  <si>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</si>
  <si>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</si>
  <si>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</si>
  <si>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</si>
  <si>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</si>
  <si>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</si>
  <si>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</si>
  <si>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</si>
  <si>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</si>
  <si>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</si>
  <si>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</si>
  <si>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</si>
  <si>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</si>
  <si>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</si>
  <si>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</si>
  <si>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</si>
  <si>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</si>
  <si>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</si>
  <si>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</si>
  <si>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</si>
  <si>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</si>
  <si>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</si>
  <si>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</si>
  <si>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</si>
  <si>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</si>
  <si>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</si>
  <si>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</si>
  <si>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</si>
  <si>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</si>
  <si>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</si>
  <si>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</si>
  <si>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</si>
  <si>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</si>
  <si>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</si>
  <si>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</si>
  <si>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</si>
  <si>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</si>
  <si>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</si>
  <si>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</si>
  <si>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</si>
  <si>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</si>
  <si>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</si>
  <si>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</si>
  <si>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</si>
  <si>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</si>
  <si>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</si>
  <si>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</si>
  <si>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</si>
  <si>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</si>
  <si>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</si>
  <si>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</si>
  <si>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</si>
  <si>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</si>
  <si>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</si>
  <si>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</si>
  <si>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</si>
  <si>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</si>
  <si>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</si>
  <si>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</si>
  <si>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</si>
  <si>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</si>
  <si>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</si>
  <si>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</si>
  <si>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</si>
  <si>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</si>
  <si>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</si>
  <si>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</si>
  <si>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</si>
  <si>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</si>
  <si>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</si>
  <si>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</si>
  <si>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</si>
  <si>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</si>
  <si>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</si>
  <si>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</si>
  <si>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</si>
  <si>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</si>
  <si>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</si>
  <si>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</si>
  <si>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</si>
  <si>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</si>
  <si>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</si>
  <si>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</si>
  <si>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</si>
  <si>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</si>
  <si>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</si>
  <si>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</si>
  <si>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</si>
  <si>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</si>
  <si>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</si>
  <si>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</si>
  <si>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</si>
  <si>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</si>
  <si>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</si>
  <si>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</si>
  <si>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</si>
  <si>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</si>
  <si>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</si>
  <si>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</si>
  <si>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</si>
  <si>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</si>
  <si>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</si>
  <si>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</si>
  <si>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</si>
  <si>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</si>
  <si>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</si>
  <si>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</si>
  <si>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</si>
  <si>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</si>
  <si>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</si>
  <si>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</si>
  <si>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</si>
  <si>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</si>
  <si>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</si>
  <si>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</si>
  <si>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</si>
  <si>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</si>
  <si>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</si>
  <si>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</si>
  <si>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</si>
  <si>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</si>
  <si>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</si>
  <si>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</si>
  <si>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</si>
  <si>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</si>
  <si>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</si>
  <si>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</si>
  <si>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</si>
  <si>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</si>
  <si>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</si>
  <si>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</si>
  <si>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</si>
  <si>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</si>
  <si>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</si>
  <si>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</si>
  <si>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</si>
  <si>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</si>
  <si>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</si>
  <si>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</si>
  <si>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</si>
  <si>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</si>
  <si>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</si>
  <si>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</si>
  <si>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</si>
  <si>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</si>
  <si>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</si>
  <si>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</si>
  <si>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</si>
  <si>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</si>
  <si>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</si>
  <si>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</si>
  <si>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</si>
  <si>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</si>
  <si>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</si>
  <si>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</si>
  <si>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</si>
  <si>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</si>
  <si>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</si>
  <si>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</si>
  <si>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</si>
  <si>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</si>
  <si>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</si>
  <si>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</si>
  <si>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</si>
  <si>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</si>
  <si>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</si>
  <si>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</si>
  <si>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</si>
  <si>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</si>
  <si>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</si>
  <si>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</si>
  <si>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</si>
  <si>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</si>
  <si>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</si>
  <si>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</si>
  <si>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</si>
  <si>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</si>
  <si>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</si>
  <si>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</si>
  <si>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</si>
  <si>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</si>
  <si>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</si>
  <si>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</si>
  <si>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</si>
  <si>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</si>
  <si>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</si>
  <si>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</si>
  <si>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</si>
  <si>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</si>
  <si>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</si>
  <si>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</si>
  <si>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</si>
  <si>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</si>
  <si>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</si>
  <si>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</si>
  <si>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</si>
  <si>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</si>
  <si>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</si>
  <si>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</si>
  <si>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</si>
  <si>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</si>
  <si>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</si>
  <si>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</si>
  <si>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</si>
  <si>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</si>
  <si>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</si>
  <si>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</si>
  <si>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</si>
  <si>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</si>
  <si>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</si>
  <si>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</si>
  <si>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</si>
  <si>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</si>
  <si>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</si>
  <si>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</si>
  <si>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</si>
  <si>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</si>
  <si>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</si>
  <si>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</si>
  <si>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</si>
  <si>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</si>
  <si>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</si>
  <si>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</si>
  <si>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</si>
  <si>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</si>
  <si>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</si>
  <si>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</si>
  <si>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</si>
  <si>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</si>
  <si>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</si>
  <si>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</si>
  <si>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</si>
  <si>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</si>
  <si>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</si>
  <si>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</si>
  <si>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</si>
  <si>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</si>
  <si>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</si>
  <si>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</si>
  <si>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</si>
  <si>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</si>
  <si>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</si>
  <si>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</si>
  <si>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</si>
  <si>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</si>
  <si>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</si>
  <si>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</si>
  <si>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</si>
  <si>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</si>
  <si>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</si>
  <si>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</si>
  <si>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</si>
  <si>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</si>
  <si>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</si>
  <si>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</si>
  <si>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</si>
  <si>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</si>
  <si>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</si>
  <si>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</si>
  <si>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</si>
  <si>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</si>
  <si>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</si>
  <si>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</si>
  <si>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</si>
  <si>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</si>
  <si>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</si>
  <si>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</si>
  <si>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</si>
  <si>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</si>
  <si>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</si>
  <si>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</si>
  <si>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</si>
  <si>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</si>
  <si>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</si>
  <si>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</si>
  <si>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</si>
  <si>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</si>
  <si>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</si>
  <si>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</si>
  <si>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</si>
  <si>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</si>
  <si>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</si>
  <si>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</si>
  <si>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</si>
  <si>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</si>
  <si>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</si>
  <si>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</si>
  <si>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</si>
  <si>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</si>
  <si>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</si>
  <si>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</si>
  <si>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</si>
  <si>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</si>
  <si>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</si>
  <si>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</si>
  <si>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</si>
  <si>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</si>
  <si>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</si>
  <si>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</si>
  <si>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</si>
  <si>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</si>
  <si>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</si>
  <si>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</si>
  <si>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</si>
  <si>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</si>
  <si>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</si>
  <si>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</si>
  <si>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</si>
  <si>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</si>
  <si>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</si>
  <si>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</si>
  <si>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</si>
  <si>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</si>
  <si>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</si>
  <si>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</si>
  <si>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</si>
  <si>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</si>
  <si>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</si>
  <si>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</si>
  <si>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</si>
  <si>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</si>
  <si>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</si>
  <si>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</si>
  <si>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</si>
  <si>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</si>
  <si>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</si>
  <si>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</si>
  <si>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</si>
  <si>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</si>
  <si>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</si>
  <si>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</si>
  <si>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</si>
  <si>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</si>
  <si>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</si>
  <si>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</si>
  <si>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</si>
  <si>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</si>
  <si>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</si>
  <si>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</si>
  <si>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</si>
  <si>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</si>
  <si>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</si>
  <si>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</si>
  <si>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</si>
  <si>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</si>
  <si>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</si>
  <si>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</si>
  <si>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</si>
  <si>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</si>
  <si>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</si>
  <si>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</si>
  <si>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</si>
  <si>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</si>
  <si>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</si>
  <si>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</si>
  <si>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</si>
  <si>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</si>
  <si>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</si>
  <si>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</si>
  <si>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</si>
  <si>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</si>
  <si>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</si>
  <si>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</si>
  <si>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</si>
  <si>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</si>
  <si>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</si>
  <si>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</si>
  <si>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</si>
  <si>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</si>
  <si>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</si>
  <si>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</si>
  <si>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</si>
  <si>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</si>
  <si>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</si>
  <si>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</si>
  <si>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</si>
  <si>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</si>
  <si>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</si>
  <si>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</si>
  <si>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</si>
  <si>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</si>
  <si>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</si>
  <si>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</si>
  <si>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</si>
  <si>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</si>
  <si>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</si>
  <si>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</si>
  <si>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</si>
  <si>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</si>
  <si>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</si>
  <si>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</si>
  <si>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</si>
  <si>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</si>
  <si>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</si>
  <si>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</si>
  <si>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</si>
  <si>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</si>
  <si>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</si>
  <si>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</si>
  <si>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</si>
  <si>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</si>
  <si>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</si>
  <si>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</si>
  <si>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</si>
  <si>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</si>
  <si>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</si>
  <si>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</si>
  <si>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</si>
  <si>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</si>
  <si>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</si>
  <si>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</si>
  <si>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</si>
  <si>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</si>
  <si>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</si>
  <si>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</si>
  <si>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</si>
  <si>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</si>
  <si>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</si>
  <si>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</si>
  <si>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</si>
  <si>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</si>
  <si>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</si>
  <si>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</si>
  <si>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</si>
  <si>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</si>
  <si>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</si>
  <si>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</si>
  <si>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</si>
  <si>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</si>
  <si>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</si>
  <si>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</si>
  <si>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</si>
  <si>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</si>
  <si>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</si>
  <si>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</si>
  <si>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</si>
  <si>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</si>
  <si>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</si>
  <si>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</si>
  <si>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</si>
  <si>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</si>
  <si>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</si>
  <si>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</si>
  <si>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</si>
  <si>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</si>
  <si>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</si>
  <si>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</si>
  <si>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</si>
  <si>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</si>
  <si>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</si>
  <si>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</si>
  <si>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</si>
  <si>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</si>
  <si>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</si>
  <si>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</si>
  <si>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</si>
  <si>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</si>
  <si>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</si>
  <si>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</si>
  <si>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</si>
  <si>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</si>
  <si>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</si>
  <si>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</si>
  <si>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</si>
  <si>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</si>
  <si>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</si>
  <si>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</si>
  <si>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</si>
  <si>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</si>
  <si>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</si>
  <si>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</si>
  <si>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</si>
  <si>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</si>
  <si>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</si>
  <si>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</si>
  <si>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</si>
  <si>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</si>
  <si>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</si>
  <si>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</si>
  <si>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</si>
  <si>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</si>
  <si>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</si>
  <si>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</si>
  <si>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</si>
  <si>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</si>
  <si>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</si>
  <si>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</si>
  <si>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</si>
  <si>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</si>
  <si>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</si>
  <si>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</si>
  <si>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</si>
  <si>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</si>
  <si>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</si>
  <si>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</si>
  <si>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</si>
  <si>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</si>
  <si>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</si>
  <si>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</si>
  <si>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</si>
  <si>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</si>
  <si>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</si>
  <si>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</si>
  <si>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</si>
  <si>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</si>
  <si>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</si>
  <si>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</si>
  <si>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</si>
  <si>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</si>
  <si>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</si>
  <si>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</si>
  <si>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</si>
  <si>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</si>
  <si>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</si>
  <si>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</si>
  <si>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</si>
  <si>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</si>
  <si>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</si>
  <si>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</si>
  <si>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</si>
  <si>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</si>
  <si>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</si>
  <si>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</si>
  <si>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</si>
  <si>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</si>
  <si>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</si>
  <si>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</si>
  <si>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</si>
  <si>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</si>
  <si>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</si>
  <si>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</si>
  <si>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</si>
  <si>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</si>
  <si>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</si>
  <si>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</si>
  <si>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</si>
  <si>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</si>
  <si>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</si>
  <si>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</si>
  <si>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</si>
  <si>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</si>
  <si>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</si>
  <si>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</si>
  <si>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</si>
  <si>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</si>
  <si>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</si>
  <si>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</si>
  <si>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</si>
  <si>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</si>
  <si>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</si>
  <si>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</si>
  <si>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</si>
  <si>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</si>
  <si>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</si>
  <si>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</si>
  <si>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</si>
  <si>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</si>
  <si>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</si>
  <si>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</si>
  <si>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</si>
  <si>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</si>
  <si>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</si>
  <si>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</si>
  <si>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</si>
  <si>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</si>
  <si>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</si>
  <si>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</si>
  <si>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</si>
  <si>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</si>
  <si>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</si>
  <si>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</si>
  <si>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</si>
  <si>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</si>
  <si>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</si>
  <si>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</si>
  <si>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</si>
  <si>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</si>
  <si>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</si>
  <si>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</si>
  <si>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</si>
  <si>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</si>
  <si>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</si>
  <si>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</si>
  <si>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</si>
  <si>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</si>
  <si>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</si>
  <si>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</si>
  <si>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</si>
  <si>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</si>
  <si>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</si>
  <si>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</si>
  <si>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</si>
  <si>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</si>
  <si>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</si>
  <si>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</si>
  <si>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</si>
  <si>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</si>
  <si>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</si>
  <si>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</si>
  <si>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</si>
  <si>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</si>
  <si>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</si>
  <si>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</si>
  <si>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</si>
  <si>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</si>
  <si>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</si>
  <si>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</si>
  <si>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</si>
  <si>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</si>
  <si>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</si>
  <si>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</si>
  <si>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</si>
  <si>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</si>
  <si>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</si>
  <si>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</si>
  <si>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</si>
  <si>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</si>
  <si>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</si>
  <si>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</si>
  <si>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</si>
  <si>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</si>
  <si>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</si>
  <si>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</si>
  <si>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</si>
  <si>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</si>
  <si>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</si>
  <si>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</si>
  <si>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</si>
  <si>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</si>
  <si>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</si>
  <si>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</si>
  <si>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</si>
  <si>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</si>
  <si>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</si>
  <si>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</si>
  <si>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</si>
  <si>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</si>
  <si>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</si>
  <si>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</si>
  <si>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</si>
  <si>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</si>
  <si>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</si>
  <si>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</si>
  <si>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</si>
  <si>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</si>
  <si>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</si>
  <si>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</si>
  <si>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</si>
  <si>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</si>
  <si>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</si>
  <si>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</si>
  <si>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</si>
  <si>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</si>
  <si>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</si>
  <si>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</si>
  <si>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</si>
  <si>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</si>
  <si>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</si>
  <si>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</si>
  <si>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</si>
  <si>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</si>
  <si>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</si>
  <si>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</si>
  <si>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</si>
  <si>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</si>
  <si>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</si>
  <si>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</si>
  <si>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</si>
  <si>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</si>
  <si>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</si>
  <si>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</si>
  <si>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</si>
  <si>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</si>
  <si>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</si>
  <si>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</si>
  <si>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</si>
  <si>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</si>
  <si>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</si>
  <si>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</si>
  <si>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</si>
  <si>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</si>
  <si>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</si>
  <si>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</si>
  <si>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</si>
  <si>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</si>
  <si>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</si>
  <si>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</si>
  <si>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</si>
  <si>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</si>
  <si>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</si>
  <si>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</si>
  <si>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</si>
  <si>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</si>
  <si>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</si>
  <si>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</si>
  <si>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</si>
  <si>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</si>
  <si>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</si>
  <si>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</si>
  <si>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</si>
  <si>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</si>
  <si>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</si>
  <si>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</si>
  <si>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</si>
  <si>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</si>
  <si>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</si>
  <si>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</si>
  <si>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</si>
  <si>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</si>
  <si>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</si>
  <si>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</si>
  <si>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</si>
  <si>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</si>
  <si>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</si>
  <si>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</si>
  <si>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</si>
  <si>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</si>
  <si>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</si>
  <si>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</si>
  <si>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</si>
  <si>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</si>
  <si>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</si>
  <si>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</si>
  <si>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</si>
  <si>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</si>
  <si>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</si>
  <si>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</si>
  <si>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</si>
  <si>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</si>
  <si>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</si>
  <si>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</si>
  <si>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</si>
  <si>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</si>
  <si>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</si>
  <si>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</si>
  <si>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</si>
  <si>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</si>
  <si>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</si>
  <si>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</si>
  <si>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</si>
  <si>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</si>
  <si>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</si>
  <si>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</si>
  <si>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</si>
  <si>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</si>
  <si>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</si>
  <si>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</si>
  <si>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</si>
  <si>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</si>
  <si>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</si>
  <si>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</si>
  <si>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</si>
  <si>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</si>
  <si>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</si>
  <si>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</si>
  <si>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</si>
  <si>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</si>
  <si>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</si>
  <si>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</si>
  <si>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</si>
  <si>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</si>
  <si>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</si>
  <si>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</si>
  <si>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</si>
  <si>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</si>
  <si>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</si>
  <si>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</si>
  <si>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</si>
  <si>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</si>
  <si>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</si>
  <si>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</si>
  <si>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</si>
  <si>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</si>
  <si>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</si>
  <si>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</si>
  <si>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</si>
  <si>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</si>
  <si>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</si>
  <si>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</si>
  <si>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</si>
  <si>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</si>
  <si>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</si>
  <si>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</si>
  <si>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</si>
  <si>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</si>
  <si>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</si>
  <si>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</si>
  <si>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</si>
  <si>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</si>
  <si>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</si>
  <si>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</si>
  <si>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</si>
  <si>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</si>
  <si>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</si>
  <si>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</si>
  <si>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</si>
  <si>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</si>
  <si>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</si>
  <si>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</si>
  <si>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</si>
  <si>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</si>
  <si>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</si>
  <si>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</si>
  <si>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</si>
  <si>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</si>
  <si>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</si>
  <si>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</si>
  <si>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</si>
  <si>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</si>
  <si>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</si>
  <si>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</si>
  <si>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</si>
  <si>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</si>
  <si>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</si>
  <si>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</si>
  <si>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</si>
  <si>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</si>
  <si>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</si>
  <si>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</si>
  <si>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</si>
  <si>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</si>
  <si>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</si>
  <si>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</si>
  <si>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</si>
  <si>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</si>
  <si>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</si>
  <si>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</si>
  <si>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</si>
  <si>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</si>
  <si>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</si>
  <si>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</si>
  <si>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</si>
  <si>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</si>
  <si>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</si>
  <si>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</si>
  <si>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</si>
  <si>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</si>
  <si>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</si>
  <si>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</si>
  <si>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</si>
  <si>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</si>
  <si>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</si>
  <si>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</si>
  <si>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</si>
  <si>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</si>
  <si>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</si>
  <si>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</si>
  <si>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</si>
  <si>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</si>
  <si>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</si>
  <si>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</si>
  <si>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</si>
  <si>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</si>
  <si>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</si>
  <si>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</si>
  <si>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</si>
  <si>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</si>
  <si>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</si>
  <si>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</si>
  <si>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</si>
  <si>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</si>
  <si>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</si>
  <si>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</si>
  <si>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</si>
  <si>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</si>
  <si>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</si>
  <si>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</si>
  <si>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</si>
  <si>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</si>
  <si>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</si>
  <si>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</si>
  <si>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</si>
  <si>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</si>
  <si>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</si>
  <si>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</si>
  <si>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</si>
  <si>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</si>
  <si>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</si>
  <si>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</si>
  <si>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</si>
  <si>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</si>
  <si>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</si>
  <si>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</si>
  <si>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</si>
  <si>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</si>
  <si>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</si>
  <si>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</si>
  <si>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</si>
  <si>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</si>
  <si>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</si>
  <si>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</si>
  <si>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</si>
  <si>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</si>
  <si>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</si>
  <si>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</si>
  <si>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</si>
  <si>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</si>
  <si>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</si>
  <si>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</si>
  <si>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</si>
  <si>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</si>
  <si>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</si>
  <si>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</si>
  <si>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</si>
  <si>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</si>
  <si>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</si>
  <si>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</si>
  <si>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</si>
  <si>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</si>
  <si>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</si>
  <si>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</si>
  <si>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</si>
  <si>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</si>
  <si>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</si>
  <si>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</si>
  <si>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</si>
  <si>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</si>
  <si>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</si>
  <si>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</si>
  <si>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</si>
  <si>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</si>
  <si>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</si>
  <si>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</si>
  <si>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</si>
  <si>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</si>
  <si>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</si>
  <si>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</si>
  <si>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</si>
  <si>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</si>
  <si>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</si>
  <si>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</si>
  <si>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</si>
  <si>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</si>
  <si>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</si>
  <si>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</si>
  <si>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</si>
  <si>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</si>
  <si>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</si>
  <si>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</si>
  <si>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</si>
  <si>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</si>
  <si>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</si>
  <si>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</si>
  <si>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</si>
  <si>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</si>
  <si>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</si>
  <si>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</si>
  <si>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</si>
  <si>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</si>
  <si>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</si>
  <si>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</si>
  <si>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</si>
  <si>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</si>
  <si>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</si>
  <si>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</si>
  <si>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</si>
  <si>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</si>
  <si>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</si>
  <si>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</si>
  <si>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</si>
  <si>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</si>
  <si>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</si>
  <si>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</si>
  <si>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</si>
  <si>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</si>
  <si>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</si>
  <si>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</si>
  <si>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</si>
  <si>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</si>
  <si>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</si>
  <si>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</si>
  <si>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</si>
  <si>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</si>
  <si>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</si>
  <si>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</si>
  <si>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</si>
  <si>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</si>
  <si>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</si>
  <si>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</si>
  <si>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</si>
  <si>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</si>
  <si>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</si>
  <si>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</si>
  <si>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</si>
  <si>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</si>
  <si>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</si>
  <si>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</si>
  <si>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</si>
  <si>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</si>
  <si>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</si>
  <si>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</si>
  <si>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</si>
  <si>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</si>
  <si>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</si>
  <si>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</si>
  <si>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</si>
  <si>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</si>
  <si>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</si>
  <si>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</si>
  <si>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</si>
  <si>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</si>
  <si>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</si>
  <si>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</si>
  <si>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</si>
  <si>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</si>
  <si>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</si>
  <si>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</si>
  <si>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</si>
  <si>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</si>
  <si>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</si>
  <si>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</si>
  <si>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</si>
  <si>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</si>
  <si>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</si>
  <si>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</si>
  <si>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</si>
  <si>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</si>
  <si>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</si>
  <si>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</si>
  <si>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</si>
  <si>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</si>
  <si>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</si>
  <si>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</si>
  <si>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</si>
  <si>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</si>
  <si>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</si>
  <si>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</si>
  <si>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</si>
  <si>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</si>
  <si>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</si>
  <si>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</si>
  <si>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</si>
  <si>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</si>
  <si>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</si>
  <si>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</si>
  <si>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</si>
  <si>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</si>
  <si>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</si>
  <si>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</si>
  <si>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</si>
  <si>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</si>
  <si>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</si>
  <si>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</si>
  <si>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</si>
  <si>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</si>
  <si>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</si>
  <si>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</si>
  <si>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</si>
  <si>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</si>
  <si>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</si>
  <si>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</si>
  <si>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</si>
  <si>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</si>
  <si>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</si>
  <si>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</si>
  <si>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</si>
  <si>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</si>
  <si>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</si>
  <si>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</si>
  <si>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</si>
  <si>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</si>
  <si>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</si>
  <si>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</si>
  <si>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</si>
  <si>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</si>
  <si>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</si>
  <si>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</si>
  <si>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</si>
  <si>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</si>
  <si>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</si>
  <si>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</si>
  <si>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</si>
  <si>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</si>
  <si>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</si>
  <si>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</si>
  <si>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</si>
  <si>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</si>
  <si>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</si>
  <si>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</si>
  <si>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</si>
  <si>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</si>
  <si>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</si>
  <si>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</si>
  <si>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</si>
  <si>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</si>
  <si>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</si>
  <si>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</si>
  <si>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</si>
  <si>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</si>
  <si>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</si>
  <si>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</si>
  <si>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</si>
  <si>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</si>
  <si>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</si>
  <si>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</si>
  <si>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</si>
  <si>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</si>
  <si>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</si>
  <si>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</si>
  <si>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</si>
  <si>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</si>
  <si>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</si>
  <si>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</si>
  <si>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</si>
  <si>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</si>
  <si>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</si>
  <si>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</si>
  <si>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</si>
  <si>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</si>
  <si>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</si>
  <si>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</si>
  <si>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</si>
  <si>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</si>
  <si>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</si>
  <si>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</si>
  <si>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</si>
  <si>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</si>
  <si>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</si>
  <si>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</si>
  <si>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</si>
  <si>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</si>
  <si>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</si>
  <si>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</si>
  <si>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</si>
  <si>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</si>
  <si>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</si>
  <si>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</si>
  <si>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</si>
  <si>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</si>
  <si>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</si>
  <si>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</si>
  <si>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</si>
  <si>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</si>
  <si>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</si>
  <si>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</si>
  <si>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</si>
  <si>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</si>
  <si>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</si>
  <si>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</si>
  <si>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</si>
  <si>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</si>
  <si>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</si>
  <si>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</si>
  <si>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</si>
  <si>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</si>
  <si>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</si>
  <si>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</si>
  <si>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</si>
  <si>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</si>
  <si>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</si>
  <si>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</si>
  <si>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</si>
  <si>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</si>
  <si>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</si>
  <si>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</si>
  <si>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</si>
  <si>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</si>
  <si>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</si>
  <si>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</si>
  <si>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</si>
  <si>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</si>
  <si>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</si>
  <si>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</si>
  <si>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</si>
  <si>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</si>
  <si>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</si>
  <si>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</si>
  <si>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</si>
  <si>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</si>
  <si>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</si>
  <si>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</si>
  <si>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</si>
  <si>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</si>
  <si>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</si>
  <si>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</si>
  <si>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</si>
  <si>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</si>
  <si>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</si>
  <si>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</si>
  <si>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</si>
  <si>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</si>
  <si>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</si>
  <si>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</si>
  <si>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</si>
  <si>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</si>
  <si>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</si>
  <si>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</si>
  <si>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</si>
  <si>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</si>
  <si>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</si>
  <si>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</si>
  <si>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</si>
  <si>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</si>
  <si>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</si>
  <si>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</si>
  <si>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</si>
  <si>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</si>
  <si>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</si>
  <si>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</si>
  <si>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</si>
  <si>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</si>
  <si>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</si>
  <si>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</si>
  <si>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</si>
  <si>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</si>
  <si>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</si>
  <si>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</si>
  <si>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</si>
  <si>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</si>
  <si>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</si>
  <si>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</si>
  <si>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</si>
  <si>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</si>
  <si>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</si>
  <si>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</si>
  <si>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</si>
  <si>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</si>
  <si>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</si>
  <si>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</si>
  <si>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</si>
  <si>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</si>
  <si>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</si>
  <si>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</si>
  <si>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</si>
  <si>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</si>
  <si>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</si>
  <si>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</si>
  <si>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</si>
  <si>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</si>
  <si>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</si>
  <si>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</si>
  <si>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</si>
  <si>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</si>
  <si>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</si>
  <si>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</si>
  <si>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</si>
  <si>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</si>
  <si>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</si>
  <si>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</si>
  <si>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</si>
  <si>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</si>
  <si>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</si>
  <si>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</si>
  <si>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</si>
  <si>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</si>
  <si>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</si>
  <si>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</si>
  <si>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</si>
  <si>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</si>
  <si>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</si>
  <si>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</si>
  <si>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</si>
  <si>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</si>
  <si>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</si>
  <si>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</si>
  <si>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</si>
  <si>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</si>
  <si>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</si>
  <si>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</si>
  <si>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</si>
  <si>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</si>
  <si>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</si>
  <si>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</si>
  <si>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</si>
  <si>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</si>
  <si>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</si>
  <si>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</si>
  <si>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</si>
  <si>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</si>
  <si>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</si>
  <si>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</si>
  <si>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</si>
  <si>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</si>
  <si>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</si>
  <si>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</si>
  <si>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</si>
  <si>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</si>
  <si>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</si>
  <si>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</si>
  <si>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</si>
  <si>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</si>
  <si>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</si>
  <si>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</si>
  <si>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</si>
  <si>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</si>
  <si>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</si>
  <si>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</si>
  <si>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</si>
  <si>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</si>
  <si>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</si>
  <si>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</si>
  <si>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</si>
  <si>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</si>
  <si>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</si>
  <si>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</si>
  <si>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</si>
  <si>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</si>
  <si>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</si>
  <si>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</si>
  <si>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</si>
  <si>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</si>
  <si>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</si>
  <si>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</si>
  <si>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</si>
  <si>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</si>
  <si>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</si>
  <si>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</si>
  <si>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</si>
  <si>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</si>
  <si>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</si>
  <si>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</si>
  <si>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</si>
  <si>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</si>
  <si>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</si>
  <si>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</si>
  <si>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</si>
  <si>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</si>
  <si>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</si>
  <si>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</si>
  <si>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</si>
  <si>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</si>
  <si>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</si>
  <si>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</si>
  <si>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</si>
  <si>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</si>
  <si>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</si>
  <si>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</si>
  <si>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</si>
  <si>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</si>
  <si>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</si>
  <si>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</si>
  <si>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</si>
  <si>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</si>
  <si>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</si>
  <si>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</si>
  <si>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</si>
  <si>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</si>
  <si>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</si>
  <si>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</si>
  <si>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</si>
  <si>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</si>
  <si>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</si>
  <si>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</si>
  <si>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</si>
  <si>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</si>
  <si>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</si>
  <si>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</si>
  <si>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</si>
  <si>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</si>
  <si>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</si>
  <si>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</si>
  <si>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</si>
  <si>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</si>
  <si>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</si>
  <si>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</si>
  <si>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</si>
  <si>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</si>
  <si>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</si>
  <si>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</si>
  <si>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</si>
  <si>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</si>
  <si>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</si>
  <si>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</si>
  <si>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</si>
  <si>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</si>
  <si>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</si>
  <si>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</si>
  <si>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</si>
  <si>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</si>
  <si>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</si>
  <si>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</si>
  <si>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</si>
  <si>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</si>
  <si>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</si>
  <si>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</si>
  <si>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</si>
  <si>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</si>
  <si>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</si>
  <si>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</si>
  <si>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</si>
  <si>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</si>
  <si>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</si>
  <si>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</si>
  <si>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</si>
  <si>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</si>
  <si>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</si>
  <si>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</si>
  <si>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</si>
  <si>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</si>
  <si>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</si>
  <si>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</si>
  <si>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</si>
  <si>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</si>
  <si>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</si>
  <si>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</si>
  <si>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</si>
  <si>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</si>
  <si>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</si>
  <si>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</si>
  <si>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</si>
  <si>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</si>
  <si>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</si>
  <si>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</si>
  <si>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</si>
  <si>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</si>
  <si>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</si>
  <si>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</si>
  <si>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</si>
  <si>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</si>
  <si>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</si>
  <si>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</si>
  <si>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</si>
  <si>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</si>
  <si>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</si>
  <si>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</si>
  <si>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</si>
  <si>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</si>
  <si>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</si>
  <si>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</si>
  <si>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</si>
  <si>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</si>
  <si>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</si>
  <si>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</si>
  <si>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</si>
  <si>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</si>
  <si>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</si>
  <si>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</si>
  <si>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</si>
  <si>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</si>
  <si>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</si>
  <si>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</si>
  <si>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</si>
  <si>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</si>
  <si>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</si>
  <si>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</si>
  <si>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</si>
  <si>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</si>
  <si>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</si>
  <si>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</si>
  <si>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</si>
  <si>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</si>
  <si>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</si>
  <si>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</si>
  <si>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</si>
  <si>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</si>
  <si>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</si>
  <si>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</si>
  <si>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</si>
  <si>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</si>
  <si>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</si>
  <si>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</si>
  <si>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</si>
  <si>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</si>
  <si>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</si>
  <si>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</si>
  <si>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</si>
  <si>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</si>
  <si>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</si>
  <si>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</si>
  <si>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</si>
  <si>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</si>
  <si>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</si>
  <si>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</si>
  <si>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</si>
  <si>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</si>
  <si>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</si>
  <si>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</si>
  <si>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</si>
  <si>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</si>
  <si>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</si>
  <si>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</si>
  <si>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</si>
  <si>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</si>
  <si>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</si>
  <si>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</si>
  <si>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</si>
  <si>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</si>
  <si>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</si>
  <si>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</si>
  <si>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</si>
  <si>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</si>
  <si>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</si>
  <si>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</si>
  <si>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</si>
  <si>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</si>
  <si>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</si>
  <si>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</si>
  <si>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</si>
  <si>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</si>
  <si>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</si>
  <si>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</si>
  <si>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</si>
  <si>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</si>
  <si>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</si>
  <si>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</si>
  <si>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</si>
  <si>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</si>
  <si>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</si>
  <si>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</si>
  <si>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</si>
  <si>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</si>
  <si>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</si>
  <si>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</si>
  <si>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</si>
  <si>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</si>
  <si>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</si>
  <si>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</si>
  <si>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</si>
  <si>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</si>
  <si>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</si>
  <si>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</si>
  <si>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</si>
  <si>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</si>
  <si>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</si>
  <si>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</si>
  <si>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</si>
  <si>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</si>
  <si>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</si>
  <si>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</si>
  <si>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</si>
  <si>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</si>
  <si>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</si>
  <si>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</si>
  <si>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</si>
  <si>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</si>
  <si>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</si>
  <si>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</si>
  <si>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</si>
  <si>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</si>
  <si>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</si>
  <si>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</si>
  <si>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</si>
  <si>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</si>
  <si>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</si>
  <si>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</si>
  <si>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</si>
  <si>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</si>
  <si>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</si>
  <si>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</si>
  <si>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</si>
  <si>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</si>
  <si>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</si>
  <si>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</si>
  <si>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</si>
  <si>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</si>
  <si>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</si>
  <si>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</si>
  <si>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</si>
  <si>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</si>
  <si>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</si>
  <si>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</si>
  <si>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</si>
  <si>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</si>
  <si>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</si>
  <si>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</si>
  <si>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</si>
  <si>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</si>
  <si>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</si>
  <si>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</si>
  <si>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</si>
  <si>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</si>
  <si>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</si>
  <si>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</si>
  <si>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</si>
  <si>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</si>
  <si>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</si>
  <si>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</si>
  <si>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</si>
  <si>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</si>
  <si>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</si>
  <si>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</si>
  <si>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</si>
  <si>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</si>
  <si>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</si>
  <si>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</si>
  <si>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</si>
  <si>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</si>
  <si>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</si>
  <si>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</si>
  <si>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</si>
  <si>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</si>
  <si>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</si>
  <si>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</si>
  <si>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</si>
  <si>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</si>
  <si>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</si>
  <si>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</si>
  <si>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</si>
  <si>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</si>
  <si>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</si>
  <si>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</si>
  <si>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</si>
  <si>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</si>
  <si>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</si>
  <si>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</si>
  <si>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</si>
  <si>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</si>
  <si>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</si>
  <si>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</si>
  <si>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</si>
  <si>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</si>
  <si>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</si>
  <si>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</si>
  <si>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</si>
  <si>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</si>
  <si>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</si>
  <si>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</si>
  <si>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</si>
  <si>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</si>
  <si>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</si>
  <si>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</si>
  <si>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</si>
  <si>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</si>
  <si>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</si>
  <si>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</si>
  <si>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</si>
  <si>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</si>
  <si>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</si>
  <si>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</si>
  <si>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</si>
  <si>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</si>
  <si>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</si>
  <si>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</si>
  <si>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</si>
  <si>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</si>
  <si>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</si>
  <si>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</si>
  <si>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</si>
  <si>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</si>
  <si>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</si>
  <si>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</si>
  <si>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</si>
  <si>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</si>
  <si>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</si>
  <si>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</si>
  <si>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</si>
  <si>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</si>
  <si>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</si>
  <si>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</si>
  <si>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</si>
  <si>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</si>
  <si>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</si>
  <si>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</si>
  <si>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</si>
  <si>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</si>
  <si>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</si>
  <si>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</si>
  <si>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</si>
  <si>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</si>
  <si>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</si>
  <si>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</si>
  <si>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</si>
  <si>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</si>
  <si>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</si>
  <si>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</si>
  <si>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</si>
  <si>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</si>
  <si>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</si>
  <si>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</si>
  <si>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</si>
  <si>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</si>
  <si>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</si>
  <si>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</si>
  <si>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</si>
  <si>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</si>
  <si>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</si>
  <si>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</si>
  <si>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</si>
  <si>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</si>
  <si>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</si>
  <si>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</si>
  <si>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</si>
  <si>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</si>
  <si>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</si>
  <si>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</si>
  <si>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</si>
  <si>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</si>
  <si>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</si>
  <si>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</si>
  <si>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</si>
  <si>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</si>
  <si>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</si>
  <si>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</si>
  <si>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</si>
  <si>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</si>
  <si>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</si>
  <si>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</si>
  <si>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</si>
  <si>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</si>
  <si>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</si>
  <si>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</si>
  <si>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</si>
  <si>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</si>
  <si>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</si>
  <si>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</si>
  <si>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</si>
  <si>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</si>
  <si>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</si>
  <si>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</si>
  <si>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</si>
  <si>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</si>
  <si>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</si>
  <si>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</si>
  <si>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</si>
  <si>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</si>
  <si>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</si>
  <si>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</si>
  <si>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</si>
  <si>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</si>
  <si>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</si>
  <si>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</si>
  <si>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</si>
  <si>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</si>
  <si>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</si>
  <si>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</si>
  <si>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</si>
  <si>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</si>
  <si>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</si>
  <si>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</si>
  <si>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</si>
  <si>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</si>
  <si>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</si>
  <si>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</si>
  <si>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</si>
  <si>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</si>
  <si>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</si>
  <si>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</si>
  <si>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</si>
  <si>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</si>
  <si>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</si>
  <si>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</si>
  <si>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</si>
  <si>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</si>
  <si>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</si>
  <si>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</si>
  <si>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</si>
  <si>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</si>
  <si>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</si>
  <si>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</si>
  <si>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</si>
  <si>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</si>
  <si>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</si>
  <si>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</si>
  <si>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</si>
  <si>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</si>
  <si>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</si>
  <si>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</si>
  <si>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</si>
  <si>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</si>
  <si>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</si>
  <si>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</si>
  <si>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</si>
  <si>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</si>
  <si>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</si>
  <si>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</si>
  <si>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</si>
  <si>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</si>
  <si>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</si>
  <si>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</si>
  <si>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</si>
  <si>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</si>
  <si>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</si>
  <si>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</si>
  <si>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</si>
  <si>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</si>
  <si>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</si>
  <si>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</si>
  <si>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</si>
  <si>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</si>
  <si>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</si>
  <si>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</si>
  <si>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</si>
  <si>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</si>
  <si>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</si>
  <si>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</si>
  <si>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</si>
  <si>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</si>
  <si>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</si>
  <si>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</si>
  <si>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</si>
  <si>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</si>
  <si>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</si>
  <si>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</si>
  <si>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</si>
  <si>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</si>
  <si>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</si>
  <si>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</si>
  <si>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</si>
  <si>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</si>
  <si>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</si>
  <si>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</si>
  <si>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</si>
  <si>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</si>
  <si>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</si>
  <si>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</si>
  <si>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</si>
  <si>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</si>
  <si>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</si>
  <si>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</si>
  <si>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</si>
  <si>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</si>
  <si>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</si>
  <si>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</si>
  <si>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</si>
  <si>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</si>
  <si>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</si>
  <si>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</si>
  <si>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</si>
  <si>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</si>
  <si>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</si>
  <si>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</si>
  <si>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</si>
  <si>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</si>
  <si>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</si>
  <si>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</si>
  <si>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</si>
  <si>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</si>
  <si>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</si>
  <si>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</si>
  <si>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</si>
  <si>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</si>
  <si>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</si>
  <si>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</si>
  <si>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</si>
  <si>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</si>
  <si>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</si>
  <si>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</si>
  <si>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</si>
  <si>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</si>
  <si>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</si>
  <si>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</si>
  <si>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</si>
  <si>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</si>
  <si>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</si>
  <si>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</si>
  <si>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</si>
  <si>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</si>
  <si>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</si>
  <si>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</si>
  <si>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</si>
  <si>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</si>
  <si>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</si>
  <si>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</si>
  <si>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</si>
  <si>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</si>
  <si>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</si>
  <si>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</si>
  <si>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</si>
  <si>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</si>
  <si>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</si>
  <si>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</si>
  <si>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</si>
  <si>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</si>
  <si>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</si>
  <si>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</si>
  <si>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</si>
  <si>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</si>
  <si>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</si>
  <si>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</si>
  <si>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</si>
  <si>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</si>
  <si>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</si>
  <si>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</si>
  <si>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</si>
  <si>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</si>
  <si>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</si>
  <si>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</si>
  <si>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</si>
  <si>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</si>
  <si>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</si>
  <si>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</si>
  <si>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</si>
  <si>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</si>
  <si>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</si>
  <si>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</si>
  <si>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</si>
  <si>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</si>
  <si>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</si>
  <si>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</si>
  <si>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</si>
  <si>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</si>
  <si>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</si>
  <si>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</si>
  <si>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</si>
  <si>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</si>
  <si>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</si>
  <si>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</si>
  <si>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</si>
  <si>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</si>
  <si>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</si>
  <si>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</si>
  <si>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</si>
  <si>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</si>
  <si>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</si>
  <si>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</si>
  <si>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</si>
  <si>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</si>
  <si>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</si>
  <si>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</si>
  <si>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</si>
  <si>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</si>
  <si>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</si>
  <si>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</si>
  <si>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</si>
  <si>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</si>
  <si>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</si>
  <si>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</si>
  <si>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</si>
  <si>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</si>
  <si>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</si>
  <si>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</si>
  <si>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</si>
  <si>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</si>
  <si>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</si>
  <si>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</si>
  <si>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</si>
  <si>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</si>
  <si>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</si>
  <si>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</si>
  <si>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</si>
  <si>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</si>
  <si>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</si>
  <si>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</si>
  <si>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</si>
  <si>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</si>
  <si>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</si>
  <si>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</si>
  <si>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</si>
  <si>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</si>
  <si>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</si>
  <si>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</si>
  <si>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</si>
  <si>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</si>
  <si>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</si>
  <si>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</si>
  <si>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</si>
  <si>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</si>
  <si>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</si>
  <si>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</si>
  <si>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</si>
  <si>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</si>
  <si>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</si>
  <si>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</si>
  <si>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</si>
  <si>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</si>
  <si>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</si>
  <si>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</si>
  <si>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</si>
  <si>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</si>
  <si>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</si>
  <si>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</si>
  <si>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</si>
  <si>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</si>
  <si>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</si>
  <si>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</si>
  <si>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</si>
  <si>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</si>
  <si>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</si>
  <si>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</si>
  <si>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</si>
  <si>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</si>
  <si>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</si>
  <si>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</si>
  <si>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</si>
  <si>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</si>
  <si>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</si>
  <si>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</si>
  <si>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</si>
  <si>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</si>
  <si>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</si>
  <si>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</si>
  <si>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</si>
  <si>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</si>
  <si>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</si>
  <si>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</si>
  <si>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</si>
  <si>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</si>
  <si>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</si>
  <si>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</si>
  <si>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</si>
  <si>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</si>
  <si>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</si>
  <si>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</si>
  <si>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</si>
  <si>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</si>
  <si>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</si>
  <si>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</si>
  <si>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</si>
  <si>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</si>
  <si>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</si>
  <si>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</si>
  <si>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</si>
  <si>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</si>
  <si>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</si>
  <si>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</si>
  <si>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</si>
  <si>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</si>
  <si>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</si>
  <si>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</si>
  <si>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</si>
  <si>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</si>
  <si>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</si>
  <si>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</si>
  <si>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</si>
  <si>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</si>
  <si>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</si>
  <si>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</si>
  <si>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</si>
  <si>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</si>
  <si>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</si>
  <si>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</si>
  <si>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</si>
  <si>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</si>
  <si>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</si>
  <si>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</si>
  <si>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</si>
  <si>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</si>
  <si>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</si>
  <si>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</si>
  <si>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</si>
  <si>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</si>
  <si>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</si>
  <si>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</si>
  <si>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</si>
  <si>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</si>
  <si>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</si>
  <si>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</si>
  <si>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</si>
  <si>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</si>
  <si>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</si>
  <si>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</si>
  <si>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</si>
  <si>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</si>
  <si>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</si>
  <si>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</si>
  <si>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</si>
  <si>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</si>
  <si>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</si>
  <si>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</si>
  <si>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</si>
  <si>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</si>
  <si>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</si>
  <si>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</si>
  <si>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</si>
  <si>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</si>
  <si>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</si>
  <si>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</si>
  <si>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</si>
  <si>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</si>
  <si>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</si>
  <si>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</si>
  <si>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</si>
  <si>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</si>
  <si>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</si>
  <si>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</si>
  <si>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</si>
  <si>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</si>
  <si>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</si>
  <si>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</si>
  <si>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</si>
  <si>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</si>
  <si>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</si>
  <si>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</si>
  <si>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</si>
  <si>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</si>
  <si>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</si>
  <si>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</si>
  <si>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</si>
  <si>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</si>
  <si>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</si>
  <si>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</si>
  <si>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</si>
  <si>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</si>
  <si>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</si>
  <si>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</si>
  <si>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</si>
  <si>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</si>
  <si>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</si>
  <si>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</si>
  <si>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</si>
  <si>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</si>
  <si>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</si>
  <si>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</si>
  <si>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</si>
  <si>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</si>
  <si>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</si>
  <si>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</si>
  <si>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</si>
  <si>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</si>
  <si>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</si>
  <si>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</si>
  <si>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</si>
  <si>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</si>
  <si>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</si>
  <si>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</si>
  <si>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</si>
  <si>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</si>
  <si>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</si>
  <si>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</si>
  <si>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</si>
  <si>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</si>
  <si>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</si>
  <si>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</si>
  <si>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</si>
  <si>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</si>
  <si>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</si>
  <si>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</si>
  <si>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</si>
  <si>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</si>
  <si>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</si>
  <si>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</si>
  <si>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</si>
  <si>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</si>
  <si>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</si>
  <si>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</si>
  <si>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</si>
  <si>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</si>
  <si>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</si>
  <si>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</si>
  <si>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</si>
  <si>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</si>
  <si>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</si>
  <si>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</si>
  <si>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</si>
  <si>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</si>
  <si>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</si>
  <si>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</si>
  <si>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</si>
  <si>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</si>
  <si>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</si>
  <si>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</si>
  <si>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</si>
  <si>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</si>
  <si>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</si>
  <si>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</si>
  <si>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</si>
  <si>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</si>
  <si>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</si>
  <si>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</si>
  <si>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</si>
  <si>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</si>
  <si>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</si>
  <si>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</si>
  <si>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</si>
  <si>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</si>
  <si>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</si>
  <si>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</si>
  <si>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</si>
  <si>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</si>
  <si>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</si>
  <si>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</si>
  <si>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</si>
  <si>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</si>
  <si>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</si>
  <si>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</si>
  <si>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</si>
  <si>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</si>
  <si>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</si>
  <si>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</si>
  <si>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</si>
  <si>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</si>
  <si>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</si>
  <si>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</si>
  <si>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</si>
  <si>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</si>
  <si>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</si>
  <si>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</si>
  <si>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</si>
  <si>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</si>
  <si>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</si>
  <si>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</si>
  <si>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</si>
  <si>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</si>
  <si>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</si>
  <si>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</si>
  <si>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</si>
  <si>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</si>
  <si>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</si>
  <si>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</si>
  <si>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</si>
  <si>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</si>
  <si>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</si>
  <si>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</si>
  <si>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</si>
  <si>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</si>
  <si>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</si>
  <si>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</si>
  <si>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</si>
  <si>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</si>
  <si>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</si>
  <si>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</si>
  <si>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</si>
  <si>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</si>
  <si>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</si>
  <si>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</si>
  <si>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</si>
  <si>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</si>
  <si>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</si>
  <si>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</si>
  <si>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</si>
  <si>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</si>
  <si>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</si>
  <si>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</si>
  <si>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</si>
  <si>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</si>
  <si>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</si>
  <si>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</si>
  <si>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</si>
  <si>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</si>
  <si>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</si>
  <si>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</si>
  <si>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</si>
  <si>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</si>
  <si>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</si>
  <si>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</si>
  <si>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</si>
  <si>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</si>
  <si>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</si>
  <si>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</si>
  <si>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</si>
  <si>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</si>
  <si>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</si>
  <si>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</si>
  <si>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</si>
  <si>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</si>
  <si>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</si>
  <si>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</si>
  <si>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</si>
  <si>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</si>
  <si>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</si>
  <si>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</si>
  <si>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</si>
  <si>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</si>
  <si>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</si>
  <si>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</si>
  <si>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</si>
  <si>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</si>
  <si>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</si>
  <si>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</si>
  <si>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</si>
  <si>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</si>
  <si>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</si>
  <si>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</si>
  <si>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</si>
  <si>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</si>
  <si>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</si>
  <si>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</si>
  <si>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</si>
  <si>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</si>
  <si>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</si>
  <si>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</si>
  <si>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</si>
  <si>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</si>
  <si>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</si>
  <si>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</si>
  <si>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</si>
  <si>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</si>
  <si>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</si>
  <si>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</si>
  <si>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</si>
  <si>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</si>
  <si>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</si>
  <si>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</si>
  <si>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</si>
  <si>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</si>
  <si>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</si>
  <si>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</si>
  <si>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</si>
  <si>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</si>
  <si>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</si>
  <si>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</si>
  <si>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</si>
  <si>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</si>
  <si>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</si>
  <si>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</si>
  <si>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</si>
  <si>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</si>
  <si>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</si>
  <si>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</si>
  <si>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</si>
  <si>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</si>
  <si>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</si>
  <si>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</si>
  <si>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</si>
  <si>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</si>
  <si>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</si>
  <si>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</si>
  <si>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</si>
  <si>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</si>
  <si>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</si>
  <si>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</si>
  <si>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</si>
  <si>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</si>
  <si>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</si>
  <si>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</si>
  <si>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</si>
  <si>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</si>
  <si>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</si>
  <si>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</si>
  <si>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</si>
  <si>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</si>
  <si>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</si>
  <si>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</si>
  <si>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</si>
  <si>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</si>
  <si>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</si>
  <si>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</si>
  <si>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</si>
  <si>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</si>
  <si>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</si>
  <si>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</si>
  <si>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</si>
  <si>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</si>
  <si>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</si>
  <si>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</si>
  <si>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</si>
  <si>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</si>
  <si>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</si>
  <si>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</si>
  <si>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</si>
  <si>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</si>
  <si>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</si>
  <si>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</si>
  <si>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</si>
  <si>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</si>
  <si>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</si>
  <si>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</si>
  <si>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</si>
  <si>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</si>
  <si>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</si>
  <si>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</si>
  <si>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</si>
  <si>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</si>
  <si>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</si>
  <si>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</si>
  <si>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</si>
  <si>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</si>
  <si>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</si>
  <si>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</si>
  <si>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</si>
  <si>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</si>
  <si>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</si>
  <si>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</si>
  <si>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</si>
  <si>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</si>
  <si>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</si>
  <si>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</si>
  <si>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</si>
  <si>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</si>
  <si>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</si>
  <si>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</si>
  <si>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</si>
  <si>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</si>
  <si>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</si>
  <si>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</si>
  <si>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</si>
  <si>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</si>
  <si>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</si>
  <si>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</si>
  <si>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</si>
  <si>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</si>
  <si>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</si>
  <si>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</si>
  <si>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</si>
  <si>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</si>
  <si>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</si>
  <si>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</si>
  <si>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</si>
  <si>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</si>
  <si>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</si>
  <si>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</si>
  <si>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</si>
  <si>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</si>
  <si>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</si>
  <si>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</si>
  <si>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</si>
  <si>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</si>
  <si>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</si>
  <si>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</si>
  <si>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</si>
  <si>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</si>
  <si>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</si>
  <si>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</si>
  <si>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</si>
  <si>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</si>
  <si>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</si>
  <si>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</si>
  <si>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</si>
  <si>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</si>
  <si>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</si>
  <si>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</si>
  <si>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</si>
  <si>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</si>
  <si>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</si>
  <si>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</si>
  <si>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</si>
  <si>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</si>
  <si>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</si>
  <si>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</si>
  <si>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</si>
  <si>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</si>
  <si>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</si>
  <si>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</si>
  <si>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</si>
  <si>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</si>
  <si>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</si>
  <si>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</si>
  <si>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</si>
  <si>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</si>
  <si>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</si>
  <si>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</si>
  <si>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</si>
  <si>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</si>
  <si>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</si>
  <si>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</si>
  <si>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</si>
  <si>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</si>
  <si>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</si>
  <si>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</si>
  <si>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</si>
  <si>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</si>
  <si>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</si>
  <si>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</si>
  <si>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</si>
  <si>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</si>
  <si>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</si>
  <si>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</si>
  <si>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</si>
  <si>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</si>
  <si>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</si>
  <si>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</si>
  <si>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</si>
  <si>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</si>
  <si>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</si>
  <si>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</si>
  <si>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</si>
  <si>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</si>
  <si>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</si>
  <si>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</si>
  <si>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</si>
  <si>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</si>
  <si>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</si>
  <si>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</si>
  <si>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</si>
  <si>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</si>
  <si>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</si>
  <si>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</si>
  <si>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</si>
  <si>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</si>
  <si>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</si>
  <si>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</si>
  <si>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</si>
  <si>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</si>
  <si>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</si>
  <si>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</si>
  <si>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</si>
  <si>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</si>
  <si>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</si>
  <si>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</si>
  <si>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</si>
  <si>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</si>
  <si>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</si>
  <si>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</si>
  <si>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</si>
  <si>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</si>
  <si>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</si>
  <si>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</si>
  <si>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</si>
  <si>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</si>
  <si>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</si>
  <si>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</si>
  <si>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</si>
  <si>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</si>
  <si>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</si>
  <si>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</si>
  <si>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</si>
  <si>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</si>
  <si>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</si>
  <si>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</si>
  <si>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</si>
  <si>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</si>
  <si>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</si>
  <si>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</si>
  <si>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</si>
  <si>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</si>
  <si>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</si>
  <si>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</si>
  <si>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</si>
  <si>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</si>
  <si>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</si>
  <si>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</si>
  <si>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</si>
  <si>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</si>
  <si>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</si>
  <si>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</si>
  <si>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</si>
  <si>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</si>
  <si>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</si>
  <si>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</si>
  <si>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</si>
  <si>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</si>
  <si>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</si>
  <si>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</si>
  <si>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</si>
  <si>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</si>
  <si>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</si>
  <si>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</si>
  <si>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</si>
  <si>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</si>
  <si>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</si>
  <si>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</si>
  <si>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</si>
  <si>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</si>
  <si>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</si>
  <si>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</si>
  <si>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</si>
  <si>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</si>
  <si>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</si>
  <si>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</si>
  <si>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</si>
  <si>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</si>
  <si>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</si>
  <si>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</si>
  <si>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</si>
  <si>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</si>
  <si>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</si>
  <si>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</si>
  <si>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</si>
  <si>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</si>
  <si>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</si>
  <si>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</si>
  <si>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</si>
  <si>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</si>
  <si>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</si>
  <si>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</si>
  <si>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</si>
  <si>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</si>
  <si>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</si>
  <si>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</si>
  <si>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</si>
  <si>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</si>
  <si>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</si>
  <si>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</si>
  <si>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</si>
  <si>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</si>
  <si>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</si>
  <si>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</si>
  <si>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</si>
  <si>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</si>
  <si>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</si>
  <si>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</si>
  <si>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</si>
  <si>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</si>
  <si>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</si>
  <si>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</si>
  <si>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</si>
  <si>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</si>
  <si>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</si>
  <si>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</si>
  <si>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</si>
  <si>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</si>
  <si>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</si>
  <si>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</si>
  <si>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</si>
  <si>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</si>
  <si>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</si>
  <si>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</si>
  <si>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</si>
  <si>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</si>
  <si>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</si>
  <si>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</si>
  <si>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</si>
  <si>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</si>
  <si>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</si>
  <si>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</si>
  <si>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</si>
  <si>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</si>
  <si>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</si>
  <si>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</si>
  <si>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</si>
  <si>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</si>
  <si>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</si>
  <si>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</si>
  <si>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</si>
  <si>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</si>
  <si>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</si>
  <si>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</si>
  <si>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</si>
  <si>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</si>
  <si>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</si>
  <si>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</si>
  <si>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</si>
  <si>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</si>
  <si>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</si>
  <si>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</si>
  <si>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</si>
  <si>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</si>
  <si>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</si>
  <si>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</si>
  <si>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</si>
  <si>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</si>
  <si>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</si>
  <si>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</si>
  <si>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</si>
  <si>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</si>
  <si>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</si>
  <si>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</si>
  <si>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</si>
  <si>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</si>
  <si>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</si>
  <si>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</si>
  <si>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</si>
  <si>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</si>
  <si>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</si>
  <si>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</si>
  <si>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</si>
  <si>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</si>
  <si>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</si>
  <si>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</si>
  <si>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</si>
  <si>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</si>
  <si>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</si>
  <si>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</si>
  <si>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</si>
  <si>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</si>
  <si>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</si>
  <si>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</si>
  <si>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</si>
  <si>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</si>
  <si>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</si>
  <si>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</si>
  <si>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</si>
  <si>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</si>
  <si>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</si>
  <si>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</si>
  <si>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</si>
  <si>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</si>
  <si>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</si>
  <si>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</si>
  <si>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</si>
  <si>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</si>
  <si>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</si>
  <si>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</si>
  <si>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</si>
  <si>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</si>
  <si>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</si>
  <si>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</si>
  <si>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</si>
  <si>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</si>
  <si>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</si>
  <si>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</si>
  <si>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</si>
  <si>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</si>
  <si>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</si>
  <si>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</si>
  <si>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</si>
  <si>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</si>
  <si>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</si>
  <si>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</si>
  <si>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</si>
  <si>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</si>
  <si>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</si>
  <si>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</si>
  <si>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</si>
  <si>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</si>
  <si>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</si>
  <si>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</si>
  <si>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</si>
  <si>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</si>
  <si>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</si>
  <si>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</si>
  <si>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</si>
  <si>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</si>
  <si>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</si>
  <si>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</si>
  <si>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</si>
  <si>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</si>
  <si>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</si>
  <si>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</si>
  <si>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</si>
  <si>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</si>
  <si>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</si>
  <si>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</si>
  <si>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</si>
  <si>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</si>
  <si>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</si>
  <si>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</si>
  <si>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</si>
  <si>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</si>
  <si>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</si>
  <si>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</si>
  <si>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</si>
  <si>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</si>
  <si>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</si>
  <si>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</si>
  <si>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</si>
  <si>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</si>
  <si>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</si>
  <si>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</si>
  <si>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</si>
  <si>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</si>
  <si>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</si>
  <si>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</si>
  <si>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</si>
  <si>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</si>
  <si>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</si>
  <si>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</si>
  <si>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</si>
  <si>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</si>
  <si>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</si>
  <si>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</si>
  <si>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</si>
  <si>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</si>
  <si>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</si>
  <si>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</si>
  <si>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</si>
  <si>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</si>
  <si>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</si>
  <si>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</si>
  <si>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</si>
  <si>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</si>
  <si>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</si>
  <si>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</si>
  <si>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</si>
  <si>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</si>
  <si>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</si>
  <si>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</si>
  <si>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</si>
  <si>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</si>
  <si>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</si>
  <si>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</si>
  <si>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</si>
  <si>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</si>
  <si>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</si>
  <si>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</si>
  <si>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</si>
  <si>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</si>
  <si>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</si>
  <si>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</si>
  <si>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</si>
  <si>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</si>
  <si>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</si>
  <si>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</si>
  <si>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</si>
  <si>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</si>
  <si>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</si>
  <si>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</si>
  <si>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</si>
  <si>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</si>
  <si>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</si>
  <si>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</si>
  <si>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</si>
  <si>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</si>
  <si>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</si>
  <si>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</si>
  <si>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</si>
  <si>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</si>
  <si>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</si>
  <si>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</si>
  <si>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</si>
  <si>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</si>
  <si>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</si>
  <si>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</si>
  <si>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</si>
  <si>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</si>
  <si>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</si>
  <si>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</si>
  <si>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</si>
  <si>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</si>
  <si>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</si>
  <si>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</si>
  <si>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</si>
  <si>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</si>
  <si>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</si>
  <si>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</si>
  <si>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</si>
  <si>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</si>
  <si>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</si>
  <si>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</si>
  <si>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</si>
  <si>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</si>
  <si>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</si>
  <si>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</si>
  <si>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</si>
  <si>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</si>
  <si>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</si>
  <si>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</si>
  <si>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</si>
  <si>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</si>
  <si>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</si>
  <si>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</si>
  <si>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</si>
  <si>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</si>
  <si>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</si>
  <si>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</si>
  <si>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</si>
  <si>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</si>
  <si>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</si>
  <si>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</si>
  <si>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</si>
  <si>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</si>
  <si>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</si>
  <si>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</si>
  <si>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</si>
  <si>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</si>
  <si>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</si>
  <si>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</si>
  <si>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</si>
  <si>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</si>
  <si>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</si>
  <si>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</si>
  <si>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</si>
  <si>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</si>
  <si>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</si>
  <si>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</si>
  <si>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</si>
  <si>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</si>
  <si>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</si>
  <si>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</si>
  <si>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</si>
  <si>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</si>
  <si>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</si>
  <si>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</si>
  <si>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</si>
  <si>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</si>
  <si>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</si>
  <si>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</si>
  <si>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</si>
  <si>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</si>
  <si>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</si>
  <si>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</si>
  <si>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</si>
  <si>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</si>
  <si>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</si>
  <si>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</si>
  <si>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</si>
  <si>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</si>
  <si>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</si>
  <si>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</si>
  <si>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</si>
  <si>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</si>
  <si>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</si>
  <si>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</si>
  <si>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</si>
  <si>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</si>
  <si>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</si>
  <si>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</si>
  <si>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</si>
  <si>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</si>
  <si>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</si>
  <si>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</si>
  <si>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</si>
  <si>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</si>
  <si>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</si>
  <si>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</si>
  <si>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</si>
  <si>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</si>
  <si>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</si>
  <si>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</si>
  <si>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</si>
  <si>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</si>
  <si>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</si>
  <si>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</si>
  <si>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</si>
  <si>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</si>
  <si>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</si>
  <si>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</si>
  <si>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</si>
  <si>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</si>
  <si>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</si>
  <si>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</si>
  <si>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</si>
  <si>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</si>
  <si>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</si>
  <si>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</si>
  <si>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</si>
  <si>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</si>
  <si>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</si>
  <si>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</si>
  <si>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</si>
  <si>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</si>
  <si>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</si>
  <si>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</si>
  <si>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</si>
  <si>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</si>
  <si>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</si>
  <si>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</si>
  <si>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</si>
  <si>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</si>
  <si>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</si>
  <si>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</si>
  <si>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</si>
  <si>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</si>
  <si>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</si>
  <si>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</si>
  <si>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</si>
  <si>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</si>
  <si>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</si>
  <si>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</si>
  <si>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</si>
  <si>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</si>
  <si>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</si>
  <si>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</si>
  <si>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</si>
  <si>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</si>
  <si>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</si>
  <si>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</si>
  <si>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</si>
  <si>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</si>
  <si>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</si>
  <si>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</si>
  <si>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</si>
  <si>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</si>
  <si>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</si>
  <si>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</si>
  <si>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</si>
  <si>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</si>
  <si>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</si>
  <si>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</si>
  <si>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</si>
  <si>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</si>
  <si>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</si>
  <si>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</si>
  <si>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</si>
  <si>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</si>
  <si>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</si>
  <si>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</si>
  <si>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</si>
  <si>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</si>
  <si>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</si>
  <si>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</si>
  <si>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</si>
  <si>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</si>
  <si>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</si>
  <si>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</si>
  <si>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</si>
  <si>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</si>
  <si>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</si>
  <si>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</si>
  <si>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</si>
  <si>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</si>
  <si>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</si>
  <si>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</si>
  <si>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</si>
  <si>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</si>
  <si>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</si>
  <si>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</si>
  <si>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</si>
  <si>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</si>
  <si>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</si>
  <si>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</si>
  <si>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</si>
  <si>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</si>
  <si>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</si>
  <si>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</si>
  <si>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</si>
  <si>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</si>
  <si>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</si>
  <si>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</si>
  <si>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</si>
  <si>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</si>
  <si>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</si>
  <si>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</si>
  <si>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</si>
  <si>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</si>
  <si>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</si>
  <si>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</si>
  <si>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</si>
  <si>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</si>
  <si>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</si>
  <si>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</si>
  <si>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</si>
  <si>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</si>
  <si>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</si>
  <si>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</si>
  <si>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</si>
  <si>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</si>
  <si>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</si>
  <si>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</si>
  <si>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</si>
  <si>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</si>
  <si>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</si>
  <si>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</si>
  <si>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</si>
  <si>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</si>
  <si>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</si>
  <si>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</si>
  <si>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</si>
  <si>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</si>
  <si>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</si>
  <si>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</si>
  <si>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</si>
  <si>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</si>
  <si>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</si>
  <si>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</si>
  <si>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</si>
  <si>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</si>
  <si>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</si>
  <si>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</si>
  <si>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</si>
  <si>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</si>
  <si>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</si>
  <si>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</si>
  <si>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</si>
  <si>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</si>
  <si>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</si>
  <si>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</si>
  <si>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</si>
  <si>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</si>
  <si>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</si>
  <si>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</si>
  <si>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</si>
  <si>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</si>
  <si>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</si>
  <si>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</si>
  <si>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</si>
  <si>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</si>
  <si>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</si>
  <si>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</si>
  <si>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</si>
  <si>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</si>
  <si>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</si>
  <si>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</si>
  <si>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</si>
  <si>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</si>
  <si>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</si>
  <si>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</si>
  <si>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</si>
  <si>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</si>
  <si>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</si>
  <si>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</si>
  <si>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</si>
  <si>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</si>
  <si>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</si>
  <si>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</si>
  <si>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</si>
  <si>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</si>
  <si>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</si>
  <si>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</si>
  <si>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</si>
  <si>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</si>
  <si>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</si>
  <si>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</si>
  <si>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</si>
  <si>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</si>
  <si>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</si>
  <si>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</si>
  <si>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</si>
  <si>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</si>
  <si>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</si>
  <si>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</si>
  <si>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</si>
  <si>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</si>
  <si>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</si>
  <si>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</si>
  <si>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</si>
  <si>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</si>
  <si>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</si>
  <si>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</si>
  <si>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</si>
  <si>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</si>
  <si>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</si>
  <si>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</si>
  <si>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</si>
  <si>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</si>
  <si>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</si>
  <si>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</si>
  <si>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</si>
  <si>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</si>
  <si>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</si>
  <si>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</si>
  <si>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</si>
  <si>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</si>
  <si>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</si>
  <si>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</si>
  <si>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</si>
  <si>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</si>
  <si>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</si>
  <si>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</si>
  <si>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</si>
  <si>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</si>
  <si>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</si>
  <si>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</si>
  <si>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</si>
  <si>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</si>
  <si>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</si>
  <si>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</si>
  <si>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</si>
  <si>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</si>
  <si>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</si>
  <si>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</si>
  <si>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</si>
  <si>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</si>
  <si>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</si>
  <si>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</si>
  <si>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</si>
  <si>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</si>
  <si>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</si>
  <si>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</si>
  <si>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</si>
  <si>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</si>
  <si>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</si>
  <si>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</si>
  <si>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</si>
  <si>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</si>
  <si>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</si>
  <si>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</si>
  <si>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</si>
  <si>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</si>
  <si>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</si>
  <si>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</si>
  <si>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</si>
  <si>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</si>
  <si>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</si>
  <si>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</si>
  <si>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</si>
  <si>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</si>
  <si>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</si>
  <si>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</si>
  <si>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</si>
  <si>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</si>
  <si>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</si>
  <si>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</si>
  <si>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</si>
  <si>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</si>
  <si>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</si>
  <si>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</si>
  <si>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</si>
  <si>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</si>
  <si>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</si>
  <si>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</si>
  <si>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</si>
  <si>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</si>
  <si>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</si>
  <si>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</si>
  <si>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</si>
  <si>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</si>
  <si>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</si>
  <si>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</si>
  <si>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</si>
  <si>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</si>
  <si>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</si>
  <si>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</si>
  <si>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</si>
  <si>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</si>
  <si>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</si>
  <si>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</si>
  <si>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</si>
  <si>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</si>
  <si>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</si>
  <si>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</si>
  <si>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</si>
  <si>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</si>
  <si>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</si>
  <si>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</si>
  <si>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</si>
  <si>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</si>
  <si>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</si>
  <si>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</si>
  <si>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</si>
  <si>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</si>
  <si>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</si>
  <si>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</si>
  <si>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</si>
  <si>
    <t>Caique Dutra Brito; Douglas Vieira Silva Filho; Rafael Nóbrega Campos</t>
  </si>
  <si>
    <t>24/09/2026</t>
  </si>
  <si>
    <t>Ana Cristina Borges Carvalho</t>
  </si>
  <si>
    <t>Ana Cristina Borges Carvalho; Cinthia Thais de Carvalho Luz Thomazi; Fernanda Viana de Souza; Luiz Felipe Tenório de Lima Gondim; Karine Caroline de Oliveira</t>
  </si>
  <si>
    <t>Ana Cristina Borges Carvalho; Cinthia Thais de Carvalho Luz Thomazi; Fernanda Viana de Souza; Luiz Felipe Tenório de Lima Gondim; Yasmin Carla Marchioro Silverio</t>
  </si>
  <si>
    <t>a definir</t>
  </si>
  <si>
    <t>Cancelado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</si>
</sst>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24</c:v>
                </c:pt>
                <c:pt idx="1">
                  <c:v>26</c:v>
                </c:pt>
                <c:pt idx="2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1026</c:v>
                </c:pt>
                <c:pt idx="1">
                  <c:v>1618</c:v>
                </c:pt>
                <c:pt idx="2">
                  <c:v>637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7</c:v>
                </c:pt>
                <c:pt idx="5">
                  <c:v>12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657" activePane="bottomLeft" state="frozen"/>
      <selection pane="bottomLeft" activeCell="E657" sqref="E657:E749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2566</v>
      </c>
      <c r="E627" s="119" t="s">
        <v>2200</v>
      </c>
      <c r="F627" s="120" t="s">
        <v>24</v>
      </c>
      <c r="G627" s="121" t="s">
        <v>36</v>
      </c>
      <c r="H627" s="122" t="s">
        <v>2567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2568</v>
      </c>
      <c r="B628" s="118">
        <v>2025</v>
      </c>
      <c r="C628" s="146" t="s">
        <v>22</v>
      </c>
      <c r="D628" s="118" t="s">
        <v>2569</v>
      </c>
      <c r="E628" s="119" t="s">
        <v>2570</v>
      </c>
      <c r="F628" s="151" t="s">
        <v>24</v>
      </c>
      <c r="G628" s="132" t="s">
        <v>206</v>
      </c>
      <c r="H628" s="122" t="s">
        <v>2571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2572</v>
      </c>
      <c r="B629" s="118">
        <v>2025</v>
      </c>
      <c r="C629" s="118" t="s">
        <v>22</v>
      </c>
      <c r="D629" s="118" t="s">
        <v>2573</v>
      </c>
      <c r="E629" s="119" t="s">
        <v>2574</v>
      </c>
      <c r="F629" s="120" t="s">
        <v>24</v>
      </c>
      <c r="G629" s="121" t="s">
        <v>42</v>
      </c>
      <c r="H629" s="122" t="s">
        <v>2575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2576</v>
      </c>
      <c r="T629" s="121" t="s">
        <v>2577</v>
      </c>
    </row>
    <row r="630" spans="1:20" ht="15" x14ac:dyDescent="0.25">
      <c r="A630" s="122" t="s">
        <v>2578</v>
      </c>
      <c r="B630" s="118">
        <v>2025</v>
      </c>
      <c r="C630" s="146" t="s">
        <v>22</v>
      </c>
      <c r="D630" s="118" t="s">
        <v>2579</v>
      </c>
      <c r="E630" s="119" t="s">
        <v>2580</v>
      </c>
      <c r="F630" s="120" t="s">
        <v>69</v>
      </c>
      <c r="G630" s="121" t="s">
        <v>79</v>
      </c>
      <c r="H630" s="122" t="s">
        <v>2581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2582</v>
      </c>
    </row>
    <row r="631" spans="1:20" ht="15" x14ac:dyDescent="0.25">
      <c r="A631" s="122" t="s">
        <v>2583</v>
      </c>
      <c r="B631" s="118">
        <v>2025</v>
      </c>
      <c r="C631" s="146" t="s">
        <v>22</v>
      </c>
      <c r="D631" s="118" t="s">
        <v>2584</v>
      </c>
      <c r="E631" s="119" t="s">
        <v>2585</v>
      </c>
      <c r="F631" s="120" t="s">
        <v>88</v>
      </c>
      <c r="G631" s="121" t="s">
        <v>79</v>
      </c>
      <c r="H631" s="122" t="s">
        <v>2586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2587</v>
      </c>
      <c r="B632" s="118">
        <v>2025</v>
      </c>
      <c r="C632" s="146" t="s">
        <v>22</v>
      </c>
      <c r="D632" s="118" t="s">
        <v>2467</v>
      </c>
      <c r="E632" s="119" t="s">
        <v>2588</v>
      </c>
      <c r="F632" s="120" t="s">
        <v>24</v>
      </c>
      <c r="G632" s="132" t="s">
        <v>75</v>
      </c>
      <c r="H632" s="122" t="s">
        <v>2589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2590</v>
      </c>
      <c r="B633" s="118">
        <v>2025</v>
      </c>
      <c r="C633" s="118" t="s">
        <v>22</v>
      </c>
      <c r="D633" s="118" t="s">
        <v>2591</v>
      </c>
      <c r="E633" s="145" t="s">
        <v>2592</v>
      </c>
      <c r="F633" s="120" t="s">
        <v>24</v>
      </c>
      <c r="G633" s="121" t="s">
        <v>42</v>
      </c>
      <c r="H633" s="147" t="s">
        <v>2593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2594</v>
      </c>
    </row>
    <row r="634" spans="1:20" ht="15" x14ac:dyDescent="0.25">
      <c r="A634" s="122" t="s">
        <v>2595</v>
      </c>
      <c r="B634" s="118">
        <v>2025</v>
      </c>
      <c r="C634" s="118" t="s">
        <v>22</v>
      </c>
      <c r="D634" s="118" t="s">
        <v>2596</v>
      </c>
      <c r="E634" s="119" t="s">
        <v>2597</v>
      </c>
      <c r="F634" s="120" t="s">
        <v>69</v>
      </c>
      <c r="G634" s="121" t="s">
        <v>79</v>
      </c>
      <c r="H634" s="122" t="s">
        <v>2598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2599</v>
      </c>
      <c r="B635" s="118">
        <v>2025</v>
      </c>
      <c r="C635" s="146" t="s">
        <v>22</v>
      </c>
      <c r="D635" s="118" t="s">
        <v>2600</v>
      </c>
      <c r="E635" s="119" t="s">
        <v>2601</v>
      </c>
      <c r="F635" s="151" t="s">
        <v>24</v>
      </c>
      <c r="G635" s="132" t="s">
        <v>206</v>
      </c>
      <c r="H635" s="122" t="s">
        <v>2602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2603</v>
      </c>
      <c r="B636" s="118">
        <v>2025</v>
      </c>
      <c r="C636" s="146" t="s">
        <v>22</v>
      </c>
      <c r="D636" s="118" t="s">
        <v>2319</v>
      </c>
      <c r="E636" s="119" t="s">
        <v>2604</v>
      </c>
      <c r="F636" s="120" t="s">
        <v>69</v>
      </c>
      <c r="G636" s="121" t="s">
        <v>36</v>
      </c>
      <c r="H636" s="122" t="s">
        <v>2605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2606</v>
      </c>
      <c r="B637" s="118">
        <v>2025</v>
      </c>
      <c r="C637" s="118" t="s">
        <v>22</v>
      </c>
      <c r="D637" s="118" t="s">
        <v>2607</v>
      </c>
      <c r="E637" s="145" t="s">
        <v>2608</v>
      </c>
      <c r="F637" s="120" t="s">
        <v>69</v>
      </c>
      <c r="G637" s="121" t="s">
        <v>79</v>
      </c>
      <c r="H637" s="173" t="s">
        <v>2609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2610</v>
      </c>
    </row>
    <row r="638" spans="1:20" ht="15" x14ac:dyDescent="0.25">
      <c r="A638" s="122" t="s">
        <v>2611</v>
      </c>
      <c r="B638" s="118">
        <v>2025</v>
      </c>
      <c r="C638" s="118" t="s">
        <v>22</v>
      </c>
      <c r="D638" s="118" t="s">
        <v>2612</v>
      </c>
      <c r="E638" s="119" t="s">
        <v>2613</v>
      </c>
      <c r="F638" s="120" t="s">
        <v>88</v>
      </c>
      <c r="G638" s="121" t="s">
        <v>79</v>
      </c>
      <c r="H638" s="122" t="s">
        <v>2614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2615</v>
      </c>
    </row>
    <row r="639" spans="1:20" ht="15" x14ac:dyDescent="0.25">
      <c r="A639" s="122" t="s">
        <v>2616</v>
      </c>
      <c r="B639" s="118">
        <v>2025</v>
      </c>
      <c r="C639" s="118" t="s">
        <v>22</v>
      </c>
      <c r="D639" s="118" t="s">
        <v>2617</v>
      </c>
      <c r="E639" s="119" t="s">
        <v>2618</v>
      </c>
      <c r="F639" s="120" t="s">
        <v>24</v>
      </c>
      <c r="G639" s="121" t="s">
        <v>36</v>
      </c>
      <c r="H639" s="122" t="s">
        <v>2619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2576</v>
      </c>
      <c r="T639" s="121" t="s">
        <v>2577</v>
      </c>
    </row>
    <row r="640" spans="1:20" ht="15" x14ac:dyDescent="0.25">
      <c r="A640" s="122" t="s">
        <v>2620</v>
      </c>
      <c r="B640" s="118">
        <v>2025</v>
      </c>
      <c r="C640" s="118" t="s">
        <v>22</v>
      </c>
      <c r="D640" s="118" t="s">
        <v>2621</v>
      </c>
      <c r="E640" s="119" t="s">
        <v>2622</v>
      </c>
      <c r="F640" s="120" t="s">
        <v>88</v>
      </c>
      <c r="G640" s="132" t="s">
        <v>79</v>
      </c>
      <c r="H640" s="122" t="s">
        <v>2623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2624</v>
      </c>
      <c r="B641" s="118">
        <v>2025</v>
      </c>
      <c r="C641" s="146" t="s">
        <v>22</v>
      </c>
      <c r="D641" s="118" t="s">
        <v>2625</v>
      </c>
      <c r="E641" s="119" t="s">
        <v>2626</v>
      </c>
      <c r="F641" s="151" t="s">
        <v>24</v>
      </c>
      <c r="G641" s="132" t="s">
        <v>206</v>
      </c>
      <c r="H641" s="122" t="s">
        <v>2627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2628</v>
      </c>
      <c r="B642" s="118">
        <v>2025</v>
      </c>
      <c r="C642" s="118" t="s">
        <v>22</v>
      </c>
      <c r="D642" s="118" t="s">
        <v>2629</v>
      </c>
      <c r="E642" s="119" t="s">
        <v>2438</v>
      </c>
      <c r="F642" s="120" t="s">
        <v>88</v>
      </c>
      <c r="G642" s="135" t="s">
        <v>79</v>
      </c>
      <c r="H642" s="147" t="s">
        <v>2630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2631</v>
      </c>
    </row>
    <row r="643" spans="1:20" ht="15" x14ac:dyDescent="0.25">
      <c r="A643" s="122" t="s">
        <v>2632</v>
      </c>
      <c r="B643" s="118">
        <v>2025</v>
      </c>
      <c r="C643" s="118" t="s">
        <v>22</v>
      </c>
      <c r="D643" s="118" t="s">
        <v>2633</v>
      </c>
      <c r="E643" s="119" t="s">
        <v>2276</v>
      </c>
      <c r="F643" s="120" t="s">
        <v>88</v>
      </c>
      <c r="G643" s="121" t="s">
        <v>79</v>
      </c>
      <c r="H643" s="122" t="s">
        <v>2634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2635</v>
      </c>
      <c r="B644" s="118">
        <v>2025</v>
      </c>
      <c r="C644" s="146" t="s">
        <v>22</v>
      </c>
      <c r="D644" s="118" t="s">
        <v>2366</v>
      </c>
      <c r="E644" s="119" t="s">
        <v>2636</v>
      </c>
      <c r="F644" s="120" t="s">
        <v>88</v>
      </c>
      <c r="G644" s="121" t="s">
        <v>79</v>
      </c>
      <c r="H644" s="122" t="s">
        <v>2637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2638</v>
      </c>
      <c r="B645" s="118">
        <v>2025</v>
      </c>
      <c r="C645" s="118" t="s">
        <v>22</v>
      </c>
      <c r="D645" s="118" t="s">
        <v>2366</v>
      </c>
      <c r="E645" s="119" t="s">
        <v>2639</v>
      </c>
      <c r="F645" s="120" t="s">
        <v>88</v>
      </c>
      <c r="G645" s="121" t="s">
        <v>79</v>
      </c>
      <c r="H645" s="122" t="s">
        <v>2637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2640</v>
      </c>
    </row>
    <row r="646" spans="1:20" ht="30" x14ac:dyDescent="0.25">
      <c r="A646" s="122" t="s">
        <v>2641</v>
      </c>
      <c r="B646" s="118">
        <v>2025</v>
      </c>
      <c r="C646" s="146" t="s">
        <v>22</v>
      </c>
      <c r="D646" s="118" t="s">
        <v>2642</v>
      </c>
      <c r="E646" s="119" t="s">
        <v>2643</v>
      </c>
      <c r="F646" s="151" t="s">
        <v>24</v>
      </c>
      <c r="G646" s="132" t="s">
        <v>206</v>
      </c>
      <c r="H646" s="122" t="s">
        <v>2644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2615</v>
      </c>
    </row>
    <row r="647" spans="1:20" ht="30" x14ac:dyDescent="0.25">
      <c r="A647" s="122" t="s">
        <v>2645</v>
      </c>
      <c r="B647" s="118">
        <v>2025</v>
      </c>
      <c r="C647" s="146" t="s">
        <v>22</v>
      </c>
      <c r="D647" s="118" t="s">
        <v>2492</v>
      </c>
      <c r="E647" s="119" t="s">
        <v>2646</v>
      </c>
      <c r="F647" s="120" t="s">
        <v>24</v>
      </c>
      <c r="G647" s="132" t="s">
        <v>206</v>
      </c>
      <c r="H647" s="122" t="s">
        <v>2647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2648</v>
      </c>
      <c r="B648" s="118">
        <v>2025</v>
      </c>
      <c r="C648" s="118" t="s">
        <v>22</v>
      </c>
      <c r="D648" s="172" t="s">
        <v>2649</v>
      </c>
      <c r="E648" s="119" t="s">
        <v>2235</v>
      </c>
      <c r="F648" s="120" t="s">
        <v>69</v>
      </c>
      <c r="G648" s="121" t="s">
        <v>79</v>
      </c>
      <c r="H648" s="177" t="s">
        <v>2650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2651</v>
      </c>
      <c r="B649" s="118">
        <v>2025</v>
      </c>
      <c r="C649" s="118" t="s">
        <v>22</v>
      </c>
      <c r="D649" s="118" t="s">
        <v>2652</v>
      </c>
      <c r="E649" s="119" t="s">
        <v>2653</v>
      </c>
      <c r="F649" s="120" t="s">
        <v>69</v>
      </c>
      <c r="G649" s="121" t="s">
        <v>79</v>
      </c>
      <c r="H649" s="173" t="s">
        <v>2654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2655</v>
      </c>
      <c r="B650" s="118">
        <v>2025</v>
      </c>
      <c r="C650" s="146" t="s">
        <v>22</v>
      </c>
      <c r="D650" s="118" t="s">
        <v>2656</v>
      </c>
      <c r="E650" s="119" t="s">
        <v>2657</v>
      </c>
      <c r="F650" s="120" t="s">
        <v>24</v>
      </c>
      <c r="G650" s="132" t="s">
        <v>206</v>
      </c>
      <c r="H650" s="122" t="s">
        <v>2658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2659</v>
      </c>
    </row>
    <row r="651" spans="1:20" ht="30" x14ac:dyDescent="0.25">
      <c r="A651" s="122" t="s">
        <v>2660</v>
      </c>
      <c r="B651" s="118">
        <v>2025</v>
      </c>
      <c r="C651" s="146" t="s">
        <v>22</v>
      </c>
      <c r="D651" s="118" t="s">
        <v>2661</v>
      </c>
      <c r="E651" s="145" t="s">
        <v>2662</v>
      </c>
      <c r="F651" s="120" t="s">
        <v>24</v>
      </c>
      <c r="G651" s="121" t="s">
        <v>42</v>
      </c>
      <c r="H651" s="122" t="s">
        <v>2663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2664</v>
      </c>
    </row>
    <row r="652" spans="1:20" ht="15" x14ac:dyDescent="0.25">
      <c r="A652" s="122" t="s">
        <v>2665</v>
      </c>
      <c r="B652" s="118">
        <v>2025</v>
      </c>
      <c r="C652" s="146" t="s">
        <v>22</v>
      </c>
      <c r="D652" s="118" t="s">
        <v>2666</v>
      </c>
      <c r="E652" s="119" t="s">
        <v>2667</v>
      </c>
      <c r="F652" s="120" t="s">
        <v>24</v>
      </c>
      <c r="G652" s="121" t="s">
        <v>25</v>
      </c>
      <c r="H652" s="147" t="s">
        <v>2668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2669</v>
      </c>
    </row>
    <row r="653" spans="1:20" ht="15" x14ac:dyDescent="0.25">
      <c r="A653" s="122" t="s">
        <v>2670</v>
      </c>
      <c r="B653" s="118">
        <v>2025</v>
      </c>
      <c r="C653" s="118" t="s">
        <v>22</v>
      </c>
      <c r="D653" s="118" t="s">
        <v>2671</v>
      </c>
      <c r="E653" s="145" t="s">
        <v>2672</v>
      </c>
      <c r="F653" s="120" t="s">
        <v>88</v>
      </c>
      <c r="G653" s="121" t="s">
        <v>79</v>
      </c>
      <c r="H653" s="147" t="s">
        <v>2668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2673</v>
      </c>
      <c r="B654" s="118">
        <v>2025</v>
      </c>
      <c r="C654" s="118" t="s">
        <v>22</v>
      </c>
      <c r="D654" s="118" t="s">
        <v>2674</v>
      </c>
      <c r="E654" s="119" t="s">
        <v>2675</v>
      </c>
      <c r="F654" s="120" t="s">
        <v>24</v>
      </c>
      <c r="G654" s="121" t="s">
        <v>42</v>
      </c>
      <c r="H654" s="147" t="s">
        <v>2676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2677</v>
      </c>
      <c r="B655" s="118">
        <v>2025</v>
      </c>
      <c r="C655" s="118" t="s">
        <v>22</v>
      </c>
      <c r="D655" s="118" t="s">
        <v>2678</v>
      </c>
      <c r="E655" s="119" t="s">
        <v>2679</v>
      </c>
      <c r="F655" s="120" t="s">
        <v>24</v>
      </c>
      <c r="G655" s="121" t="s">
        <v>206</v>
      </c>
      <c r="H655" s="122" t="s">
        <v>2680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2681</v>
      </c>
      <c r="B656" s="118">
        <v>2025</v>
      </c>
      <c r="C656" s="118" t="s">
        <v>22</v>
      </c>
      <c r="D656" s="118" t="s">
        <v>2682</v>
      </c>
      <c r="E656" s="119" t="s">
        <v>2683</v>
      </c>
      <c r="F656" s="120" t="s">
        <v>88</v>
      </c>
      <c r="G656" s="121" t="s">
        <v>79</v>
      </c>
      <c r="H656" s="129" t="s">
        <v>2684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2685</v>
      </c>
      <c r="B657" s="118">
        <v>2026</v>
      </c>
      <c r="C657" s="154" t="s">
        <v>22</v>
      </c>
      <c r="D657" s="154" t="s">
        <v>2686</v>
      </c>
      <c r="E657" s="159" t="s">
        <v>2687</v>
      </c>
      <c r="F657" s="170" t="s">
        <v>69</v>
      </c>
      <c r="G657" s="155" t="s">
        <v>79</v>
      </c>
      <c r="H657" s="156" t="s">
        <v>2688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2689</v>
      </c>
    </row>
    <row r="658" spans="1:20" ht="15" x14ac:dyDescent="0.25">
      <c r="A658" s="156" t="s">
        <v>2690</v>
      </c>
      <c r="B658" s="118">
        <v>2026</v>
      </c>
      <c r="C658" s="118" t="s">
        <v>22</v>
      </c>
      <c r="D658" s="154" t="s">
        <v>2691</v>
      </c>
      <c r="E658" s="145" t="s">
        <v>2692</v>
      </c>
      <c r="F658" s="120" t="s">
        <v>69</v>
      </c>
      <c r="G658" s="155" t="s">
        <v>2693</v>
      </c>
      <c r="H658" s="156" t="s">
        <v>2694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2695</v>
      </c>
      <c r="B659" s="118">
        <v>2026</v>
      </c>
      <c r="C659" s="154" t="s">
        <v>2696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22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>
        <v>5</v>
      </c>
      <c r="P663" s="125">
        <v>46</v>
      </c>
      <c r="Q663" s="125">
        <v>34</v>
      </c>
      <c r="R663" s="125">
        <f>SUM(O663:Q663)</f>
        <v>85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2675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2693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2693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2693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2693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2696</v>
      </c>
      <c r="D677" s="195" t="s">
        <v>2777</v>
      </c>
      <c r="E677" s="159" t="s">
        <v>2778</v>
      </c>
      <c r="F677" s="170" t="s">
        <v>69</v>
      </c>
      <c r="G677" s="196" t="s">
        <v>2693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2693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3260</v>
      </c>
      <c r="I693" s="191"/>
      <c r="J693" s="191"/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5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 t="s">
        <v>3256</v>
      </c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 t="s">
        <v>3259</v>
      </c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 t="s">
        <v>3258</v>
      </c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2971</v>
      </c>
      <c r="E726" s="159" t="s">
        <v>2972</v>
      </c>
      <c r="F726" s="170" t="s">
        <v>88</v>
      </c>
      <c r="G726" s="155" t="s">
        <v>2717</v>
      </c>
      <c r="H726" s="156" t="s">
        <v>2973</v>
      </c>
      <c r="I726" s="191">
        <v>46287</v>
      </c>
      <c r="J726" s="191">
        <v>46294</v>
      </c>
      <c r="K726" s="154" t="s">
        <v>38</v>
      </c>
      <c r="L726" s="160"/>
      <c r="M726" s="183"/>
      <c r="N726" s="158">
        <v>40</v>
      </c>
      <c r="O726" s="158">
        <v>0</v>
      </c>
      <c r="P726" s="158">
        <v>0</v>
      </c>
      <c r="Q726" s="158">
        <v>40</v>
      </c>
      <c r="R726" s="158">
        <f t="shared" ref="R726:R749" si="15">IF(B726="","",SUM(O726:Q726))</f>
        <v>40</v>
      </c>
      <c r="S726" s="154">
        <v>5</v>
      </c>
      <c r="T726" s="155" t="s">
        <v>3255</v>
      </c>
    </row>
    <row r="727" spans="1:20" ht="15" x14ac:dyDescent="0.25">
      <c r="A727" s="156" t="s">
        <v>2974</v>
      </c>
      <c r="B727" s="154">
        <v>2026</v>
      </c>
      <c r="C727" s="154" t="s">
        <v>2710</v>
      </c>
      <c r="D727" s="154" t="s">
        <v>2960</v>
      </c>
      <c r="E727" s="159" t="s">
        <v>2975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2976</v>
      </c>
      <c r="B728" s="154">
        <v>2026</v>
      </c>
      <c r="C728" s="154" t="s">
        <v>22</v>
      </c>
      <c r="D728" s="154" t="s">
        <v>2960</v>
      </c>
      <c r="E728" s="159" t="s">
        <v>2977</v>
      </c>
      <c r="F728" s="170" t="s">
        <v>88</v>
      </c>
      <c r="G728" s="155" t="s">
        <v>2717</v>
      </c>
      <c r="H728" s="156" t="s">
        <v>2978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2979</v>
      </c>
      <c r="B729" s="154">
        <v>2026</v>
      </c>
      <c r="C729" s="154" t="s">
        <v>2710</v>
      </c>
      <c r="D729" s="154" t="s">
        <v>2960</v>
      </c>
      <c r="E729" s="159" t="s">
        <v>2980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2981</v>
      </c>
      <c r="B730" s="154">
        <v>2026</v>
      </c>
      <c r="C730" s="154" t="s">
        <v>2710</v>
      </c>
      <c r="D730" s="154" t="s">
        <v>2960</v>
      </c>
      <c r="E730" s="201" t="s">
        <v>2982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2983</v>
      </c>
      <c r="B731" s="154">
        <v>2026</v>
      </c>
      <c r="C731" s="154" t="s">
        <v>2710</v>
      </c>
      <c r="D731" s="154" t="s">
        <v>2960</v>
      </c>
      <c r="E731" s="201" t="s">
        <v>2984</v>
      </c>
      <c r="F731" s="170" t="s">
        <v>88</v>
      </c>
      <c r="G731" s="155" t="s">
        <v>2717</v>
      </c>
      <c r="H731" s="156" t="s">
        <v>2985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2986</v>
      </c>
      <c r="B732" s="154">
        <v>2026</v>
      </c>
      <c r="C732" s="154" t="s">
        <v>2710</v>
      </c>
      <c r="D732" s="154" t="s">
        <v>2987</v>
      </c>
      <c r="E732" s="159" t="s">
        <v>2988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2989</v>
      </c>
      <c r="B733" s="154">
        <v>2026</v>
      </c>
      <c r="C733" s="154" t="s">
        <v>2710</v>
      </c>
      <c r="D733" s="154"/>
      <c r="E733" s="201" t="s">
        <v>2990</v>
      </c>
      <c r="F733" s="170" t="s">
        <v>24</v>
      </c>
      <c r="G733" s="155" t="s">
        <v>2717</v>
      </c>
      <c r="H733" s="156" t="s">
        <v>2991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2992</v>
      </c>
      <c r="B734" s="154">
        <v>2026</v>
      </c>
      <c r="C734" s="154" t="s">
        <v>2710</v>
      </c>
      <c r="D734" s="154" t="s">
        <v>2993</v>
      </c>
      <c r="E734" s="159" t="s">
        <v>2994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2995</v>
      </c>
      <c r="E735" s="159" t="s">
        <v>2996</v>
      </c>
      <c r="F735" s="170" t="s">
        <v>24</v>
      </c>
      <c r="G735" s="155" t="s">
        <v>206</v>
      </c>
      <c r="H735" s="156" t="s">
        <v>2997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2998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2999</v>
      </c>
      <c r="E736" s="159" t="s">
        <v>3000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3001</v>
      </c>
      <c r="B737" s="154">
        <v>2026</v>
      </c>
      <c r="C737" s="154" t="s">
        <v>22</v>
      </c>
      <c r="D737" s="154" t="s">
        <v>3002</v>
      </c>
      <c r="E737" s="159" t="s">
        <v>3003</v>
      </c>
      <c r="F737" s="170" t="s">
        <v>69</v>
      </c>
      <c r="G737" s="155" t="s">
        <v>79</v>
      </c>
      <c r="H737" s="156" t="s">
        <v>3004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3005</v>
      </c>
      <c r="B738" s="154">
        <v>2026</v>
      </c>
      <c r="C738" s="154" t="s">
        <v>22</v>
      </c>
      <c r="D738" s="154" t="s">
        <v>3006</v>
      </c>
      <c r="E738" s="159" t="s">
        <v>3007</v>
      </c>
      <c r="F738" s="170" t="s">
        <v>69</v>
      </c>
      <c r="G738" s="155" t="s">
        <v>2693</v>
      </c>
      <c r="H738" s="156" t="s">
        <v>3008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3009</v>
      </c>
    </row>
    <row r="739" spans="1:20" ht="15" x14ac:dyDescent="0.25">
      <c r="A739" s="156" t="s">
        <v>3010</v>
      </c>
      <c r="B739" s="154">
        <v>2026</v>
      </c>
      <c r="C739" s="154" t="s">
        <v>22</v>
      </c>
      <c r="D739" s="154" t="s">
        <v>3011</v>
      </c>
      <c r="E739" s="159" t="s">
        <v>3012</v>
      </c>
      <c r="F739" s="170" t="s">
        <v>24</v>
      </c>
      <c r="G739" s="155" t="s">
        <v>2699</v>
      </c>
      <c r="H739" s="156" t="s">
        <v>3013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3014</v>
      </c>
      <c r="B740" s="154">
        <v>2026</v>
      </c>
      <c r="C740" s="154" t="s">
        <v>2710</v>
      </c>
      <c r="D740" s="154" t="s">
        <v>3015</v>
      </c>
      <c r="E740" s="159" t="s">
        <v>3016</v>
      </c>
      <c r="F740" s="170" t="s">
        <v>24</v>
      </c>
      <c r="G740" s="155" t="s">
        <v>2699</v>
      </c>
      <c r="H740" s="156" t="s">
        <v>3017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3018</v>
      </c>
      <c r="B741" s="154">
        <v>2026</v>
      </c>
      <c r="C741" s="154" t="s">
        <v>2696</v>
      </c>
      <c r="D741" s="154" t="s">
        <v>3019</v>
      </c>
      <c r="E741" s="159" t="s">
        <v>3020</v>
      </c>
      <c r="F741" s="170" t="s">
        <v>24</v>
      </c>
      <c r="G741" s="155" t="s">
        <v>2699</v>
      </c>
      <c r="H741" s="156" t="s">
        <v>3021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3022</v>
      </c>
      <c r="B742" s="154">
        <v>2026</v>
      </c>
      <c r="C742" s="154" t="s">
        <v>2710</v>
      </c>
      <c r="D742" s="154" t="s">
        <v>3019</v>
      </c>
      <c r="E742" s="159" t="s">
        <v>3023</v>
      </c>
      <c r="F742" s="170" t="s">
        <v>24</v>
      </c>
      <c r="G742" s="155" t="s">
        <v>2699</v>
      </c>
      <c r="H742" s="156" t="s">
        <v>3024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3025</v>
      </c>
      <c r="B743" s="154">
        <v>2026</v>
      </c>
      <c r="C743" s="154" t="s">
        <v>22</v>
      </c>
      <c r="D743" s="154" t="s">
        <v>3026</v>
      </c>
      <c r="E743" s="159" t="s">
        <v>3027</v>
      </c>
      <c r="F743" s="170" t="s">
        <v>24</v>
      </c>
      <c r="G743" s="155" t="s">
        <v>206</v>
      </c>
      <c r="H743" s="156" t="s">
        <v>3028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2998</v>
      </c>
    </row>
    <row r="744" spans="1:20" ht="15" x14ac:dyDescent="0.25">
      <c r="A744" s="156" t="s">
        <v>3029</v>
      </c>
      <c r="B744" s="154">
        <v>2026</v>
      </c>
      <c r="C744" s="154" t="s">
        <v>2710</v>
      </c>
      <c r="D744" s="154" t="s">
        <v>3030</v>
      </c>
      <c r="E744" s="166" t="s">
        <v>3031</v>
      </c>
      <c r="F744" s="170" t="s">
        <v>24</v>
      </c>
      <c r="G744" s="155" t="s">
        <v>206</v>
      </c>
      <c r="H744" s="156" t="s">
        <v>3032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3033</v>
      </c>
      <c r="B745" s="154">
        <v>2026</v>
      </c>
      <c r="C745" s="154" t="s">
        <v>2710</v>
      </c>
      <c r="D745" s="154" t="s">
        <v>3030</v>
      </c>
      <c r="E745" s="166" t="s">
        <v>3034</v>
      </c>
      <c r="F745" s="170" t="s">
        <v>24</v>
      </c>
      <c r="G745" s="155" t="s">
        <v>206</v>
      </c>
      <c r="H745" s="156" t="s">
        <v>3035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3036</v>
      </c>
      <c r="B746" s="154">
        <v>2026</v>
      </c>
      <c r="C746" s="154" t="s">
        <v>2789</v>
      </c>
      <c r="D746" s="154" t="s">
        <v>3037</v>
      </c>
      <c r="E746" s="166" t="s">
        <v>3038</v>
      </c>
      <c r="F746" s="170" t="s">
        <v>24</v>
      </c>
      <c r="G746" s="155" t="s">
        <v>206</v>
      </c>
      <c r="H746" s="156" t="s">
        <v>3039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3040</v>
      </c>
    </row>
    <row r="747" spans="1:20" ht="15" x14ac:dyDescent="0.25">
      <c r="A747" s="156" t="s">
        <v>3041</v>
      </c>
      <c r="B747" s="154">
        <v>2026</v>
      </c>
      <c r="C747" s="154" t="s">
        <v>22</v>
      </c>
      <c r="D747" s="154" t="s">
        <v>3042</v>
      </c>
      <c r="E747" s="166" t="s">
        <v>3043</v>
      </c>
      <c r="F747" s="170" t="s">
        <v>24</v>
      </c>
      <c r="G747" s="155" t="s">
        <v>206</v>
      </c>
      <c r="H747" s="156" t="s">
        <v>3044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3045</v>
      </c>
      <c r="B748" s="154">
        <v>2026</v>
      </c>
      <c r="C748" s="154" t="s">
        <v>2710</v>
      </c>
      <c r="D748" s="154" t="s">
        <v>3046</v>
      </c>
      <c r="E748" s="159" t="s">
        <v>3047</v>
      </c>
      <c r="F748" s="170" t="s">
        <v>69</v>
      </c>
      <c r="G748" s="155" t="s">
        <v>79</v>
      </c>
      <c r="H748" s="156" t="s">
        <v>3048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3049</v>
      </c>
      <c r="B749" s="154">
        <v>2026</v>
      </c>
      <c r="C749" s="154" t="s">
        <v>2710</v>
      </c>
      <c r="D749" s="154" t="s">
        <v>3050</v>
      </c>
      <c r="E749" s="166" t="s">
        <v>3051</v>
      </c>
      <c r="F749" s="170" t="s">
        <v>24</v>
      </c>
      <c r="G749" s="155" t="s">
        <v>25</v>
      </c>
      <c r="H749" s="156" t="s">
        <v>3052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3053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3054</v>
      </c>
      <c r="H1" s="168" t="s">
        <v>3055</v>
      </c>
    </row>
    <row r="2" spans="1:8" x14ac:dyDescent="0.25">
      <c r="H2" s="167" t="s">
        <v>3056</v>
      </c>
    </row>
    <row r="3" spans="1:8" x14ac:dyDescent="0.25">
      <c r="A3" t="s">
        <v>0</v>
      </c>
      <c r="B3" t="s">
        <v>19</v>
      </c>
      <c r="C3" t="s">
        <v>3057</v>
      </c>
      <c r="D3" t="s">
        <v>3058</v>
      </c>
      <c r="E3" t="s">
        <v>3059</v>
      </c>
      <c r="H3" s="167" t="s">
        <v>3060</v>
      </c>
    </row>
    <row r="4" spans="1:8" x14ac:dyDescent="0.25">
      <c r="A4">
        <v>1</v>
      </c>
      <c r="B4" t="s">
        <v>3061</v>
      </c>
      <c r="D4" t="s">
        <v>3062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3063</v>
      </c>
    </row>
    <row r="5" spans="1:8" x14ac:dyDescent="0.25">
      <c r="A5">
        <v>2</v>
      </c>
      <c r="B5" t="s">
        <v>2507</v>
      </c>
      <c r="D5" t="s">
        <v>3062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3064</v>
      </c>
    </row>
    <row r="6" spans="1:8" x14ac:dyDescent="0.25">
      <c r="A6">
        <v>3</v>
      </c>
      <c r="B6" t="s">
        <v>1030</v>
      </c>
      <c r="D6" t="s">
        <v>3062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3065</v>
      </c>
      <c r="D7" t="s">
        <v>3062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3066</v>
      </c>
    </row>
    <row r="8" spans="1:8" x14ac:dyDescent="0.25">
      <c r="A8">
        <v>5</v>
      </c>
      <c r="B8" t="s">
        <v>3067</v>
      </c>
      <c r="D8" t="s">
        <v>3062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3062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3062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3062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3062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3062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3062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3062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3062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3062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3062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3062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3062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3062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3062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3068</v>
      </c>
      <c r="D23" t="s">
        <v>3062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3062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3069</v>
      </c>
      <c r="D25" t="s">
        <v>3062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3070</v>
      </c>
      <c r="D26" t="s">
        <v>3062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3062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3062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3071</v>
      </c>
      <c r="D29" t="s">
        <v>3062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3062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3062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3062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3072</v>
      </c>
      <c r="D33" t="s">
        <v>3062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3073</v>
      </c>
      <c r="D34" t="s">
        <v>3062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3062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3062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3062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3074</v>
      </c>
      <c r="D38" t="s">
        <v>3062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3075</v>
      </c>
      <c r="D39" t="s">
        <v>3062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2582</v>
      </c>
      <c r="D40" t="s">
        <v>3062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3076</v>
      </c>
      <c r="D41" t="s">
        <v>3062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3062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3062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3077</v>
      </c>
      <c r="D44" t="s">
        <v>3062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3062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3062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3062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3062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3078</v>
      </c>
      <c r="D49" t="s">
        <v>3062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3062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3079</v>
      </c>
      <c r="D51" t="s">
        <v>3062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3062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3062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3080</v>
      </c>
      <c r="D54" t="s">
        <v>3062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3062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3062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3062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3081</v>
      </c>
      <c r="D58" t="s">
        <v>3062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3062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3062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3082</v>
      </c>
      <c r="D61" t="s">
        <v>3062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3083</v>
      </c>
      <c r="D62" t="s">
        <v>3062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3084</v>
      </c>
      <c r="D63" t="s">
        <v>3062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3085</v>
      </c>
      <c r="D64" t="s">
        <v>3062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3062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3062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3086</v>
      </c>
      <c r="D67" t="s">
        <v>3062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3087</v>
      </c>
      <c r="D68" t="s">
        <v>3062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3062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3088</v>
      </c>
      <c r="D70" t="s">
        <v>3062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2669</v>
      </c>
      <c r="D71" t="s">
        <v>3062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3062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3062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3089</v>
      </c>
      <c r="D74" t="s">
        <v>3062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3062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3062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3062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3062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3090</v>
      </c>
      <c r="D79" t="s">
        <v>3062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3091</v>
      </c>
      <c r="D80" t="s">
        <v>3062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3092</v>
      </c>
      <c r="D81" t="s">
        <v>3062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3093</v>
      </c>
      <c r="D82" t="s">
        <v>3062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3062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3094</v>
      </c>
      <c r="D84" t="s">
        <v>3062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2577</v>
      </c>
      <c r="D85" t="s">
        <v>3062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3095</v>
      </c>
      <c r="D86" t="s">
        <v>3062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3096</v>
      </c>
      <c r="D87" t="s">
        <v>3062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3097</v>
      </c>
      <c r="D88" t="s">
        <v>3062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3098</v>
      </c>
      <c r="D89" t="s">
        <v>3062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3099</v>
      </c>
      <c r="D90" t="s">
        <v>3062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3100</v>
      </c>
      <c r="D91" t="s">
        <v>3062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3101</v>
      </c>
      <c r="D92" t="s">
        <v>3062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3102</v>
      </c>
      <c r="D93" t="s">
        <v>3062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3103</v>
      </c>
      <c r="D94" t="s">
        <v>3062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3062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3104</v>
      </c>
      <c r="D96" t="s">
        <v>3062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3062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3105</v>
      </c>
      <c r="D98" t="s">
        <v>3062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3106</v>
      </c>
      <c r="D99" t="s">
        <v>3062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3107</v>
      </c>
      <c r="D100" t="s">
        <v>3062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3108</v>
      </c>
      <c r="D101" t="s">
        <v>3062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3062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3109</v>
      </c>
      <c r="D103" t="s">
        <v>3062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3110</v>
      </c>
      <c r="D104" t="s">
        <v>3062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3111</v>
      </c>
      <c r="D105" t="s">
        <v>3062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3062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3062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3112</v>
      </c>
      <c r="D108" t="s">
        <v>3062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3113</v>
      </c>
      <c r="D109" t="s">
        <v>3062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3114</v>
      </c>
      <c r="D110" t="s">
        <v>3062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3115</v>
      </c>
      <c r="D111" t="s">
        <v>3062</v>
      </c>
      <c r="E111" s="169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3116</v>
      </c>
      <c r="D112" t="s">
        <v>3062</v>
      </c>
      <c r="E112" s="169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3257</v>
      </c>
      <c r="D113" t="s">
        <v>3062</v>
      </c>
      <c r="E113" s="169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3117</v>
      </c>
      <c r="C1" s="18" t="s">
        <v>3118</v>
      </c>
      <c r="D1" s="18" t="s">
        <v>4</v>
      </c>
      <c r="E1" s="18" t="s">
        <v>3119</v>
      </c>
      <c r="F1" s="18" t="s">
        <v>19</v>
      </c>
      <c r="G1" s="18" t="s">
        <v>3120</v>
      </c>
      <c r="H1" s="18" t="s">
        <v>3121</v>
      </c>
      <c r="I1" s="18" t="s">
        <v>3122</v>
      </c>
      <c r="J1" s="18" t="s">
        <v>3123</v>
      </c>
      <c r="L1" s="110" t="s">
        <v>3124</v>
      </c>
      <c r="M1" s="22">
        <v>2026</v>
      </c>
      <c r="U1" s="79" t="s">
        <v>3125</v>
      </c>
      <c r="V1" s="78"/>
      <c r="X1" s="77" t="s">
        <v>3126</v>
      </c>
      <c r="Y1" s="26"/>
      <c r="Z1" s="26"/>
      <c r="AA1" s="26"/>
      <c r="AC1" s="99" t="s">
        <v>3127</v>
      </c>
    </row>
    <row r="2" spans="1:31" x14ac:dyDescent="0.25">
      <c r="A2" s="20" cm="1">
        <f t="array" aca="1" ref="A2:J155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3128</v>
      </c>
      <c r="M2" s="106" t="s">
        <v>2927</v>
      </c>
      <c r="X2" s="112" t="s">
        <v>3117</v>
      </c>
      <c r="Y2" s="112" t="s">
        <v>19</v>
      </c>
      <c r="Z2" s="112" t="s">
        <v>3129</v>
      </c>
      <c r="AA2" s="112" t="s">
        <v>3130</v>
      </c>
      <c r="AC2" s="113" t="s">
        <v>1</v>
      </c>
      <c r="AD2" s="113" t="s">
        <v>3131</v>
      </c>
      <c r="AE2" s="113" t="s">
        <v>3132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3133</v>
      </c>
      <c r="M3" s="111" t="s">
        <v>3134</v>
      </c>
      <c r="N3" s="111" t="s">
        <v>3135</v>
      </c>
      <c r="O3" s="111" t="s">
        <v>3136</v>
      </c>
      <c r="P3" s="111" t="s">
        <v>3137</v>
      </c>
      <c r="Q3" s="111" t="s">
        <v>3138</v>
      </c>
      <c r="R3" s="111" t="s">
        <v>3139</v>
      </c>
      <c r="S3" s="111" t="s">
        <v>3140</v>
      </c>
      <c r="T3" s="111" t="s">
        <v>3141</v>
      </c>
      <c r="X3" t="s">
        <v>2835</v>
      </c>
      <c r="Y3" t="s">
        <v>3075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70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1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3142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3075</v>
      </c>
      <c r="Z6">
        <v>1</v>
      </c>
      <c r="AA6">
        <v>0</v>
      </c>
      <c r="AC6" s="96">
        <v>2026</v>
      </c>
      <c r="AD6" s="17" t="s">
        <v>3143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3069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3087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3069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3087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3069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3087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3075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3075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3110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3106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3088</v>
      </c>
      <c r="Z33">
        <v>4</v>
      </c>
      <c r="AA33">
        <v>0.6</v>
      </c>
      <c r="AC33" s="98"/>
      <c r="AD33" s="114" t="s">
        <v>3144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3089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3080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3097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2685</v>
      </c>
      <c r="Y45" t="s">
        <v>3096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2685</v>
      </c>
      <c r="Y46" t="s">
        <v>3108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2685</v>
      </c>
      <c r="Y47" t="s">
        <v>3105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2685</v>
      </c>
      <c r="Y48" t="s">
        <v>3107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2685</v>
      </c>
      <c r="Y49" t="s">
        <v>3104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2685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2685</v>
      </c>
      <c r="Y51" t="s">
        <v>3145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2685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2685</v>
      </c>
      <c r="Y53" t="s">
        <v>3111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2685</v>
      </c>
      <c r="Y54" t="s">
        <v>3109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2783</v>
      </c>
      <c r="Y55" t="s">
        <v>3096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A realizar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2748</v>
      </c>
      <c r="Y58" s="109" t="s">
        <v>3103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2748</v>
      </c>
      <c r="Y59" t="s">
        <v>3102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2748</v>
      </c>
      <c r="Y60" t="s">
        <v>3101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2701</v>
      </c>
      <c r="Y64" t="s">
        <v>3093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Em andamento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2959</v>
      </c>
      <c r="Y68" t="s">
        <v>3091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A realizar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L70">
        <f ca="1"/>
        <v>2026</v>
      </c>
      <c r="M70" t="str">
        <f ca="1"/>
        <v>2026-093</v>
      </c>
      <c r="N70" t="str">
        <f ca="1"/>
        <v>A realizar</v>
      </c>
      <c r="O70" t="str">
        <f ca="1"/>
        <v>Controle Tecnológico de Pavimentos Asfálticos, Auditoria e Análise de Superfaturamento</v>
      </c>
      <c r="P70">
        <f ca="1"/>
        <v>12</v>
      </c>
      <c r="Q70" t="str">
        <f ca="1"/>
        <v>Marcelo Silva Santana; Matheus Viana de Souza</v>
      </c>
      <c r="R70">
        <f ca="1"/>
        <v>2</v>
      </c>
      <c r="S70">
        <f ca="1"/>
        <v>154</v>
      </c>
      <c r="T70">
        <f ca="1"/>
        <v>152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T71">
        <f ca="1"/>
        <v>154</v>
      </c>
      <c r="X71" t="s">
        <v>2822</v>
      </c>
      <c r="Y71" s="17" t="s">
        <v>3075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3080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3094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3098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3095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3099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3081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3081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3081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3146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3146</v>
      </c>
      <c r="Y87" t="s">
        <v>3093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3146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3045</v>
      </c>
      <c r="Y89" t="s">
        <v>3080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3049</v>
      </c>
      <c r="Y90" t="s">
        <v>3114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A realizar</v>
      </c>
      <c r="D98" t="str">
        <f ca="1"/>
        <v>TCendo o Futuro 5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A realizar</v>
      </c>
      <c r="D99" t="str">
        <f ca="1"/>
        <v>TCendo o Futuro 5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A realizar</v>
      </c>
      <c r="D100" t="str">
        <f ca="1"/>
        <v>TCendo o Futuro 5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A realizar</v>
      </c>
      <c r="D101" t="str">
        <f ca="1"/>
        <v>TCendo o Futuro 5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A realizar</v>
      </c>
      <c r="D102" t="str">
        <f ca="1"/>
        <v>TCendo o Futuro 6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A realizar</v>
      </c>
      <c r="D103" t="str">
        <f ca="1"/>
        <v>TCendo o Futuro 6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A realizar</v>
      </c>
      <c r="D104" t="str">
        <f ca="1"/>
        <v>TCendo o Futuro 6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A realizar</v>
      </c>
      <c r="D105" t="str">
        <f ca="1"/>
        <v>TCendo o Futuro 6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A realizar</v>
      </c>
      <c r="D106" t="str">
        <f ca="1"/>
        <v>TCendo o Futuro 6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A realizar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A realizar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A realizar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Em andamento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Em andamento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A realizar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A realizar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A154">
        <f ca="1"/>
        <v>2026</v>
      </c>
      <c r="B154" t="str">
        <f ca="1"/>
        <v>2026-093</v>
      </c>
      <c r="C154" t="str">
        <f ca="1"/>
        <v>A realizar</v>
      </c>
      <c r="D154" t="str">
        <f ca="1"/>
        <v>Controle Tecnológico de Pavimentos Asfálticos, Auditoria e Análise de Superfaturamento</v>
      </c>
      <c r="E154">
        <f ca="1"/>
        <v>12</v>
      </c>
      <c r="F154" t="str">
        <f ca="1"/>
        <v>Marcelo Silva Santana</v>
      </c>
      <c r="G154">
        <f ca="1"/>
        <v>2</v>
      </c>
      <c r="H154">
        <f ca="1"/>
        <v>12</v>
      </c>
      <c r="I154">
        <f ca="1"/>
        <v>3.5999999999999996</v>
      </c>
      <c r="J154">
        <f ca="1"/>
        <v>15.6</v>
      </c>
      <c r="R154" t="str">
        <f ca="1"/>
        <v/>
      </c>
      <c r="S154" t="str">
        <f ca="1"/>
        <v/>
      </c>
    </row>
    <row r="155" spans="1:19" x14ac:dyDescent="0.25">
      <c r="A155">
        <f ca="1"/>
        <v>2026</v>
      </c>
      <c r="B155" t="str">
        <f ca="1"/>
        <v>2026-093</v>
      </c>
      <c r="C155" t="str">
        <f ca="1"/>
        <v>A realizar</v>
      </c>
      <c r="D155" t="str">
        <f ca="1"/>
        <v>Controle Tecnológico de Pavimentos Asfálticos, Auditoria e Análise de Superfaturamento</v>
      </c>
      <c r="E155">
        <f ca="1"/>
        <v>12</v>
      </c>
      <c r="F155" t="str">
        <f ca="1"/>
        <v>Matheus Viana de Souza</v>
      </c>
      <c r="G155">
        <f ca="1"/>
        <v>2</v>
      </c>
      <c r="H155">
        <f ca="1"/>
        <v>0</v>
      </c>
      <c r="I155">
        <f ca="1"/>
        <v>0</v>
      </c>
      <c r="J155">
        <f ca="1"/>
        <v>0</v>
      </c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4" t="s">
        <v>3147</v>
      </c>
      <c r="B1" s="214"/>
      <c r="C1" s="214"/>
      <c r="D1" s="214"/>
      <c r="E1" s="214"/>
      <c r="F1" s="214"/>
      <c r="G1" s="214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5" t="s">
        <v>3148</v>
      </c>
      <c r="B4" s="216"/>
      <c r="D4" s="217" t="s">
        <v>3149</v>
      </c>
      <c r="E4" s="218"/>
      <c r="G4" s="44" t="s">
        <v>3150</v>
      </c>
    </row>
    <row r="5" spans="1:7" ht="54.95" customHeight="1" thickBot="1" x14ac:dyDescent="0.75">
      <c r="A5" s="34">
        <f>COUNTIF('Ações InCompany'!B:B,2026)</f>
        <v>93</v>
      </c>
      <c r="B5" s="35" t="s">
        <v>3151</v>
      </c>
      <c r="D5" s="42">
        <f>COUNTIFS('Ações InCompany'!B:B,2026,'Ações InCompany'!C:C,"Realizado")</f>
        <v>62</v>
      </c>
      <c r="E5" s="43" t="s">
        <v>3151</v>
      </c>
      <c r="G5" s="45">
        <f>COUNTIFS('Ações InCompany'!B:B,2026,'Ações InCompany'!C:C,"A realizar")</f>
        <v>22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2" t="s">
        <v>3152</v>
      </c>
      <c r="B8" s="212"/>
      <c r="D8" s="212" t="s">
        <v>3153</v>
      </c>
      <c r="E8" s="212"/>
    </row>
    <row r="9" spans="1:7" ht="5.0999999999999996" customHeight="1" x14ac:dyDescent="0.25">
      <c r="A9" s="213"/>
      <c r="B9" s="213"/>
      <c r="D9" s="213"/>
      <c r="E9" s="213"/>
    </row>
    <row r="10" spans="1:7" ht="24.95" customHeight="1" x14ac:dyDescent="0.25">
      <c r="A10" s="27" t="s">
        <v>5</v>
      </c>
      <c r="B10" s="27" t="s">
        <v>3154</v>
      </c>
      <c r="D10" s="27" t="s">
        <v>3155</v>
      </c>
      <c r="E10" s="27" t="s">
        <v>3156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24</v>
      </c>
      <c r="D11" s="28" t="s">
        <v>3157</v>
      </c>
      <c r="E11" s="29">
        <f>SUMIFS('Ações InCompany'!O:O,'Ações InCompany'!B:B,2026,'Ações InCompany'!C:C,"Realizado")</f>
        <v>1026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3158</v>
      </c>
      <c r="E12" s="31">
        <f>SUMIFS('Ações InCompany'!P:P,'Ações InCompany'!B:B,2026,'Ações InCompany'!C:C,"Realizado")</f>
        <v>1618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12</v>
      </c>
      <c r="D13" s="28" t="s">
        <v>3159</v>
      </c>
      <c r="E13" s="29">
        <f>SUMIFS('Ações InCompany'!Q:Q,'Ações InCompany'!B:B,2026,'Ações InCompany'!C:C,"Realizado")</f>
        <v>637</v>
      </c>
    </row>
    <row r="14" spans="1:7" ht="27.95" customHeight="1" x14ac:dyDescent="0.3">
      <c r="A14" s="32" t="s">
        <v>3160</v>
      </c>
      <c r="B14" s="33">
        <f>SUM(B11:B13)</f>
        <v>62</v>
      </c>
      <c r="D14" s="32" t="s">
        <v>3161</v>
      </c>
      <c r="E14" s="33">
        <f>SUM(E11:E13)</f>
        <v>3281</v>
      </c>
    </row>
    <row r="30" spans="1:5" ht="17.25" x14ac:dyDescent="0.3">
      <c r="A30" s="212" t="s">
        <v>3162</v>
      </c>
      <c r="B30" s="212"/>
      <c r="C30" s="212"/>
      <c r="D30" s="212"/>
      <c r="E30" s="212"/>
    </row>
    <row r="31" spans="1:5" ht="5.0999999999999996" customHeight="1" x14ac:dyDescent="0.25">
      <c r="A31" s="213"/>
      <c r="B31" s="213"/>
      <c r="C31" s="213"/>
      <c r="D31" s="213"/>
      <c r="E31" s="213"/>
    </row>
    <row r="32" spans="1:5" ht="24.95" customHeight="1" x14ac:dyDescent="0.25">
      <c r="A32" s="27" t="s">
        <v>6</v>
      </c>
      <c r="B32" s="27" t="s">
        <v>3163</v>
      </c>
      <c r="C32" s="27" t="s">
        <v>3164</v>
      </c>
      <c r="D32" s="27" t="s">
        <v>3165</v>
      </c>
      <c r="E32" s="27" t="s">
        <v>3166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2</v>
      </c>
      <c r="D35" s="36">
        <f t="shared" si="0"/>
        <v>8</v>
      </c>
      <c r="E35" s="37">
        <f t="shared" si="1"/>
        <v>9.5238095238095233E-2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12</v>
      </c>
      <c r="C38" s="47">
        <f>COUNTIFS('Ações InCompany'!B:B,2026,'Ações InCompany'!C:C,"A realizar",'Ações InCompany'!G:G,A38)</f>
        <v>10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2693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3167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3168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3160</v>
      </c>
      <c r="B45" s="40">
        <f>SUM(B33:B44)</f>
        <v>62</v>
      </c>
      <c r="C45" s="40">
        <f>SUM(C33:C44)</f>
        <v>22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3174</v>
      </c>
      <c r="B2" s="11" t="s">
        <v>3175</v>
      </c>
      <c r="C2" s="11" t="s">
        <v>1736</v>
      </c>
      <c r="D2" s="11" t="s">
        <v>3176</v>
      </c>
      <c r="E2" s="11" t="s">
        <v>3177</v>
      </c>
    </row>
    <row r="3" spans="1:5" ht="18" customHeight="1" x14ac:dyDescent="0.25">
      <c r="A3" s="11" t="s">
        <v>3174</v>
      </c>
      <c r="B3" s="11" t="s">
        <v>3175</v>
      </c>
      <c r="C3" s="13" t="s">
        <v>25</v>
      </c>
      <c r="D3" s="11" t="s">
        <v>3178</v>
      </c>
      <c r="E3" s="11" t="s">
        <v>3179</v>
      </c>
    </row>
    <row r="4" spans="1:5" ht="18" customHeight="1" x14ac:dyDescent="0.25">
      <c r="A4" s="11" t="s">
        <v>3174</v>
      </c>
      <c r="B4" s="11" t="s">
        <v>3175</v>
      </c>
      <c r="C4" s="11" t="s">
        <v>75</v>
      </c>
      <c r="D4" s="11" t="s">
        <v>3176</v>
      </c>
      <c r="E4" s="11" t="s">
        <v>3180</v>
      </c>
    </row>
    <row r="5" spans="1:5" ht="18" customHeight="1" x14ac:dyDescent="0.25">
      <c r="A5" s="11" t="s">
        <v>3174</v>
      </c>
      <c r="B5" s="11" t="s">
        <v>3175</v>
      </c>
      <c r="C5" s="11" t="s">
        <v>79</v>
      </c>
      <c r="D5" s="11" t="s">
        <v>3181</v>
      </c>
      <c r="E5" s="11" t="s">
        <v>3182</v>
      </c>
    </row>
    <row r="6" spans="1:5" ht="18" customHeight="1" x14ac:dyDescent="0.25">
      <c r="A6" s="11" t="s">
        <v>3174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3174</v>
      </c>
      <c r="B7" s="11" t="s">
        <v>3185</v>
      </c>
      <c r="C7" s="11" t="s">
        <v>36</v>
      </c>
      <c r="D7" s="11" t="s">
        <v>3186</v>
      </c>
      <c r="E7" s="11" t="s">
        <v>3187</v>
      </c>
    </row>
    <row r="8" spans="1:5" ht="18" customHeight="1" x14ac:dyDescent="0.25">
      <c r="A8" s="11" t="s">
        <v>3174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3174</v>
      </c>
      <c r="B9" s="11" t="s">
        <v>3190</v>
      </c>
      <c r="C9" s="11" t="s">
        <v>464</v>
      </c>
      <c r="D9" s="11" t="s">
        <v>3191</v>
      </c>
      <c r="E9" s="11" t="s">
        <v>3192</v>
      </c>
    </row>
    <row r="10" spans="1:5" ht="18" customHeight="1" x14ac:dyDescent="0.25">
      <c r="A10" s="11" t="s">
        <v>3174</v>
      </c>
      <c r="B10" s="11" t="s">
        <v>3190</v>
      </c>
      <c r="C10" s="11" t="s">
        <v>206</v>
      </c>
      <c r="D10" s="11" t="s">
        <v>24</v>
      </c>
      <c r="E10" s="11" t="s">
        <v>3193</v>
      </c>
    </row>
    <row r="11" spans="1:5" ht="18" customHeight="1" x14ac:dyDescent="0.25">
      <c r="A11" s="11" t="s">
        <v>3174</v>
      </c>
      <c r="B11" s="11" t="s">
        <v>3190</v>
      </c>
      <c r="C11" s="11" t="s">
        <v>371</v>
      </c>
      <c r="D11" s="11" t="s">
        <v>24</v>
      </c>
      <c r="E11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3195</v>
      </c>
      <c r="B1" s="5" t="s">
        <v>10</v>
      </c>
      <c r="C1" s="14" t="s">
        <v>3196</v>
      </c>
      <c r="D1" s="14" t="s">
        <v>3118</v>
      </c>
    </row>
    <row r="2" spans="1:4" ht="21" customHeight="1" x14ac:dyDescent="0.25">
      <c r="A2" s="102" t="s">
        <v>24</v>
      </c>
      <c r="B2" s="102" t="s">
        <v>38</v>
      </c>
      <c r="C2" s="11" t="s">
        <v>3197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3198</v>
      </c>
      <c r="D3" s="11" t="s">
        <v>2696</v>
      </c>
    </row>
    <row r="4" spans="1:4" ht="21" customHeight="1" x14ac:dyDescent="0.25">
      <c r="A4" s="13" t="s">
        <v>88</v>
      </c>
      <c r="B4" s="102" t="s">
        <v>227</v>
      </c>
      <c r="D4" s="11" t="s">
        <v>3261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3199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3169</v>
      </c>
      <c r="B1" s="11" t="s">
        <v>3170</v>
      </c>
      <c r="C1" s="12" t="s">
        <v>3171</v>
      </c>
      <c r="D1" s="12" t="s">
        <v>3172</v>
      </c>
      <c r="E1" s="12" t="s">
        <v>3173</v>
      </c>
    </row>
    <row r="2" spans="1:5" ht="18" customHeight="1" x14ac:dyDescent="0.25">
      <c r="A2" s="11" t="s">
        <v>3200</v>
      </c>
      <c r="B2" s="11" t="s">
        <v>3175</v>
      </c>
      <c r="C2" s="13" t="s">
        <v>25</v>
      </c>
      <c r="D2" s="11" t="s">
        <v>3176</v>
      </c>
      <c r="E2" s="16" t="s">
        <v>3201</v>
      </c>
    </row>
    <row r="3" spans="1:5" ht="18" customHeight="1" x14ac:dyDescent="0.25">
      <c r="A3" s="11" t="s">
        <v>3200</v>
      </c>
      <c r="B3" s="11" t="s">
        <v>3175</v>
      </c>
      <c r="C3" s="11" t="s">
        <v>75</v>
      </c>
      <c r="D3" s="11" t="s">
        <v>3178</v>
      </c>
      <c r="E3" s="11" t="s">
        <v>3202</v>
      </c>
    </row>
    <row r="4" spans="1:5" ht="18" customHeight="1" x14ac:dyDescent="0.25">
      <c r="A4" s="11" t="s">
        <v>3200</v>
      </c>
      <c r="B4" s="11" t="s">
        <v>3175</v>
      </c>
      <c r="C4" s="11" t="s">
        <v>79</v>
      </c>
      <c r="D4" s="11" t="s">
        <v>3181</v>
      </c>
      <c r="E4" s="11" t="s">
        <v>3203</v>
      </c>
    </row>
    <row r="5" spans="1:5" ht="27.75" customHeight="1" x14ac:dyDescent="0.25">
      <c r="A5" s="11" t="s">
        <v>3200</v>
      </c>
      <c r="B5" s="11" t="s">
        <v>3175</v>
      </c>
      <c r="C5" s="11" t="s">
        <v>2693</v>
      </c>
      <c r="D5" s="16" t="s">
        <v>3204</v>
      </c>
      <c r="E5" s="11" t="s">
        <v>3205</v>
      </c>
    </row>
    <row r="6" spans="1:5" ht="18" customHeight="1" x14ac:dyDescent="0.25">
      <c r="A6" s="11" t="s">
        <v>3200</v>
      </c>
      <c r="B6" s="11" t="s">
        <v>3175</v>
      </c>
      <c r="C6" s="11" t="s">
        <v>2717</v>
      </c>
      <c r="D6" s="11" t="s">
        <v>3183</v>
      </c>
      <c r="E6" s="11" t="s">
        <v>3184</v>
      </c>
    </row>
    <row r="7" spans="1:5" ht="18" customHeight="1" x14ac:dyDescent="0.25">
      <c r="A7" s="11" t="s">
        <v>3200</v>
      </c>
      <c r="B7" s="11" t="s">
        <v>3185</v>
      </c>
      <c r="C7" s="11" t="s">
        <v>2699</v>
      </c>
      <c r="D7" s="11" t="s">
        <v>3206</v>
      </c>
      <c r="E7" s="11" t="s">
        <v>3207</v>
      </c>
    </row>
    <row r="8" spans="1:5" ht="18" customHeight="1" x14ac:dyDescent="0.25">
      <c r="A8" s="11" t="s">
        <v>3200</v>
      </c>
      <c r="B8" s="11" t="s">
        <v>3185</v>
      </c>
      <c r="C8" s="11" t="s">
        <v>42</v>
      </c>
      <c r="D8" s="11" t="s">
        <v>3188</v>
      </c>
      <c r="E8" s="11" t="s">
        <v>3189</v>
      </c>
    </row>
    <row r="9" spans="1:5" ht="18" customHeight="1" x14ac:dyDescent="0.25">
      <c r="A9" s="11" t="s">
        <v>3200</v>
      </c>
      <c r="B9" s="11" t="s">
        <v>3185</v>
      </c>
      <c r="C9" s="11" t="s">
        <v>2792</v>
      </c>
      <c r="D9" s="11" t="s">
        <v>3208</v>
      </c>
      <c r="E9" s="16" t="s">
        <v>3209</v>
      </c>
    </row>
    <row r="10" spans="1:5" ht="18" customHeight="1" x14ac:dyDescent="0.25">
      <c r="A10" s="11" t="s">
        <v>3200</v>
      </c>
      <c r="B10" s="11" t="s">
        <v>3210</v>
      </c>
      <c r="C10" s="11" t="s">
        <v>3167</v>
      </c>
      <c r="D10" s="11" t="s">
        <v>3211</v>
      </c>
      <c r="E10" s="16" t="s">
        <v>3212</v>
      </c>
    </row>
    <row r="11" spans="1:5" ht="18" customHeight="1" x14ac:dyDescent="0.25">
      <c r="A11" s="11" t="s">
        <v>3200</v>
      </c>
      <c r="B11" s="11" t="s">
        <v>3210</v>
      </c>
      <c r="C11" s="11" t="s">
        <v>206</v>
      </c>
      <c r="D11" s="11" t="s">
        <v>24</v>
      </c>
      <c r="E11" s="11" t="s">
        <v>3193</v>
      </c>
    </row>
    <row r="12" spans="1:5" ht="18" customHeight="1" x14ac:dyDescent="0.25">
      <c r="A12" s="11" t="s">
        <v>3200</v>
      </c>
      <c r="B12" s="11" t="s">
        <v>3210</v>
      </c>
      <c r="C12" s="11" t="s">
        <v>371</v>
      </c>
      <c r="D12" s="11" t="s">
        <v>24</v>
      </c>
      <c r="E12" s="11" t="s">
        <v>3194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19" t="s">
        <v>3213</v>
      </c>
      <c r="B1" s="219"/>
      <c r="C1" s="219"/>
      <c r="D1" s="219"/>
      <c r="E1" s="219"/>
      <c r="F1" s="219"/>
      <c r="G1" s="219"/>
      <c r="H1" s="219"/>
    </row>
    <row r="2" spans="1:8" x14ac:dyDescent="0.25">
      <c r="A2" s="48" t="s">
        <v>3214</v>
      </c>
    </row>
    <row r="4" spans="1:8" ht="21.95" customHeight="1" x14ac:dyDescent="0.25">
      <c r="A4" s="220" t="s">
        <v>3215</v>
      </c>
      <c r="B4" s="221"/>
      <c r="D4" s="220" t="s">
        <v>3216</v>
      </c>
      <c r="E4" s="221"/>
      <c r="G4" s="220" t="s">
        <v>3217</v>
      </c>
      <c r="H4" s="221"/>
    </row>
    <row r="5" spans="1:8" ht="35.1" customHeight="1" x14ac:dyDescent="0.25">
      <c r="A5" s="224">
        <f>COUNTIF('Ações InCompany'!E:E,"*maratona*")</f>
        <v>13</v>
      </c>
      <c r="B5" s="223"/>
      <c r="D5" s="222">
        <f>SUM(H8:H100)</f>
        <v>1762</v>
      </c>
      <c r="E5" s="223"/>
      <c r="G5" s="222">
        <f>IFERROR(ROUND(D5/A5,0),"-")</f>
        <v>136</v>
      </c>
      <c r="H5" s="223"/>
    </row>
    <row r="6" spans="1:8" ht="9.9499999999999993" customHeight="1" x14ac:dyDescent="0.25"/>
    <row r="7" spans="1:8" ht="24.95" customHeight="1" thickBot="1" x14ac:dyDescent="0.3">
      <c r="A7" s="61" t="s">
        <v>3218</v>
      </c>
      <c r="B7" s="61" t="s">
        <v>3219</v>
      </c>
      <c r="C7" s="61" t="s">
        <v>1</v>
      </c>
      <c r="D7" s="61" t="s">
        <v>3220</v>
      </c>
      <c r="E7" s="61" t="s">
        <v>3221</v>
      </c>
      <c r="F7" s="61" t="s">
        <v>3118</v>
      </c>
      <c r="G7" s="61" t="s">
        <v>5</v>
      </c>
      <c r="H7" s="61" t="s">
        <v>3222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5" t="s">
        <v>3223</v>
      </c>
      <c r="B1" s="225"/>
      <c r="C1" s="225"/>
      <c r="D1" s="225"/>
      <c r="E1" s="225"/>
      <c r="F1" s="225"/>
    </row>
    <row r="2" spans="1:7" x14ac:dyDescent="0.25">
      <c r="A2" s="226" t="s">
        <v>3224</v>
      </c>
      <c r="B2" s="226"/>
      <c r="C2" s="226"/>
      <c r="D2" s="226"/>
      <c r="E2" s="226"/>
      <c r="F2" s="226"/>
    </row>
    <row r="4" spans="1:7" x14ac:dyDescent="0.25">
      <c r="A4" s="24" t="s">
        <v>19</v>
      </c>
      <c r="B4" s="24" t="s">
        <v>3121</v>
      </c>
      <c r="C4" s="24" t="s">
        <v>3122</v>
      </c>
      <c r="D4" s="24" t="s">
        <v>3225</v>
      </c>
      <c r="E4" s="24" t="s">
        <v>3123</v>
      </c>
      <c r="F4" s="24" t="s">
        <v>3226</v>
      </c>
    </row>
    <row r="5" spans="1:7" x14ac:dyDescent="0.25">
      <c r="A5" t="str" cm="1">
        <f t="array" aca="1" ref="A5:A64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24</v>
      </c>
      <c r="C45" s="25">
        <f ca="1">IF($A45="","",SUMIFS('GECC 2026'!I$2:I$200,'GECC 2026'!F$2:F$200,$A45))</f>
        <v>5.0399999999999991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29.04</v>
      </c>
      <c r="F45" s="23">
        <f ca="1">IF($A45="","",COUNTIFS('GECC 2026'!F$2:F$200,$A45))</f>
        <v>3</v>
      </c>
    </row>
    <row r="46" spans="1:6" x14ac:dyDescent="0.25">
      <c r="A46" t="str">
        <f ca="1"/>
        <v>Matheus Viana de Souza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0</v>
      </c>
      <c r="E46" s="92">
        <f ca="1">IF($A46="","",SUMIFS('GECC 2026'!J$2:J$200,'GECC 2026'!F$2:F$200,$A46)+SUMIFS('GECC 2026'!$AE$3:$AE$32,'GECC 2026'!$AD$3:$AD$32,$A46))</f>
        <v>0</v>
      </c>
      <c r="F46" s="23">
        <f ca="1">IF($A46="","",COUNTIFS('GECC 2026'!F$2:F$200,$A46))</f>
        <v>1</v>
      </c>
    </row>
    <row r="47" spans="1:6" x14ac:dyDescent="0.25">
      <c r="A47" t="str">
        <f ca="1"/>
        <v>Mauri Siqueira Montessi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Michel Martins de Morais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16</v>
      </c>
      <c r="E48" s="92">
        <f ca="1">IF($A48="","",SUMIFS('GECC 2026'!J$2:J$200,'GECC 2026'!F$2:F$200,$A48)+SUMIFS('GECC 2026'!$AE$3:$AE$32,'GECC 2026'!$AD$3:$AD$32,$A48))</f>
        <v>16</v>
      </c>
      <c r="F48" s="23">
        <f ca="1">IF($A48="","",COUNTIFS('GECC 2026'!F$2:F$200,$A48))</f>
        <v>0</v>
      </c>
    </row>
    <row r="49" spans="1:6" x14ac:dyDescent="0.25">
      <c r="A49" t="str">
        <f ca="1"/>
        <v>Paulo José Góes Daltro</v>
      </c>
      <c r="B49" s="25">
        <f ca="1">IF($A49="","",SUMIFS('GECC 2026'!H$2:H$200,'GECC 2026'!F$2:F$200,$A49))</f>
        <v>0</v>
      </c>
      <c r="C49" s="25">
        <f ca="1">IF($A49="","",SUMIFS('GECC 2026'!I$2:I$200,'GECC 2026'!F$2:F$200,$A49))</f>
        <v>0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0</v>
      </c>
      <c r="F49" s="23">
        <f ca="1">IF($A49="","",COUNTIFS('GECC 2026'!F$2:F$200,$A49))</f>
        <v>2</v>
      </c>
    </row>
    <row r="50" spans="1:6" x14ac:dyDescent="0.25">
      <c r="A50" t="str">
        <f ca="1"/>
        <v>Priscila Nolasco de Oliveira</v>
      </c>
      <c r="B50" s="25">
        <f ca="1">IF($A50="","",SUMIFS('GECC 2026'!H$2:H$200,'GECC 2026'!F$2:F$200,$A50))</f>
        <v>20</v>
      </c>
      <c r="C50" s="25">
        <f ca="1">IF($A50="","",SUMIFS('GECC 2026'!I$2:I$200,'GECC 2026'!F$2:F$200,$A50))</f>
        <v>6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26</v>
      </c>
      <c r="F50" s="23">
        <f ca="1">IF($A50="","",COUNTIFS('GECC 2026'!F$2:F$200,$A50))</f>
        <v>5</v>
      </c>
    </row>
    <row r="51" spans="1:6" x14ac:dyDescent="0.25">
      <c r="A51" t="str">
        <f ca="1"/>
        <v>Rafael Nóbrega Campos</v>
      </c>
      <c r="B51" s="25">
        <f ca="1">IF($A51="","",SUMIFS('GECC 2026'!H$2:H$200,'GECC 2026'!F$2:F$200,$A51))</f>
        <v>5</v>
      </c>
      <c r="C51" s="25">
        <f ca="1">IF($A51="","",SUMIFS('GECC 2026'!I$2:I$200,'GECC 2026'!F$2:F$200,$A51))</f>
        <v>1.5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6.5</v>
      </c>
      <c r="F51" s="23">
        <f ca="1">IF($A51="","",COUNTIFS('GECC 2026'!F$2:F$200,$A51))</f>
        <v>1</v>
      </c>
    </row>
    <row r="52" spans="1:6" x14ac:dyDescent="0.25">
      <c r="A52" t="str">
        <f ca="1"/>
        <v>Reinaldo Alencar</v>
      </c>
      <c r="B52" s="25">
        <f ca="1">IF($A52="","",SUMIFS('GECC 2026'!H$2:H$200,'GECC 2026'!F$2:F$200,$A52))</f>
        <v>48</v>
      </c>
      <c r="C52" s="25">
        <f ca="1">IF($A52="","",SUMIFS('GECC 2026'!I$2:I$200,'GECC 2026'!F$2:F$200,$A52))</f>
        <v>7.1999999999999993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55.2</v>
      </c>
      <c r="F52" s="23">
        <f ca="1">IF($A52="","",COUNTIFS('GECC 2026'!F$2:F$200,$A52))</f>
        <v>3</v>
      </c>
    </row>
    <row r="53" spans="1:6" x14ac:dyDescent="0.25">
      <c r="A53" t="str">
        <f ca="1"/>
        <v>Renan Dias da Silva</v>
      </c>
      <c r="B53" s="25">
        <f ca="1">IF($A53="","",SUMIFS('GECC 2026'!H$2:H$200,'GECC 2026'!F$2:F$200,$A53))</f>
        <v>4</v>
      </c>
      <c r="C53" s="25">
        <f ca="1">IF($A53="","",SUMIFS('GECC 2026'!I$2:I$200,'GECC 2026'!F$2:F$200,$A53))</f>
        <v>1.2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5.2</v>
      </c>
      <c r="F53" s="23">
        <f ca="1">IF($A53="","",COUNTIFS('GECC 2026'!F$2:F$200,$A53))</f>
        <v>1</v>
      </c>
    </row>
    <row r="54" spans="1:6" x14ac:dyDescent="0.25">
      <c r="A54" t="str">
        <f ca="1"/>
        <v>Rogério Ribeiro</v>
      </c>
      <c r="B54" s="25">
        <f ca="1">IF($A54="","",SUMIFS('GECC 2026'!H$2:H$200,'GECC 2026'!F$2:F$200,$A54))</f>
        <v>48</v>
      </c>
      <c r="C54" s="25">
        <f ca="1">IF($A54="","",SUMIFS('GECC 2026'!I$2:I$200,'GECC 2026'!F$2:F$200,$A54))</f>
        <v>7.1999999999999993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55.2</v>
      </c>
      <c r="F54" s="23">
        <f ca="1">IF($A54="","",COUNTIFS('GECC 2026'!F$2:F$200,$A54))</f>
        <v>3</v>
      </c>
    </row>
    <row r="55" spans="1:6" x14ac:dyDescent="0.25">
      <c r="A55" t="str">
        <f ca="1"/>
        <v>Rômulo Miranda Alvim</v>
      </c>
      <c r="B55" s="25">
        <f ca="1">IF($A55="","",SUMIFS('GECC 2026'!H$2:H$200,'GECC 2026'!F$2:F$200,$A55))</f>
        <v>24</v>
      </c>
      <c r="C55" s="25">
        <f ca="1">IF($A55="","",SUMIFS('GECC 2026'!I$2:I$200,'GECC 2026'!F$2:F$200,$A55))</f>
        <v>3.6</v>
      </c>
      <c r="D55" s="100">
        <f ca="1">IF($A55="","",SUMIFS('GECC 2026'!$AE$3:$AE$32,'GECC 2026'!$AD$3:$AD$32,$A55))</f>
        <v>16</v>
      </c>
      <c r="E55" s="92">
        <f ca="1">IF($A55="","",SUMIFS('GECC 2026'!J$2:J$200,'GECC 2026'!F$2:F$200,$A55)+SUMIFS('GECC 2026'!$AE$3:$AE$32,'GECC 2026'!$AD$3:$AD$32,$A55))</f>
        <v>43.6</v>
      </c>
      <c r="F55" s="23">
        <f ca="1">IF($A55="","",COUNTIFS('GECC 2026'!F$2:F$200,$A55))</f>
        <v>2</v>
      </c>
    </row>
    <row r="56" spans="1:6" x14ac:dyDescent="0.25">
      <c r="A56" t="str">
        <f ca="1"/>
        <v>Sara Cristina Lins Ramos</v>
      </c>
      <c r="B56" s="25">
        <f ca="1">IF($A56="","",SUMIFS('GECC 2026'!H$2:H$200,'GECC 2026'!F$2:F$200,$A56))</f>
        <v>8</v>
      </c>
      <c r="C56" s="25">
        <f ca="1">IF($A56="","",SUMIFS('GECC 2026'!I$2:I$200,'GECC 2026'!F$2:F$200,$A56))</f>
        <v>2.4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10.4</v>
      </c>
      <c r="F56" s="23">
        <f ca="1">IF($A56="","",COUNTIFS('GECC 2026'!F$2:F$200,$A56))</f>
        <v>1</v>
      </c>
    </row>
    <row r="57" spans="1:6" x14ac:dyDescent="0.25">
      <c r="A57" t="str">
        <f ca="1"/>
        <v>Servidores, colaboradores e estagiários do TCDF</v>
      </c>
      <c r="B57" s="25">
        <f ca="1">IF($A57="","",SUMIFS('GECC 2026'!H$2:H$200,'GECC 2026'!F$2:F$200,$A57))</f>
        <v>0</v>
      </c>
      <c r="C57" s="25">
        <f ca="1">IF($A57="","",SUMIFS('GECC 2026'!I$2:I$200,'GECC 2026'!F$2:F$200,$A57))</f>
        <v>0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0</v>
      </c>
      <c r="F57" s="23">
        <f ca="1">IF($A57="","",COUNTIFS('GECC 2026'!F$2:F$200,$A57))</f>
        <v>1</v>
      </c>
    </row>
    <row r="58" spans="1:6" x14ac:dyDescent="0.25">
      <c r="A58" t="str">
        <f ca="1"/>
        <v>Silvia Lima Damasceno Carvalho</v>
      </c>
      <c r="B58" s="25">
        <f ca="1">IF($A58="","",SUMIFS('GECC 2026'!H$2:H$200,'GECC 2026'!F$2:F$200,$A58))</f>
        <v>21</v>
      </c>
      <c r="C58" s="25">
        <f ca="1">IF($A58="","",SUMIFS('GECC 2026'!I$2:I$200,'GECC 2026'!F$2:F$200,$A58))</f>
        <v>6.3000000000000007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27.299999999999997</v>
      </c>
      <c r="F58" s="23">
        <f ca="1">IF($A58="","",COUNTIFS('GECC 2026'!F$2:F$200,$A58))</f>
        <v>6</v>
      </c>
    </row>
    <row r="59" spans="1:6" x14ac:dyDescent="0.25">
      <c r="A59" t="str">
        <f ca="1"/>
        <v>Tarsila Firmino Ely</v>
      </c>
      <c r="B59" s="25">
        <f ca="1">IF($A59="","",SUMIFS('GECC 2026'!H$2:H$200,'GECC 2026'!F$2:F$200,$A59))</f>
        <v>88</v>
      </c>
      <c r="C59" s="25">
        <f ca="1">IF($A59="","",SUMIFS('GECC 2026'!I$2:I$200,'GECC 2026'!F$2:F$200,$A59))</f>
        <v>83.6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171.6</v>
      </c>
      <c r="F59" s="23">
        <f ca="1">IF($A59="","",COUNTIFS('GECC 2026'!F$2:F$200,$A59))</f>
        <v>7</v>
      </c>
    </row>
    <row r="60" spans="1:6" x14ac:dyDescent="0.25">
      <c r="A60" t="str">
        <f ca="1"/>
        <v>Thiago Magalhães de Oliveira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Túllio Herbeth Teixeira Moraes</v>
      </c>
      <c r="B61" s="25">
        <f ca="1">IF($A61="","",SUMIFS('GECC 2026'!H$2:H$200,'GECC 2026'!F$2:F$200,$A61))</f>
        <v>9</v>
      </c>
      <c r="C61" s="25">
        <f ca="1">IF($A61="","",SUMIFS('GECC 2026'!I$2:I$200,'GECC 2026'!F$2:F$200,$A61))</f>
        <v>2.6999999999999997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11.7</v>
      </c>
      <c r="F61" s="23">
        <f ca="1">IF($A61="","",COUNTIFS('GECC 2026'!F$2:F$200,$A61))</f>
        <v>3</v>
      </c>
    </row>
    <row r="62" spans="1:6" x14ac:dyDescent="0.25">
      <c r="A62" t="str">
        <f ca="1"/>
        <v>Valéria Feitoza</v>
      </c>
      <c r="B62" s="25">
        <f ca="1">IF($A62="","",SUMIFS('GECC 2026'!H$2:H$200,'GECC 2026'!F$2:F$200,$A62))</f>
        <v>2</v>
      </c>
      <c r="C62" s="25">
        <f ca="1">IF($A62="","",SUMIFS('GECC 2026'!I$2:I$200,'GECC 2026'!F$2:F$200,$A62))</f>
        <v>0.6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2.6</v>
      </c>
      <c r="F62" s="23">
        <f ca="1">IF($A62="","",COUNTIFS('GECC 2026'!F$2:F$200,$A62))</f>
        <v>3</v>
      </c>
    </row>
    <row r="63" spans="1:6" x14ac:dyDescent="0.25">
      <c r="A63" t="str">
        <f ca="1"/>
        <v>Wibys Pereira</v>
      </c>
      <c r="B63" s="25">
        <f ca="1">IF($A63="","",SUMIFS('GECC 2026'!H$2:H$200,'GECC 2026'!F$2:F$200,$A63))</f>
        <v>4</v>
      </c>
      <c r="C63" s="25">
        <f ca="1">IF($A63="","",SUMIFS('GECC 2026'!I$2:I$200,'GECC 2026'!F$2:F$200,$A63))</f>
        <v>1.2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5.2</v>
      </c>
      <c r="F63" s="23">
        <f ca="1">IF($A63="","",COUNTIFS('GECC 2026'!F$2:F$200,$A63))</f>
        <v>1</v>
      </c>
    </row>
    <row r="64" spans="1:6" x14ac:dyDescent="0.25">
      <c r="A64" t="str">
        <f ca="1"/>
        <v>Yasmin Carla Marchioro Silverio</v>
      </c>
      <c r="B64" s="25">
        <f ca="1">IF($A64="","",SUMIFS('GECC 2026'!H$2:H$200,'GECC 2026'!F$2:F$200,$A64))</f>
        <v>12</v>
      </c>
      <c r="C64" s="25">
        <f ca="1">IF($A64="","",SUMIFS('GECC 2026'!I$2:I$200,'GECC 2026'!F$2:F$200,$A64))</f>
        <v>3.5999999999999996</v>
      </c>
      <c r="D64" s="100">
        <f ca="1">IF($A64="","",SUMIFS('GECC 2026'!$AE$3:$AE$32,'GECC 2026'!$AD$3:$AD$32,$A64))</f>
        <v>0</v>
      </c>
      <c r="E64" s="92">
        <f ca="1">IF($A64="","",SUMIFS('GECC 2026'!J$2:J$200,'GECC 2026'!F$2:F$200,$A64)+SUMIFS('GECC 2026'!$AE$3:$AE$32,'GECC 2026'!$AD$3:$AD$32,$A64))</f>
        <v>15.600000000000001</v>
      </c>
      <c r="F64" s="23">
        <f ca="1">IF($A64="","",COUNTIFS('GECC 2026'!F$2:F$200,$A64))</f>
        <v>3</v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3161</v>
      </c>
      <c r="B105" s="94">
        <f ca="1">SUM(B5:B100)</f>
        <v>884</v>
      </c>
      <c r="C105" s="94">
        <f ca="1">SUM(C5:C100)</f>
        <v>393.54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154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3227</v>
      </c>
      <c r="B1" s="117" t="s">
        <v>3228</v>
      </c>
      <c r="C1" s="117" t="s">
        <v>3229</v>
      </c>
      <c r="D1" s="117" t="s">
        <v>3230</v>
      </c>
      <c r="E1" s="117" t="s">
        <v>3231</v>
      </c>
      <c r="F1" s="117" t="s">
        <v>3232</v>
      </c>
      <c r="G1" s="117" t="s">
        <v>10</v>
      </c>
      <c r="H1" s="117" t="s">
        <v>3233</v>
      </c>
      <c r="I1" s="117" t="s">
        <v>3234</v>
      </c>
      <c r="J1" s="117" t="s">
        <v>3235</v>
      </c>
      <c r="K1" s="117" t="s">
        <v>3236</v>
      </c>
      <c r="L1" s="117" t="s">
        <v>3237</v>
      </c>
      <c r="N1" s="117" t="s">
        <v>3238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3239</v>
      </c>
      <c r="L2" t="str">
        <f>IF(K2="","",IFERROR(INDEX(Tabela2[Curso],MATCH(K2,Tabela2[ID],0)),""))</f>
        <v/>
      </c>
      <c r="N2" s="117" t="s">
        <v>3117</v>
      </c>
      <c r="O2" s="117" t="s">
        <v>4</v>
      </c>
      <c r="P2" s="117" t="s">
        <v>3240</v>
      </c>
      <c r="Q2" s="117" t="s">
        <v>3241</v>
      </c>
      <c r="R2" s="117" t="s">
        <v>3242</v>
      </c>
      <c r="S2" s="117" t="s">
        <v>3243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3239</v>
      </c>
      <c r="L3" t="str">
        <f>IF(K3="","",IFERROR(INDEX(Tabela2[Curso],MATCH(K3,Tabela2[ID],0)),""))</f>
        <v/>
      </c>
      <c r="N3" t="s">
        <v>2685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3239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3239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3239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3239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3239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3239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3239</v>
      </c>
      <c r="L10" t="str">
        <f>IF(K10="","",IFERROR(INDEX(Tabela2[Curso],MATCH(K10,Tabela2[ID],0)),""))</f>
        <v/>
      </c>
      <c r="N10" s="111" t="s">
        <v>3244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3239</v>
      </c>
      <c r="L11" t="str">
        <f>IF(K11="","",IFERROR(INDEX(Tabela2[Curso],MATCH(K11,Tabela2[ID],0)),""))</f>
        <v/>
      </c>
      <c r="N11" s="210" t="s">
        <v>3245</v>
      </c>
      <c r="O11" s="210" t="s">
        <v>3246</v>
      </c>
      <c r="P11" s="210" t="s">
        <v>3247</v>
      </c>
      <c r="Q11" s="210" t="s">
        <v>3230</v>
      </c>
      <c r="R11" s="210" t="s">
        <v>3231</v>
      </c>
      <c r="S11" s="210" t="s">
        <v>3248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3239</v>
      </c>
      <c r="L12" t="str">
        <f>IF(K12="","",IFERROR(INDEX(Tabela2[Curso],MATCH(K12,Tabela2[ID],0)),""))</f>
        <v/>
      </c>
      <c r="N12" t="s">
        <v>3249</v>
      </c>
      <c r="O12" t="s">
        <v>2753</v>
      </c>
      <c r="P12" t="s">
        <v>3250</v>
      </c>
      <c r="Q12">
        <v>0</v>
      </c>
      <c r="R12">
        <v>0</v>
      </c>
      <c r="S12" t="s">
        <v>3251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3239</v>
      </c>
      <c r="L13" t="str">
        <f>IF(K13="","",IFERROR(INDEX(Tabela2[Curso],MATCH(K13,Tabela2[ID],0)),""))</f>
        <v/>
      </c>
      <c r="N13" t="s">
        <v>3252</v>
      </c>
      <c r="O13" t="s">
        <v>2685</v>
      </c>
      <c r="P13" t="s">
        <v>3253</v>
      </c>
      <c r="Q13">
        <v>0</v>
      </c>
      <c r="R13">
        <v>0</v>
      </c>
      <c r="S13" t="s">
        <v>3254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3239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3239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3239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3239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3239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3239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3239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3239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3239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3239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3239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3239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3239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3239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3239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3239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3239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3239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3239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3239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3239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3239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3239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3239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3239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3239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3239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3239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3239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3239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3239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3239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3239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3239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3239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3239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3239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3239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3239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3239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3239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3239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3239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3239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3239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3239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3239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3239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3239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3239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3239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3239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Props1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95AF67B-67F3-479D-896A-04A7BBE7C81F}">
  <ds:schemaRefs>
    <ds:schemaRef ds:uri="http://purl.org/dc/dcmitype/"/>
    <ds:schemaRef ds:uri="http://schemas.microsoft.com/office/2006/documentManagement/types"/>
    <ds:schemaRef ds:uri="fe686eaa-0658-4f15-b230-9e46c4d089fd"/>
    <ds:schemaRef ds:uri="http://purl.org/dc/terms/"/>
    <ds:schemaRef ds:uri="http://purl.org/dc/elements/1.1/"/>
    <ds:schemaRef ds:uri="http://schemas.microsoft.com/office/infopath/2007/PartnerControls"/>
    <ds:schemaRef ds:uri="http://schemas.openxmlformats.org/package/2006/metadata/core-properties"/>
    <ds:schemaRef ds:uri="91ce1707-6d34-452b-b217-9734c03e6729"/>
    <ds:schemaRef ds:uri="http://schemas.microsoft.com/office/2006/metadata/properties"/>
    <ds:schemaRef ds:uri="http://www.w3.org/XML/1998/namespace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Silvio Nascimento De Abreu Bueno</cp:lastModifiedBy>
  <cp:revision/>
  <dcterms:created xsi:type="dcterms:W3CDTF">2024-04-02T18:43:15Z</dcterms:created>
  <dcterms:modified xsi:type="dcterms:W3CDTF">2026-09-22T17:49:58Z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