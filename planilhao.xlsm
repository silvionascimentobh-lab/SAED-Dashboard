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48" documentId="13_ncr:1_{6A2CC3E2-FAFB-4D8F-B284-5E8FB5045DFE}" xr6:coauthVersionLast="47" xr6:coauthVersionMax="47" xr10:uidLastSave="{28954B56-26D7-4716-B98E-3D700386A606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E105" i="23" l="1"/>
  <c r="A5" i="23" a="1"/>
  <c r="E64" i="23" l="1"/>
  <c r="F22" i="23"/>
  <c r="C41" i="23"/>
  <c r="C7" i="23"/>
  <c r="B53" i="23"/>
  <c r="E54" i="23"/>
  <c r="D6" i="23"/>
  <c r="B33" i="23"/>
  <c r="B58" i="23"/>
  <c r="D32" i="23"/>
  <c r="F33" i="23"/>
  <c r="E51" i="23"/>
  <c r="E18" i="23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D40" i="23"/>
  <c r="C56" i="23"/>
  <c r="E17" i="23"/>
  <c r="D53" i="23"/>
  <c r="D47" i="23"/>
  <c r="D18" i="23"/>
  <c r="C31" i="23"/>
  <c r="D52" i="23"/>
  <c r="C30" i="23"/>
  <c r="F27" i="23"/>
  <c r="C54" i="23"/>
  <c r="B51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D48" i="23"/>
  <c r="E8" i="23"/>
  <c r="B41" i="23"/>
  <c r="C9" i="23"/>
  <c r="E42" i="23"/>
  <c r="B10" i="23"/>
  <c r="F9" i="23"/>
  <c r="C53" i="23"/>
  <c r="C20" i="23"/>
  <c r="C27" i="23"/>
  <c r="C22" i="23"/>
  <c r="F30" i="23"/>
  <c r="D8" i="23"/>
  <c r="B59" i="23"/>
  <c r="D22" i="23"/>
  <c r="B19" i="23"/>
  <c r="F6" i="23"/>
  <c r="F35" i="23"/>
  <c r="D36" i="23"/>
  <c r="C59" i="23"/>
  <c r="C42" i="23"/>
  <c r="F16" i="23"/>
  <c r="F18" i="23"/>
  <c r="F56" i="23"/>
  <c r="B40" i="23"/>
  <c r="F59" i="23"/>
  <c r="C64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64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D64" i="23"/>
  <c r="C40" i="23"/>
  <c r="E33" i="23"/>
  <c r="E59" i="23"/>
  <c r="F14" i="23"/>
  <c r="F21" i="23"/>
  <c r="E44" i="23"/>
  <c r="E41" i="23"/>
  <c r="D37" i="23"/>
  <c r="D14" i="23"/>
  <c r="B16" i="23"/>
  <c r="F64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E5" i="23" l="1"/>
  <c r="B5" i="23"/>
  <c r="B105" i="23" s="1"/>
  <c r="C5" i="23"/>
  <c r="C105" i="23" s="1"/>
  <c r="G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<sst xmlns="http://schemas.openxmlformats.org/spreadsheetml/2006/main" count="7410" uniqueCount="3261">
  <si>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</si>
  <si>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</si>
  <si>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</si>
  <si>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</si>
  <si>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</si>
  <si>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</si>
  <si>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</si>
  <si>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</si>
  <si>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</si>
  <si>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</si>
  <si>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</si>
  <si>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</si>
  <si>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</si>
  <si>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</si>
  <si>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</si>
  <si>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</si>
  <si>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</si>
  <si>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</si>
  <si>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</si>
  <si>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</si>
  <si>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</si>
  <si>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</si>
  <si>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</si>
  <si>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</si>
  <si>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</si>
  <si>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</si>
  <si>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</si>
  <si>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</si>
  <si>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</si>
  <si>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</si>
  <si>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</si>
  <si>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</si>
  <si>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</si>
  <si>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</si>
  <si>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</si>
  <si>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</si>
  <si>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</si>
  <si>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</si>
  <si>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</si>
  <si>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</si>
  <si>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</si>
  <si>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</si>
  <si>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</si>
  <si>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</si>
  <si>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</si>
  <si>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</si>
  <si>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</si>
  <si>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</si>
  <si>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</si>
  <si>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</si>
  <si>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</si>
  <si>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</si>
  <si>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</si>
  <si>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</si>
  <si>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</si>
  <si>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</si>
  <si>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</si>
  <si>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</si>
  <si>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</si>
  <si>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</si>
  <si>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</si>
  <si>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</si>
  <si>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</si>
  <si>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</si>
  <si>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</si>
  <si>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</si>
  <si>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</si>
  <si>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</si>
  <si>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</si>
  <si>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</si>
  <si>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</si>
  <si>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</si>
  <si>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</si>
  <si>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</si>
  <si>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</si>
  <si>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</si>
  <si>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</si>
  <si>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</si>
  <si>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</si>
  <si>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</si>
  <si>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</si>
  <si>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</si>
  <si>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</si>
  <si>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</si>
  <si>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</si>
  <si>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</si>
  <si>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</si>
  <si>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</si>
  <si>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</si>
  <si>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</si>
  <si>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</si>
  <si>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</si>
  <si>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</si>
  <si>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</si>
  <si>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</si>
  <si>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</si>
  <si>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</si>
  <si>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</si>
  <si>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</si>
  <si>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</si>
  <si>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</si>
  <si>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</si>
  <si>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</si>
  <si>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</si>
  <si>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</si>
  <si>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</si>
  <si>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</si>
  <si>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</si>
  <si>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</si>
  <si>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</si>
  <si>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</si>
  <si>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</si>
  <si>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</si>
  <si>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</si>
  <si>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</si>
  <si>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</si>
  <si>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</si>
  <si>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</si>
  <si>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</si>
  <si>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</si>
  <si>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</si>
  <si>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</si>
  <si>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</si>
  <si>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</si>
  <si>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</si>
  <si>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</si>
  <si>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</si>
  <si>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</si>
  <si>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</si>
  <si>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</si>
  <si>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</si>
  <si>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</si>
  <si>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</si>
  <si>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</si>
  <si>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</si>
  <si>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</si>
  <si>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</si>
  <si>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</si>
  <si>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</si>
  <si>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</si>
  <si>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</si>
  <si>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</si>
  <si>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</si>
  <si>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</si>
  <si>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</si>
  <si>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</si>
  <si>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</si>
  <si>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</si>
  <si>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</si>
  <si>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</si>
  <si>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</si>
  <si>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</si>
  <si>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</si>
  <si>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</si>
  <si>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</si>
  <si>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</si>
  <si>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</si>
  <si>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</si>
  <si>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</si>
  <si>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</si>
  <si>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</si>
  <si>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</si>
  <si>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</si>
  <si>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</si>
  <si>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</si>
  <si>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</si>
  <si>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</si>
  <si>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</si>
  <si>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</si>
  <si>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</si>
  <si>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</si>
  <si>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</si>
  <si>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</si>
  <si>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</si>
  <si>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</si>
  <si>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</si>
  <si>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</si>
  <si>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</si>
  <si>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</si>
  <si>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</si>
  <si>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</si>
  <si>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</si>
  <si>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</si>
  <si>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</si>
  <si>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</si>
  <si>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</si>
  <si>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</si>
  <si>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</si>
  <si>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</si>
  <si>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</si>
  <si>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</si>
  <si>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</si>
  <si>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</si>
  <si>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</si>
  <si>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</si>
  <si>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</si>
  <si>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</si>
  <si>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</si>
  <si>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</si>
  <si>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</si>
  <si>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</si>
  <si>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</si>
  <si>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</si>
  <si>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</si>
  <si>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</si>
  <si>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</si>
  <si>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</si>
  <si>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</si>
  <si>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</si>
  <si>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</si>
  <si>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</si>
  <si>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</si>
  <si>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</si>
  <si>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</si>
  <si>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</si>
  <si>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</si>
  <si>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</si>
  <si>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</si>
  <si>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</si>
  <si>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</si>
  <si>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</si>
  <si>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</si>
  <si>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</si>
  <si>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</si>
  <si>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</si>
  <si>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</si>
  <si>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</si>
  <si>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</si>
  <si>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</si>
  <si>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</si>
  <si>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</si>
  <si>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</si>
  <si>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</si>
  <si>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</si>
  <si>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</si>
  <si>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</si>
  <si>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</si>
  <si>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</si>
  <si>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</si>
  <si>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</si>
  <si>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</si>
  <si>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</si>
  <si>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</si>
  <si>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</si>
  <si>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</si>
  <si>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</si>
  <si>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</si>
  <si>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</si>
  <si>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</si>
  <si>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</si>
  <si>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</si>
  <si>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</si>
  <si>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</si>
  <si>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</si>
  <si>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</si>
  <si>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</si>
  <si>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</si>
  <si>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</si>
  <si>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</si>
  <si>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</si>
  <si>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</si>
  <si>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</si>
  <si>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</si>
  <si>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</si>
  <si>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</si>
  <si>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</si>
  <si>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</si>
  <si>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</si>
  <si>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</si>
  <si>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</si>
  <si>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</si>
  <si>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</si>
  <si>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</si>
  <si>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</si>
  <si>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</si>
  <si>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</si>
  <si>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</si>
  <si>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</si>
  <si>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</si>
  <si>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</si>
  <si>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</si>
  <si>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</si>
  <si>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</si>
  <si>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</si>
  <si>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</si>
  <si>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</si>
  <si>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</si>
  <si>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</si>
  <si>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</si>
  <si>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</si>
  <si>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</si>
  <si>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</si>
  <si>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</si>
  <si>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</si>
  <si>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</si>
  <si>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</si>
  <si>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</si>
  <si>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</si>
  <si>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</si>
  <si>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</si>
  <si>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</si>
  <si>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</si>
  <si>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</si>
  <si>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</si>
  <si>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</si>
  <si>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</si>
  <si>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</si>
  <si>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</si>
  <si>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</si>
  <si>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</si>
  <si>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</si>
  <si>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</si>
  <si>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</si>
  <si>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</si>
  <si>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</si>
  <si>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</si>
  <si>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</si>
  <si>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</si>
  <si>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</si>
  <si>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</si>
  <si>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</si>
  <si>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</si>
  <si>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</si>
  <si>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</si>
  <si>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</si>
  <si>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</si>
  <si>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</si>
  <si>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</si>
  <si>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</si>
  <si>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</si>
  <si>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</si>
  <si>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</si>
  <si>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</si>
  <si>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</si>
  <si>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</si>
  <si>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</si>
  <si>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</si>
  <si>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</si>
  <si>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</si>
  <si>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</si>
  <si>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</si>
  <si>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</si>
  <si>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</si>
  <si>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</si>
  <si>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</si>
  <si>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</si>
  <si>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</si>
  <si>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</si>
  <si>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</si>
  <si>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</si>
  <si>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</si>
  <si>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</si>
  <si>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</si>
  <si>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</si>
  <si>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</si>
  <si>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</si>
  <si>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</si>
  <si>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</si>
  <si>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</si>
  <si>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</si>
  <si>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</si>
  <si>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</si>
  <si>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</si>
  <si>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</si>
  <si>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</si>
  <si>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</si>
  <si>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</si>
  <si>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</si>
  <si>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</si>
  <si>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</si>
  <si>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</si>
  <si>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</si>
  <si>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</si>
  <si>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</si>
  <si>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</si>
  <si>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</si>
  <si>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</si>
  <si>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</si>
  <si>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</si>
  <si>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</si>
  <si>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</si>
  <si>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</si>
  <si>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</si>
  <si>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</si>
  <si>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</si>
  <si>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</si>
  <si>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</si>
  <si>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</si>
  <si>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</si>
  <si>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</si>
  <si>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</si>
  <si>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</si>
  <si>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</si>
  <si>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</si>
  <si>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</si>
  <si>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</si>
  <si>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</si>
  <si>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</si>
  <si>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</si>
  <si>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</si>
  <si>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</si>
  <si>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</si>
  <si>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</si>
  <si>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</si>
  <si>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</si>
  <si>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</si>
  <si>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</si>
  <si>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</si>
  <si>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</si>
  <si>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</si>
  <si>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</si>
  <si>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</si>
  <si>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</si>
  <si>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</si>
  <si>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</si>
  <si>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</si>
  <si>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</si>
  <si>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</si>
  <si>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</si>
  <si>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</si>
  <si>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</si>
  <si>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</si>
  <si>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</si>
  <si>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</si>
  <si>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</si>
  <si>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</si>
  <si>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</si>
  <si>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</si>
  <si>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</si>
  <si>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</si>
  <si>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</si>
  <si>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</si>
  <si>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</si>
  <si>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</si>
  <si>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</si>
  <si>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</si>
  <si>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</si>
  <si>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</si>
  <si>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</si>
  <si>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</si>
  <si>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</si>
  <si>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</si>
  <si>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</si>
  <si>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</si>
  <si>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</si>
  <si>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</si>
  <si>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</si>
  <si>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</si>
  <si>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</si>
  <si>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</si>
  <si>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</si>
  <si>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</si>
  <si>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</si>
  <si>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</si>
  <si>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</si>
  <si>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</si>
  <si>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</si>
  <si>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</si>
  <si>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</si>
  <si>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</si>
  <si>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</si>
  <si>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</si>
  <si>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</si>
  <si>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</si>
  <si>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</si>
  <si>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</si>
  <si>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</si>
  <si>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</si>
  <si>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</si>
  <si>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</si>
  <si>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</si>
  <si>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</si>
  <si>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</si>
  <si>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</si>
  <si>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</si>
  <si>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</si>
  <si>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</si>
  <si>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</si>
  <si>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</si>
  <si>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</si>
  <si>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</si>
  <si>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</si>
  <si>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</si>
  <si>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</si>
  <si>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</si>
  <si>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</si>
  <si>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</si>
  <si>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</si>
  <si>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</si>
  <si>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</si>
  <si>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</si>
  <si>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</si>
  <si>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</si>
  <si>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</si>
  <si>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</si>
  <si>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</si>
  <si>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</si>
  <si>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</si>
  <si>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</si>
  <si>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</si>
  <si>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</si>
  <si>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</si>
  <si>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</si>
  <si>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</si>
  <si>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</si>
  <si>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</si>
  <si>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</si>
  <si>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</si>
  <si>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</si>
  <si>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</si>
  <si>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</si>
  <si>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</si>
  <si>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</si>
  <si>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</si>
  <si>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</si>
  <si>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</si>
  <si>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</si>
  <si>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</si>
  <si>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</si>
  <si>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</si>
  <si>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</si>
  <si>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</si>
  <si>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</si>
  <si>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</si>
  <si>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</si>
  <si>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</si>
  <si>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</si>
  <si>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</si>
  <si>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</si>
  <si>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</si>
  <si>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</si>
  <si>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</si>
  <si>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</si>
  <si>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</si>
  <si>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</si>
  <si>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</si>
  <si>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</si>
  <si>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</si>
  <si>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</si>
  <si>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</si>
  <si>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</si>
  <si>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</si>
  <si>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</si>
  <si>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</si>
  <si>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</si>
  <si>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</si>
  <si>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</si>
  <si>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</si>
  <si>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</si>
  <si>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</si>
  <si>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</si>
  <si>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</si>
  <si>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</si>
  <si>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</si>
  <si>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</si>
  <si>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</si>
  <si>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</si>
  <si>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</si>
  <si>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</si>
  <si>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</si>
  <si>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</si>
  <si>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</si>
  <si>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</si>
  <si>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</si>
  <si>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</si>
  <si>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</si>
  <si>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</si>
  <si>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</si>
  <si>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</si>
  <si>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</si>
  <si>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</si>
  <si>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</si>
  <si>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</si>
  <si>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</si>
  <si>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</si>
  <si>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</si>
  <si>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</si>
  <si>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</si>
  <si>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</si>
  <si>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</si>
  <si>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</si>
  <si>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</si>
  <si>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</si>
  <si>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</si>
  <si>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</si>
  <si>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</si>
  <si>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</si>
  <si>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</si>
  <si>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</si>
  <si>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</si>
  <si>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</si>
  <si>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</si>
  <si>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</si>
  <si>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</si>
  <si>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</si>
  <si>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</si>
  <si>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</si>
  <si>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</si>
  <si>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</si>
  <si>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</si>
  <si>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</si>
  <si>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</si>
  <si>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</si>
  <si>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</si>
  <si>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</si>
  <si>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</si>
  <si>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</si>
  <si>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</si>
  <si>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</si>
  <si>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</si>
  <si>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</si>
  <si>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</si>
  <si>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</si>
  <si>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</si>
  <si>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</si>
  <si>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</si>
  <si>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</si>
  <si>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</si>
  <si>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</si>
  <si>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</si>
  <si>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</si>
  <si>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</si>
  <si>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</si>
  <si>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</si>
  <si>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</si>
  <si>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</si>
  <si>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</si>
  <si>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</si>
  <si>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</si>
  <si>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</si>
  <si>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</si>
  <si>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</si>
  <si>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</si>
  <si>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</si>
  <si>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</si>
  <si>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</si>
  <si>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</si>
  <si>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</si>
  <si>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</si>
  <si>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</si>
  <si>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</si>
  <si>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</si>
  <si>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</si>
  <si>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</si>
  <si>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</si>
  <si>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</si>
  <si>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</si>
  <si>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</si>
  <si>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</si>
  <si>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</si>
  <si>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</si>
  <si>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</si>
  <si>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</si>
  <si>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</si>
  <si>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</si>
  <si>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</si>
  <si>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</si>
  <si>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</si>
  <si>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</si>
  <si>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</si>
  <si>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</si>
  <si>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</si>
  <si>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</si>
  <si>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</si>
  <si>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</si>
  <si>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</si>
  <si>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</si>
  <si>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</si>
  <si>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</si>
  <si>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</si>
  <si>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</si>
  <si>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</si>
  <si>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</si>
  <si>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</si>
  <si>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</si>
  <si>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</si>
  <si>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</si>
  <si>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</si>
  <si>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</si>
  <si>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</si>
  <si>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</si>
  <si>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</si>
  <si>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</si>
  <si>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</si>
  <si>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</si>
  <si>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</si>
  <si>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</si>
  <si>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</si>
  <si>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</si>
  <si>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</si>
  <si>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</si>
  <si>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</si>
  <si>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</si>
  <si>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</si>
  <si>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</si>
  <si>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</si>
  <si>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</si>
  <si>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</si>
  <si>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</si>
  <si>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</si>
  <si>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</si>
  <si>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</si>
  <si>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</si>
  <si>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</si>
  <si>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</si>
  <si>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</si>
  <si>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</si>
  <si>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</si>
  <si>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</si>
  <si>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</si>
  <si>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</si>
  <si>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</si>
  <si>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</si>
  <si>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</si>
  <si>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</si>
  <si>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</si>
  <si>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</si>
  <si>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</si>
  <si>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</si>
  <si>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</si>
  <si>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</si>
  <si>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</si>
  <si>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</si>
  <si>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</si>
  <si>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</si>
  <si>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</si>
  <si>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</si>
  <si>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</si>
  <si>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</si>
  <si>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</si>
  <si>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</si>
  <si>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</si>
  <si>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</si>
  <si>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</si>
  <si>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</si>
  <si>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</si>
  <si>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</si>
  <si>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</si>
  <si>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</si>
  <si>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</si>
  <si>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</si>
  <si>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</si>
  <si>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</si>
  <si>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</si>
  <si>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</si>
  <si>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</si>
  <si>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</si>
  <si>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</si>
  <si>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</si>
  <si>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</si>
  <si>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</si>
  <si>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</si>
  <si>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</si>
  <si>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</si>
  <si>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</si>
  <si>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</si>
  <si>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</si>
  <si>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</si>
  <si>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</si>
  <si>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</si>
  <si>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</si>
  <si>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</si>
  <si>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</si>
  <si>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</si>
  <si>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</si>
  <si>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</si>
  <si>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</si>
  <si>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</si>
  <si>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</si>
  <si>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</si>
  <si>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</si>
  <si>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</si>
  <si>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</si>
  <si>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</si>
  <si>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</si>
  <si>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</si>
  <si>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</si>
  <si>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</si>
  <si>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</si>
  <si>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</si>
  <si>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</si>
  <si>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</si>
  <si>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</si>
  <si>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</si>
  <si>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</si>
  <si>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</si>
  <si>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</si>
  <si>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</si>
  <si>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</si>
  <si>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</si>
  <si>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</si>
  <si>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</si>
  <si>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</si>
  <si>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</si>
  <si>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</si>
  <si>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</si>
  <si>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</si>
  <si>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</si>
  <si>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</si>
  <si>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</si>
  <si>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</si>
  <si>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</si>
  <si>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</si>
  <si>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</si>
  <si>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</si>
  <si>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</si>
  <si>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</si>
  <si>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</si>
  <si>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</si>
  <si>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</si>
  <si>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</si>
  <si>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</si>
  <si>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</si>
  <si>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</si>
  <si>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</si>
  <si>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</si>
  <si>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</si>
  <si>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</si>
  <si>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</si>
  <si>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</si>
  <si>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</si>
  <si>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</si>
  <si>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</si>
  <si>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</si>
  <si>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</si>
  <si>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</si>
  <si>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</si>
  <si>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</si>
  <si>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</si>
  <si>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</si>
  <si>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</si>
  <si>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</si>
  <si>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</si>
  <si>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</si>
  <si>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</si>
  <si>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</si>
  <si>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</si>
  <si>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</si>
  <si>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</si>
  <si>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</si>
  <si>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</si>
  <si>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</si>
  <si>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</si>
  <si>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</si>
  <si>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</si>
  <si>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</si>
  <si>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</si>
  <si>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</si>
  <si>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</si>
  <si>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</si>
  <si>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</si>
  <si>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</si>
  <si>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</si>
  <si>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</si>
  <si>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</si>
  <si>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</si>
  <si>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</si>
  <si>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</si>
  <si>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</si>
  <si>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</si>
  <si>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</si>
  <si>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</si>
  <si>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</si>
  <si>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</si>
  <si>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</si>
  <si>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</si>
  <si>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</si>
  <si>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</si>
  <si>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</si>
  <si>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</si>
  <si>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</si>
  <si>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</si>
  <si>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</si>
  <si>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</si>
  <si>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</si>
  <si>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</si>
  <si>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</si>
  <si>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</si>
  <si>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</si>
  <si>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</si>
  <si>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</si>
  <si>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</si>
  <si>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</si>
  <si>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</si>
  <si>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</si>
  <si>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</si>
  <si>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</si>
  <si>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</si>
  <si>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</si>
  <si>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</si>
  <si>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</si>
  <si>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</si>
  <si>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</si>
  <si>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</si>
  <si>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</si>
  <si>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</si>
  <si>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</si>
  <si>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</si>
  <si>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</si>
  <si>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</si>
  <si>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</si>
  <si>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</si>
  <si>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</si>
  <si>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</si>
  <si>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</si>
  <si>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</si>
  <si>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</si>
  <si>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</si>
  <si>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</si>
  <si>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</si>
  <si>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</si>
  <si>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</si>
  <si>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</si>
  <si>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</si>
  <si>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</si>
  <si>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</si>
  <si>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</si>
  <si>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</si>
  <si>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</si>
  <si>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</si>
  <si>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</si>
  <si>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</si>
  <si>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</si>
  <si>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</si>
  <si>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</si>
  <si>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</si>
  <si>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</si>
  <si>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</si>
  <si>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</si>
  <si>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</si>
  <si>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</si>
  <si>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</si>
  <si>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</si>
  <si>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</si>
  <si>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</si>
  <si>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</si>
  <si>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</si>
  <si>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</si>
  <si>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</si>
  <si>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</si>
  <si>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</si>
  <si>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</si>
  <si>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</si>
  <si>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</si>
  <si>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</si>
  <si>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</si>
  <si>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</si>
  <si>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</si>
  <si>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</si>
  <si>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</si>
  <si>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</si>
  <si>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</si>
  <si>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</si>
  <si>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</si>
  <si>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</si>
  <si>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</si>
  <si>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</si>
  <si>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</si>
  <si>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</si>
  <si>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</si>
  <si>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</si>
  <si>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</si>
  <si>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</si>
  <si>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</si>
  <si>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</si>
  <si>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</si>
  <si>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</si>
  <si>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</si>
  <si>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</si>
  <si>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</si>
  <si>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</si>
  <si>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</si>
  <si>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</si>
  <si>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</si>
  <si>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</si>
  <si>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</si>
  <si>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</si>
  <si>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</si>
  <si>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</si>
  <si>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</si>
  <si>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</si>
  <si>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</si>
  <si>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</si>
  <si>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</si>
  <si>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</si>
  <si>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</si>
  <si>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</si>
  <si>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</si>
  <si>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</si>
  <si>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</si>
  <si>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</si>
  <si>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</si>
  <si>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</si>
  <si>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</si>
  <si>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</si>
  <si>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</si>
  <si>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</si>
  <si>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</si>
  <si>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</si>
  <si>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</si>
  <si>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</si>
  <si>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</si>
  <si>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</si>
  <si>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</si>
  <si>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</si>
  <si>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</si>
  <si>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</si>
  <si>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</si>
  <si>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</si>
  <si>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</si>
  <si>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</si>
  <si>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</si>
  <si>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</si>
  <si>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</si>
  <si>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</si>
  <si>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</si>
  <si>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</si>
  <si>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</si>
  <si>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</si>
  <si>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</si>
  <si>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</si>
  <si>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</si>
  <si>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</si>
  <si>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</si>
  <si>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</si>
  <si>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</si>
  <si>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</si>
  <si>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</si>
  <si>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</si>
  <si>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</si>
  <si>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</si>
  <si>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</si>
  <si>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</si>
  <si>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</si>
  <si>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</si>
  <si>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</si>
  <si>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</si>
  <si>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</si>
  <si>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</si>
  <si>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</si>
  <si>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</si>
  <si>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</si>
  <si>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</si>
  <si>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</si>
  <si>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</si>
  <si>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</si>
  <si>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</si>
  <si>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</si>
  <si>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</si>
  <si>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</si>
  <si>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</si>
  <si>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</si>
  <si>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</si>
  <si>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</si>
  <si>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</si>
  <si>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</si>
  <si>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</si>
  <si>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</si>
  <si>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</si>
  <si>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</si>
  <si>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</si>
  <si>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</si>
  <si>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</si>
  <si>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</si>
  <si>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</si>
  <si>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</si>
  <si>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</si>
  <si>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</si>
  <si>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</si>
  <si>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</si>
  <si>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</si>
  <si>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</si>
  <si>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</si>
  <si>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</si>
  <si>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</si>
  <si>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</si>
  <si>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</si>
  <si>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</si>
  <si>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</si>
  <si>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</si>
  <si>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</si>
  <si>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</si>
  <si>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</si>
  <si>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</si>
  <si>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</si>
  <si>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</si>
  <si>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</si>
  <si>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</si>
  <si>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</si>
  <si>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</si>
  <si>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</si>
  <si>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</si>
  <si>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</si>
  <si>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</si>
  <si>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</si>
  <si>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</si>
  <si>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</si>
  <si>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</si>
  <si>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</si>
  <si>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</si>
  <si>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</si>
  <si>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</si>
  <si>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</si>
  <si>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</si>
  <si>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</si>
  <si>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</si>
  <si>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</si>
  <si>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</si>
  <si>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</si>
  <si>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</si>
  <si>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</si>
  <si>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</si>
  <si>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</si>
  <si>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</si>
  <si>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</si>
  <si>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</si>
  <si>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</si>
  <si>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</si>
  <si>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</si>
  <si>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</si>
  <si>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</si>
  <si>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</si>
  <si>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</si>
  <si>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</si>
  <si>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</si>
  <si>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</si>
  <si>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</si>
  <si>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</si>
  <si>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</si>
  <si>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</si>
  <si>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</si>
  <si>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</si>
  <si>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</si>
  <si>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</si>
  <si>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</si>
  <si>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</si>
  <si>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</si>
  <si>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</si>
  <si>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</si>
  <si>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</si>
  <si>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</si>
  <si>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</si>
  <si>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</si>
  <si>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</si>
  <si>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</si>
  <si>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</si>
  <si>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</si>
  <si>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</si>
  <si>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</si>
  <si>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</si>
  <si>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</si>
  <si>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</si>
  <si>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</si>
  <si>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</si>
  <si>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</si>
  <si>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</si>
  <si>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</si>
  <si>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</si>
  <si>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</si>
  <si>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</si>
  <si>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</si>
  <si>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</si>
  <si>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</si>
  <si>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</si>
  <si>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</si>
  <si>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</si>
  <si>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</si>
  <si>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</si>
  <si>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</si>
  <si>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</si>
  <si>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</si>
  <si>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</si>
  <si>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</si>
  <si>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</si>
  <si>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</si>
  <si>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</si>
  <si>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</si>
  <si>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</si>
  <si>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</si>
  <si>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</si>
  <si>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</si>
  <si>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</si>
  <si>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</si>
  <si>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</si>
  <si>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</si>
  <si>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</si>
  <si>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</si>
  <si>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</si>
  <si>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</si>
  <si>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</si>
  <si>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</si>
  <si>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</si>
  <si>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</si>
  <si>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</si>
  <si>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</si>
  <si>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</si>
  <si>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</si>
  <si>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</si>
  <si>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</si>
  <si>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</si>
  <si>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</si>
  <si>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</si>
  <si>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</si>
  <si>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</si>
  <si>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</si>
  <si>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</si>
  <si>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</si>
  <si>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</si>
  <si>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</si>
  <si>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</si>
  <si>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</si>
  <si>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</si>
  <si>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</si>
  <si>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</si>
  <si>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</si>
  <si>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</si>
  <si>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</si>
  <si>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</si>
  <si>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</si>
  <si>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</si>
  <si>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</si>
  <si>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</si>
  <si>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</si>
  <si>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</si>
  <si>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</si>
  <si>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</si>
  <si>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</si>
  <si>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</si>
  <si>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</si>
  <si>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</si>
  <si>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</si>
  <si>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</si>
  <si>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</si>
  <si>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</si>
  <si>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</si>
  <si>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</si>
  <si>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</si>
  <si>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</si>
  <si>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</si>
  <si>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</si>
  <si>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</si>
  <si>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</si>
  <si>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</si>
  <si>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</si>
  <si>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</si>
  <si>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</si>
  <si>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</si>
  <si>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</si>
  <si>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</si>
  <si>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</si>
  <si>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</si>
  <si>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</si>
  <si>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</si>
  <si>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</si>
  <si>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</si>
  <si>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</si>
  <si>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</si>
  <si>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</si>
  <si>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</si>
  <si>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</si>
  <si>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</si>
  <si>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</si>
  <si>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</si>
  <si>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</si>
  <si>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</si>
  <si>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</si>
  <si>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</si>
  <si>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</si>
  <si>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</si>
  <si>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</si>
  <si>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</si>
  <si>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</si>
  <si>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</si>
  <si>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</si>
  <si>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</si>
  <si>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</si>
  <si>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</si>
  <si>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</si>
  <si>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</si>
  <si>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</si>
  <si>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</si>
  <si>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</si>
  <si>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</si>
  <si>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</si>
  <si>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</si>
  <si>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</si>
  <si>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</si>
  <si>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</si>
  <si>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</si>
  <si>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</si>
  <si>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</si>
  <si>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</si>
  <si>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</si>
  <si>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</si>
  <si>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</si>
  <si>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</si>
  <si>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</si>
  <si>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</si>
  <si>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</si>
  <si>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</si>
  <si>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</si>
  <si>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</si>
  <si>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</si>
  <si>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</si>
  <si>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</si>
  <si>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</si>
  <si>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</si>
  <si>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</si>
  <si>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</si>
  <si>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</si>
  <si>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</si>
  <si>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</si>
  <si>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</si>
  <si>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</si>
  <si>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</si>
  <si>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</si>
  <si>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</si>
  <si>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</si>
  <si>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</si>
  <si>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</si>
  <si>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</si>
  <si>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</si>
  <si>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</si>
  <si>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</si>
  <si>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</si>
  <si>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</si>
  <si>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</si>
  <si>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</si>
  <si>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</si>
  <si>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</si>
  <si>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</si>
  <si>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</si>
  <si>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</si>
  <si>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</si>
  <si>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</si>
  <si>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</si>
  <si>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</si>
  <si>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</si>
  <si>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</si>
  <si>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</si>
  <si>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</si>
  <si>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</si>
  <si>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</si>
  <si>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</si>
  <si>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</si>
  <si>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</si>
  <si>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</si>
  <si>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</si>
  <si>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</si>
  <si>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</si>
  <si>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</si>
  <si>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</si>
  <si>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</si>
  <si>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</si>
  <si>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</si>
  <si>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</si>
  <si>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</si>
  <si>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</si>
  <si>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</si>
  <si>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</si>
  <si>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</si>
  <si>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</si>
  <si>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</si>
  <si>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</si>
  <si>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</si>
  <si>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</si>
  <si>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</si>
  <si>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</si>
  <si>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</si>
  <si>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</si>
  <si>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</si>
  <si>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</si>
  <si>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</si>
  <si>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</si>
  <si>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</si>
  <si>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</si>
  <si>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</si>
  <si>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</si>
  <si>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</si>
  <si>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</si>
  <si>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</si>
  <si>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</si>
  <si>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</si>
  <si>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</si>
  <si>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</si>
  <si>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</si>
  <si>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</si>
  <si>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</si>
  <si>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</si>
  <si>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</si>
  <si>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</si>
  <si>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</si>
  <si>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</si>
  <si>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</si>
  <si>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</si>
  <si>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</si>
  <si>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</si>
  <si>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</si>
  <si>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</si>
  <si>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</si>
  <si>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</si>
  <si>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</si>
  <si>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</si>
  <si>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</si>
  <si>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</si>
  <si>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</si>
  <si>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</si>
  <si>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</si>
  <si>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</si>
  <si>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</si>
  <si>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</si>
  <si>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</si>
  <si>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</si>
  <si>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</si>
  <si>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</si>
  <si>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</si>
  <si>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</si>
  <si>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</si>
  <si>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</si>
  <si>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</si>
  <si>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</si>
  <si>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</si>
  <si>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</si>
  <si>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</si>
  <si>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</si>
  <si>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</si>
  <si>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</si>
  <si>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</si>
  <si>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</si>
  <si>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</si>
  <si>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</si>
  <si>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</si>
  <si>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</si>
  <si>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</si>
  <si>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</si>
  <si>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</si>
  <si>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</si>
  <si>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</si>
  <si>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</si>
  <si>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</si>
  <si>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</si>
  <si>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</si>
  <si>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</si>
  <si>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</si>
  <si>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</si>
  <si>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</si>
  <si>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</si>
  <si>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</si>
  <si>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</si>
  <si>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</si>
  <si>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</si>
  <si>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</si>
  <si>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</si>
  <si>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</si>
  <si>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</si>
  <si>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</si>
  <si>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</si>
  <si>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</si>
  <si>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</si>
  <si>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</si>
  <si>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</si>
  <si>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</si>
  <si>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</si>
  <si>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</si>
  <si>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</si>
  <si>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</si>
  <si>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</si>
  <si>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</si>
  <si>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</si>
  <si>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</si>
  <si>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</si>
  <si>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</si>
  <si>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</si>
  <si>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</si>
  <si>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</si>
  <si>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</si>
  <si>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</si>
  <si>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</si>
  <si>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</si>
  <si>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</si>
  <si>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</si>
  <si>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</si>
  <si>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</si>
  <si>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</si>
  <si>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</si>
  <si>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</si>
  <si>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</si>
  <si>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</si>
  <si>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</si>
  <si>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</si>
  <si>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</si>
  <si>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</si>
  <si>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</si>
  <si>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</si>
  <si>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</si>
  <si>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</si>
  <si>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</si>
  <si>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</si>
  <si>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</si>
  <si>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</si>
  <si>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</si>
  <si>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</si>
  <si>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</si>
  <si>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</si>
  <si>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</si>
  <si>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</si>
  <si>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</si>
  <si>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</si>
  <si>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</si>
  <si>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</si>
  <si>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</si>
  <si>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</si>
  <si>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</si>
  <si>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</si>
  <si>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</si>
  <si>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</si>
  <si>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</si>
  <si>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</si>
  <si>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</si>
  <si>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</si>
  <si>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</si>
  <si>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</si>
  <si>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</si>
  <si>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</si>
  <si>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</si>
  <si>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</si>
  <si>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</si>
  <si>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</si>
  <si>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</si>
  <si>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</si>
  <si>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</si>
  <si>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</si>
  <si>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</si>
  <si>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</si>
  <si>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</si>
  <si>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</si>
  <si>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</si>
  <si>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</si>
  <si>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</si>
  <si>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</si>
  <si>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</si>
  <si>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</si>
  <si>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</si>
  <si>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</si>
  <si>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</si>
  <si>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</si>
  <si>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</si>
  <si>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</si>
  <si>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</si>
  <si>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</si>
  <si>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</si>
  <si>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</si>
  <si>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</si>
  <si>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</si>
  <si>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</si>
  <si>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</si>
  <si>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</si>
  <si>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</si>
  <si>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</si>
  <si>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</si>
  <si>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</si>
  <si>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</si>
  <si>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</si>
  <si>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</si>
  <si>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</si>
  <si>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</si>
  <si>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</si>
  <si>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</si>
  <si>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</si>
  <si>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</si>
  <si>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</si>
  <si>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</si>
  <si>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</si>
  <si>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</si>
  <si>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</si>
  <si>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</si>
  <si>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</si>
  <si>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</si>
  <si>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</si>
  <si>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</si>
  <si>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</si>
  <si>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</si>
  <si>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</si>
  <si>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</si>
  <si>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</si>
  <si>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</si>
  <si>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</si>
  <si>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</si>
  <si>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</si>
  <si>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</si>
  <si>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</si>
  <si>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</si>
  <si>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</si>
  <si>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</si>
  <si>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</si>
  <si>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</si>
  <si>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</si>
  <si>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</si>
  <si>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</si>
  <si>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</si>
  <si>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</si>
  <si>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</si>
  <si>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</si>
  <si>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</si>
  <si>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</si>
  <si>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</si>
  <si>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</si>
  <si>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</si>
  <si>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</si>
  <si>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</si>
  <si>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</si>
  <si>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</si>
  <si>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</si>
  <si>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</si>
  <si>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</si>
  <si>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</si>
  <si>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</si>
  <si>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</si>
  <si>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</si>
  <si>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</si>
  <si>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</si>
  <si>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</si>
  <si>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</si>
  <si>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</si>
  <si>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</si>
  <si>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</si>
  <si>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</si>
  <si>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</si>
  <si>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</si>
  <si>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</si>
  <si>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</si>
  <si>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</si>
  <si>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</si>
  <si>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</si>
  <si>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</si>
  <si>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</si>
  <si>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</si>
  <si>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</si>
  <si>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</si>
  <si>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</si>
  <si>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</si>
  <si>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</si>
  <si>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</si>
  <si>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</si>
  <si>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</si>
  <si>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</si>
  <si>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</si>
  <si>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</si>
  <si>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</si>
  <si>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</si>
  <si>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</si>
  <si>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</si>
  <si>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</si>
  <si>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</si>
  <si>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</si>
  <si>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</si>
  <si>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</si>
  <si>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</si>
  <si>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</si>
  <si>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</si>
  <si>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</si>
  <si>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</si>
  <si>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</si>
  <si>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</si>
  <si>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</si>
  <si>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</si>
  <si>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</si>
  <si>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</si>
  <si>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</si>
  <si>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</si>
  <si>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</si>
  <si>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</si>
  <si>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</si>
  <si>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</si>
  <si>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</si>
  <si>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</si>
  <si>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</si>
  <si>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</si>
  <si>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</si>
  <si>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</si>
  <si>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</si>
  <si>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</si>
  <si>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</si>
  <si>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</si>
  <si>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</si>
  <si>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</si>
  <si>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</si>
  <si>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</si>
  <si>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</si>
  <si>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</si>
  <si>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</si>
  <si>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</si>
  <si>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</si>
  <si>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</si>
  <si>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</si>
  <si>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</si>
  <si>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</si>
  <si>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</si>
  <si>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</si>
  <si>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</si>
  <si>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</si>
  <si>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</si>
  <si>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</si>
  <si>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</si>
  <si>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</si>
  <si>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</si>
  <si>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</si>
  <si>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</si>
  <si>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</si>
  <si>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</si>
  <si>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</si>
  <si>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</si>
  <si>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</si>
  <si>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</si>
  <si>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</si>
  <si>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</si>
  <si>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</si>
  <si>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</si>
  <si>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</si>
  <si>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</si>
  <si>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</si>
  <si>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</si>
  <si>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</si>
  <si>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</si>
  <si>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</si>
  <si>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</si>
  <si>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</si>
  <si>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</si>
  <si>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</si>
  <si>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</si>
  <si>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</si>
  <si>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</si>
  <si>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</si>
  <si>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</si>
  <si>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</si>
  <si>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</si>
  <si>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</si>
  <si>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</si>
  <si>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</si>
  <si>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</si>
  <si>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</si>
  <si>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</si>
  <si>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</si>
  <si>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</si>
  <si>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</si>
  <si>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</si>
  <si>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</si>
  <si>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</si>
  <si>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</si>
  <si>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</si>
  <si>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</si>
  <si>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</si>
  <si>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</si>
  <si>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</si>
  <si>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</si>
  <si>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</si>
  <si>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</si>
  <si>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</si>
  <si>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</si>
  <si>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</si>
  <si>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</si>
  <si>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</si>
  <si>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</si>
  <si>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</si>
  <si>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</si>
  <si>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</si>
  <si>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</si>
  <si>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</si>
  <si>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</si>
  <si>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</si>
  <si>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</si>
  <si>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</si>
  <si>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</si>
  <si>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</si>
  <si>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</si>
  <si>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</si>
  <si>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</si>
  <si>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</si>
  <si>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</si>
  <si>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</si>
  <si>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</si>
  <si>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</si>
  <si>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</si>
  <si>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</si>
  <si>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</si>
  <si>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</si>
  <si>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</si>
  <si>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</si>
  <si>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</si>
  <si>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</si>
  <si>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</si>
  <si>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</si>
  <si>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</si>
  <si>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</si>
  <si>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</si>
  <si>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</si>
  <si>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</si>
  <si>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</si>
  <si>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</si>
  <si>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</si>
  <si>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</si>
  <si>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</si>
  <si>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</si>
  <si>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</si>
  <si>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</si>
  <si>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</si>
  <si>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</si>
  <si>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</si>
  <si>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</si>
  <si>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</si>
  <si>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</si>
  <si>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</si>
  <si>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</si>
  <si>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</si>
  <si>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</si>
  <si>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</si>
  <si>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</si>
  <si>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</si>
  <si>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</si>
  <si>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</si>
  <si>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</si>
  <si>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</si>
  <si>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</si>
  <si>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</si>
  <si>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</si>
  <si>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</si>
  <si>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</si>
  <si>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</si>
  <si>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</si>
  <si>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</si>
  <si>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</si>
  <si>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</si>
  <si>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</si>
  <si>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</si>
  <si>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</si>
  <si>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</si>
  <si>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</si>
  <si>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</si>
  <si>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</si>
  <si>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</si>
  <si>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</si>
  <si>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</si>
  <si>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</si>
  <si>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</si>
  <si>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</si>
  <si>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</si>
  <si>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</si>
  <si>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</si>
  <si>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</si>
  <si>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</si>
  <si>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</si>
  <si>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</si>
  <si>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</si>
  <si>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</si>
  <si>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</si>
  <si>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</si>
  <si>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</si>
  <si>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</si>
  <si>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</si>
  <si>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</si>
  <si>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</si>
  <si>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</si>
  <si>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</si>
  <si>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</si>
  <si>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</si>
  <si>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</si>
  <si>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</si>
  <si>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</si>
  <si>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</si>
  <si>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</si>
  <si>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</si>
  <si>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</si>
  <si>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</si>
  <si>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</si>
  <si>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</si>
  <si>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</si>
  <si>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</si>
  <si>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</si>
  <si>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</si>
  <si>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</si>
  <si>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</si>
  <si>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</si>
  <si>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</si>
  <si>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</si>
  <si>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</si>
  <si>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</si>
  <si>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</si>
  <si>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</si>
  <si>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</si>
  <si>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</si>
  <si>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</si>
  <si>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</si>
  <si>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</si>
  <si>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</si>
  <si>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</si>
  <si>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</si>
  <si>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</si>
  <si>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</si>
  <si>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</si>
  <si>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</si>
  <si>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</si>
  <si>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</si>
  <si>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</si>
  <si>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</si>
  <si>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</si>
  <si>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</si>
  <si>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</si>
  <si>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</si>
  <si>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</si>
  <si>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</si>
  <si>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</si>
  <si>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</si>
  <si>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</si>
  <si>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</si>
  <si>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</si>
  <si>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</si>
  <si>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</si>
  <si>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</si>
  <si>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</si>
  <si>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</si>
  <si>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</si>
  <si>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</si>
  <si>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</si>
  <si>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</si>
  <si>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</si>
  <si>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</si>
  <si>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</si>
  <si>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</si>
  <si>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</si>
  <si>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</si>
  <si>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</si>
  <si>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</si>
  <si>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</si>
  <si>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</si>
  <si>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</si>
  <si>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</si>
  <si>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</si>
  <si>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</si>
  <si>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</si>
  <si>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</si>
  <si>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</si>
  <si>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</si>
  <si>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</si>
  <si>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</si>
  <si>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</si>
  <si>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</si>
  <si>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</si>
  <si>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</si>
  <si>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</si>
  <si>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</si>
  <si>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</si>
  <si>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</si>
  <si>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</si>
  <si>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</si>
  <si>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</si>
  <si>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</si>
  <si>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</si>
  <si>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</si>
  <si>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</si>
  <si>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</si>
  <si>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</si>
  <si>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</si>
  <si>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</si>
  <si>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</si>
  <si>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</si>
  <si>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</si>
  <si>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</si>
  <si>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</si>
  <si>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</si>
  <si>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</si>
  <si>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</si>
  <si>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</si>
  <si>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</si>
  <si>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</si>
  <si>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</si>
  <si>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</si>
  <si>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</si>
  <si>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</si>
  <si>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</si>
  <si>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</si>
  <si>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</si>
  <si>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</si>
  <si>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</si>
  <si>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</si>
  <si>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</si>
  <si>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</si>
  <si>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</si>
  <si>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</si>
  <si>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</si>
  <si>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</si>
  <si>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</si>
  <si>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</si>
  <si>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</si>
  <si>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</si>
  <si>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</si>
  <si>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</si>
  <si>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</si>
  <si>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</si>
  <si>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</si>
  <si>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</si>
  <si>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</si>
  <si>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</si>
  <si>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</si>
  <si>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</si>
  <si>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</si>
  <si>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</si>
  <si>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</si>
  <si>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</si>
  <si>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</si>
  <si>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</si>
  <si>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</si>
  <si>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</si>
  <si>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</si>
  <si>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</si>
  <si>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</si>
  <si>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</si>
  <si>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</si>
  <si>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</si>
  <si>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</si>
  <si>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</si>
  <si>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</si>
  <si>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</si>
  <si>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</si>
  <si>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</si>
  <si>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</si>
  <si>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</si>
  <si>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</si>
  <si>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</si>
  <si>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</si>
  <si>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</si>
  <si>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</si>
  <si>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</si>
  <si>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</si>
  <si>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</si>
  <si>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</si>
  <si>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</si>
  <si>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</si>
  <si>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</si>
  <si>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</si>
  <si>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</si>
  <si>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</si>
  <si>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</si>
  <si>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</si>
  <si>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</si>
  <si>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</si>
  <si>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</si>
  <si>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</si>
  <si>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</si>
  <si>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</si>
  <si>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</si>
  <si>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</si>
  <si>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</si>
  <si>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</si>
  <si>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</si>
  <si>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</si>
  <si>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</si>
  <si>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</si>
  <si>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</si>
  <si>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</si>
  <si>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</si>
  <si>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</si>
  <si>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</si>
  <si>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</si>
  <si>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</si>
  <si>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</si>
  <si>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</si>
  <si>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</si>
  <si>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</si>
  <si>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</si>
  <si>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</si>
  <si>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</si>
  <si>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</si>
  <si>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</si>
  <si>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</si>
  <si>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</si>
  <si>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</si>
  <si>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</si>
  <si>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</si>
  <si>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</si>
  <si>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</si>
  <si>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</si>
  <si>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</si>
  <si>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</si>
  <si>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</si>
  <si>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</si>
  <si>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</si>
  <si>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</si>
  <si>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</si>
  <si>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</si>
  <si>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</si>
  <si>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</si>
  <si>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</si>
  <si>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</si>
  <si>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</si>
  <si>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</si>
  <si>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</si>
  <si>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</si>
  <si>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</si>
  <si>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</si>
  <si>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</si>
  <si>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</si>
  <si>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</si>
  <si>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</si>
  <si>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</si>
  <si>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</si>
  <si>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</si>
  <si>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</si>
  <si>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</si>
  <si>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</si>
  <si>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</si>
  <si>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</si>
  <si>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</si>
  <si>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</si>
  <si>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</si>
  <si>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</si>
  <si>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</si>
  <si>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</si>
  <si>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</si>
  <si>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</si>
  <si>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</si>
  <si>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</si>
  <si>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</si>
  <si>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</si>
  <si>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</si>
  <si>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</si>
  <si>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</si>
  <si>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</si>
  <si>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</si>
  <si>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</si>
  <si>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</si>
  <si>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</si>
  <si>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</si>
  <si>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</si>
  <si>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</si>
  <si>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</si>
  <si>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</si>
  <si>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</si>
  <si>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</si>
  <si>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</si>
  <si>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</si>
  <si>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</si>
  <si>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</si>
  <si>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</si>
  <si>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</si>
  <si>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</si>
  <si>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</si>
  <si>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</si>
  <si>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</si>
  <si>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</si>
  <si>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</si>
  <si>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</si>
  <si>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</si>
  <si>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</si>
  <si>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</si>
  <si>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</si>
  <si>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</si>
  <si>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</si>
  <si>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</si>
  <si>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</si>
  <si>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</si>
  <si>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</si>
  <si>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</si>
  <si>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</si>
  <si>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</si>
  <si>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</si>
  <si>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</si>
  <si>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</si>
  <si>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</si>
  <si>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</si>
  <si>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</si>
  <si>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</si>
  <si>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</si>
  <si>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</si>
  <si>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</si>
  <si>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</si>
  <si>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</si>
  <si>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</si>
  <si>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</si>
  <si>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</si>
  <si>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</si>
  <si>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</si>
  <si>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</si>
  <si>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</si>
  <si>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</si>
  <si>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</si>
  <si>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</si>
  <si>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</si>
  <si>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</si>
  <si>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</si>
  <si>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</si>
  <si>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</si>
  <si>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</si>
  <si>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</si>
  <si>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</si>
  <si>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</si>
  <si>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</si>
  <si>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</si>
  <si>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</si>
  <si>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</si>
  <si>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</si>
  <si>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</si>
  <si>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</si>
  <si>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</si>
  <si>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</si>
  <si>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</si>
  <si>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</si>
  <si>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</si>
  <si>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</si>
  <si>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</si>
  <si>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</si>
  <si>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</si>
  <si>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</si>
  <si>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</si>
  <si>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</si>
  <si>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</si>
  <si>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</si>
  <si>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</si>
  <si>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</si>
  <si>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</si>
  <si>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</si>
  <si>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</si>
  <si>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</si>
  <si>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</si>
  <si>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</si>
  <si>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</si>
  <si>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</si>
  <si>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</si>
  <si>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</si>
  <si>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</si>
  <si>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</si>
  <si>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</si>
  <si>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</si>
  <si>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</si>
  <si>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</si>
  <si>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</si>
  <si>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</si>
  <si>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</si>
  <si>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</si>
  <si>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</si>
  <si>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</si>
  <si>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</si>
  <si>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</si>
  <si>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</si>
  <si>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</si>
  <si>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</si>
  <si>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</si>
  <si>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</si>
  <si>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</si>
  <si>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</si>
  <si>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</si>
  <si>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</si>
  <si>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</si>
  <si>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</si>
  <si>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</si>
  <si>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</si>
  <si>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</si>
  <si>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</si>
  <si>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</si>
  <si>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</si>
  <si>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</si>
  <si>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</si>
  <si>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</si>
  <si>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</si>
  <si>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</si>
  <si>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</si>
  <si>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</si>
  <si>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</si>
  <si>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</si>
  <si>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</si>
  <si>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</si>
  <si>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</si>
  <si>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</si>
  <si>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</si>
  <si>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</si>
  <si>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</si>
  <si>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</si>
  <si>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</si>
  <si>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</si>
  <si>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</si>
  <si>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</si>
  <si>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</si>
  <si>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</si>
  <si>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</si>
  <si>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</si>
  <si>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</si>
  <si>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</si>
  <si>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</si>
  <si>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</si>
  <si>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</si>
  <si>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</si>
  <si>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</si>
  <si>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</si>
  <si>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</si>
  <si>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</si>
  <si>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</si>
  <si>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</si>
  <si>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</si>
  <si>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</si>
  <si>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</si>
  <si>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</si>
  <si>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</si>
  <si>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</si>
  <si>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</si>
  <si>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</si>
  <si>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</si>
  <si>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</si>
  <si>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</si>
  <si>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</si>
  <si>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</si>
  <si>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</si>
  <si>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</si>
  <si>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</si>
  <si>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</si>
  <si>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</si>
  <si>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</si>
  <si>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</si>
  <si>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</si>
  <si>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</si>
  <si>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</si>
  <si>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</si>
  <si>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</si>
  <si>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</si>
  <si>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</si>
  <si>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</si>
  <si>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</si>
  <si>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</si>
  <si>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</si>
  <si>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</si>
  <si>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</si>
  <si>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</si>
  <si>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</si>
  <si>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</si>
  <si>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</si>
  <si>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</si>
  <si>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</si>
  <si>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</si>
  <si>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</si>
  <si>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</si>
  <si>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</si>
  <si>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</si>
  <si>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</si>
  <si>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</si>
  <si>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</si>
  <si>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</si>
  <si>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</si>
  <si>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</si>
  <si>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</si>
  <si>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</si>
  <si>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</si>
  <si>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</si>
  <si>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</si>
  <si>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</si>
  <si>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</si>
  <si>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</si>
  <si>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</si>
  <si>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</si>
  <si>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</si>
  <si>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</si>
  <si>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</si>
  <si>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</si>
  <si>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</si>
  <si>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</si>
  <si>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</si>
  <si>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</si>
  <si>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</si>
  <si>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</si>
  <si>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</si>
  <si>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</si>
  <si>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</si>
  <si>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</si>
  <si>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</si>
  <si>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</si>
  <si>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</si>
  <si>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</si>
  <si>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</si>
  <si>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</si>
  <si>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</si>
  <si>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</si>
  <si>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</si>
  <si>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</si>
  <si>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</si>
  <si>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</si>
  <si>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</si>
  <si>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</si>
  <si>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</si>
  <si>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</si>
  <si>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</si>
  <si>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</si>
  <si>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</si>
  <si>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</si>
  <si>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</si>
  <si>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</si>
  <si>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</si>
  <si>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</si>
  <si>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</si>
  <si>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</si>
  <si>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</si>
  <si>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</si>
  <si>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</si>
  <si>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</si>
  <si>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</si>
  <si>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</si>
  <si>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</si>
  <si>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</si>
  <si>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</si>
  <si>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</si>
  <si>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</si>
  <si>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</si>
  <si>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</si>
  <si>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</si>
  <si>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</si>
  <si>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</si>
  <si>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</si>
  <si>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</si>
  <si>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</si>
  <si>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</si>
  <si>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</si>
  <si>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</si>
  <si>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</si>
  <si>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</si>
  <si>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</si>
  <si>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</si>
  <si>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</si>
  <si>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</si>
  <si>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</si>
  <si>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</si>
  <si>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</si>
  <si>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</si>
  <si>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</si>
  <si>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</si>
  <si>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</si>
  <si>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</si>
  <si>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</si>
  <si>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</si>
  <si>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</si>
  <si>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</si>
  <si>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</si>
  <si>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</si>
  <si>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</si>
  <si>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</si>
  <si>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</si>
  <si>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</si>
  <si>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</si>
  <si>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</si>
  <si>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</si>
  <si>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</si>
  <si>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</si>
  <si>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</si>
  <si>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</si>
  <si>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</si>
  <si>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</si>
  <si>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</si>
  <si>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</si>
  <si>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</si>
  <si>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</si>
  <si>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</si>
  <si>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</si>
  <si>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</si>
  <si>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</si>
  <si>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</si>
  <si>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</si>
  <si>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</si>
  <si>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</si>
  <si>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</si>
  <si>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</si>
  <si>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</si>
  <si>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</si>
  <si>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</si>
  <si>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</si>
  <si>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</si>
  <si>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</si>
  <si>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</si>
  <si>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</si>
  <si>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</si>
  <si>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</si>
  <si>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</si>
  <si>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</si>
  <si>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</si>
  <si>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</si>
  <si>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</si>
  <si>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</si>
  <si>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</si>
  <si>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</si>
  <si>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</si>
  <si>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</si>
  <si>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</si>
  <si>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</si>
  <si>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</si>
  <si>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</si>
  <si>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</si>
  <si>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</si>
  <si>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</si>
  <si>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</si>
  <si>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</si>
  <si>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</si>
  <si>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</si>
  <si>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</si>
  <si>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</si>
  <si>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</si>
  <si>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</si>
  <si>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</si>
  <si>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</si>
  <si>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</si>
  <si>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</si>
  <si>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</si>
  <si>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</si>
  <si>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</si>
  <si>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</si>
  <si>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</si>
  <si>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</si>
  <si>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</si>
  <si>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</si>
  <si>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</si>
  <si>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</si>
  <si>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</si>
  <si>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</si>
  <si>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</si>
  <si>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</si>
  <si>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</si>
  <si>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</si>
  <si>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</si>
  <si>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</si>
  <si>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</si>
  <si>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</si>
  <si>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</si>
  <si>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</si>
  <si>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</si>
  <si>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</si>
  <si>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</si>
  <si>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</si>
  <si>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</si>
  <si>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</si>
  <si>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</si>
  <si>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</si>
  <si>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</si>
  <si>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</si>
  <si>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</si>
  <si>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</si>
  <si>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</si>
  <si>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</si>
  <si>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</si>
  <si>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</si>
  <si>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</si>
  <si>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</si>
  <si>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</si>
  <si>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</si>
  <si>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</si>
  <si>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</si>
  <si>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</si>
  <si>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</si>
  <si>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</si>
  <si>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</si>
  <si>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</si>
  <si>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</si>
  <si>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</si>
  <si>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</si>
  <si>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</si>
  <si>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</si>
  <si>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</si>
  <si>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</si>
  <si>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</si>
  <si>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</si>
  <si>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</si>
  <si>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</si>
  <si>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</si>
  <si>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</si>
  <si>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</si>
  <si>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</si>
  <si>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</si>
  <si>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</si>
  <si>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</si>
  <si>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</si>
  <si>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</si>
  <si>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</si>
  <si>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</si>
  <si>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</si>
  <si>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</si>
  <si>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</si>
  <si>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</si>
  <si>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</si>
  <si>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</si>
  <si>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</si>
  <si>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</si>
  <si>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</si>
  <si>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</si>
  <si>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</si>
  <si>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</si>
  <si>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</si>
  <si>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</si>
  <si>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</si>
  <si>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</si>
  <si>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</si>
  <si>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</si>
  <si>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</si>
  <si>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</si>
  <si>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</si>
  <si>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</si>
  <si>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</si>
  <si>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</si>
  <si>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</si>
  <si>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</si>
  <si>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</si>
  <si>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</si>
  <si>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</si>
  <si>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</si>
  <si>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</si>
  <si>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</si>
  <si>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</si>
  <si>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</si>
  <si>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</si>
  <si>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</si>
  <si>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</si>
  <si>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</si>
  <si>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</si>
  <si>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</si>
  <si>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</si>
  <si>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</si>
  <si>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</si>
  <si>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</si>
  <si>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</si>
  <si>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</si>
  <si>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</si>
  <si>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</si>
  <si>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</si>
  <si>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</si>
  <si>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</si>
  <si>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</si>
  <si>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</si>
  <si>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</si>
  <si>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</si>
  <si>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</si>
  <si>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</si>
  <si>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</si>
  <si>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</si>
  <si>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</si>
  <si>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</si>
  <si>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</si>
  <si>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</si>
  <si>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</si>
  <si>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</si>
  <si>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</si>
  <si>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</si>
  <si>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</si>
  <si>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</si>
  <si>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</si>
  <si>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</si>
  <si>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</si>
  <si>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</si>
  <si>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</si>
  <si>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</si>
  <si>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</si>
  <si>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</si>
  <si>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</si>
  <si>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</si>
  <si>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</si>
  <si>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</si>
  <si>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</si>
  <si>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</si>
  <si>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</si>
  <si>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</si>
  <si>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</si>
  <si>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</si>
  <si>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</si>
  <si>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</si>
  <si>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</si>
  <si>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</si>
  <si>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</si>
  <si>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</si>
  <si>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</si>
  <si>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</si>
  <si>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</si>
  <si>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</si>
  <si>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</si>
  <si>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</si>
  <si>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</si>
  <si>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</si>
  <si>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</si>
  <si>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</si>
  <si>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</si>
  <si>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</si>
  <si>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</si>
  <si>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</si>
  <si>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</si>
  <si>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</si>
  <si>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</si>
  <si>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</si>
  <si>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</si>
  <si>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</si>
  <si>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</si>
  <si>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</si>
  <si>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</si>
  <si>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</si>
  <si>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</si>
  <si>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</si>
  <si>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</si>
  <si>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</si>
  <si>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</si>
  <si>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</si>
  <si>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</si>
  <si>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</si>
  <si>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</si>
  <si>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</si>
  <si>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</si>
  <si>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</si>
  <si>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</si>
  <si>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</si>
  <si>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</si>
  <si>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</si>
  <si>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</si>
  <si>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</si>
  <si>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</si>
  <si>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</si>
  <si>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</si>
  <si>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</si>
  <si>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</si>
  <si>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</si>
  <si>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</si>
  <si>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</si>
  <si>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</si>
  <si>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</si>
  <si>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</si>
  <si>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</si>
  <si>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</si>
  <si>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</si>
  <si>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</si>
  <si>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</si>
  <si>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</si>
  <si>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</si>
  <si>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</si>
  <si>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</si>
  <si>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</si>
  <si>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</si>
  <si>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</si>
  <si>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</si>
  <si>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</si>
  <si>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</si>
  <si>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</si>
  <si>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</si>
  <si>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</si>
  <si>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</si>
  <si>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</si>
  <si>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</si>
  <si>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</si>
  <si>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</si>
  <si>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</si>
  <si>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</si>
  <si>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</si>
  <si>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</si>
  <si>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</si>
  <si>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</si>
  <si>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</si>
  <si>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</si>
  <si>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</si>
  <si>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</si>
  <si>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</si>
  <si>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</si>
  <si>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</si>
  <si>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</si>
  <si>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</si>
  <si>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</si>
  <si>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</si>
  <si>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</si>
  <si>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</si>
  <si>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</si>
  <si>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</si>
  <si>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</si>
  <si>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</si>
  <si>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</si>
  <si>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</si>
  <si>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</si>
  <si>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</si>
  <si>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</si>
  <si>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</si>
  <si>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</si>
  <si>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</si>
  <si>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</si>
  <si>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</si>
  <si>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</si>
  <si>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</si>
  <si>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</si>
  <si>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</si>
  <si>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</si>
  <si>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</si>
  <si>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</si>
  <si>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</si>
  <si>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</si>
  <si>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</si>
  <si>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</si>
  <si>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</si>
  <si>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</si>
  <si>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</si>
  <si>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</si>
  <si>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</si>
  <si>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</si>
  <si>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</si>
  <si>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</si>
  <si>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</si>
  <si>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</si>
  <si>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</si>
  <si>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</si>
  <si>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</si>
  <si>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</si>
  <si>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</si>
  <si>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</si>
  <si>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</si>
  <si>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</si>
  <si>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</si>
  <si>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</si>
  <si>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</si>
  <si>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</si>
  <si>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</si>
  <si>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</si>
  <si>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</si>
  <si>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</si>
  <si>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</si>
  <si>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</si>
  <si>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</si>
  <si>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</si>
  <si>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</si>
  <si>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</si>
  <si>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</si>
  <si>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</si>
  <si>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</si>
  <si>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</si>
  <si>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</si>
  <si>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</si>
  <si>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</si>
  <si>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</si>
  <si>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</si>
  <si>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</si>
  <si>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</si>
  <si>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</si>
  <si>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</si>
  <si>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</si>
  <si>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</si>
  <si>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</si>
  <si>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</si>
  <si>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</si>
  <si>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</si>
  <si>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</si>
  <si>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</si>
  <si>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</si>
  <si>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</si>
  <si>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</si>
  <si>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</si>
  <si>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</si>
  <si>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</si>
  <si>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</si>
  <si>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</si>
  <si>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</si>
  <si>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</si>
  <si>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</si>
  <si>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</si>
  <si>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</si>
  <si>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</si>
  <si>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</si>
  <si>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</si>
  <si>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</si>
  <si>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</si>
  <si>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</si>
  <si>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</si>
  <si>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</si>
  <si>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</si>
  <si>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</si>
  <si>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</si>
  <si>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</si>
  <si>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</si>
  <si>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</si>
  <si>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</si>
  <si>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</si>
  <si>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</si>
  <si>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</si>
  <si>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</si>
  <si>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</si>
  <si>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</si>
  <si>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</si>
  <si>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</si>
  <si>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</si>
  <si>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</si>
  <si>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</si>
  <si>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</si>
  <si>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</si>
  <si>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</si>
  <si>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</si>
  <si>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</si>
  <si>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</si>
  <si>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</si>
  <si>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</si>
  <si>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</si>
  <si>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</si>
  <si>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</si>
  <si>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</si>
  <si>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</si>
  <si>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</si>
  <si>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</si>
  <si>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</si>
  <si>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</si>
  <si>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</si>
  <si>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</si>
  <si>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</si>
  <si>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</si>
  <si>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</si>
  <si>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</si>
  <si>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</si>
  <si>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</si>
  <si>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</si>
  <si>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</si>
  <si>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</si>
  <si>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</si>
  <si>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</si>
  <si>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</si>
  <si>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</si>
  <si>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</si>
  <si>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</si>
  <si>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</si>
  <si>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</si>
  <si>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</si>
  <si>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</si>
  <si>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</si>
  <si>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</si>
  <si>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</si>
  <si>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</si>
  <si>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</si>
  <si>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</si>
  <si>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</si>
  <si>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</si>
  <si>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</si>
  <si>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</si>
  <si>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</si>
  <si>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</si>
  <si>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</si>
  <si>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</si>
  <si>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</si>
  <si>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</si>
  <si>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</si>
  <si>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</si>
  <si>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</si>
  <si>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</si>
  <si>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</si>
  <si>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Ana Cristina Borges Carvalho; Cinthia Thais de Carvalho Luz Thomazi; Fernanda Viana de Souza; Luiz Felipe Tenório de Lima Gondim; Yasmin Carla Marchioro Silverio</t>
  </si>
  <si>
    <t>2026-060</t>
  </si>
  <si>
    <t>TCendo o Futuro 6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</si>
  <si>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</si>
  <si>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</si>
  <si>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</si>
  <si>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</si>
  <si>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</si>
  <si>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</si>
  <si>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</si>
  <si>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</si>
  <si>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</si>
  <si>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</si>
  <si>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</si>
  <si>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</si>
  <si>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</si>
  <si>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</si>
  <si>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</si>
  <si>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</si>
  <si>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</si>
  <si>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</si>
  <si>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</si>
  <si>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</si>
  <si>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</si>
  <si>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</si>
  <si>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</si>
  <si>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</si>
  <si>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</si>
  <si>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</si>
  <si>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</si>
  <si>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</si>
  <si>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</si>
  <si>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</si>
  <si>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</si>
  <si>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</si>
  <si>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</si>
  <si>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</si>
  <si>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</si>
  <si>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</si>
  <si>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</si>
  <si>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</si>
  <si>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</si>
  <si>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</si>
  <si>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</si>
  <si>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</si>
  <si>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</si>
  <si>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</si>
  <si>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</si>
  <si>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</si>
  <si>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</si>
  <si>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</si>
  <si>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</si>
  <si>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</si>
  <si>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</si>
  <si>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</si>
  <si>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</si>
  <si>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</si>
  <si>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</si>
  <si>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</si>
  <si>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</si>
  <si>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</si>
  <si>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</si>
  <si>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</si>
  <si>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</si>
  <si>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</si>
  <si>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</si>
  <si>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</si>
  <si>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</si>
  <si>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</si>
  <si>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</si>
  <si>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</si>
  <si>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</si>
  <si>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</si>
  <si>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</si>
  <si>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</si>
  <si>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</si>
  <si>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</si>
  <si>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</si>
  <si>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</si>
  <si>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</si>
  <si>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</si>
  <si>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</si>
  <si>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</si>
  <si>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</si>
  <si>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</si>
  <si>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</si>
  <si>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</si>
  <si>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</si>
  <si>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</si>
  <si>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</si>
  <si>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</si>
  <si>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</si>
  <si>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</si>
  <si>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</si>
  <si>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</si>
  <si>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</si>
  <si>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</si>
  <si>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</si>
  <si>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</si>
  <si>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</si>
  <si>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</si>
  <si>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</si>
  <si>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</si>
  <si>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</si>
  <si>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</si>
  <si>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</si>
  <si>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</si>
  <si>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</si>
  <si>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</si>
  <si>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</si>
  <si>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</si>
  <si>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</si>
  <si>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</si>
  <si>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</si>
  <si>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</si>
  <si>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</si>
  <si>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</si>
  <si>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</si>
  <si>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</si>
  <si>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</si>
  <si>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</si>
  <si>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</si>
  <si>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</si>
  <si>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</si>
  <si>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</si>
  <si>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</si>
  <si>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</si>
  <si>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</si>
  <si>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</si>
  <si>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</si>
  <si>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</si>
  <si>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</si>
  <si>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</si>
  <si>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</si>
  <si>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</si>
  <si>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</si>
  <si>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</si>
  <si>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</si>
  <si>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</si>
  <si>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</si>
  <si>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</si>
  <si>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</si>
  <si>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</si>
  <si>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</si>
  <si>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</si>
  <si>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</si>
  <si>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</si>
  <si>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</si>
  <si>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</si>
  <si>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</si>
  <si>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</si>
  <si>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</si>
  <si>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</si>
  <si>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</si>
  <si>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</si>
  <si>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</si>
  <si>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</si>
  <si>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</si>
  <si>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</si>
  <si>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</si>
  <si>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</si>
  <si>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</si>
  <si>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</si>
  <si>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</si>
  <si>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</si>
  <si>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</si>
  <si>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</si>
  <si>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</si>
  <si>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</si>
  <si>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</si>
  <si>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</si>
  <si>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</si>
  <si>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</si>
  <si>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</si>
  <si>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</si>
  <si>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</si>
  <si>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</si>
  <si>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</si>
  <si>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</si>
  <si>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</si>
  <si>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</si>
  <si>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</si>
  <si>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</si>
  <si>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</si>
  <si>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</si>
  <si>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</si>
  <si>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</si>
  <si>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</si>
  <si>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</si>
  <si>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</si>
  <si>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</si>
  <si>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</si>
  <si>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</si>
  <si>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</si>
  <si>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</si>
  <si>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</si>
  <si>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</si>
  <si>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</si>
  <si>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</si>
  <si>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</si>
  <si>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</si>
  <si>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</si>
  <si>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</si>
  <si>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</si>
  <si>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</si>
  <si>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</si>
  <si>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</si>
  <si>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</si>
  <si>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</si>
  <si>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</si>
  <si>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</si>
  <si>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</si>
  <si>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</si>
  <si>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</si>
  <si>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</si>
  <si>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</si>
  <si>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</si>
  <si>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</si>
  <si>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</si>
  <si>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</si>
  <si>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</si>
  <si>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</si>
  <si>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</si>
  <si>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</si>
  <si>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</si>
  <si>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</si>
  <si>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</si>
  <si>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</si>
  <si>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</si>
  <si>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</si>
  <si>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</si>
  <si>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</si>
  <si>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</si>
  <si>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</si>
  <si>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</si>
  <si>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</si>
  <si>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</si>
  <si>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</si>
  <si>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</si>
  <si>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</si>
  <si>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</si>
  <si>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</si>
  <si>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</si>
  <si>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</si>
  <si>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</si>
  <si>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</si>
  <si>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</si>
  <si>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</si>
  <si>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</si>
  <si>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</si>
  <si>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</si>
  <si>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</si>
  <si>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</si>
  <si>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</si>
  <si>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</si>
  <si>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</si>
  <si>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</si>
  <si>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</si>
  <si>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</si>
  <si>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</si>
  <si>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</si>
  <si>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</si>
  <si>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</si>
  <si>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</si>
  <si>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</si>
  <si>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Cancelado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</si>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</sst>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1618</c:v>
                </c:pt>
                <c:pt idx="2">
                  <c:v>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28" activePane="bottomLeft" state="frozen"/>
      <selection pane="bottomLeft" activeCell="A2008" sqref="A200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hidden="1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hidden="1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hidden="1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hidden="1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hidden="1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hidden="1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hidden="1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hidden="1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hidden="1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hidden="1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hidden="1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hidden="1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hidden="1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hidden="1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hidden="1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hidden="1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hidden="1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hidden="1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hidden="1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hidden="1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hidden="1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hidden="1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hidden="1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hidden="1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hidden="1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hidden="1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hidden="1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hidden="1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hidden="1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hidden="1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hidden="1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hidden="1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hidden="1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hidden="1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hidden="1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hidden="1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hidden="1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hidden="1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hidden="1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hidden="1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hidden="1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hidden="1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hidden="1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hidden="1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hidden="1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hidden="1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hidden="1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hidden="1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hidden="1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hidden="1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hidden="1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hidden="1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hidden="1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hidden="1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hidden="1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hidden="1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hidden="1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hidden="1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hidden="1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hidden="1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hidden="1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hidden="1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hidden="1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hidden="1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hidden="1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hidden="1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hidden="1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hidden="1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hidden="1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hidden="1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hidden="1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hidden="1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hidden="1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hidden="1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hidden="1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hidden="1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hidden="1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hidden="1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hidden="1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hidden="1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hidden="1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hidden="1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hidden="1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hidden="1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hidden="1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hidden="1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hidden="1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hidden="1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hidden="1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hidden="1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hidden="1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hidden="1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hidden="1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hidden="1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hidden="1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hidden="1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hidden="1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hidden="1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hidden="1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hidden="1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hidden="1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hidden="1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hidden="1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hidden="1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hidden="1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hidden="1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hidden="1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hidden="1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hidden="1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hidden="1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hidden="1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hidden="1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hidden="1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hidden="1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hidden="1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hidden="1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hidden="1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hidden="1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hidden="1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hidden="1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hidden="1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hidden="1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hidden="1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hidden="1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hidden="1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hidden="1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hidden="1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hidden="1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hidden="1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hidden="1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hidden="1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hidden="1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hidden="1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hidden="1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hidden="1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hidden="1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hidden="1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hidden="1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hidden="1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hidden="1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hidden="1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hidden="1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hidden="1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hidden="1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hidden="1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hidden="1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hidden="1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hidden="1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hidden="1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hidden="1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hidden="1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hidden="1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hidden="1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hidden="1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hidden="1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hidden="1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hidden="1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hidden="1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hidden="1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hidden="1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hidden="1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hidden="1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hidden="1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hidden="1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hidden="1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hidden="1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hidden="1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hidden="1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hidden="1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hidden="1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hidden="1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hidden="1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hidden="1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hidden="1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hidden="1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hidden="1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hidden="1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hidden="1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hidden="1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hidden="1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hidden="1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hidden="1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hidden="1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hidden="1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hidden="1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hidden="1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hidden="1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hidden="1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hidden="1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hidden="1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hidden="1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hidden="1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hidden="1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hidden="1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hidden="1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hidden="1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hidden="1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hidden="1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hidden="1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hidden="1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hidden="1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hidden="1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hidden="1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hidden="1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hidden="1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hidden="1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hidden="1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hidden="1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hidden="1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hidden="1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hidden="1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hidden="1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hidden="1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hidden="1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hidden="1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hidden="1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hidden="1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hidden="1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hidden="1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hidden="1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hidden="1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hidden="1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hidden="1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hidden="1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hidden="1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hidden="1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hidden="1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hidden="1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hidden="1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hidden="1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hidden="1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hidden="1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hidden="1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hidden="1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hidden="1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hidden="1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hidden="1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hidden="1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hidden="1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hidden="1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hidden="1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hidden="1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hidden="1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hidden="1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hidden="1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hidden="1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hidden="1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hidden="1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hidden="1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hidden="1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hidden="1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hidden="1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hidden="1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hidden="1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hidden="1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hidden="1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hidden="1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hidden="1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hidden="1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hidden="1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hidden="1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hidden="1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hidden="1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hidden="1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hidden="1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hidden="1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hidden="1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hidden="1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hidden="1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hidden="1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hidden="1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hidden="1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hidden="1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hidden="1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hidden="1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hidden="1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hidden="1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hidden="1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hidden="1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hidden="1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hidden="1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hidden="1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hidden="1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hidden="1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hidden="1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hidden="1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hidden="1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hidden="1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hidden="1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hidden="1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hidden="1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hidden="1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hidden="1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hidden="1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hidden="1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hidden="1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hidden="1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hidden="1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hidden="1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hidden="1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hidden="1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hidden="1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hidden="1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hidden="1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hidden="1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hidden="1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hidden="1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hidden="1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hidden="1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hidden="1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hidden="1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hidden="1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hidden="1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hidden="1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hidden="1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hidden="1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hidden="1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hidden="1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hidden="1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hidden="1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hidden="1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hidden="1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hidden="1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hidden="1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hidden="1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hidden="1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hidden="1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hidden="1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hidden="1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hidden="1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hidden="1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hidden="1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hidden="1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hidden="1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hidden="1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hidden="1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hidden="1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hidden="1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hidden="1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hidden="1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hidden="1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hidden="1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hidden="1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hidden="1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hidden="1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hidden="1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hidden="1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hidden="1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hidden="1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hidden="1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hidden="1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hidden="1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hidden="1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hidden="1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hidden="1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hidden="1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hidden="1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hidden="1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hidden="1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hidden="1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hidden="1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hidden="1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hidden="1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hidden="1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hidden="1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hidden="1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hidden="1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hidden="1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hidden="1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hidden="1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hidden="1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hidden="1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hidden="1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hidden="1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hidden="1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hidden="1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hidden="1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hidden="1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hidden="1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hidden="1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hidden="1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hidden="1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hidden="1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hidden="1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hidden="1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hidden="1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hidden="1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hidden="1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hidden="1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hidden="1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hidden="1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hidden="1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hidden="1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hidden="1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hidden="1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hidden="1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hidden="1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hidden="1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hidden="1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hidden="1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hidden="1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hidden="1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hidden="1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hidden="1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hidden="1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hidden="1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hidden="1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hidden="1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hidden="1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hidden="1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hidden="1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hidden="1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hidden="1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hidden="1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hidden="1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hidden="1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hidden="1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hidden="1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hidden="1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hidden="1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hidden="1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hidden="1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hidden="1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hidden="1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hidden="1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hidden="1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hidden="1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hidden="1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hidden="1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hidden="1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hidden="1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hidden="1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hidden="1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hidden="1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hidden="1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hidden="1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hidden="1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hidden="1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hidden="1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hidden="1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hidden="1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hidden="1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hidden="1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hidden="1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hidden="1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hidden="1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hidden="1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hidden="1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hidden="1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hidden="1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hidden="1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hidden="1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hidden="1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hidden="1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hidden="1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hidden="1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hidden="1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hidden="1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hidden="1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hidden="1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hidden="1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hidden="1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hidden="1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hidden="1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hidden="1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hidden="1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hidden="1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hidden="1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hidden="1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hidden="1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hidden="1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hidden="1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hidden="1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hidden="1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hidden="1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hidden="1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hidden="1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hidden="1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hidden="1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hidden="1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hidden="1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hidden="1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hidden="1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hidden="1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hidden="1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hidden="1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hidden="1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hidden="1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hidden="1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hidden="1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hidden="1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hidden="1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hidden="1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hidden="1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hidden="1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hidden="1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hidden="1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hidden="1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hidden="1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hidden="1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hidden="1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hidden="1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hidden="1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hidden="1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hidden="1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hidden="1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hidden="1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hidden="1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hidden="1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hidden="1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hidden="1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hidden="1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hidden="1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hidden="1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hidden="1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hidden="1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hidden="1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hidden="1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hidden="1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hidden="1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hidden="1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hidden="1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hidden="1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hidden="1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hidden="1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hidden="1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hidden="1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hidden="1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hidden="1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hidden="1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hidden="1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hidden="1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hidden="1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hidden="1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hidden="1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hidden="1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hidden="1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hidden="1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hidden="1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hidden="1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hidden="1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hidden="1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hidden="1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hidden="1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hidden="1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hidden="1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hidden="1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hidden="1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hidden="1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hidden="1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hidden="1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hidden="1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hidden="1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hidden="1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hidden="1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hidden="1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hidden="1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hidden="1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hidden="1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hidden="1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hidden="1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hidden="1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hidden="1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hidden="1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hidden="1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hidden="1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hidden="1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hidden="1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hidden="1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hidden="1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hidden="1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hidden="1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hidden="1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hidden="1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hidden="1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hidden="1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hidden="1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hidden="1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hidden="1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hidden="1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hidden="1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hidden="1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hidden="1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hidden="1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hidden="1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hidden="1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hidden="1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hidden="1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hidden="1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hidden="1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hidden="1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hidden="1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hidden="1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hidden="1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hidden="1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hidden="1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hidden="1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hidden="1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hidden="1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hidden="1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hidden="1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hidden="1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hidden="1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hidden="1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hidden="1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hidden="1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hidden="1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hidden="1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hidden="1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hidden="1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hidden="1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hidden="1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hidden="1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hidden="1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hidden="1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hidden="1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hidden="1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hidden="1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hidden="1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hidden="1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hidden="1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hidden="1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hidden="1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hidden="1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hidden="1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hidden="1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hidden="1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hidden="1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hidden="1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hidden="1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hidden="1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hidden="1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hidden="1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hidden="1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hidden="1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hidden="1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hidden="1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hidden="1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hidden="1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hidden="1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hidden="1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hidden="1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hidden="1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hidden="1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hidden="1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hidden="1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hidden="1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hidden="1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hidden="1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hidden="1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hidden="1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hidden="1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>
        <v>0</v>
      </c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>
        <v>4.9000000000000004</v>
      </c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hidden="1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hidden="1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>
        <v>5</v>
      </c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2845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hidden="1" x14ac:dyDescent="0.25">
      <c r="A694" s="156" t="s">
        <v>2846</v>
      </c>
      <c r="B694" s="137">
        <v>2026</v>
      </c>
      <c r="C694" s="118" t="s">
        <v>2789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>
        <v>0</v>
      </c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hidden="1" x14ac:dyDescent="0.2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 x14ac:dyDescent="0.2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 x14ac:dyDescent="0.2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2883</v>
      </c>
    </row>
    <row r="703" spans="1:20" ht="15" x14ac:dyDescent="0.2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2887</v>
      </c>
    </row>
    <row r="704" spans="1:20" ht="15" x14ac:dyDescent="0.2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2895</v>
      </c>
    </row>
    <row r="706" spans="1:21" ht="15" x14ac:dyDescent="0.2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2907</v>
      </c>
    </row>
    <row r="709" spans="1:21" ht="15" x14ac:dyDescent="0.2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2912</v>
      </c>
      <c r="U709" s="105"/>
    </row>
    <row r="710" spans="1:21" ht="15" x14ac:dyDescent="0.2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2920</v>
      </c>
    </row>
    <row r="712" spans="1:21" ht="15" x14ac:dyDescent="0.2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2932</v>
      </c>
    </row>
    <row r="715" spans="1:21" ht="30" x14ac:dyDescent="0.25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2932</v>
      </c>
    </row>
    <row r="716" spans="1:21" ht="15" x14ac:dyDescent="0.25">
      <c r="A716" s="156" t="s">
        <v>2936</v>
      </c>
      <c r="B716" s="137">
        <v>2026</v>
      </c>
      <c r="C716" s="154" t="s">
        <v>22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2939</v>
      </c>
    </row>
    <row r="717" spans="1:21" ht="15" x14ac:dyDescent="0.25">
      <c r="A717" s="156" t="s">
        <v>2940</v>
      </c>
      <c r="B717" s="137">
        <v>2026</v>
      </c>
      <c r="C717" s="154" t="s">
        <v>22</v>
      </c>
      <c r="D717" s="154" t="s">
        <v>2929</v>
      </c>
      <c r="E717" s="159" t="s">
        <v>2941</v>
      </c>
      <c r="F717" s="170" t="s">
        <v>88</v>
      </c>
      <c r="G717" s="155" t="s">
        <v>2717</v>
      </c>
      <c r="H717" s="156" t="s">
        <v>2942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2943</v>
      </c>
    </row>
    <row r="718" spans="1:21" ht="15" x14ac:dyDescent="0.25">
      <c r="A718" s="156" t="s">
        <v>2944</v>
      </c>
      <c r="B718" s="137">
        <v>2026</v>
      </c>
      <c r="C718" s="154" t="s">
        <v>2710</v>
      </c>
      <c r="D718" s="154" t="s">
        <v>2929</v>
      </c>
      <c r="E718" s="159" t="s">
        <v>2945</v>
      </c>
      <c r="F718" s="170" t="s">
        <v>88</v>
      </c>
      <c r="G718" s="155" t="s">
        <v>2717</v>
      </c>
      <c r="H718" s="156" t="s">
        <v>2946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2947</v>
      </c>
      <c r="B719" s="137">
        <v>2026</v>
      </c>
      <c r="C719" s="154" t="s">
        <v>2710</v>
      </c>
      <c r="D719" s="154" t="s">
        <v>2929</v>
      </c>
      <c r="E719" s="159" t="s">
        <v>2948</v>
      </c>
      <c r="F719" s="170" t="s">
        <v>88</v>
      </c>
      <c r="G719" s="155" t="s">
        <v>2717</v>
      </c>
      <c r="H719" s="156" t="s">
        <v>2949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2950</v>
      </c>
      <c r="B720" s="137">
        <v>2026</v>
      </c>
      <c r="C720" s="118" t="s">
        <v>22</v>
      </c>
      <c r="D720" s="118" t="s">
        <v>2951</v>
      </c>
      <c r="E720" s="119" t="s">
        <v>2952</v>
      </c>
      <c r="F720" s="120" t="s">
        <v>24</v>
      </c>
      <c r="G720" s="121" t="s">
        <v>206</v>
      </c>
      <c r="H720" s="122" t="s">
        <v>2953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2954</v>
      </c>
    </row>
    <row r="721" spans="1:20" ht="45" x14ac:dyDescent="0.25">
      <c r="A721" s="122" t="s">
        <v>2955</v>
      </c>
      <c r="B721" s="137">
        <v>2026</v>
      </c>
      <c r="C721" s="137" t="s">
        <v>22</v>
      </c>
      <c r="D721" s="137" t="s">
        <v>2929</v>
      </c>
      <c r="E721" s="138" t="s">
        <v>2956</v>
      </c>
      <c r="F721" s="144" t="s">
        <v>88</v>
      </c>
      <c r="G721" s="150" t="s">
        <v>2717</v>
      </c>
      <c r="H721" s="140" t="s">
        <v>2957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2958</v>
      </c>
    </row>
    <row r="722" spans="1:20" ht="45" x14ac:dyDescent="0.25">
      <c r="A722" s="122" t="s">
        <v>2959</v>
      </c>
      <c r="B722" s="118">
        <v>2026</v>
      </c>
      <c r="C722" s="118" t="s">
        <v>22</v>
      </c>
      <c r="D722" s="118" t="s">
        <v>2929</v>
      </c>
      <c r="E722" s="119" t="s">
        <v>2960</v>
      </c>
      <c r="F722" s="120" t="s">
        <v>88</v>
      </c>
      <c r="G722" s="146" t="s">
        <v>2717</v>
      </c>
      <c r="H722" s="122" t="s">
        <v>2961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2962</v>
      </c>
    </row>
    <row r="723" spans="1:20" ht="15" x14ac:dyDescent="0.25">
      <c r="A723" s="122" t="s">
        <v>2963</v>
      </c>
      <c r="B723" s="137">
        <v>2026</v>
      </c>
      <c r="C723" s="154" t="s">
        <v>22</v>
      </c>
      <c r="D723" s="154" t="s">
        <v>2964</v>
      </c>
      <c r="E723" s="159" t="s">
        <v>2965</v>
      </c>
      <c r="F723" s="170" t="s">
        <v>88</v>
      </c>
      <c r="G723" s="155" t="s">
        <v>2717</v>
      </c>
      <c r="H723" s="156" t="s">
        <v>2966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2967</v>
      </c>
      <c r="B724" s="172">
        <v>2026</v>
      </c>
      <c r="C724" s="154" t="s">
        <v>22</v>
      </c>
      <c r="D724" s="154" t="s">
        <v>2968</v>
      </c>
      <c r="E724" s="159" t="s">
        <v>2969</v>
      </c>
      <c r="F724" s="170" t="s">
        <v>88</v>
      </c>
      <c r="G724" s="155" t="s">
        <v>2717</v>
      </c>
      <c r="H724" s="156" t="s">
        <v>2970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2971</v>
      </c>
      <c r="B725" s="154">
        <v>2026</v>
      </c>
      <c r="C725" s="154" t="s">
        <v>22</v>
      </c>
      <c r="D725" s="154" t="s">
        <v>2964</v>
      </c>
      <c r="E725" s="159" t="s">
        <v>2972</v>
      </c>
      <c r="F725" s="170" t="s">
        <v>88</v>
      </c>
      <c r="G725" s="155" t="s">
        <v>2717</v>
      </c>
      <c r="H725" s="156" t="s">
        <v>2973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2974</v>
      </c>
      <c r="B726" s="154">
        <v>2026</v>
      </c>
      <c r="C726" s="154" t="s">
        <v>22</v>
      </c>
      <c r="D726" s="154" t="s">
        <v>2975</v>
      </c>
      <c r="E726" s="159" t="s">
        <v>2976</v>
      </c>
      <c r="F726" s="170" t="s">
        <v>88</v>
      </c>
      <c r="G726" s="155" t="s">
        <v>2717</v>
      </c>
      <c r="H726" s="156" t="s">
        <v>2977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2978</v>
      </c>
    </row>
    <row r="727" spans="1:20" ht="15" x14ac:dyDescent="0.25">
      <c r="A727" s="156" t="s">
        <v>2979</v>
      </c>
      <c r="B727" s="154">
        <v>2026</v>
      </c>
      <c r="C727" s="154" t="s">
        <v>2710</v>
      </c>
      <c r="D727" s="154" t="s">
        <v>2964</v>
      </c>
      <c r="E727" s="159" t="s">
        <v>2980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2981</v>
      </c>
      <c r="B728" s="154">
        <v>2026</v>
      </c>
      <c r="C728" s="154" t="s">
        <v>22</v>
      </c>
      <c r="D728" s="154" t="s">
        <v>2964</v>
      </c>
      <c r="E728" s="159" t="s">
        <v>2982</v>
      </c>
      <c r="F728" s="170" t="s">
        <v>88</v>
      </c>
      <c r="G728" s="155" t="s">
        <v>2717</v>
      </c>
      <c r="H728" s="156" t="s">
        <v>2983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2984</v>
      </c>
      <c r="B729" s="154">
        <v>2026</v>
      </c>
      <c r="C729" s="154" t="s">
        <v>2710</v>
      </c>
      <c r="D729" s="154" t="s">
        <v>2964</v>
      </c>
      <c r="E729" s="159" t="s">
        <v>2985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2986</v>
      </c>
      <c r="B730" s="154">
        <v>2026</v>
      </c>
      <c r="C730" s="154" t="s">
        <v>2710</v>
      </c>
      <c r="D730" s="154" t="s">
        <v>2964</v>
      </c>
      <c r="E730" s="201" t="s">
        <v>2987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2988</v>
      </c>
      <c r="B731" s="154">
        <v>2026</v>
      </c>
      <c r="C731" s="154" t="s">
        <v>2710</v>
      </c>
      <c r="D731" s="154" t="s">
        <v>2964</v>
      </c>
      <c r="E731" s="201" t="s">
        <v>2989</v>
      </c>
      <c r="F731" s="170" t="s">
        <v>88</v>
      </c>
      <c r="G731" s="155" t="s">
        <v>2717</v>
      </c>
      <c r="H731" s="156" t="s">
        <v>2990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2991</v>
      </c>
      <c r="B732" s="154">
        <v>2026</v>
      </c>
      <c r="C732" s="154" t="s">
        <v>2710</v>
      </c>
      <c r="D732" s="154" t="s">
        <v>2992</v>
      </c>
      <c r="E732" s="159" t="s">
        <v>2993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2994</v>
      </c>
      <c r="B733" s="154">
        <v>2026</v>
      </c>
      <c r="C733" s="154" t="s">
        <v>2710</v>
      </c>
      <c r="D733" s="154"/>
      <c r="E733" s="201" t="s">
        <v>2995</v>
      </c>
      <c r="F733" s="170" t="s">
        <v>24</v>
      </c>
      <c r="G733" s="155" t="s">
        <v>2717</v>
      </c>
      <c r="H733" s="156" t="s">
        <v>2996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2997</v>
      </c>
      <c r="B734" s="154">
        <v>2026</v>
      </c>
      <c r="C734" s="154" t="s">
        <v>2710</v>
      </c>
      <c r="D734" s="154" t="s">
        <v>2998</v>
      </c>
      <c r="E734" s="159" t="s">
        <v>2999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3000</v>
      </c>
      <c r="E735" s="159" t="s">
        <v>3001</v>
      </c>
      <c r="F735" s="170" t="s">
        <v>24</v>
      </c>
      <c r="G735" s="155" t="s">
        <v>206</v>
      </c>
      <c r="H735" s="156" t="s">
        <v>3002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3003</v>
      </c>
    </row>
    <row r="736" spans="1:20" ht="15" hidden="1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3004</v>
      </c>
      <c r="E736" s="159" t="s">
        <v>3005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3006</v>
      </c>
      <c r="B737" s="154">
        <v>2026</v>
      </c>
      <c r="C737" s="154" t="s">
        <v>22</v>
      </c>
      <c r="D737" s="154" t="s">
        <v>3007</v>
      </c>
      <c r="E737" s="159" t="s">
        <v>3008</v>
      </c>
      <c r="F737" s="170" t="s">
        <v>69</v>
      </c>
      <c r="G737" s="155" t="s">
        <v>79</v>
      </c>
      <c r="H737" s="156" t="s">
        <v>3009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3010</v>
      </c>
      <c r="B738" s="154">
        <v>2026</v>
      </c>
      <c r="C738" s="154" t="s">
        <v>22</v>
      </c>
      <c r="D738" s="154" t="s">
        <v>3011</v>
      </c>
      <c r="E738" s="159" t="s">
        <v>3012</v>
      </c>
      <c r="F738" s="170" t="s">
        <v>69</v>
      </c>
      <c r="G738" s="155" t="s">
        <v>2693</v>
      </c>
      <c r="H738" s="156" t="s">
        <v>3013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3014</v>
      </c>
    </row>
    <row r="739" spans="1:20" ht="15" x14ac:dyDescent="0.25">
      <c r="A739" s="156" t="s">
        <v>3015</v>
      </c>
      <c r="B739" s="154">
        <v>2026</v>
      </c>
      <c r="C739" s="154" t="s">
        <v>22</v>
      </c>
      <c r="D739" s="154" t="s">
        <v>3016</v>
      </c>
      <c r="E739" s="159" t="s">
        <v>3017</v>
      </c>
      <c r="F739" s="170" t="s">
        <v>24</v>
      </c>
      <c r="G739" s="155" t="s">
        <v>2699</v>
      </c>
      <c r="H739" s="156" t="s">
        <v>3018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3019</v>
      </c>
      <c r="B740" s="154">
        <v>2026</v>
      </c>
      <c r="C740" s="154" t="s">
        <v>2710</v>
      </c>
      <c r="D740" s="154" t="s">
        <v>3020</v>
      </c>
      <c r="E740" s="159" t="s">
        <v>3021</v>
      </c>
      <c r="F740" s="170" t="s">
        <v>24</v>
      </c>
      <c r="G740" s="155" t="s">
        <v>2699</v>
      </c>
      <c r="H740" s="156" t="s">
        <v>3022</v>
      </c>
      <c r="I740" s="156" t="s">
        <v>3022</v>
      </c>
      <c r="J740" s="156" t="s">
        <v>3022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3023</v>
      </c>
      <c r="B741" s="154">
        <v>2026</v>
      </c>
      <c r="C741" s="154" t="s">
        <v>22</v>
      </c>
      <c r="D741" s="154" t="s">
        <v>3024</v>
      </c>
      <c r="E741" s="159" t="s">
        <v>3025</v>
      </c>
      <c r="F741" s="170" t="s">
        <v>24</v>
      </c>
      <c r="G741" s="155" t="s">
        <v>2699</v>
      </c>
      <c r="H741" s="156" t="s">
        <v>3026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>
        <v>4.67</v>
      </c>
      <c r="N741" s="158">
        <v>20</v>
      </c>
      <c r="O741" s="158">
        <v>21</v>
      </c>
      <c r="P741" s="158">
        <v>0</v>
      </c>
      <c r="Q741" s="158">
        <v>0</v>
      </c>
      <c r="R741" s="158">
        <f t="shared" si="15"/>
        <v>21</v>
      </c>
      <c r="S741" s="154">
        <v>8</v>
      </c>
      <c r="T741" s="155" t="s">
        <v>2826</v>
      </c>
    </row>
    <row r="742" spans="1:20" ht="15" x14ac:dyDescent="0.25">
      <c r="A742" s="156" t="s">
        <v>3027</v>
      </c>
      <c r="B742" s="154">
        <v>2026</v>
      </c>
      <c r="C742" s="154" t="s">
        <v>2710</v>
      </c>
      <c r="D742" s="154" t="s">
        <v>3024</v>
      </c>
      <c r="E742" s="159" t="s">
        <v>3028</v>
      </c>
      <c r="F742" s="170" t="s">
        <v>24</v>
      </c>
      <c r="G742" s="155" t="s">
        <v>2699</v>
      </c>
      <c r="H742" s="156" t="s">
        <v>3029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3030</v>
      </c>
      <c r="B743" s="154">
        <v>2026</v>
      </c>
      <c r="C743" s="154" t="s">
        <v>22</v>
      </c>
      <c r="D743" s="154" t="s">
        <v>3031</v>
      </c>
      <c r="E743" s="159" t="s">
        <v>3032</v>
      </c>
      <c r="F743" s="170" t="s">
        <v>24</v>
      </c>
      <c r="G743" s="155" t="s">
        <v>206</v>
      </c>
      <c r="H743" s="156" t="s">
        <v>3033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3003</v>
      </c>
    </row>
    <row r="744" spans="1:20" ht="15" x14ac:dyDescent="0.25">
      <c r="A744" s="156" t="s">
        <v>3034</v>
      </c>
      <c r="B744" s="154">
        <v>2026</v>
      </c>
      <c r="C744" s="154" t="s">
        <v>2710</v>
      </c>
      <c r="D744" s="154" t="s">
        <v>3035</v>
      </c>
      <c r="E744" s="166" t="s">
        <v>3036</v>
      </c>
      <c r="F744" s="170" t="s">
        <v>24</v>
      </c>
      <c r="G744" s="155" t="s">
        <v>206</v>
      </c>
      <c r="H744" s="156" t="s">
        <v>3037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3038</v>
      </c>
      <c r="B745" s="154">
        <v>2026</v>
      </c>
      <c r="C745" s="154" t="s">
        <v>2710</v>
      </c>
      <c r="D745" s="154" t="s">
        <v>3035</v>
      </c>
      <c r="E745" s="166" t="s">
        <v>3039</v>
      </c>
      <c r="F745" s="170" t="s">
        <v>24</v>
      </c>
      <c r="G745" s="155" t="s">
        <v>206</v>
      </c>
      <c r="H745" s="156" t="s">
        <v>3040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hidden="1" x14ac:dyDescent="0.25">
      <c r="A746" s="156" t="s">
        <v>3041</v>
      </c>
      <c r="B746" s="154">
        <v>2026</v>
      </c>
      <c r="C746" s="154" t="s">
        <v>2789</v>
      </c>
      <c r="D746" s="154" t="s">
        <v>3042</v>
      </c>
      <c r="E746" s="166" t="s">
        <v>3043</v>
      </c>
      <c r="F746" s="170" t="s">
        <v>24</v>
      </c>
      <c r="G746" s="155" t="s">
        <v>206</v>
      </c>
      <c r="H746" s="156" t="s">
        <v>3044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3045</v>
      </c>
    </row>
    <row r="747" spans="1:20" ht="15" x14ac:dyDescent="0.25">
      <c r="A747" s="156" t="s">
        <v>3046</v>
      </c>
      <c r="B747" s="154">
        <v>2026</v>
      </c>
      <c r="C747" s="154" t="s">
        <v>22</v>
      </c>
      <c r="D747" s="154" t="s">
        <v>3047</v>
      </c>
      <c r="E747" s="166" t="s">
        <v>3048</v>
      </c>
      <c r="F747" s="170" t="s">
        <v>24</v>
      </c>
      <c r="G747" s="155" t="s">
        <v>206</v>
      </c>
      <c r="H747" s="156" t="s">
        <v>3049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3050</v>
      </c>
      <c r="B748" s="154">
        <v>2026</v>
      </c>
      <c r="C748" s="154" t="s">
        <v>22</v>
      </c>
      <c r="D748" s="154" t="s">
        <v>3051</v>
      </c>
      <c r="E748" s="159" t="s">
        <v>3052</v>
      </c>
      <c r="F748" s="170" t="s">
        <v>69</v>
      </c>
      <c r="G748" s="155" t="s">
        <v>79</v>
      </c>
      <c r="H748" s="156" t="s">
        <v>3053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hidden="1" x14ac:dyDescent="0.25">
      <c r="A749" s="156" t="s">
        <v>3054</v>
      </c>
      <c r="B749" s="154">
        <v>2026</v>
      </c>
      <c r="C749" s="154" t="s">
        <v>3204</v>
      </c>
      <c r="D749" s="154" t="s">
        <v>3055</v>
      </c>
      <c r="E749" s="166" t="s">
        <v>3056</v>
      </c>
      <c r="F749" s="170" t="s">
        <v>24</v>
      </c>
      <c r="G749" s="155" t="s">
        <v>25</v>
      </c>
      <c r="H749" s="156"/>
      <c r="I749" s="191"/>
      <c r="J749" s="191"/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3057</v>
      </c>
    </row>
    <row r="750" spans="1:20" ht="15" hidden="1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hidden="1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hidden="1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hidden="1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hidden="1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hidden="1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hidden="1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hidden="1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hidden="1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hidden="1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hidden="1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hidden="1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hidden="1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hidden="1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hidden="1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hidden="1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hidden="1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hidden="1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hidden="1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hidden="1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hidden="1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hidden="1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hidden="1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hidden="1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hidden="1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hidden="1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hidden="1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hidden="1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hidden="1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hidden="1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hidden="1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hidden="1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hidden="1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hidden="1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hidden="1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hidden="1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hidden="1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hidden="1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hidden="1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hidden="1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hidden="1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hidden="1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hidden="1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hidden="1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hidden="1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hidden="1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hidden="1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hidden="1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hidden="1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hidden="1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hidden="1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hidden="1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hidden="1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hidden="1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hidden="1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hidden="1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hidden="1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hidden="1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hidden="1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hidden="1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hidden="1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hidden="1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hidden="1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hidden="1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hidden="1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hidden="1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hidden="1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hidden="1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hidden="1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hidden="1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hidden="1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hidden="1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hidden="1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hidden="1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hidden="1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hidden="1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hidden="1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hidden="1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hidden="1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hidden="1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hidden="1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hidden="1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hidden="1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hidden="1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hidden="1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hidden="1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hidden="1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hidden="1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hidden="1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hidden="1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hidden="1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hidden="1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hidden="1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hidden="1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hidden="1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hidden="1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hidden="1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hidden="1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hidden="1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hidden="1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hidden="1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hidden="1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hidden="1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hidden="1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hidden="1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hidden="1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hidden="1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hidden="1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hidden="1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hidden="1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hidden="1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hidden="1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hidden="1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hidden="1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hidden="1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hidden="1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hidden="1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hidden="1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hidden="1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hidden="1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hidden="1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hidden="1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hidden="1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hidden="1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hidden="1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hidden="1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hidden="1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hidden="1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hidden="1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hidden="1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hidden="1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hidden="1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hidden="1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hidden="1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hidden="1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hidden="1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hidden="1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hidden="1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hidden="1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hidden="1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hidden="1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hidden="1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hidden="1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hidden="1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hidden="1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hidden="1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hidden="1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hidden="1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hidden="1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hidden="1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hidden="1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hidden="1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hidden="1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hidden="1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hidden="1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hidden="1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hidden="1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hidden="1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hidden="1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hidden="1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hidden="1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hidden="1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hidden="1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hidden="1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hidden="1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hidden="1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hidden="1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hidden="1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hidden="1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hidden="1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hidden="1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hidden="1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hidden="1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hidden="1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hidden="1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hidden="1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hidden="1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hidden="1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hidden="1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hidden="1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hidden="1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hidden="1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hidden="1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hidden="1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hidden="1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hidden="1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hidden="1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hidden="1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hidden="1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hidden="1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hidden="1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hidden="1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hidden="1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hidden="1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hidden="1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hidden="1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hidden="1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hidden="1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hidden="1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hidden="1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hidden="1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hidden="1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hidden="1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hidden="1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hidden="1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hidden="1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hidden="1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hidden="1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hidden="1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hidden="1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hidden="1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hidden="1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hidden="1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hidden="1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hidden="1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hidden="1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hidden="1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hidden="1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hidden="1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hidden="1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hidden="1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hidden="1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hidden="1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hidden="1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hidden="1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hidden="1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hidden="1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hidden="1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hidden="1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hidden="1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hidden="1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hidden="1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hidden="1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hidden="1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hidden="1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hidden="1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hidden="1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hidden="1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hidden="1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hidden="1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hidden="1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hidden="1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hidden="1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hidden="1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hidden="1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hidden="1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hidden="1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hidden="1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hidden="1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hidden="1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hidden="1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hidden="1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hidden="1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hidden="1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hidden="1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hidden="1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hidden="1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hidden="1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hidden="1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hidden="1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hidden="1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hidden="1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hidden="1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hidden="1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hidden="1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hidden="1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hidden="1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hidden="1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hidden="1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hidden="1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hidden="1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hidden="1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hidden="1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hidden="1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hidden="1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hidden="1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hidden="1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hidden="1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hidden="1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hidden="1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hidden="1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hidden="1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hidden="1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hidden="1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hidden="1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hidden="1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hidden="1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hidden="1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hidden="1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hidden="1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hidden="1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hidden="1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hidden="1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hidden="1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hidden="1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hidden="1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hidden="1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hidden="1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hidden="1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hidden="1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hidden="1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hidden="1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hidden="1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hidden="1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hidden="1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hidden="1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hidden="1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hidden="1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hidden="1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hidden="1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hidden="1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hidden="1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hidden="1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hidden="1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hidden="1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hidden="1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hidden="1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hidden="1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hidden="1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hidden="1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hidden="1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hidden="1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hidden="1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hidden="1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hidden="1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hidden="1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hidden="1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hidden="1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hidden="1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hidden="1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hidden="1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hidden="1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hidden="1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hidden="1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hidden="1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hidden="1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hidden="1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hidden="1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hidden="1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hidden="1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hidden="1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hidden="1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hidden="1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hidden="1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hidden="1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hidden="1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hidden="1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hidden="1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hidden="1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hidden="1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hidden="1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hidden="1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hidden="1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hidden="1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hidden="1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hidden="1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hidden="1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hidden="1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hidden="1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hidden="1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hidden="1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hidden="1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hidden="1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hidden="1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hidden="1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hidden="1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hidden="1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hidden="1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hidden="1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hidden="1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hidden="1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hidden="1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hidden="1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hidden="1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hidden="1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hidden="1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hidden="1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hidden="1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hidden="1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hidden="1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hidden="1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hidden="1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hidden="1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hidden="1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hidden="1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hidden="1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hidden="1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hidden="1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hidden="1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hidden="1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hidden="1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hidden="1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hidden="1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hidden="1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hidden="1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hidden="1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hidden="1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hidden="1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hidden="1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hidden="1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hidden="1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hidden="1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hidden="1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hidden="1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hidden="1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hidden="1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hidden="1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hidden="1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hidden="1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hidden="1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hidden="1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hidden="1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hidden="1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hidden="1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hidden="1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hidden="1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hidden="1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hidden="1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hidden="1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hidden="1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hidden="1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hidden="1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hidden="1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hidden="1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hidden="1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hidden="1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hidden="1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hidden="1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hidden="1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hidden="1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hidden="1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hidden="1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hidden="1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hidden="1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hidden="1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hidden="1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hidden="1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hidden="1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hidden="1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hidden="1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hidden="1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hidden="1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hidden="1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hidden="1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hidden="1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hidden="1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hidden="1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hidden="1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hidden="1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hidden="1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hidden="1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hidden="1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hidden="1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hidden="1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hidden="1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hidden="1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hidden="1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hidden="1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hidden="1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hidden="1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hidden="1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hidden="1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hidden="1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hidden="1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hidden="1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hidden="1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hidden="1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hidden="1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hidden="1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hidden="1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hidden="1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hidden="1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hidden="1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hidden="1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hidden="1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hidden="1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hidden="1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hidden="1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hidden="1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hidden="1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hidden="1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hidden="1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hidden="1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hidden="1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hidden="1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hidden="1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hidden="1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hidden="1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hidden="1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hidden="1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hidden="1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hidden="1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hidden="1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hidden="1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hidden="1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hidden="1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hidden="1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hidden="1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hidden="1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hidden="1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hidden="1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hidden="1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hidden="1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hidden="1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hidden="1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hidden="1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hidden="1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hidden="1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hidden="1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hidden="1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hidden="1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hidden="1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hidden="1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hidden="1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hidden="1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hidden="1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hidden="1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hidden="1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hidden="1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hidden="1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hidden="1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hidden="1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hidden="1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hidden="1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hidden="1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hidden="1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hidden="1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hidden="1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hidden="1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hidden="1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hidden="1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hidden="1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hidden="1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hidden="1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hidden="1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hidden="1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hidden="1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hidden="1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hidden="1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hidden="1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hidden="1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hidden="1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hidden="1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hidden="1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hidden="1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hidden="1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hidden="1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hidden="1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hidden="1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hidden="1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hidden="1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hidden="1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hidden="1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hidden="1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hidden="1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hidden="1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hidden="1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hidden="1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hidden="1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hidden="1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hidden="1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hidden="1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hidden="1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hidden="1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hidden="1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hidden="1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hidden="1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hidden="1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hidden="1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hidden="1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hidden="1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hidden="1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hidden="1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hidden="1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hidden="1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hidden="1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hidden="1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hidden="1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hidden="1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hidden="1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hidden="1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hidden="1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hidden="1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hidden="1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hidden="1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hidden="1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hidden="1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hidden="1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hidden="1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hidden="1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hidden="1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hidden="1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hidden="1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hidden="1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hidden="1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hidden="1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hidden="1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hidden="1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hidden="1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hidden="1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hidden="1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hidden="1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hidden="1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hidden="1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hidden="1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hidden="1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hidden="1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hidden="1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hidden="1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hidden="1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hidden="1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hidden="1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hidden="1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hidden="1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hidden="1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hidden="1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hidden="1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hidden="1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hidden="1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hidden="1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hidden="1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hidden="1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hidden="1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hidden="1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hidden="1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hidden="1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hidden="1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hidden="1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hidden="1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hidden="1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hidden="1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hidden="1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hidden="1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hidden="1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hidden="1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hidden="1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hidden="1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hidden="1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hidden="1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hidden="1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hidden="1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hidden="1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hidden="1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hidden="1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hidden="1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hidden="1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hidden="1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hidden="1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hidden="1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hidden="1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hidden="1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hidden="1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hidden="1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hidden="1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hidden="1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hidden="1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hidden="1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hidden="1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hidden="1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hidden="1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hidden="1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hidden="1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hidden="1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hidden="1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hidden="1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hidden="1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hidden="1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hidden="1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hidden="1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hidden="1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hidden="1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hidden="1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hidden="1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hidden="1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hidden="1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hidden="1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hidden="1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hidden="1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hidden="1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hidden="1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hidden="1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hidden="1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hidden="1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hidden="1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hidden="1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hidden="1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hidden="1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hidden="1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hidden="1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hidden="1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hidden="1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hidden="1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hidden="1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hidden="1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hidden="1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hidden="1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hidden="1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hidden="1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hidden="1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hidden="1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hidden="1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hidden="1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hidden="1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hidden="1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hidden="1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hidden="1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hidden="1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hidden="1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hidden="1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hidden="1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hidden="1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hidden="1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hidden="1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hidden="1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hidden="1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hidden="1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hidden="1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hidden="1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hidden="1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hidden="1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hidden="1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hidden="1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hidden="1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hidden="1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hidden="1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hidden="1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hidden="1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hidden="1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hidden="1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hidden="1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hidden="1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hidden="1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hidden="1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hidden="1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hidden="1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hidden="1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hidden="1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hidden="1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hidden="1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hidden="1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hidden="1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hidden="1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hidden="1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hidden="1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hidden="1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hidden="1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hidden="1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hidden="1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hidden="1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hidden="1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hidden="1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hidden="1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hidden="1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hidden="1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hidden="1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hidden="1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hidden="1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hidden="1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hidden="1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hidden="1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hidden="1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hidden="1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hidden="1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hidden="1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hidden="1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hidden="1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hidden="1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hidden="1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hidden="1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hidden="1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hidden="1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hidden="1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hidden="1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hidden="1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hidden="1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hidden="1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hidden="1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hidden="1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hidden="1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hidden="1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hidden="1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hidden="1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hidden="1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hidden="1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hidden="1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hidden="1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hidden="1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hidden="1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hidden="1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hidden="1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hidden="1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hidden="1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hidden="1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hidden="1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hidden="1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hidden="1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hidden="1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hidden="1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hidden="1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hidden="1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hidden="1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hidden="1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hidden="1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hidden="1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hidden="1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hidden="1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hidden="1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hidden="1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hidden="1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hidden="1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hidden="1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hidden="1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hidden="1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hidden="1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hidden="1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hidden="1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hidden="1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hidden="1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hidden="1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hidden="1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hidden="1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hidden="1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hidden="1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hidden="1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hidden="1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hidden="1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hidden="1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hidden="1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hidden="1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hidden="1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hidden="1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hidden="1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hidden="1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hidden="1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hidden="1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hidden="1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hidden="1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hidden="1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hidden="1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hidden="1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hidden="1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hidden="1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hidden="1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hidden="1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hidden="1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hidden="1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hidden="1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hidden="1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hidden="1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hidden="1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hidden="1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hidden="1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hidden="1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hidden="1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hidden="1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hidden="1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hidden="1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hidden="1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hidden="1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hidden="1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hidden="1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hidden="1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hidden="1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hidden="1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hidden="1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hidden="1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hidden="1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hidden="1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hidden="1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hidden="1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hidden="1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hidden="1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hidden="1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hidden="1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hidden="1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hidden="1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hidden="1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hidden="1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hidden="1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hidden="1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hidden="1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hidden="1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hidden="1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hidden="1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hidden="1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hidden="1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hidden="1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hidden="1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hidden="1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hidden="1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hidden="1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hidden="1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hidden="1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hidden="1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hidden="1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hidden="1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hidden="1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hidden="1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hidden="1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hidden="1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hidden="1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hidden="1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hidden="1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hidden="1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hidden="1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hidden="1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hidden="1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hidden="1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hidden="1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hidden="1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hidden="1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hidden="1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hidden="1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hidden="1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hidden="1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hidden="1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hidden="1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hidden="1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hidden="1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hidden="1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hidden="1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hidden="1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hidden="1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hidden="1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hidden="1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hidden="1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hidden="1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hidden="1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hidden="1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hidden="1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hidden="1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hidden="1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hidden="1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hidden="1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hidden="1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hidden="1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hidden="1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hidden="1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hidden="1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hidden="1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hidden="1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hidden="1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hidden="1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hidden="1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hidden="1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hidden="1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hidden="1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hidden="1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hidden="1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hidden="1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hidden="1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hidden="1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hidden="1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hidden="1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hidden="1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hidden="1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hidden="1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hidden="1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hidden="1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hidden="1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hidden="1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hidden="1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hidden="1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hidden="1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hidden="1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hidden="1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hidden="1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hidden="1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hidden="1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hidden="1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hidden="1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hidden="1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hidden="1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hidden="1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hidden="1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hidden="1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hidden="1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hidden="1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hidden="1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hidden="1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hidden="1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hidden="1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hidden="1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hidden="1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hidden="1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hidden="1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hidden="1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hidden="1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hidden="1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hidden="1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hidden="1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hidden="1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hidden="1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hidden="1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hidden="1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hidden="1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hidden="1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hidden="1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hidden="1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hidden="1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hidden="1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hidden="1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hidden="1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hidden="1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hidden="1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hidden="1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hidden="1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hidden="1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hidden="1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hidden="1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hidden="1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hidden="1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hidden="1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hidden="1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hidden="1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hidden="1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hidden="1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hidden="1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hidden="1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hidden="1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hidden="1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hidden="1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hidden="1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hidden="1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hidden="1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hidden="1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hidden="1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hidden="1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hidden="1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hidden="1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hidden="1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hidden="1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hidden="1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hidden="1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hidden="1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hidden="1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hidden="1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hidden="1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hidden="1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hidden="1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hidden="1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hidden="1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hidden="1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hidden="1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hidden="1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hidden="1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hidden="1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hidden="1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hidden="1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hidden="1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hidden="1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hidden="1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hidden="1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hidden="1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hidden="1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hidden="1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hidden="1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hidden="1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hidden="1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hidden="1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hidden="1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hidden="1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hidden="1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hidden="1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hidden="1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hidden="1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hidden="1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hidden="1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hidden="1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hidden="1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hidden="1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hidden="1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hidden="1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hidden="1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hidden="1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hidden="1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hidden="1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hidden="1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hidden="1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hidden="1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hidden="1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hidden="1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hidden="1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hidden="1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hidden="1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hidden="1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hidden="1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hidden="1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hidden="1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hidden="1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hidden="1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hidden="1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hidden="1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hidden="1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hidden="1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hidden="1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hidden="1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hidden="1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hidden="1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hidden="1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hidden="1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hidden="1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hidden="1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hidden="1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hidden="1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hidden="1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hidden="1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hidden="1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hidden="1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hidden="1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hidden="1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hidden="1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hidden="1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hidden="1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hidden="1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hidden="1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hidden="1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hidden="1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hidden="1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hidden="1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hidden="1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hidden="1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hidden="1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hidden="1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hidden="1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hidden="1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hidden="1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hidden="1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hidden="1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hidden="1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hidden="1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hidden="1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hidden="1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hidden="1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hidden="1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hidden="1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hidden="1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hidden="1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hidden="1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hidden="1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hidden="1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hidden="1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hidden="1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hidden="1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hidden="1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hidden="1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hidden="1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hidden="1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hidden="1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hidden="1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hidden="1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hidden="1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hidden="1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hidden="1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hidden="1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hidden="1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hidden="1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hidden="1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hidden="1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hidden="1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hidden="1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hidden="1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hidden="1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hidden="1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hidden="1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hidden="1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hidden="1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hidden="1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hidden="1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hidden="1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hidden="1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hidden="1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hidden="1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hidden="1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hidden="1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hidden="1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hidden="1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hidden="1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hidden="1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hidden="1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hidden="1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hidden="1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hidden="1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hidden="1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hidden="1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hidden="1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hidden="1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hidden="1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hidden="1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hidden="1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hidden="1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hidden="1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hidden="1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hidden="1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hidden="1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hidden="1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hidden="1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hidden="1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hidden="1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hidden="1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hidden="1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hidden="1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hidden="1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hidden="1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hidden="1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hidden="1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hidden="1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hidden="1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hidden="1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hidden="1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hidden="1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hidden="1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hidden="1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hidden="1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hidden="1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hidden="1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hidden="1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hidden="1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hidden="1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hidden="1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hidden="1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hidden="1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hidden="1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hidden="1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hidden="1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hidden="1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hidden="1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hidden="1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hidden="1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hidden="1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hidden="1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hidden="1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hidden="1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hidden="1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hidden="1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hidden="1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hidden="1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hidden="1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hidden="1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hidden="1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hidden="1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hidden="1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hidden="1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hidden="1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hidden="1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hidden="1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hidden="1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hidden="1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hidden="1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hidden="1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hidden="1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hidden="1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hidden="1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hidden="1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hidden="1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hidden="1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hidden="1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hidden="1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3058</v>
      </c>
      <c r="H1" s="168" t="s">
        <v>3059</v>
      </c>
    </row>
    <row r="2" spans="1:8" x14ac:dyDescent="0.25">
      <c r="H2" s="167" t="s">
        <v>3060</v>
      </c>
    </row>
    <row r="3" spans="1:8" x14ac:dyDescent="0.25">
      <c r="A3" t="s">
        <v>0</v>
      </c>
      <c r="B3" t="s">
        <v>19</v>
      </c>
      <c r="C3" t="s">
        <v>3061</v>
      </c>
      <c r="D3" t="s">
        <v>3062</v>
      </c>
      <c r="E3" t="s">
        <v>3063</v>
      </c>
      <c r="H3" s="167" t="s">
        <v>3064</v>
      </c>
    </row>
    <row r="4" spans="1:8" x14ac:dyDescent="0.25">
      <c r="A4">
        <v>1</v>
      </c>
      <c r="B4" t="s">
        <v>3065</v>
      </c>
      <c r="D4" t="s">
        <v>3066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3067</v>
      </c>
    </row>
    <row r="5" spans="1:8" x14ac:dyDescent="0.25">
      <c r="A5">
        <v>2</v>
      </c>
      <c r="B5" t="s">
        <v>2507</v>
      </c>
      <c r="D5" t="s">
        <v>3066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3068</v>
      </c>
    </row>
    <row r="6" spans="1:8" x14ac:dyDescent="0.25">
      <c r="A6">
        <v>3</v>
      </c>
      <c r="B6" t="s">
        <v>1030</v>
      </c>
      <c r="D6" t="s">
        <v>3066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3069</v>
      </c>
      <c r="D7" t="s">
        <v>3066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3070</v>
      </c>
    </row>
    <row r="8" spans="1:8" x14ac:dyDescent="0.25">
      <c r="A8">
        <v>5</v>
      </c>
      <c r="B8" t="s">
        <v>3071</v>
      </c>
      <c r="D8" t="s">
        <v>3066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3066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3066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3066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3066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3066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3066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3066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3066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3066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3066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3066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3066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3066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3066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3072</v>
      </c>
      <c r="D23" t="s">
        <v>3066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3066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3073</v>
      </c>
      <c r="D25" t="s">
        <v>3066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3074</v>
      </c>
      <c r="D26" t="s">
        <v>3066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3066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3066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3075</v>
      </c>
      <c r="D29" t="s">
        <v>3066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3066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3066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3066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3076</v>
      </c>
      <c r="D33" t="s">
        <v>3066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3077</v>
      </c>
      <c r="D34" t="s">
        <v>3066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3066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3066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3066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3078</v>
      </c>
      <c r="D38" t="s">
        <v>3066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3079</v>
      </c>
      <c r="D39" t="s">
        <v>3066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3066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3080</v>
      </c>
      <c r="D41" t="s">
        <v>3066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3066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3066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3081</v>
      </c>
      <c r="D44" t="s">
        <v>3066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3066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3066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3066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3066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3082</v>
      </c>
      <c r="D49" t="s">
        <v>3066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3066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3083</v>
      </c>
      <c r="D51" t="s">
        <v>3066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3066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3066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3084</v>
      </c>
      <c r="D54" t="s">
        <v>3066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3066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3066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3066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3085</v>
      </c>
      <c r="D58" t="s">
        <v>3066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3066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3066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3086</v>
      </c>
      <c r="D61" t="s">
        <v>3066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3087</v>
      </c>
      <c r="D62" t="s">
        <v>3066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3088</v>
      </c>
      <c r="D63" t="s">
        <v>3066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3089</v>
      </c>
      <c r="D64" t="s">
        <v>3066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3066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3066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3090</v>
      </c>
      <c r="D67" t="s">
        <v>3066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3091</v>
      </c>
      <c r="D68" t="s">
        <v>3066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3066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3092</v>
      </c>
      <c r="D70" t="s">
        <v>3066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3066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3066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3066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3093</v>
      </c>
      <c r="D74" t="s">
        <v>3066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3066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3066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3066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3066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3094</v>
      </c>
      <c r="D79" t="s">
        <v>3066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3095</v>
      </c>
      <c r="D80" t="s">
        <v>3066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3096</v>
      </c>
      <c r="D81" t="s">
        <v>3066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3097</v>
      </c>
      <c r="D82" t="s">
        <v>3066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3066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3098</v>
      </c>
      <c r="D84" t="s">
        <v>3066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3066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3099</v>
      </c>
      <c r="D86" t="s">
        <v>3066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3100</v>
      </c>
      <c r="D87" t="s">
        <v>3066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3101</v>
      </c>
      <c r="D88" t="s">
        <v>3066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3102</v>
      </c>
      <c r="D89" t="s">
        <v>3066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3103</v>
      </c>
      <c r="D90" t="s">
        <v>3066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3104</v>
      </c>
      <c r="D91" t="s">
        <v>3066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3105</v>
      </c>
      <c r="D92" t="s">
        <v>3066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3106</v>
      </c>
      <c r="D93" t="s">
        <v>3066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3107</v>
      </c>
      <c r="D94" t="s">
        <v>3066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3066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3108</v>
      </c>
      <c r="D96" t="s">
        <v>3066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2912</v>
      </c>
      <c r="D97" t="s">
        <v>3066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3109</v>
      </c>
      <c r="D98" t="s">
        <v>3066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3110</v>
      </c>
      <c r="D99" t="s">
        <v>3066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3111</v>
      </c>
      <c r="D100" t="s">
        <v>3066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3112</v>
      </c>
      <c r="D101" t="s">
        <v>3066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3066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3113</v>
      </c>
      <c r="D103" t="s">
        <v>3066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3114</v>
      </c>
      <c r="D104" t="s">
        <v>3066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3115</v>
      </c>
      <c r="D105" t="s">
        <v>3066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3066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3066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3116</v>
      </c>
      <c r="D108" t="s">
        <v>3066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3117</v>
      </c>
      <c r="D109" t="s">
        <v>3066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3118</v>
      </c>
      <c r="D110" t="s">
        <v>3066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3119</v>
      </c>
      <c r="D111" t="s">
        <v>3066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3120</v>
      </c>
      <c r="D112" t="s">
        <v>3066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3121</v>
      </c>
      <c r="D113" t="s">
        <v>3066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3122</v>
      </c>
      <c r="C1" s="18" t="s">
        <v>3123</v>
      </c>
      <c r="D1" s="18" t="s">
        <v>4</v>
      </c>
      <c r="E1" s="18" t="s">
        <v>3124</v>
      </c>
      <c r="F1" s="18" t="s">
        <v>19</v>
      </c>
      <c r="G1" s="18" t="s">
        <v>3125</v>
      </c>
      <c r="H1" s="18" t="s">
        <v>3126</v>
      </c>
      <c r="I1" s="18" t="s">
        <v>3127</v>
      </c>
      <c r="J1" s="18" t="s">
        <v>3128</v>
      </c>
      <c r="L1" s="110" t="s">
        <v>3129</v>
      </c>
      <c r="M1" s="22">
        <v>2026</v>
      </c>
      <c r="U1" s="79" t="s">
        <v>3130</v>
      </c>
      <c r="V1" s="78"/>
      <c r="X1" s="77" t="s">
        <v>3131</v>
      </c>
      <c r="Y1" s="26"/>
      <c r="Z1" s="26"/>
      <c r="AA1" s="26"/>
      <c r="AC1" s="99" t="s">
        <v>3132</v>
      </c>
    </row>
    <row r="2" spans="1:31" x14ac:dyDescent="0.25">
      <c r="A2" s="20" cm="1">
        <f t="array" aca="1" ref="A2:J153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3133</v>
      </c>
      <c r="M2" s="106" t="s">
        <v>2928</v>
      </c>
      <c r="X2" s="112" t="s">
        <v>3122</v>
      </c>
      <c r="Y2" s="112" t="s">
        <v>19</v>
      </c>
      <c r="Z2" s="112" t="s">
        <v>3134</v>
      </c>
      <c r="AA2" s="112" t="s">
        <v>3135</v>
      </c>
      <c r="AC2" s="113" t="s">
        <v>1</v>
      </c>
      <c r="AD2" s="113" t="s">
        <v>3136</v>
      </c>
      <c r="AE2" s="113" t="s">
        <v>3137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3138</v>
      </c>
      <c r="M3" s="111" t="s">
        <v>3139</v>
      </c>
      <c r="N3" s="111" t="s">
        <v>3140</v>
      </c>
      <c r="O3" s="111" t="s">
        <v>3141</v>
      </c>
      <c r="P3" s="111" t="s">
        <v>3142</v>
      </c>
      <c r="Q3" s="111" t="s">
        <v>3143</v>
      </c>
      <c r="R3" s="111" t="s">
        <v>3144</v>
      </c>
      <c r="S3" s="111" t="s">
        <v>3145</v>
      </c>
      <c r="T3" s="111" t="s">
        <v>3146</v>
      </c>
      <c r="X3" t="s">
        <v>2835</v>
      </c>
      <c r="Y3" t="s">
        <v>3079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3147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3079</v>
      </c>
      <c r="Z6">
        <v>1</v>
      </c>
      <c r="AA6">
        <v>0</v>
      </c>
      <c r="AC6" s="96">
        <v>2026</v>
      </c>
      <c r="AD6" s="17" t="s">
        <v>3148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2950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2950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2950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2950</v>
      </c>
      <c r="Y11" s="17" t="s">
        <v>3073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2950</v>
      </c>
      <c r="Y12" s="17" t="s">
        <v>3091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2959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2959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2959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2959</v>
      </c>
      <c r="Y16" s="17" t="s">
        <v>3073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2959</v>
      </c>
      <c r="Y17" s="17" t="s">
        <v>3091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2955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2955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2955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2955</v>
      </c>
      <c r="Y21" s="17" t="s">
        <v>3073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2955</v>
      </c>
      <c r="Y22" s="17" t="s">
        <v>3091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3114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3110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3092</v>
      </c>
      <c r="Z33">
        <v>4</v>
      </c>
      <c r="AA33">
        <v>0.6</v>
      </c>
      <c r="AC33" s="98"/>
      <c r="AD33" s="114" t="s">
        <v>3149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3093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3084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3101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3100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3112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3109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3111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3108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3150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3115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3113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3100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3107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2963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2963</v>
      </c>
      <c r="Y68" t="s">
        <v>3095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Realizado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3079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3084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3098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3102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3099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3103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2950</v>
      </c>
      <c r="Y83" t="s">
        <v>3085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2955</v>
      </c>
      <c r="Y84" t="s">
        <v>3085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2959</v>
      </c>
      <c r="Y85" t="s">
        <v>3085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3151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3151</v>
      </c>
      <c r="Y87" t="s">
        <v>3097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3151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3050</v>
      </c>
      <c r="Y89" t="s">
        <v>3084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3054</v>
      </c>
      <c r="Y90" t="s">
        <v>3118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Realizado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R154" t="str">
        <f ca="1"/>
        <v/>
      </c>
      <c r="S154" t="str">
        <f ca="1"/>
        <v/>
      </c>
    </row>
    <row r="155" spans="1:19" x14ac:dyDescent="0.25"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3152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3153</v>
      </c>
      <c r="B4" s="216"/>
      <c r="D4" s="217" t="s">
        <v>3154</v>
      </c>
      <c r="E4" s="218"/>
      <c r="G4" s="44" t="s">
        <v>3155</v>
      </c>
    </row>
    <row r="5" spans="1:7" ht="54.95" customHeight="1" thickBot="1" x14ac:dyDescent="0.75">
      <c r="A5" s="34">
        <f>COUNTIF('Ações InCompany'!B:B,2026)</f>
        <v>93</v>
      </c>
      <c r="B5" s="35" t="s">
        <v>3156</v>
      </c>
      <c r="D5" s="42">
        <f>COUNTIFS('Ações InCompany'!B:B,2026,'Ações InCompany'!C:C,"Realizado")</f>
        <v>67</v>
      </c>
      <c r="E5" s="43" t="s">
        <v>3156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3157</v>
      </c>
      <c r="B8" s="212"/>
      <c r="D8" s="212" t="s">
        <v>3158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3159</v>
      </c>
      <c r="D10" s="27" t="s">
        <v>3160</v>
      </c>
      <c r="E10" s="27" t="s">
        <v>3161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25</v>
      </c>
      <c r="D11" s="28" t="s">
        <v>3162</v>
      </c>
      <c r="E11" s="29">
        <f>SUMIFS('Ações InCompany'!O:O,'Ações InCompany'!B:B,2026,'Ações InCompany'!C:C,"Realizado")</f>
        <v>1047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27</v>
      </c>
      <c r="D12" s="30" t="s">
        <v>3163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15</v>
      </c>
      <c r="D13" s="28" t="s">
        <v>3164</v>
      </c>
      <c r="E13" s="29">
        <f>SUMIFS('Ações InCompany'!Q:Q,'Ações InCompany'!B:B,2026,'Ações InCompany'!C:C,"Realizado")</f>
        <v>677</v>
      </c>
    </row>
    <row r="14" spans="1:7" ht="27.95" customHeight="1" x14ac:dyDescent="0.3">
      <c r="A14" s="32" t="s">
        <v>3165</v>
      </c>
      <c r="B14" s="33">
        <f>SUM(B11:B13)</f>
        <v>67</v>
      </c>
      <c r="D14" s="32" t="s">
        <v>3166</v>
      </c>
      <c r="E14" s="33">
        <f>SUM(E11:E13)</f>
        <v>3342</v>
      </c>
    </row>
    <row r="30" spans="1:5" ht="17.25" x14ac:dyDescent="0.3">
      <c r="A30" s="212" t="s">
        <v>3167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3168</v>
      </c>
      <c r="C32" s="27" t="s">
        <v>3169</v>
      </c>
      <c r="D32" s="27" t="s">
        <v>3170</v>
      </c>
      <c r="E32" s="27" t="s">
        <v>3171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3172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3173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3165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3179</v>
      </c>
      <c r="B2" s="11" t="s">
        <v>3180</v>
      </c>
      <c r="C2" s="11" t="s">
        <v>1736</v>
      </c>
      <c r="D2" s="11" t="s">
        <v>3181</v>
      </c>
      <c r="E2" s="11" t="s">
        <v>3182</v>
      </c>
    </row>
    <row r="3" spans="1:5" ht="18" customHeight="1" x14ac:dyDescent="0.25">
      <c r="A3" s="11" t="s">
        <v>3179</v>
      </c>
      <c r="B3" s="11" t="s">
        <v>3180</v>
      </c>
      <c r="C3" s="13" t="s">
        <v>25</v>
      </c>
      <c r="D3" s="11" t="s">
        <v>3183</v>
      </c>
      <c r="E3" s="11" t="s">
        <v>3184</v>
      </c>
    </row>
    <row r="4" spans="1:5" ht="18" customHeight="1" x14ac:dyDescent="0.25">
      <c r="A4" s="11" t="s">
        <v>3179</v>
      </c>
      <c r="B4" s="11" t="s">
        <v>3180</v>
      </c>
      <c r="C4" s="11" t="s">
        <v>75</v>
      </c>
      <c r="D4" s="11" t="s">
        <v>3181</v>
      </c>
      <c r="E4" s="11" t="s">
        <v>3185</v>
      </c>
    </row>
    <row r="5" spans="1:5" ht="18" customHeight="1" x14ac:dyDescent="0.25">
      <c r="A5" s="11" t="s">
        <v>3179</v>
      </c>
      <c r="B5" s="11" t="s">
        <v>3180</v>
      </c>
      <c r="C5" s="11" t="s">
        <v>79</v>
      </c>
      <c r="D5" s="11" t="s">
        <v>3186</v>
      </c>
      <c r="E5" s="11" t="s">
        <v>3187</v>
      </c>
    </row>
    <row r="6" spans="1:5" ht="18" customHeight="1" x14ac:dyDescent="0.25">
      <c r="A6" s="11" t="s">
        <v>3179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3179</v>
      </c>
      <c r="B7" s="11" t="s">
        <v>3190</v>
      </c>
      <c r="C7" s="11" t="s">
        <v>36</v>
      </c>
      <c r="D7" s="11" t="s">
        <v>3191</v>
      </c>
      <c r="E7" s="11" t="s">
        <v>3192</v>
      </c>
    </row>
    <row r="8" spans="1:5" ht="18" customHeight="1" x14ac:dyDescent="0.25">
      <c r="A8" s="11" t="s">
        <v>3179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3179</v>
      </c>
      <c r="B9" s="11" t="s">
        <v>3195</v>
      </c>
      <c r="C9" s="11" t="s">
        <v>464</v>
      </c>
      <c r="D9" s="11" t="s">
        <v>3196</v>
      </c>
      <c r="E9" s="11" t="s">
        <v>3197</v>
      </c>
    </row>
    <row r="10" spans="1:5" ht="18" customHeight="1" x14ac:dyDescent="0.25">
      <c r="A10" s="11" t="s">
        <v>3179</v>
      </c>
      <c r="B10" s="11" t="s">
        <v>3195</v>
      </c>
      <c r="C10" s="11" t="s">
        <v>206</v>
      </c>
      <c r="D10" s="11" t="s">
        <v>24</v>
      </c>
      <c r="E10" s="11" t="s">
        <v>3198</v>
      </c>
    </row>
    <row r="11" spans="1:5" ht="18" customHeight="1" x14ac:dyDescent="0.25">
      <c r="A11" s="11" t="s">
        <v>3179</v>
      </c>
      <c r="B11" s="11" t="s">
        <v>3195</v>
      </c>
      <c r="C11" s="11" t="s">
        <v>371</v>
      </c>
      <c r="D11" s="11" t="s">
        <v>24</v>
      </c>
      <c r="E11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3200</v>
      </c>
      <c r="B1" s="5" t="s">
        <v>10</v>
      </c>
      <c r="C1" s="14" t="s">
        <v>3201</v>
      </c>
      <c r="D1" s="14" t="s">
        <v>3123</v>
      </c>
    </row>
    <row r="2" spans="1:4" ht="21" customHeight="1" x14ac:dyDescent="0.25">
      <c r="A2" s="102" t="s">
        <v>24</v>
      </c>
      <c r="B2" s="102" t="s">
        <v>38</v>
      </c>
      <c r="C2" s="11" t="s">
        <v>3202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3203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3204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3205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3206</v>
      </c>
      <c r="B2" s="11" t="s">
        <v>3180</v>
      </c>
      <c r="C2" s="13" t="s">
        <v>25</v>
      </c>
      <c r="D2" s="11" t="s">
        <v>3181</v>
      </c>
      <c r="E2" s="16" t="s">
        <v>3207</v>
      </c>
    </row>
    <row r="3" spans="1:5" ht="18" customHeight="1" x14ac:dyDescent="0.25">
      <c r="A3" s="11" t="s">
        <v>3206</v>
      </c>
      <c r="B3" s="11" t="s">
        <v>3180</v>
      </c>
      <c r="C3" s="11" t="s">
        <v>75</v>
      </c>
      <c r="D3" s="11" t="s">
        <v>3183</v>
      </c>
      <c r="E3" s="11" t="s">
        <v>3208</v>
      </c>
    </row>
    <row r="4" spans="1:5" ht="18" customHeight="1" x14ac:dyDescent="0.25">
      <c r="A4" s="11" t="s">
        <v>3206</v>
      </c>
      <c r="B4" s="11" t="s">
        <v>3180</v>
      </c>
      <c r="C4" s="11" t="s">
        <v>79</v>
      </c>
      <c r="D4" s="11" t="s">
        <v>3186</v>
      </c>
      <c r="E4" s="11" t="s">
        <v>3209</v>
      </c>
    </row>
    <row r="5" spans="1:5" ht="27.75" customHeight="1" x14ac:dyDescent="0.25">
      <c r="A5" s="11" t="s">
        <v>3206</v>
      </c>
      <c r="B5" s="11" t="s">
        <v>3180</v>
      </c>
      <c r="C5" s="11" t="s">
        <v>2693</v>
      </c>
      <c r="D5" s="16" t="s">
        <v>3210</v>
      </c>
      <c r="E5" s="11" t="s">
        <v>3211</v>
      </c>
    </row>
    <row r="6" spans="1:5" ht="18" customHeight="1" x14ac:dyDescent="0.25">
      <c r="A6" s="11" t="s">
        <v>3206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3206</v>
      </c>
      <c r="B7" s="11" t="s">
        <v>3190</v>
      </c>
      <c r="C7" s="11" t="s">
        <v>2699</v>
      </c>
      <c r="D7" s="11" t="s">
        <v>3212</v>
      </c>
      <c r="E7" s="11" t="s">
        <v>3213</v>
      </c>
    </row>
    <row r="8" spans="1:5" ht="18" customHeight="1" x14ac:dyDescent="0.25">
      <c r="A8" s="11" t="s">
        <v>3206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3206</v>
      </c>
      <c r="B9" s="11" t="s">
        <v>3190</v>
      </c>
      <c r="C9" s="11" t="s">
        <v>2792</v>
      </c>
      <c r="D9" s="11" t="s">
        <v>3214</v>
      </c>
      <c r="E9" s="16" t="s">
        <v>3215</v>
      </c>
    </row>
    <row r="10" spans="1:5" ht="18" customHeight="1" x14ac:dyDescent="0.25">
      <c r="A10" s="11" t="s">
        <v>3206</v>
      </c>
      <c r="B10" s="11" t="s">
        <v>3216</v>
      </c>
      <c r="C10" s="11" t="s">
        <v>3172</v>
      </c>
      <c r="D10" s="11" t="s">
        <v>3217</v>
      </c>
      <c r="E10" s="16" t="s">
        <v>3218</v>
      </c>
    </row>
    <row r="11" spans="1:5" ht="18" customHeight="1" x14ac:dyDescent="0.25">
      <c r="A11" s="11" t="s">
        <v>3206</v>
      </c>
      <c r="B11" s="11" t="s">
        <v>3216</v>
      </c>
      <c r="C11" s="11" t="s">
        <v>206</v>
      </c>
      <c r="D11" s="11" t="s">
        <v>24</v>
      </c>
      <c r="E11" s="11" t="s">
        <v>3198</v>
      </c>
    </row>
    <row r="12" spans="1:5" ht="18" customHeight="1" x14ac:dyDescent="0.25">
      <c r="A12" s="11" t="s">
        <v>3206</v>
      </c>
      <c r="B12" s="11" t="s">
        <v>3216</v>
      </c>
      <c r="C12" s="11" t="s">
        <v>371</v>
      </c>
      <c r="D12" s="11" t="s">
        <v>24</v>
      </c>
      <c r="E12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3219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3220</v>
      </c>
    </row>
    <row r="4" spans="1:8" ht="21.95" customHeight="1" x14ac:dyDescent="0.25">
      <c r="A4" s="220" t="s">
        <v>3221</v>
      </c>
      <c r="B4" s="221"/>
      <c r="D4" s="220" t="s">
        <v>3222</v>
      </c>
      <c r="E4" s="221"/>
      <c r="G4" s="220" t="s">
        <v>3223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3224</v>
      </c>
      <c r="B7" s="61" t="s">
        <v>3225</v>
      </c>
      <c r="C7" s="61" t="s">
        <v>1</v>
      </c>
      <c r="D7" s="61" t="s">
        <v>3226</v>
      </c>
      <c r="E7" s="61" t="s">
        <v>3227</v>
      </c>
      <c r="F7" s="61" t="s">
        <v>3123</v>
      </c>
      <c r="G7" s="61" t="s">
        <v>5</v>
      </c>
      <c r="H7" s="61" t="s">
        <v>3228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3229</v>
      </c>
      <c r="B1" s="225"/>
      <c r="C1" s="225"/>
      <c r="D1" s="225"/>
      <c r="E1" s="225"/>
      <c r="F1" s="225"/>
    </row>
    <row r="2" spans="1:7" x14ac:dyDescent="0.25">
      <c r="A2" s="226" t="s">
        <v>3230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3126</v>
      </c>
      <c r="C4" s="24" t="s">
        <v>3127</v>
      </c>
      <c r="D4" s="24" t="s">
        <v>3231</v>
      </c>
      <c r="E4" s="24" t="s">
        <v>3128</v>
      </c>
      <c r="F4" s="24" t="s">
        <v>3232</v>
      </c>
    </row>
    <row r="5" spans="1:7" x14ac:dyDescent="0.25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 x14ac:dyDescent="0.25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 x14ac:dyDescent="0.25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 x14ac:dyDescent="0.25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 x14ac:dyDescent="0.25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 x14ac:dyDescent="0.25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 x14ac:dyDescent="0.25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 x14ac:dyDescent="0.25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 x14ac:dyDescent="0.25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 x14ac:dyDescent="0.25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 x14ac:dyDescent="0.25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 x14ac:dyDescent="0.25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 x14ac:dyDescent="0.25">
      <c r="A61" t="str">
        <f ca="1"/>
        <v>Valéria Feitoza</v>
      </c>
      <c r="B61" s="25">
        <f ca="1">IF($A61="","",SUMIFS('GECC 2026'!H$2:H$200,'GECC 2026'!F$2:F$200,$A61))</f>
        <v>2</v>
      </c>
      <c r="C61" s="25">
        <f ca="1">IF($A61="","",SUMIFS('GECC 2026'!I$2:I$200,'GECC 2026'!F$2:F$200,$A61))</f>
        <v>0.6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2.6</v>
      </c>
      <c r="F61" s="23">
        <f ca="1">IF($A61="","",COUNTIFS('GECC 2026'!F$2:F$200,$A61))</f>
        <v>3</v>
      </c>
    </row>
    <row r="62" spans="1:6" x14ac:dyDescent="0.25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 x14ac:dyDescent="0.25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3166</v>
      </c>
      <c r="B105" s="94">
        <f ca="1">SUM(B5:B100)</f>
        <v>872</v>
      </c>
      <c r="C105" s="94">
        <f ca="1">SUM(C5:C100)</f>
        <v>389.94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3233</v>
      </c>
      <c r="B1" s="117" t="s">
        <v>3234</v>
      </c>
      <c r="C1" s="117" t="s">
        <v>3235</v>
      </c>
      <c r="D1" s="117" t="s">
        <v>3236</v>
      </c>
      <c r="E1" s="117" t="s">
        <v>3237</v>
      </c>
      <c r="F1" s="117" t="s">
        <v>3238</v>
      </c>
      <c r="G1" s="117" t="s">
        <v>10</v>
      </c>
      <c r="H1" s="117" t="s">
        <v>3239</v>
      </c>
      <c r="I1" s="117" t="s">
        <v>3240</v>
      </c>
      <c r="J1" s="117" t="s">
        <v>3241</v>
      </c>
      <c r="K1" s="117" t="s">
        <v>3242</v>
      </c>
      <c r="L1" s="117" t="s">
        <v>3243</v>
      </c>
      <c r="N1" s="117" t="s">
        <v>3244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3245</v>
      </c>
      <c r="L2" t="str">
        <f>IF(K2="","",IFERROR(INDEX(Tabela2[Curso],MATCH(K2,Tabela2[ID],0)),""))</f>
        <v/>
      </c>
      <c r="N2" s="117" t="s">
        <v>3122</v>
      </c>
      <c r="O2" s="117" t="s">
        <v>4</v>
      </c>
      <c r="P2" s="117" t="s">
        <v>3246</v>
      </c>
      <c r="Q2" s="117" t="s">
        <v>3247</v>
      </c>
      <c r="R2" s="117" t="s">
        <v>3248</v>
      </c>
      <c r="S2" s="117" t="s">
        <v>3249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3245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3245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3245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3245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3245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3245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3245</v>
      </c>
      <c r="L10" t="str">
        <f>IF(K10="","",IFERROR(INDEX(Tabela2[Curso],MATCH(K10,Tabela2[ID],0)),""))</f>
        <v/>
      </c>
      <c r="N10" s="111" t="s">
        <v>3250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3245</v>
      </c>
      <c r="L11" t="str">
        <f>IF(K11="","",IFERROR(INDEX(Tabela2[Curso],MATCH(K11,Tabela2[ID],0)),""))</f>
        <v/>
      </c>
      <c r="N11" s="210" t="s">
        <v>3251</v>
      </c>
      <c r="O11" s="210" t="s">
        <v>3252</v>
      </c>
      <c r="P11" s="210" t="s">
        <v>3253</v>
      </c>
      <c r="Q11" s="210" t="s">
        <v>3236</v>
      </c>
      <c r="R11" s="210" t="s">
        <v>3237</v>
      </c>
      <c r="S11" s="210" t="s">
        <v>3254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3245</v>
      </c>
      <c r="L12" t="str">
        <f>IF(K12="","",IFERROR(INDEX(Tabela2[Curso],MATCH(K12,Tabela2[ID],0)),""))</f>
        <v/>
      </c>
      <c r="N12" t="s">
        <v>3255</v>
      </c>
      <c r="O12" t="s">
        <v>2753</v>
      </c>
      <c r="P12" t="s">
        <v>3256</v>
      </c>
      <c r="Q12">
        <v>0</v>
      </c>
      <c r="R12">
        <v>0</v>
      </c>
      <c r="S12" t="s">
        <v>3257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3245</v>
      </c>
      <c r="L13" t="str">
        <f>IF(K13="","",IFERROR(INDEX(Tabela2[Curso],MATCH(K13,Tabela2[ID],0)),""))</f>
        <v/>
      </c>
      <c r="N13" t="s">
        <v>3258</v>
      </c>
      <c r="O13" t="s">
        <v>2685</v>
      </c>
      <c r="P13" t="s">
        <v>3259</v>
      </c>
      <c r="Q13">
        <v>0</v>
      </c>
      <c r="R13">
        <v>0</v>
      </c>
      <c r="S13" t="s">
        <v>3260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documentManagement/types"/>
    <ds:schemaRef ds:uri="http://purl.org/dc/elements/1.1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2026-10-05T21:02:54Z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