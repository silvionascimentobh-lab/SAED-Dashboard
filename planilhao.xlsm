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24" documentId="13_ncr:1_{6A2CC3E2-FAFB-4D8F-B284-5E8FB5045DFE}" xr6:coauthVersionLast="47" xr6:coauthVersionMax="47" xr10:uidLastSave="{41915662-3504-48F0-B60C-06BA8B8AA41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A2" i="20" l="1" a="1"/>
  <c r="T4" i="20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<sst xmlns="http://schemas.openxmlformats.org/spreadsheetml/2006/main" count="7315" uniqueCount="3218">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</sst>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20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Animação profissional para o Dia da Visita dos Filhos ao Trabalho 2024"/>
        <filter val="Palestra &quot; Educar sem pirar: estratégias para despertar e manter a motivação dos filhos para os estudos&quot;"/>
        <filter val="Tcendo o Futuro - Edição Especial Filhos"/>
        <filter val="Visita do Filhos ao Trabalho"/>
        <filter val="Visita dos Filhos ao TCDF"/>
        <filter val="Visita dos filhos ao trabalh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277" activePane="bottomLeft" state="frozen"/>
      <selection pane="bottomLeft" activeCell="H281" sqref="H28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2781</v>
      </c>
      <c r="N677" s="199" t="s">
        <v>2781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2782</v>
      </c>
      <c r="B678" s="127">
        <v>2026</v>
      </c>
      <c r="C678" s="193" t="s">
        <v>22</v>
      </c>
      <c r="D678" s="193" t="s">
        <v>2783</v>
      </c>
      <c r="E678" s="184" t="s">
        <v>2784</v>
      </c>
      <c r="F678" s="185" t="s">
        <v>69</v>
      </c>
      <c r="G678" s="194" t="s">
        <v>79</v>
      </c>
      <c r="H678" s="195" t="s">
        <v>2785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2786</v>
      </c>
      <c r="B679" s="127">
        <v>2026</v>
      </c>
      <c r="C679" s="193" t="s">
        <v>22</v>
      </c>
      <c r="D679" s="193" t="s">
        <v>2787</v>
      </c>
      <c r="E679" s="203" t="s">
        <v>2788</v>
      </c>
      <c r="F679" s="185" t="s">
        <v>69</v>
      </c>
      <c r="G679" s="186" t="s">
        <v>79</v>
      </c>
      <c r="H679" s="195" t="s">
        <v>2789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2781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2781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2789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2933</v>
      </c>
    </row>
    <row r="715" spans="1:21" ht="30" hidden="1" x14ac:dyDescent="0.25">
      <c r="A715" s="191" t="s">
        <v>2934</v>
      </c>
      <c r="B715" s="152">
        <v>2026</v>
      </c>
      <c r="C715" s="183" t="s">
        <v>22</v>
      </c>
      <c r="D715" s="183" t="s">
        <v>2930</v>
      </c>
      <c r="E715" s="184" t="s">
        <v>2935</v>
      </c>
      <c r="F715" s="185" t="s">
        <v>88</v>
      </c>
      <c r="G715" s="186" t="s">
        <v>2719</v>
      </c>
      <c r="H715" s="191" t="s">
        <v>2936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2933</v>
      </c>
    </row>
    <row r="716" spans="1:21" ht="15" hidden="1" x14ac:dyDescent="0.25">
      <c r="A716" s="191" t="s">
        <v>2937</v>
      </c>
      <c r="B716" s="152">
        <v>2026</v>
      </c>
      <c r="C716" s="183" t="s">
        <v>2697</v>
      </c>
      <c r="D716" s="183" t="s">
        <v>2930</v>
      </c>
      <c r="E716" s="184" t="s">
        <v>2938</v>
      </c>
      <c r="F716" s="185" t="s">
        <v>88</v>
      </c>
      <c r="G716" s="186" t="s">
        <v>2719</v>
      </c>
      <c r="H716" s="191" t="s">
        <v>2939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2940</v>
      </c>
      <c r="B717" s="152">
        <v>2026</v>
      </c>
      <c r="C717" s="183" t="s">
        <v>2697</v>
      </c>
      <c r="D717" s="183" t="s">
        <v>2930</v>
      </c>
      <c r="E717" s="184" t="s">
        <v>2941</v>
      </c>
      <c r="F717" s="185" t="s">
        <v>88</v>
      </c>
      <c r="G717" s="186" t="s">
        <v>2719</v>
      </c>
      <c r="H717" s="191" t="s">
        <v>2942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2943</v>
      </c>
      <c r="B718" s="152">
        <v>2026</v>
      </c>
      <c r="C718" s="183" t="s">
        <v>2697</v>
      </c>
      <c r="D718" s="183" t="s">
        <v>2930</v>
      </c>
      <c r="E718" s="184" t="s">
        <v>2944</v>
      </c>
      <c r="F718" s="185" t="s">
        <v>88</v>
      </c>
      <c r="G718" s="186" t="s">
        <v>2719</v>
      </c>
      <c r="H718" s="191" t="s">
        <v>2945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2946</v>
      </c>
      <c r="B719" s="152">
        <v>2026</v>
      </c>
      <c r="C719" s="183" t="s">
        <v>2697</v>
      </c>
      <c r="D719" s="183" t="s">
        <v>2930</v>
      </c>
      <c r="E719" s="184" t="s">
        <v>2947</v>
      </c>
      <c r="F719" s="185" t="s">
        <v>88</v>
      </c>
      <c r="G719" s="186" t="s">
        <v>2719</v>
      </c>
      <c r="H719" s="191" t="s">
        <v>2948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2949</v>
      </c>
      <c r="B720" s="152">
        <v>2026</v>
      </c>
      <c r="C720" s="127" t="s">
        <v>22</v>
      </c>
      <c r="D720" s="127" t="s">
        <v>2950</v>
      </c>
      <c r="E720" s="128" t="s">
        <v>2951</v>
      </c>
      <c r="F720" s="129" t="s">
        <v>24</v>
      </c>
      <c r="G720" s="130" t="s">
        <v>206</v>
      </c>
      <c r="H720" s="131" t="s">
        <v>2952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2953</v>
      </c>
    </row>
    <row r="721" spans="1:20" ht="45" hidden="1" x14ac:dyDescent="0.25">
      <c r="A721" s="137" t="s">
        <v>2954</v>
      </c>
      <c r="B721" s="152">
        <v>2026</v>
      </c>
      <c r="C721" s="152" t="s">
        <v>22</v>
      </c>
      <c r="D721" s="152" t="s">
        <v>2930</v>
      </c>
      <c r="E721" s="153" t="s">
        <v>2955</v>
      </c>
      <c r="F721" s="161" t="s">
        <v>88</v>
      </c>
      <c r="G721" s="168" t="s">
        <v>2719</v>
      </c>
      <c r="H721" s="155" t="s">
        <v>2956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2957</v>
      </c>
    </row>
    <row r="722" spans="1:20" ht="45" hidden="1" x14ac:dyDescent="0.25">
      <c r="A722" s="137" t="s">
        <v>2958</v>
      </c>
      <c r="B722" s="127">
        <v>2026</v>
      </c>
      <c r="C722" s="127" t="s">
        <v>22</v>
      </c>
      <c r="D722" s="127" t="s">
        <v>2930</v>
      </c>
      <c r="E722" s="128" t="s">
        <v>2959</v>
      </c>
      <c r="F722" s="129" t="s">
        <v>88</v>
      </c>
      <c r="G722" s="164" t="s">
        <v>2719</v>
      </c>
      <c r="H722" s="131" t="s">
        <v>2960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2961</v>
      </c>
    </row>
    <row r="723" spans="1:20" ht="15" hidden="1" x14ac:dyDescent="0.25">
      <c r="A723" s="137" t="s">
        <v>2962</v>
      </c>
      <c r="B723" s="152">
        <v>2026</v>
      </c>
      <c r="C723" s="183" t="s">
        <v>22</v>
      </c>
      <c r="D723" s="183" t="s">
        <v>2963</v>
      </c>
      <c r="E723" s="184" t="s">
        <v>2964</v>
      </c>
      <c r="F723" s="185" t="s">
        <v>88</v>
      </c>
      <c r="G723" s="186" t="s">
        <v>2719</v>
      </c>
      <c r="H723" s="191" t="s">
        <v>2965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2966</v>
      </c>
      <c r="B724" s="151">
        <v>2026</v>
      </c>
      <c r="C724" s="183" t="s">
        <v>22</v>
      </c>
      <c r="D724" s="183" t="s">
        <v>2967</v>
      </c>
      <c r="E724" s="184" t="s">
        <v>2968</v>
      </c>
      <c r="F724" s="185" t="s">
        <v>88</v>
      </c>
      <c r="G724" s="186" t="s">
        <v>2719</v>
      </c>
      <c r="H724" s="191" t="s">
        <v>2969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2970</v>
      </c>
      <c r="B725" s="183">
        <v>2026</v>
      </c>
      <c r="C725" s="183" t="s">
        <v>22</v>
      </c>
      <c r="D725" s="183" t="s">
        <v>2963</v>
      </c>
      <c r="E725" s="184" t="s">
        <v>2971</v>
      </c>
      <c r="F725" s="185"/>
      <c r="G725" s="186" t="s">
        <v>2719</v>
      </c>
      <c r="H725" s="191" t="s">
        <v>2972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2973</v>
      </c>
      <c r="B726" s="183">
        <v>2026</v>
      </c>
      <c r="C726" s="183" t="s">
        <v>2697</v>
      </c>
      <c r="D726" s="183" t="s">
        <v>2963</v>
      </c>
      <c r="E726" s="184" t="s">
        <v>2974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2975</v>
      </c>
      <c r="B727" s="183">
        <v>2026</v>
      </c>
      <c r="C727" s="183" t="s">
        <v>2697</v>
      </c>
      <c r="D727" s="183" t="s">
        <v>2963</v>
      </c>
      <c r="E727" s="180" t="s">
        <v>2976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2977</v>
      </c>
      <c r="B728" s="183">
        <v>2026</v>
      </c>
      <c r="C728" s="183" t="s">
        <v>2697</v>
      </c>
      <c r="D728" s="183" t="s">
        <v>2963</v>
      </c>
      <c r="E728" s="180" t="s">
        <v>2978</v>
      </c>
      <c r="F728" s="185"/>
      <c r="G728" s="186" t="s">
        <v>2719</v>
      </c>
      <c r="H728" s="191" t="s">
        <v>2979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2980</v>
      </c>
      <c r="B729" s="183">
        <v>2026</v>
      </c>
      <c r="C729" s="183" t="s">
        <v>2697</v>
      </c>
      <c r="D729" s="183" t="s">
        <v>2963</v>
      </c>
      <c r="E729" s="180" t="s">
        <v>2981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2982</v>
      </c>
      <c r="B730" s="183">
        <v>2026</v>
      </c>
      <c r="C730" s="183" t="s">
        <v>2697</v>
      </c>
      <c r="D730" s="183" t="s">
        <v>2963</v>
      </c>
      <c r="E730" s="203" t="s">
        <v>2983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2984</v>
      </c>
      <c r="B731" s="183">
        <v>2026</v>
      </c>
      <c r="C731" s="183" t="s">
        <v>2697</v>
      </c>
      <c r="D731" s="183" t="s">
        <v>2963</v>
      </c>
      <c r="E731" s="203" t="s">
        <v>2985</v>
      </c>
      <c r="F731" s="185"/>
      <c r="G731" s="186" t="s">
        <v>2719</v>
      </c>
      <c r="H731" s="191" t="s">
        <v>2986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2987</v>
      </c>
      <c r="B732" s="183">
        <v>2026</v>
      </c>
      <c r="C732" s="183" t="s">
        <v>2697</v>
      </c>
      <c r="D732" s="183"/>
      <c r="E732" s="184" t="s">
        <v>2988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2989</v>
      </c>
      <c r="B733" s="183">
        <v>2026</v>
      </c>
      <c r="C733" s="183" t="s">
        <v>2697</v>
      </c>
      <c r="D733" s="183"/>
      <c r="E733" s="203" t="s">
        <v>2990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2991</v>
      </c>
      <c r="B734" s="183">
        <v>2026</v>
      </c>
      <c r="C734" s="183" t="s">
        <v>2697</v>
      </c>
      <c r="D734" s="183"/>
      <c r="E734" s="184" t="s">
        <v>2992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2993</v>
      </c>
      <c r="E735" s="184" t="s">
        <v>2994</v>
      </c>
      <c r="F735" s="185"/>
      <c r="G735" s="186" t="s">
        <v>206</v>
      </c>
      <c r="H735" s="191" t="s">
        <v>2993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2995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2996</v>
      </c>
      <c r="E736" s="184" t="s">
        <v>2997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2998</v>
      </c>
      <c r="B737" s="183">
        <v>2026</v>
      </c>
      <c r="C737" s="183" t="s">
        <v>2697</v>
      </c>
      <c r="D737" s="183" t="s">
        <v>2999</v>
      </c>
      <c r="E737" s="180" t="s">
        <v>3000</v>
      </c>
      <c r="F737" s="185"/>
      <c r="G737" s="186" t="s">
        <v>79</v>
      </c>
      <c r="H737" s="191" t="s">
        <v>3001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3002</v>
      </c>
      <c r="B738" s="183">
        <v>2026</v>
      </c>
      <c r="C738" s="183" t="s">
        <v>2697</v>
      </c>
      <c r="D738" s="183" t="s">
        <v>3003</v>
      </c>
      <c r="E738" s="180" t="s">
        <v>3004</v>
      </c>
      <c r="F738" s="185" t="s">
        <v>69</v>
      </c>
      <c r="G738" s="186" t="s">
        <v>2694</v>
      </c>
      <c r="H738" s="191" t="s">
        <v>3005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3006</v>
      </c>
    </row>
    <row r="739" spans="1:20" ht="15" hidden="1" x14ac:dyDescent="0.25">
      <c r="A739" s="191" t="s">
        <v>3007</v>
      </c>
      <c r="B739" s="183">
        <v>2026</v>
      </c>
      <c r="C739" s="183" t="s">
        <v>22</v>
      </c>
      <c r="D739" s="183" t="s">
        <v>3008</v>
      </c>
      <c r="E739" s="180" t="s">
        <v>3009</v>
      </c>
      <c r="F739" s="185" t="s">
        <v>24</v>
      </c>
      <c r="G739" s="186" t="s">
        <v>2700</v>
      </c>
      <c r="H739" s="191" t="s">
        <v>3010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3011</v>
      </c>
      <c r="B740" s="183">
        <v>2026</v>
      </c>
      <c r="C740" s="183" t="s">
        <v>2697</v>
      </c>
      <c r="D740" s="183" t="s">
        <v>3012</v>
      </c>
      <c r="E740" s="180" t="s">
        <v>3013</v>
      </c>
      <c r="F740" s="185" t="s">
        <v>24</v>
      </c>
      <c r="G740" s="186" t="s">
        <v>2700</v>
      </c>
      <c r="H740" s="191" t="s">
        <v>3014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3015</v>
      </c>
      <c r="B741" s="183">
        <v>2026</v>
      </c>
      <c r="C741" s="183" t="s">
        <v>2697</v>
      </c>
      <c r="D741" s="183" t="s">
        <v>3016</v>
      </c>
      <c r="E741" s="180" t="s">
        <v>3017</v>
      </c>
      <c r="F741" s="185" t="s">
        <v>24</v>
      </c>
      <c r="G741" s="186" t="s">
        <v>2700</v>
      </c>
      <c r="H741" s="191" t="s">
        <v>3018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3019</v>
      </c>
      <c r="B742" s="183">
        <v>2026</v>
      </c>
      <c r="C742" s="183" t="s">
        <v>2697</v>
      </c>
      <c r="D742" s="183" t="s">
        <v>3016</v>
      </c>
      <c r="E742" s="184" t="s">
        <v>3020</v>
      </c>
      <c r="F742" s="185" t="s">
        <v>24</v>
      </c>
      <c r="G742" s="186" t="s">
        <v>2700</v>
      </c>
      <c r="H742" s="191" t="s">
        <v>3021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3022</v>
      </c>
      <c r="H1" s="213" t="s">
        <v>3023</v>
      </c>
    </row>
    <row r="2" spans="1:8" x14ac:dyDescent="0.25">
      <c r="H2" s="212" t="s">
        <v>3024</v>
      </c>
    </row>
    <row r="3" spans="1:8" x14ac:dyDescent="0.25">
      <c r="A3" t="s">
        <v>0</v>
      </c>
      <c r="B3" t="s">
        <v>19</v>
      </c>
      <c r="C3" t="s">
        <v>3025</v>
      </c>
      <c r="D3" t="s">
        <v>3026</v>
      </c>
      <c r="E3" t="s">
        <v>3027</v>
      </c>
      <c r="H3" s="212" t="s">
        <v>3028</v>
      </c>
    </row>
    <row r="4" spans="1:8" x14ac:dyDescent="0.25">
      <c r="A4">
        <v>1</v>
      </c>
      <c r="B4" t="s">
        <v>3029</v>
      </c>
      <c r="D4" t="s">
        <v>3030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3031</v>
      </c>
    </row>
    <row r="5" spans="1:8" x14ac:dyDescent="0.25">
      <c r="A5">
        <v>2</v>
      </c>
      <c r="B5" t="s">
        <v>2507</v>
      </c>
      <c r="D5" t="s">
        <v>3030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3032</v>
      </c>
    </row>
    <row r="6" spans="1:8" x14ac:dyDescent="0.25">
      <c r="A6">
        <v>3</v>
      </c>
      <c r="B6" t="s">
        <v>1030</v>
      </c>
      <c r="D6" t="s">
        <v>3030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3033</v>
      </c>
      <c r="D7" t="s">
        <v>3030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3034</v>
      </c>
    </row>
    <row r="8" spans="1:8" x14ac:dyDescent="0.25">
      <c r="A8">
        <v>5</v>
      </c>
      <c r="B8" t="s">
        <v>3035</v>
      </c>
      <c r="D8" t="s">
        <v>3030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3030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3030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3030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3030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3030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3030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3030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3030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3030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3030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3030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3030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3030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3030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3036</v>
      </c>
      <c r="D23" t="s">
        <v>3030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3030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3037</v>
      </c>
      <c r="D25" t="s">
        <v>3030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3038</v>
      </c>
      <c r="D26" t="s">
        <v>3030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3030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3030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3039</v>
      </c>
      <c r="D29" t="s">
        <v>3030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3030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3030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3030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3040</v>
      </c>
      <c r="D33" t="s">
        <v>3030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3041</v>
      </c>
      <c r="D34" t="s">
        <v>3030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3030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3030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3030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3042</v>
      </c>
      <c r="D38" t="s">
        <v>3030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3043</v>
      </c>
      <c r="D39" t="s">
        <v>3030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3030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3044</v>
      </c>
      <c r="D41" t="s">
        <v>3030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3030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3030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3045</v>
      </c>
      <c r="D44" t="s">
        <v>3030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3030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3030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3030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3030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3046</v>
      </c>
      <c r="D49" t="s">
        <v>3030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3030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3047</v>
      </c>
      <c r="D51" t="s">
        <v>3030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3030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3030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3048</v>
      </c>
      <c r="D54" t="s">
        <v>3030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3030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3030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3030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3049</v>
      </c>
      <c r="D58" t="s">
        <v>3030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3030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3030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3050</v>
      </c>
      <c r="D61" t="s">
        <v>3030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3051</v>
      </c>
      <c r="D62" t="s">
        <v>3030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3052</v>
      </c>
      <c r="D63" t="s">
        <v>3030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3053</v>
      </c>
      <c r="D64" t="s">
        <v>3030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3030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3030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3054</v>
      </c>
      <c r="D67" t="s">
        <v>3030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3055</v>
      </c>
      <c r="D68" t="s">
        <v>3030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3030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3056</v>
      </c>
      <c r="D70" t="s">
        <v>3030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3030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3030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3030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3057</v>
      </c>
      <c r="D74" t="s">
        <v>3030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3030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3030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3030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3030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3058</v>
      </c>
      <c r="D79" t="s">
        <v>3030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3059</v>
      </c>
      <c r="D80" t="s">
        <v>3030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3060</v>
      </c>
      <c r="D81" t="s">
        <v>3030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3061</v>
      </c>
      <c r="D82" t="s">
        <v>3030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3030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3062</v>
      </c>
      <c r="D84" t="s">
        <v>3030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3030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3063</v>
      </c>
      <c r="D86" t="s">
        <v>3030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3064</v>
      </c>
      <c r="D87" t="s">
        <v>3030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3065</v>
      </c>
      <c r="D88" t="s">
        <v>3030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3066</v>
      </c>
      <c r="D89" t="s">
        <v>3030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3067</v>
      </c>
      <c r="D90" t="s">
        <v>3030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3068</v>
      </c>
      <c r="D91" t="s">
        <v>3030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3069</v>
      </c>
      <c r="D92" t="s">
        <v>3030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3070</v>
      </c>
      <c r="D93" t="s">
        <v>3030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3071</v>
      </c>
      <c r="D94" t="s">
        <v>3030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3030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3072</v>
      </c>
      <c r="D96" t="s">
        <v>3030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3030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3073</v>
      </c>
      <c r="D98" t="s">
        <v>3030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3074</v>
      </c>
      <c r="D99" t="s">
        <v>3030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3075</v>
      </c>
      <c r="D100" t="s">
        <v>3030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3076</v>
      </c>
      <c r="D101" t="s">
        <v>3030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3030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3077</v>
      </c>
      <c r="D103" t="s">
        <v>3030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3078</v>
      </c>
      <c r="D104" t="s">
        <v>3030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3079</v>
      </c>
      <c r="D105" t="s">
        <v>3030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3030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3030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3080</v>
      </c>
      <c r="D108" t="s">
        <v>3030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3081</v>
      </c>
      <c r="C1" s="19" t="s">
        <v>3082</v>
      </c>
      <c r="D1" s="19" t="s">
        <v>4</v>
      </c>
      <c r="E1" s="19" t="s">
        <v>3083</v>
      </c>
      <c r="F1" s="19" t="s">
        <v>19</v>
      </c>
      <c r="G1" s="19" t="s">
        <v>3084</v>
      </c>
      <c r="H1" s="19" t="s">
        <v>3085</v>
      </c>
      <c r="I1" s="19" t="s">
        <v>3086</v>
      </c>
      <c r="J1" s="19" t="s">
        <v>3087</v>
      </c>
      <c r="L1" s="112" t="s">
        <v>3088</v>
      </c>
      <c r="M1" s="23">
        <v>2026</v>
      </c>
      <c r="U1" s="80" t="s">
        <v>3089</v>
      </c>
      <c r="V1" s="79"/>
      <c r="X1" s="78" t="s">
        <v>3090</v>
      </c>
      <c r="Y1" s="27"/>
      <c r="Z1" s="27"/>
      <c r="AA1" s="27"/>
      <c r="AC1" s="100" t="s">
        <v>3091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3092</v>
      </c>
      <c r="M2" s="107" t="s">
        <v>2929</v>
      </c>
      <c r="X2" s="114" t="s">
        <v>3081</v>
      </c>
      <c r="Y2" s="114" t="s">
        <v>19</v>
      </c>
      <c r="Z2" s="114" t="s">
        <v>3093</v>
      </c>
      <c r="AA2" s="114" t="s">
        <v>3094</v>
      </c>
      <c r="AC2" s="115" t="s">
        <v>1</v>
      </c>
      <c r="AD2" s="115" t="s">
        <v>3095</v>
      </c>
      <c r="AE2" s="115" t="s">
        <v>3096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3097</v>
      </c>
      <c r="M3" s="113" t="s">
        <v>3098</v>
      </c>
      <c r="N3" s="113" t="s">
        <v>3099</v>
      </c>
      <c r="O3" s="113" t="s">
        <v>3100</v>
      </c>
      <c r="P3" s="113" t="s">
        <v>3101</v>
      </c>
      <c r="Q3" s="113" t="s">
        <v>3102</v>
      </c>
      <c r="R3" s="113" t="s">
        <v>3103</v>
      </c>
      <c r="S3" s="113" t="s">
        <v>3104</v>
      </c>
      <c r="T3" s="113" t="s">
        <v>3105</v>
      </c>
      <c r="X3" t="s">
        <v>2838</v>
      </c>
      <c r="Y3" t="s">
        <v>3043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3043</v>
      </c>
      <c r="Z6">
        <v>1</v>
      </c>
      <c r="AA6">
        <v>0</v>
      </c>
      <c r="AC6" s="97">
        <v>2026</v>
      </c>
      <c r="AD6" s="18" t="s">
        <v>3107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2949</v>
      </c>
      <c r="Y11" s="18" t="s">
        <v>3037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2949</v>
      </c>
      <c r="Y12" s="18" t="s">
        <v>3055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2958</v>
      </c>
      <c r="Y16" s="18" t="s">
        <v>3037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2958</v>
      </c>
      <c r="Y17" s="18" t="s">
        <v>3055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2954</v>
      </c>
      <c r="Y21" s="18" t="s">
        <v>3037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2954</v>
      </c>
      <c r="Y22" s="18" t="s">
        <v>3055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3043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3043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3078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3074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3056</v>
      </c>
      <c r="Z33">
        <v>4</v>
      </c>
      <c r="AA33">
        <v>0.6</v>
      </c>
      <c r="AC33" s="99"/>
      <c r="AD33" s="116" t="s">
        <v>3108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3057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3072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2786</v>
      </c>
      <c r="Y55" t="s">
        <v>3064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2937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3071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3070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Realizado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3061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2962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2962</v>
      </c>
      <c r="Y68" t="s">
        <v>3059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2786</v>
      </c>
      <c r="Y80" t="s">
        <v>3063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2949</v>
      </c>
      <c r="Y83" t="s">
        <v>3049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2954</v>
      </c>
      <c r="Y84" t="s">
        <v>3049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2958</v>
      </c>
      <c r="Y85" t="s">
        <v>3049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Realizado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3110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3111</v>
      </c>
      <c r="B4" s="233"/>
      <c r="D4" s="234" t="s">
        <v>3112</v>
      </c>
      <c r="E4" s="235"/>
      <c r="G4" s="45" t="s">
        <v>3113</v>
      </c>
    </row>
    <row r="5" spans="1:7" ht="54.95" customHeight="1" thickBot="1" x14ac:dyDescent="0.75">
      <c r="A5" s="35">
        <f>COUNTIF('Ações InCompany'!B:B,2026)</f>
        <v>86</v>
      </c>
      <c r="B5" s="36" t="s">
        <v>3114</v>
      </c>
      <c r="D5" s="43">
        <f>COUNTIFS('Ações InCompany'!B:B,2026,'Ações InCompany'!C:C,"Realizado")</f>
        <v>54</v>
      </c>
      <c r="E5" s="44" t="s">
        <v>3114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3115</v>
      </c>
      <c r="B8" s="229"/>
      <c r="D8" s="229" t="s">
        <v>3116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3117</v>
      </c>
      <c r="D10" s="28" t="s">
        <v>3118</v>
      </c>
      <c r="E10" s="28" t="s">
        <v>3119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20</v>
      </c>
      <c r="D11" s="29" t="s">
        <v>3120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3121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3123</v>
      </c>
      <c r="B14" s="34">
        <f>SUM(B11:B13)</f>
        <v>52</v>
      </c>
      <c r="D14" s="33" t="s">
        <v>3124</v>
      </c>
      <c r="E14" s="34">
        <f>SUM(E11:E13)</f>
        <v>2814</v>
      </c>
    </row>
    <row r="30" spans="1:5" ht="17.25" x14ac:dyDescent="0.3">
      <c r="A30" s="229" t="s">
        <v>3125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3126</v>
      </c>
      <c r="C32" s="28" t="s">
        <v>3127</v>
      </c>
      <c r="D32" s="28" t="s">
        <v>3128</v>
      </c>
      <c r="E32" s="28" t="s">
        <v>3129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3130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3131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3123</v>
      </c>
      <c r="B45" s="41">
        <f>SUM(B33:B44)</f>
        <v>54</v>
      </c>
      <c r="C45" s="41">
        <f>SUM(C33:C44)</f>
        <v>27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3137</v>
      </c>
      <c r="B2" s="12" t="s">
        <v>3138</v>
      </c>
      <c r="C2" s="12" t="s">
        <v>1736</v>
      </c>
      <c r="D2" s="12" t="s">
        <v>3139</v>
      </c>
      <c r="E2" s="12" t="s">
        <v>3140</v>
      </c>
    </row>
    <row r="3" spans="1:5" ht="18" customHeight="1" x14ac:dyDescent="0.25">
      <c r="A3" s="12" t="s">
        <v>3137</v>
      </c>
      <c r="B3" s="12" t="s">
        <v>3138</v>
      </c>
      <c r="C3" s="14" t="s">
        <v>25</v>
      </c>
      <c r="D3" s="12" t="s">
        <v>3141</v>
      </c>
      <c r="E3" s="12" t="s">
        <v>3142</v>
      </c>
    </row>
    <row r="4" spans="1:5" ht="18" customHeight="1" x14ac:dyDescent="0.25">
      <c r="A4" s="12" t="s">
        <v>3137</v>
      </c>
      <c r="B4" s="12" t="s">
        <v>3138</v>
      </c>
      <c r="C4" s="12" t="s">
        <v>75</v>
      </c>
      <c r="D4" s="12" t="s">
        <v>3139</v>
      </c>
      <c r="E4" s="12" t="s">
        <v>3143</v>
      </c>
    </row>
    <row r="5" spans="1:5" ht="18" customHeight="1" x14ac:dyDescent="0.25">
      <c r="A5" s="12" t="s">
        <v>3137</v>
      </c>
      <c r="B5" s="12" t="s">
        <v>3138</v>
      </c>
      <c r="C5" s="12" t="s">
        <v>79</v>
      </c>
      <c r="D5" s="12" t="s">
        <v>3144</v>
      </c>
      <c r="E5" s="12" t="s">
        <v>3145</v>
      </c>
    </row>
    <row r="6" spans="1:5" ht="18" customHeight="1" x14ac:dyDescent="0.25">
      <c r="A6" s="12" t="s">
        <v>3137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3137</v>
      </c>
      <c r="B7" s="12" t="s">
        <v>3148</v>
      </c>
      <c r="C7" s="12" t="s">
        <v>36</v>
      </c>
      <c r="D7" s="12" t="s">
        <v>3149</v>
      </c>
      <c r="E7" s="12" t="s">
        <v>3150</v>
      </c>
    </row>
    <row r="8" spans="1:5" ht="18" customHeight="1" x14ac:dyDescent="0.25">
      <c r="A8" s="12" t="s">
        <v>3137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3137</v>
      </c>
      <c r="B9" s="12" t="s">
        <v>3153</v>
      </c>
      <c r="C9" s="12" t="s">
        <v>464</v>
      </c>
      <c r="D9" s="12" t="s">
        <v>3154</v>
      </c>
      <c r="E9" s="12" t="s">
        <v>3155</v>
      </c>
    </row>
    <row r="10" spans="1:5" ht="18" customHeight="1" x14ac:dyDescent="0.25">
      <c r="A10" s="12" t="s">
        <v>3137</v>
      </c>
      <c r="B10" s="12" t="s">
        <v>3153</v>
      </c>
      <c r="C10" s="12" t="s">
        <v>206</v>
      </c>
      <c r="D10" s="12" t="s">
        <v>24</v>
      </c>
      <c r="E10" s="12" t="s">
        <v>3156</v>
      </c>
    </row>
    <row r="11" spans="1:5" ht="18" customHeight="1" x14ac:dyDescent="0.25">
      <c r="A11" s="12" t="s">
        <v>3137</v>
      </c>
      <c r="B11" s="12" t="s">
        <v>3153</v>
      </c>
      <c r="C11" s="12" t="s">
        <v>371</v>
      </c>
      <c r="D11" s="12" t="s">
        <v>24</v>
      </c>
      <c r="E11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3158</v>
      </c>
      <c r="B1" s="5" t="s">
        <v>10</v>
      </c>
      <c r="C1" s="15" t="s">
        <v>3159</v>
      </c>
      <c r="D1" s="15" t="s">
        <v>3082</v>
      </c>
    </row>
    <row r="2" spans="1:4" ht="21" customHeight="1" x14ac:dyDescent="0.25">
      <c r="A2" s="103" t="s">
        <v>24</v>
      </c>
      <c r="B2" s="103" t="s">
        <v>38</v>
      </c>
      <c r="C2" s="12" t="s">
        <v>3160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3161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3162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3132</v>
      </c>
      <c r="B1" s="12" t="s">
        <v>3133</v>
      </c>
      <c r="C1" s="13" t="s">
        <v>3134</v>
      </c>
      <c r="D1" s="13" t="s">
        <v>3135</v>
      </c>
      <c r="E1" s="13" t="s">
        <v>3136</v>
      </c>
    </row>
    <row r="2" spans="1:5" ht="18" customHeight="1" x14ac:dyDescent="0.25">
      <c r="A2" s="12" t="s">
        <v>3163</v>
      </c>
      <c r="B2" s="12" t="s">
        <v>3138</v>
      </c>
      <c r="C2" s="14" t="s">
        <v>25</v>
      </c>
      <c r="D2" s="12" t="s">
        <v>3139</v>
      </c>
      <c r="E2" s="17" t="s">
        <v>3164</v>
      </c>
    </row>
    <row r="3" spans="1:5" ht="18" customHeight="1" x14ac:dyDescent="0.25">
      <c r="A3" s="12" t="s">
        <v>3163</v>
      </c>
      <c r="B3" s="12" t="s">
        <v>3138</v>
      </c>
      <c r="C3" s="12" t="s">
        <v>75</v>
      </c>
      <c r="D3" s="12" t="s">
        <v>3141</v>
      </c>
      <c r="E3" s="12" t="s">
        <v>3165</v>
      </c>
    </row>
    <row r="4" spans="1:5" ht="18" customHeight="1" x14ac:dyDescent="0.25">
      <c r="A4" s="12" t="s">
        <v>3163</v>
      </c>
      <c r="B4" s="12" t="s">
        <v>3138</v>
      </c>
      <c r="C4" s="12" t="s">
        <v>79</v>
      </c>
      <c r="D4" s="12" t="s">
        <v>3144</v>
      </c>
      <c r="E4" s="12" t="s">
        <v>3166</v>
      </c>
    </row>
    <row r="5" spans="1:5" ht="27.75" customHeight="1" x14ac:dyDescent="0.25">
      <c r="A5" s="12" t="s">
        <v>3163</v>
      </c>
      <c r="B5" s="12" t="s">
        <v>3138</v>
      </c>
      <c r="C5" s="12" t="s">
        <v>2694</v>
      </c>
      <c r="D5" s="17" t="s">
        <v>3167</v>
      </c>
      <c r="E5" s="12" t="s">
        <v>3168</v>
      </c>
    </row>
    <row r="6" spans="1:5" ht="18" customHeight="1" x14ac:dyDescent="0.25">
      <c r="A6" s="12" t="s">
        <v>3163</v>
      </c>
      <c r="B6" s="12" t="s">
        <v>3138</v>
      </c>
      <c r="C6" s="12" t="s">
        <v>2719</v>
      </c>
      <c r="D6" s="12" t="s">
        <v>3146</v>
      </c>
      <c r="E6" s="12" t="s">
        <v>3147</v>
      </c>
    </row>
    <row r="7" spans="1:5" ht="18" customHeight="1" x14ac:dyDescent="0.25">
      <c r="A7" s="12" t="s">
        <v>3163</v>
      </c>
      <c r="B7" s="12" t="s">
        <v>3148</v>
      </c>
      <c r="C7" s="12" t="s">
        <v>2700</v>
      </c>
      <c r="D7" s="12" t="s">
        <v>3169</v>
      </c>
      <c r="E7" s="12" t="s">
        <v>3170</v>
      </c>
    </row>
    <row r="8" spans="1:5" ht="18" customHeight="1" x14ac:dyDescent="0.25">
      <c r="A8" s="12" t="s">
        <v>3163</v>
      </c>
      <c r="B8" s="12" t="s">
        <v>3148</v>
      </c>
      <c r="C8" s="12" t="s">
        <v>42</v>
      </c>
      <c r="D8" s="12" t="s">
        <v>3151</v>
      </c>
      <c r="E8" s="12" t="s">
        <v>3152</v>
      </c>
    </row>
    <row r="9" spans="1:5" ht="18" customHeight="1" x14ac:dyDescent="0.25">
      <c r="A9" s="12" t="s">
        <v>3163</v>
      </c>
      <c r="B9" s="12" t="s">
        <v>3148</v>
      </c>
      <c r="C9" s="12" t="s">
        <v>2795</v>
      </c>
      <c r="D9" s="12" t="s">
        <v>3171</v>
      </c>
      <c r="E9" s="17" t="s">
        <v>3172</v>
      </c>
    </row>
    <row r="10" spans="1:5" ht="18" customHeight="1" x14ac:dyDescent="0.25">
      <c r="A10" s="12" t="s">
        <v>3163</v>
      </c>
      <c r="B10" s="12" t="s">
        <v>3173</v>
      </c>
      <c r="C10" s="12" t="s">
        <v>3130</v>
      </c>
      <c r="D10" s="12" t="s">
        <v>3174</v>
      </c>
      <c r="E10" s="17" t="s">
        <v>3175</v>
      </c>
    </row>
    <row r="11" spans="1:5" ht="18" customHeight="1" x14ac:dyDescent="0.25">
      <c r="A11" s="12" t="s">
        <v>3163</v>
      </c>
      <c r="B11" s="12" t="s">
        <v>3173</v>
      </c>
      <c r="C11" s="12" t="s">
        <v>206</v>
      </c>
      <c r="D11" s="12" t="s">
        <v>24</v>
      </c>
      <c r="E11" s="12" t="s">
        <v>3156</v>
      </c>
    </row>
    <row r="12" spans="1:5" ht="18" customHeight="1" x14ac:dyDescent="0.25">
      <c r="A12" s="12" t="s">
        <v>3163</v>
      </c>
      <c r="B12" s="12" t="s">
        <v>3173</v>
      </c>
      <c r="C12" s="12" t="s">
        <v>371</v>
      </c>
      <c r="D12" s="12" t="s">
        <v>24</v>
      </c>
      <c r="E12" s="12" t="s">
        <v>3157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3176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3177</v>
      </c>
    </row>
    <row r="4" spans="1:8" ht="21.95" customHeight="1" x14ac:dyDescent="0.25">
      <c r="A4" s="237" t="s">
        <v>3178</v>
      </c>
      <c r="B4" s="238"/>
      <c r="D4" s="237" t="s">
        <v>3179</v>
      </c>
      <c r="E4" s="238"/>
      <c r="G4" s="237" t="s">
        <v>3180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3181</v>
      </c>
      <c r="B7" s="62" t="s">
        <v>3182</v>
      </c>
      <c r="C7" s="62" t="s">
        <v>1</v>
      </c>
      <c r="D7" s="62" t="s">
        <v>3183</v>
      </c>
      <c r="E7" s="62" t="s">
        <v>3184</v>
      </c>
      <c r="F7" s="62" t="s">
        <v>3082</v>
      </c>
      <c r="G7" s="62" t="s">
        <v>5</v>
      </c>
      <c r="H7" s="62" t="s">
        <v>3185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3186</v>
      </c>
      <c r="B1" s="242"/>
      <c r="C1" s="242"/>
      <c r="D1" s="242"/>
      <c r="E1" s="242"/>
      <c r="F1" s="242"/>
    </row>
    <row r="2" spans="1:7" x14ac:dyDescent="0.25">
      <c r="A2" s="243" t="s">
        <v>3187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3085</v>
      </c>
      <c r="C4" s="25" t="s">
        <v>3086</v>
      </c>
      <c r="D4" s="25" t="s">
        <v>3188</v>
      </c>
      <c r="E4" s="25" t="s">
        <v>3087</v>
      </c>
      <c r="F4" s="25" t="s">
        <v>3189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3124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3190</v>
      </c>
      <c r="B1" s="123" t="s">
        <v>3191</v>
      </c>
      <c r="C1" s="123" t="s">
        <v>3192</v>
      </c>
      <c r="D1" s="123" t="s">
        <v>3193</v>
      </c>
      <c r="E1" s="123" t="s">
        <v>3194</v>
      </c>
      <c r="F1" s="123" t="s">
        <v>3195</v>
      </c>
      <c r="G1" s="123" t="s">
        <v>10</v>
      </c>
      <c r="H1" s="123" t="s">
        <v>3196</v>
      </c>
      <c r="I1" s="123" t="s">
        <v>3197</v>
      </c>
      <c r="J1" s="123" t="s">
        <v>3198</v>
      </c>
      <c r="K1" s="123" t="s">
        <v>3199</v>
      </c>
      <c r="L1" s="123" t="s">
        <v>3200</v>
      </c>
      <c r="N1" s="124" t="s">
        <v>3201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3202</v>
      </c>
      <c r="L2" t="str">
        <f>IF(K2="","",IFERROR(INDEX(Tabela2[Curso],MATCH(K2,Tabela2[ID],0)),""))</f>
        <v/>
      </c>
      <c r="N2" s="123" t="s">
        <v>3081</v>
      </c>
      <c r="O2" s="123" t="s">
        <v>4</v>
      </c>
      <c r="P2" s="123" t="s">
        <v>3203</v>
      </c>
      <c r="Q2" s="123" t="s">
        <v>3204</v>
      </c>
      <c r="R2" s="123" t="s">
        <v>3205</v>
      </c>
      <c r="S2" s="123" t="s">
        <v>3206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3202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3202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3202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3202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3202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3202</v>
      </c>
      <c r="L10" t="str">
        <f>IF(K10="","",IFERROR(INDEX(Tabela2[Curso],MATCH(K10,Tabela2[ID],0)),""))</f>
        <v/>
      </c>
      <c r="N10" s="122" t="s">
        <v>3207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3202</v>
      </c>
      <c r="L11" t="str">
        <f>IF(K11="","",IFERROR(INDEX(Tabela2[Curso],MATCH(K11,Tabela2[ID],0)),""))</f>
        <v/>
      </c>
      <c r="N11" s="125" t="s">
        <v>3208</v>
      </c>
      <c r="O11" s="125" t="s">
        <v>3209</v>
      </c>
      <c r="P11" s="125" t="s">
        <v>3210</v>
      </c>
      <c r="Q11" s="125" t="s">
        <v>3193</v>
      </c>
      <c r="R11" s="125" t="s">
        <v>3194</v>
      </c>
      <c r="S11" s="125" t="s">
        <v>3211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3202</v>
      </c>
      <c r="L12" t="str">
        <f>IF(K12="","",IFERROR(INDEX(Tabela2[Curso],MATCH(K12,Tabela2[ID],0)),""))</f>
        <v/>
      </c>
      <c r="N12" t="s">
        <v>3212</v>
      </c>
      <c r="O12" t="s">
        <v>2755</v>
      </c>
      <c r="P12" t="s">
        <v>3213</v>
      </c>
      <c r="Q12">
        <v>0</v>
      </c>
      <c r="R12">
        <v>0</v>
      </c>
      <c r="S12" t="s">
        <v>3214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3202</v>
      </c>
      <c r="L13" t="str">
        <f>IF(K13="","",IFERROR(INDEX(Tabela2[Curso],MATCH(K13,Tabela2[ID],0)),""))</f>
        <v/>
      </c>
      <c r="N13" t="s">
        <v>3215</v>
      </c>
      <c r="O13" t="s">
        <v>2686</v>
      </c>
      <c r="P13" t="s">
        <v>3216</v>
      </c>
      <c r="Q13">
        <v>0</v>
      </c>
      <c r="R13">
        <v>0</v>
      </c>
      <c r="S13" t="s">
        <v>3217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3202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3202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3202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3202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3202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3202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3202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3202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2026-09-03T19:36:43Z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