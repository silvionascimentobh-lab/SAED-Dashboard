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410" documentId="8_{454372C2-A99E-4E47-A759-72B38925853E}" xr6:coauthVersionLast="47" xr6:coauthVersionMax="47" xr10:uidLastSave="{BBB95E56-AA0E-4370-BE3E-259B1B502C50}"/>
  <bookViews>
    <workbookView xWindow="2868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3" i="29" l="1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F63" i="29" s="1"/>
  <c r="C63" i="29"/>
  <c r="D63" i="29"/>
  <c r="E63" i="29"/>
  <c r="G63" i="29"/>
  <c r="H63" i="29"/>
  <c r="I63" i="29" s="1"/>
  <c r="L62" i="29"/>
  <c r="A62" i="29"/>
  <c r="B62" i="29"/>
  <c r="F62" i="29" s="1"/>
  <c r="C62" i="29"/>
  <c r="D62" i="29"/>
  <c r="E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H59" i="29" s="1"/>
  <c r="I59" i="29" s="1"/>
  <c r="C59" i="29"/>
  <c r="D59" i="29"/>
  <c r="E59" i="29"/>
  <c r="F59" i="29"/>
  <c r="G59" i="29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G56" i="29" s="1"/>
  <c r="C56" i="29"/>
  <c r="D56" i="29"/>
  <c r="E56" i="29"/>
  <c r="F56" i="29"/>
  <c r="H56" i="29"/>
  <c r="I56" i="29" s="1"/>
  <c r="L55" i="29"/>
  <c r="A55" i="29"/>
  <c r="B55" i="29"/>
  <c r="C55" i="29"/>
  <c r="D55" i="29"/>
  <c r="E55" i="29"/>
  <c r="F55" i="29"/>
  <c r="G55" i="29"/>
  <c r="H55" i="29"/>
  <c r="L54" i="29"/>
  <c r="A54" i="29"/>
  <c r="B54" i="29"/>
  <c r="G54" i="29" s="1"/>
  <c r="C54" i="29"/>
  <c r="D54" i="29"/>
  <c r="E54" i="29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G52" i="29" s="1"/>
  <c r="C52" i="29"/>
  <c r="D52" i="29"/>
  <c r="E52" i="29"/>
  <c r="L51" i="29"/>
  <c r="A51" i="29"/>
  <c r="B51" i="29"/>
  <c r="F51" i="29" s="1"/>
  <c r="C51" i="29"/>
  <c r="D51" i="29"/>
  <c r="E51" i="29"/>
  <c r="G51" i="29"/>
  <c r="H51" i="29"/>
  <c r="I51" i="29" s="1"/>
  <c r="L50" i="29"/>
  <c r="A50" i="29"/>
  <c r="B50" i="29"/>
  <c r="F50" i="29" s="1"/>
  <c r="C50" i="29"/>
  <c r="D50" i="29"/>
  <c r="E50" i="29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H47" i="29" s="1"/>
  <c r="I47" i="29" s="1"/>
  <c r="C47" i="29"/>
  <c r="D47" i="29"/>
  <c r="E47" i="29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F45" i="29" s="1"/>
  <c r="C45" i="29"/>
  <c r="D45" i="29"/>
  <c r="E45" i="29"/>
  <c r="L44" i="29"/>
  <c r="A44" i="29"/>
  <c r="B44" i="29"/>
  <c r="F44" i="29" s="1"/>
  <c r="C44" i="29"/>
  <c r="D44" i="29"/>
  <c r="E44" i="29"/>
  <c r="H44" i="29"/>
  <c r="I44" i="29" s="1"/>
  <c r="L43" i="29"/>
  <c r="A43" i="29"/>
  <c r="B43" i="29"/>
  <c r="C43" i="29"/>
  <c r="D43" i="29"/>
  <c r="E43" i="29"/>
  <c r="F43" i="29"/>
  <c r="G43" i="29"/>
  <c r="H43" i="29"/>
  <c r="L42" i="29"/>
  <c r="A42" i="29"/>
  <c r="B42" i="29"/>
  <c r="F42" i="29" s="1"/>
  <c r="C42" i="29"/>
  <c r="D42" i="29"/>
  <c r="E42" i="29"/>
  <c r="L41" i="29"/>
  <c r="A41" i="29"/>
  <c r="B41" i="29"/>
  <c r="C41" i="29"/>
  <c r="D41" i="29"/>
  <c r="E41" i="29"/>
  <c r="F41" i="29"/>
  <c r="G41" i="29"/>
  <c r="H41" i="29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G39" i="29" s="1"/>
  <c r="C39" i="29"/>
  <c r="D39" i="29"/>
  <c r="E39" i="29"/>
  <c r="L38" i="29"/>
  <c r="A38" i="29"/>
  <c r="B38" i="29"/>
  <c r="H38" i="29" s="1"/>
  <c r="I38" i="29" s="1"/>
  <c r="C38" i="29"/>
  <c r="D38" i="29"/>
  <c r="E38" i="29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F35" i="29" s="1"/>
  <c r="C35" i="29"/>
  <c r="D35" i="29"/>
  <c r="E35" i="29"/>
  <c r="L34" i="29"/>
  <c r="A34" i="29"/>
  <c r="B34" i="29"/>
  <c r="F34" i="29" s="1"/>
  <c r="C34" i="29"/>
  <c r="D34" i="29"/>
  <c r="E34" i="29"/>
  <c r="G34" i="29"/>
  <c r="H34" i="29"/>
  <c r="I34" i="29" s="1"/>
  <c r="L33" i="29"/>
  <c r="A33" i="29"/>
  <c r="B33" i="29"/>
  <c r="F33" i="29" s="1"/>
  <c r="C33" i="29"/>
  <c r="D33" i="29"/>
  <c r="E33" i="29"/>
  <c r="L32" i="29"/>
  <c r="A32" i="29"/>
  <c r="B32" i="29"/>
  <c r="F32" i="29" s="1"/>
  <c r="C32" i="29"/>
  <c r="D32" i="29"/>
  <c r="E32" i="29"/>
  <c r="L31" i="29"/>
  <c r="A31" i="29"/>
  <c r="B31" i="29"/>
  <c r="G31" i="29" s="1"/>
  <c r="C31" i="29"/>
  <c r="D31" i="29"/>
  <c r="E31" i="29"/>
  <c r="L30" i="29"/>
  <c r="A30" i="29"/>
  <c r="B30" i="29"/>
  <c r="F30" i="29" s="1"/>
  <c r="C30" i="29"/>
  <c r="D30" i="29"/>
  <c r="E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F28" i="29" s="1"/>
  <c r="C28" i="29"/>
  <c r="D28" i="29"/>
  <c r="E28" i="29"/>
  <c r="G28" i="29"/>
  <c r="H28" i="29"/>
  <c r="I28" i="29" s="1"/>
  <c r="L27" i="29"/>
  <c r="A27" i="29"/>
  <c r="B27" i="29"/>
  <c r="F27" i="29" s="1"/>
  <c r="C27" i="29"/>
  <c r="D27" i="29"/>
  <c r="E27" i="29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H25" i="29" s="1"/>
  <c r="C25" i="29"/>
  <c r="D25" i="29"/>
  <c r="E25" i="29"/>
  <c r="F25" i="29"/>
  <c r="G25" i="29"/>
  <c r="L24" i="29"/>
  <c r="A24" i="29"/>
  <c r="B24" i="29"/>
  <c r="F24" i="29" s="1"/>
  <c r="C24" i="29"/>
  <c r="D24" i="29"/>
  <c r="E24" i="29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L16" i="29"/>
  <c r="A16" i="29"/>
  <c r="B16" i="29"/>
  <c r="G16" i="29" s="1"/>
  <c r="C16" i="29"/>
  <c r="D16" i="29"/>
  <c r="E16" i="29"/>
  <c r="L15" i="29"/>
  <c r="A15" i="29"/>
  <c r="B15" i="29"/>
  <c r="F15" i="29" s="1"/>
  <c r="C15" i="29"/>
  <c r="D15" i="29"/>
  <c r="E15" i="29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G13" i="29" s="1"/>
  <c r="C13" i="29"/>
  <c r="D13" i="29"/>
  <c r="E13" i="29"/>
  <c r="F13" i="29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F11" i="29" s="1"/>
  <c r="C11" i="29"/>
  <c r="D11" i="29"/>
  <c r="E11" i="29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G9" i="29" s="1"/>
  <c r="C9" i="29"/>
  <c r="D9" i="29"/>
  <c r="E9" i="29"/>
  <c r="F9" i="29"/>
  <c r="H9" i="29"/>
  <c r="L8" i="29"/>
  <c r="A8" i="29"/>
  <c r="B8" i="29"/>
  <c r="F8" i="29" s="1"/>
  <c r="C8" i="29"/>
  <c r="D8" i="29"/>
  <c r="E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F2" i="29" s="1"/>
  <c r="C2" i="29"/>
  <c r="D2" i="29"/>
  <c r="E2" i="29"/>
  <c r="W7" i="3" a="1"/>
  <c r="W7" i="3" s="1"/>
  <c r="W6" i="3" a="1"/>
  <c r="W6" i="3" s="1"/>
  <c r="W5" i="3" a="1"/>
  <c r="W5" i="3" s="1"/>
  <c r="W4" i="3"/>
  <c r="W3" i="3" a="1"/>
  <c r="W3" i="3" s="1"/>
  <c r="A8" i="27" a="1"/>
  <c r="A8" i="27" s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710" i="3"/>
  <c r="R724" i="3"/>
  <c r="R706" i="3"/>
  <c r="H24" i="29" l="1"/>
  <c r="I24" i="29" s="1"/>
  <c r="G24" i="29"/>
  <c r="H27" i="29"/>
  <c r="I27" i="29" s="1"/>
  <c r="G27" i="29"/>
  <c r="I17" i="29"/>
  <c r="S8" i="29"/>
  <c r="S7" i="29"/>
  <c r="I41" i="29"/>
  <c r="S6" i="29"/>
  <c r="I9" i="29"/>
  <c r="S5" i="29"/>
  <c r="S4" i="29"/>
  <c r="S3" i="29"/>
  <c r="I55" i="29"/>
  <c r="I43" i="29"/>
  <c r="I25" i="29"/>
  <c r="F54" i="29"/>
  <c r="H54" i="29"/>
  <c r="I54" i="29" s="1"/>
  <c r="G44" i="29"/>
  <c r="G47" i="29"/>
  <c r="H52" i="29"/>
  <c r="I52" i="29" s="1"/>
  <c r="F47" i="29"/>
  <c r="H45" i="29"/>
  <c r="I45" i="29" s="1"/>
  <c r="F52" i="29"/>
  <c r="H32" i="29"/>
  <c r="I32" i="29" s="1"/>
  <c r="G32" i="29"/>
  <c r="H35" i="29"/>
  <c r="I35" i="29" s="1"/>
  <c r="G35" i="29"/>
  <c r="H15" i="29"/>
  <c r="I15" i="29" s="1"/>
  <c r="G15" i="29"/>
  <c r="H13" i="29"/>
  <c r="I13" i="29" s="1"/>
  <c r="H50" i="29"/>
  <c r="I50" i="29" s="1"/>
  <c r="G50" i="29"/>
  <c r="G45" i="29"/>
  <c r="H42" i="29"/>
  <c r="I42" i="29" s="1"/>
  <c r="G42" i="29"/>
  <c r="F39" i="29"/>
  <c r="H39" i="29"/>
  <c r="I39" i="29" s="1"/>
  <c r="F38" i="29"/>
  <c r="G38" i="29"/>
  <c r="H33" i="29"/>
  <c r="I33" i="29" s="1"/>
  <c r="G33" i="29"/>
  <c r="F31" i="29"/>
  <c r="H31" i="29"/>
  <c r="I31" i="29" s="1"/>
  <c r="F16" i="29"/>
  <c r="H16" i="29"/>
  <c r="I16" i="29" s="1"/>
  <c r="H11" i="29"/>
  <c r="I11" i="29" s="1"/>
  <c r="G11" i="29"/>
  <c r="H2" i="29"/>
  <c r="I2" i="29" s="1"/>
  <c r="G2" i="29"/>
  <c r="R689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AE33" i="20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3" i="3"/>
  <c r="R713" i="3"/>
  <c r="R701" i="3"/>
  <c r="R709" i="3"/>
  <c r="R707" i="3"/>
  <c r="R705" i="3"/>
  <c r="R704" i="3"/>
  <c r="R703" i="3"/>
  <c r="R708" i="3"/>
  <c r="R718" i="3"/>
  <c r="R717" i="3"/>
  <c r="R702" i="3"/>
  <c r="R676" i="3"/>
  <c r="R716" i="3"/>
  <c r="R715" i="3"/>
  <c r="R712" i="3"/>
  <c r="R711" i="3"/>
  <c r="R693" i="3"/>
  <c r="R722" i="3"/>
  <c r="R690" i="3"/>
  <c r="R700" i="3"/>
  <c r="R699" i="3"/>
  <c r="R721" i="3"/>
  <c r="R694" i="3"/>
  <c r="R678" i="3"/>
  <c r="R685" i="3"/>
  <c r="R698" i="3"/>
  <c r="R681" i="3"/>
  <c r="R677" i="3"/>
  <c r="R675" i="3"/>
  <c r="R683" i="3"/>
  <c r="R692" i="3"/>
  <c r="R680" i="3"/>
  <c r="R695" i="3"/>
  <c r="R686" i="3"/>
  <c r="R697" i="3"/>
  <c r="R719" i="3"/>
  <c r="R720" i="3"/>
  <c r="R691" i="3"/>
  <c r="R684" i="3"/>
  <c r="R688" i="3"/>
  <c r="R682" i="3"/>
  <c r="R672" i="3"/>
  <c r="R714" i="3"/>
  <c r="R696" i="3"/>
  <c r="R679" i="3"/>
  <c r="R687" i="3"/>
  <c r="R674" i="3"/>
  <c r="R673" i="3"/>
  <c r="R671" i="3"/>
  <c r="R668" i="3"/>
  <c r="R667" i="3"/>
  <c r="R666" i="3"/>
  <c r="R665" i="3"/>
  <c r="R664" i="3"/>
  <c r="R663" i="3"/>
  <c r="R662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2" i="3"/>
  <c r="R654" i="3"/>
  <c r="R656" i="3"/>
  <c r="R657" i="3"/>
  <c r="R658" i="3"/>
  <c r="R659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B8" i="27" l="1"/>
  <c r="L4" i="20"/>
  <c r="R4" i="20" s="1" a="1"/>
  <c r="R4" i="20" s="1"/>
  <c r="S4" i="20" l="1" a="1"/>
  <c r="S4" i="20" s="1"/>
  <c r="T4" i="20" l="1" a="1"/>
  <c r="T4" i="20" s="1"/>
  <c r="A2" i="20" l="1" a="1"/>
  <c r="A5" i="23" s="1" a="1"/>
  <c r="A2" i="20" l="1"/>
  <c r="E105" i="23"/>
  <c r="D56" i="23"/>
  <c r="E42" i="23"/>
  <c r="F6" i="23"/>
  <c r="E35" i="23"/>
  <c r="B28" i="23"/>
  <c r="B14" i="23"/>
  <c r="F38" i="23"/>
  <c r="E13" i="23"/>
  <c r="F49" i="23"/>
  <c r="E47" i="23"/>
  <c r="F50" i="23"/>
  <c r="D6" i="23"/>
  <c r="E6" i="23"/>
  <c r="F56" i="23"/>
  <c r="C21" i="23"/>
  <c r="F42" i="23"/>
  <c r="D49" i="23"/>
  <c r="B49" i="23"/>
  <c r="F39" i="23"/>
  <c r="F28" i="23"/>
  <c r="C56" i="23"/>
  <c r="F34" i="23"/>
  <c r="F13" i="23"/>
  <c r="E43" i="23"/>
  <c r="C23" i="23"/>
  <c r="F53" i="23"/>
  <c r="E22" i="23"/>
  <c r="C20" i="23"/>
  <c r="F24" i="23"/>
  <c r="D51" i="23"/>
  <c r="E14" i="23"/>
  <c r="C18" i="23"/>
  <c r="D55" i="23"/>
  <c r="D38" i="23"/>
  <c r="B36" i="23"/>
  <c r="D35" i="23"/>
  <c r="F44" i="23"/>
  <c r="B25" i="23"/>
  <c r="C11" i="23"/>
  <c r="D10" i="23"/>
  <c r="B48" i="23"/>
  <c r="B7" i="23"/>
  <c r="C26" i="23"/>
  <c r="C17" i="23"/>
  <c r="E11" i="23"/>
  <c r="D39" i="23"/>
  <c r="E34" i="23"/>
  <c r="B23" i="23"/>
  <c r="D32" i="23"/>
  <c r="C55" i="23"/>
  <c r="C25" i="23"/>
  <c r="E19" i="23"/>
  <c r="B16" i="23"/>
  <c r="B46" i="23"/>
  <c r="E33" i="23"/>
  <c r="C9" i="23"/>
  <c r="E31" i="23"/>
  <c r="E8" i="23"/>
  <c r="D52" i="23"/>
  <c r="E51" i="23"/>
  <c r="D14" i="23"/>
  <c r="F33" i="23"/>
  <c r="D42" i="23"/>
  <c r="C7" i="23"/>
  <c r="B40" i="23"/>
  <c r="E27" i="23"/>
  <c r="C35" i="23"/>
  <c r="F32" i="23"/>
  <c r="F8" i="23"/>
  <c r="D30" i="23"/>
  <c r="B18" i="23"/>
  <c r="D19" i="23"/>
  <c r="F29" i="23"/>
  <c r="D47" i="23"/>
  <c r="E41" i="23"/>
  <c r="E46" i="23"/>
  <c r="F17" i="23"/>
  <c r="D46" i="23"/>
  <c r="E37" i="23"/>
  <c r="B11" i="23"/>
  <c r="B27" i="23"/>
  <c r="E17" i="23"/>
  <c r="F10" i="23"/>
  <c r="E56" i="23"/>
  <c r="B24" i="23"/>
  <c r="B50" i="23"/>
  <c r="C22" i="23"/>
  <c r="D50" i="23"/>
  <c r="F12" i="23"/>
  <c r="C30" i="23"/>
  <c r="E15" i="23"/>
  <c r="B8" i="23"/>
  <c r="C33" i="23"/>
  <c r="C13" i="23"/>
  <c r="E40" i="23"/>
  <c r="E23" i="23"/>
  <c r="E25" i="23"/>
  <c r="C42" i="23"/>
  <c r="D44" i="23"/>
  <c r="C44" i="23"/>
  <c r="E30" i="23"/>
  <c r="D17" i="23"/>
  <c r="F23" i="23"/>
  <c r="B21" i="23"/>
  <c r="D54" i="23"/>
  <c r="F20" i="23"/>
  <c r="E29" i="23"/>
  <c r="B9" i="23"/>
  <c r="B56" i="23"/>
  <c r="C16" i="23"/>
  <c r="D25" i="23"/>
  <c r="F25" i="23"/>
  <c r="D9" i="23"/>
  <c r="F19" i="23"/>
  <c r="E38" i="23"/>
  <c r="C52" i="23"/>
  <c r="E21" i="23"/>
  <c r="B52" i="23"/>
  <c r="F40" i="23"/>
  <c r="C53" i="23"/>
  <c r="F51" i="23"/>
  <c r="C31" i="23"/>
  <c r="C8" i="23"/>
  <c r="E55" i="23"/>
  <c r="C47" i="23"/>
  <c r="E20" i="23"/>
  <c r="E36" i="23"/>
  <c r="E24" i="23"/>
  <c r="F55" i="23"/>
  <c r="F11" i="23"/>
  <c r="D29" i="23"/>
  <c r="B42" i="23"/>
  <c r="B15" i="23"/>
  <c r="D13" i="23"/>
  <c r="C32" i="23"/>
  <c r="D22" i="23"/>
  <c r="F46" i="23"/>
  <c r="D27" i="23"/>
  <c r="B20" i="23"/>
  <c r="D21" i="23"/>
  <c r="B54" i="23"/>
  <c r="C10" i="23"/>
  <c r="F36" i="23"/>
  <c r="F52" i="23"/>
  <c r="F37" i="23"/>
  <c r="F30" i="23"/>
  <c r="E10" i="23"/>
  <c r="D23" i="23"/>
  <c r="D36" i="23"/>
  <c r="D43" i="23"/>
  <c r="E48" i="23"/>
  <c r="D48" i="23"/>
  <c r="F54" i="23"/>
  <c r="C19" i="23"/>
  <c r="E32" i="23"/>
  <c r="C34" i="23"/>
  <c r="B43" i="23"/>
  <c r="E44" i="23"/>
  <c r="C14" i="23"/>
  <c r="D33" i="23"/>
  <c r="F21" i="23"/>
  <c r="B29" i="23"/>
  <c r="D31" i="23"/>
  <c r="D34" i="23"/>
  <c r="F9" i="23"/>
  <c r="C38" i="23"/>
  <c r="B53" i="23"/>
  <c r="B32" i="23"/>
  <c r="D45" i="23"/>
  <c r="B55" i="23"/>
  <c r="E26" i="23"/>
  <c r="B38" i="23"/>
  <c r="D7" i="23"/>
  <c r="F16" i="23"/>
  <c r="B30" i="23"/>
  <c r="E54" i="23"/>
  <c r="F15" i="23"/>
  <c r="C39" i="23"/>
  <c r="D26" i="23"/>
  <c r="D18" i="23"/>
  <c r="C37" i="23"/>
  <c r="F47" i="23"/>
  <c r="C45" i="23"/>
  <c r="C28" i="23"/>
  <c r="B19" i="23"/>
  <c r="B45" i="23"/>
  <c r="D8" i="23"/>
  <c r="C15" i="23"/>
  <c r="B12" i="23"/>
  <c r="B22" i="23"/>
  <c r="C54" i="23"/>
  <c r="B41" i="23"/>
  <c r="F31" i="23"/>
  <c r="F7" i="23"/>
  <c r="B26" i="23"/>
  <c r="B6" i="23"/>
  <c r="D40" i="23"/>
  <c r="F18" i="23"/>
  <c r="E12" i="23"/>
  <c r="C48" i="23"/>
  <c r="E53" i="23"/>
  <c r="C43" i="23"/>
  <c r="E49" i="23"/>
  <c r="E7" i="23"/>
  <c r="B37" i="23"/>
  <c r="F22" i="23"/>
  <c r="C41" i="23"/>
  <c r="F14" i="23"/>
  <c r="D24" i="23"/>
  <c r="C40" i="23"/>
  <c r="C50" i="23"/>
  <c r="D20" i="23"/>
  <c r="D41" i="23"/>
  <c r="F27" i="23"/>
  <c r="B34" i="23"/>
  <c r="B31" i="23"/>
  <c r="D53" i="23"/>
  <c r="D15" i="23"/>
  <c r="D28" i="23"/>
  <c r="B35" i="23"/>
  <c r="B47" i="23"/>
  <c r="E9" i="23"/>
  <c r="E45" i="23"/>
  <c r="E18" i="23"/>
  <c r="E16" i="23"/>
  <c r="D16" i="23"/>
  <c r="B10" i="23"/>
  <c r="C27" i="23"/>
  <c r="E50" i="23"/>
  <c r="C12" i="23"/>
  <c r="C46" i="23"/>
  <c r="B51" i="23"/>
  <c r="F41" i="23"/>
  <c r="C49" i="23"/>
  <c r="B44" i="23"/>
  <c r="C6" i="23"/>
  <c r="B13" i="23"/>
  <c r="E28" i="23"/>
  <c r="B33" i="23"/>
  <c r="C29" i="23"/>
  <c r="B17" i="23"/>
  <c r="F48" i="23"/>
  <c r="D12" i="23"/>
  <c r="C36" i="23"/>
  <c r="D37" i="23"/>
  <c r="D11" i="23"/>
  <c r="E39" i="23"/>
  <c r="F45" i="23"/>
  <c r="C24" i="23"/>
  <c r="F43" i="23"/>
  <c r="E52" i="23"/>
  <c r="F35" i="23"/>
  <c r="F26" i="23"/>
  <c r="B39" i="23"/>
  <c r="C51" i="23"/>
  <c r="A5" i="23"/>
  <c r="D5" i="23" l="1"/>
  <c r="G5" i="23"/>
  <c r="C5" i="23"/>
  <c r="C105" i="23" s="1"/>
  <c r="B5" i="23"/>
  <c r="B105" i="23" s="1"/>
  <c r="F5" i="23"/>
  <c r="F105" i="23" s="1"/>
  <c r="E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<sst xmlns="http://schemas.openxmlformats.org/spreadsheetml/2006/main" count="7154" uniqueCount="3167">
  <si>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</si>
  <si>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</si>
  <si>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</si>
  <si>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</si>
  <si>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</si>
  <si>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</si>
  <si>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</si>
  <si>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</si>
  <si>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</si>
  <si>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</si>
  <si>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</si>
  <si>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</si>
  <si>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</si>
  <si>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</si>
  <si>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</si>
  <si>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</si>
  <si>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</si>
  <si>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</si>
  <si>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</si>
  <si>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</si>
  <si>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</si>
  <si>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</si>
  <si>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</si>
  <si>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</si>
  <si>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</si>
  <si>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</si>
  <si>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procu</t>
  </si>
  <si>
    <t>ELABORAÇÃO DE PLANO DE AUDITORIA E MATRIZ DE PLANEJAMENTO</t>
  </si>
  <si>
    <t>14 e 14/04/2014</t>
  </si>
  <si>
    <t>CURSO DE EXCEL AVANÇADO</t>
  </si>
  <si>
    <t>Mineração e Análise de Dados</t>
  </si>
  <si>
    <t>02 a 09/06/2014</t>
  </si>
  <si>
    <t>Instrutoria Interna</t>
  </si>
  <si>
    <t>REGIME DIFERENCIADO DE CONTRATAÇÕES PÚBLICAS - RDC</t>
  </si>
  <si>
    <t>Administração, Estratégia e Inovação</t>
  </si>
  <si>
    <t>24 e 25/06/2014</t>
  </si>
  <si>
    <t>ENGENHARIA ECONÔMICA I E II - CAPACITAÇÃO EM PARCERIAS PÚBLICO PRIVADAS E CONCESSÕES DE</t>
  </si>
  <si>
    <t>04 a 08/08/2014</t>
  </si>
  <si>
    <t>CURSO TÉCNICAS DE AUDITORIA OPERACIONAL</t>
  </si>
  <si>
    <t>10/09/2014</t>
  </si>
  <si>
    <t>31/10/2014</t>
  </si>
  <si>
    <t>PROCESSO DE CONTRATAÇÃO PÚBLICA</t>
  </si>
  <si>
    <t>10 a 14/11/2014</t>
  </si>
  <si>
    <t>TERMO DE REFERÊNCIA DE SERVIÇOS CONTINUADOS COM DEDICAÇÃO EXCLUSIVA DE MÃO DE OBRA</t>
  </si>
  <si>
    <t>24 a 28/11/2014</t>
  </si>
  <si>
    <t>1683/2015</t>
  </si>
  <si>
    <t>ELABORAÇÃO DE PARECERES E RELATÓRIOS</t>
  </si>
  <si>
    <t>23 a 27/03/2015</t>
  </si>
  <si>
    <t>José Paulo Moreira de Oliveira</t>
  </si>
  <si>
    <t>3716/2015</t>
  </si>
  <si>
    <t>O PROCESSO DE CONTRATAÇÃO PÚBLICA</t>
  </si>
  <si>
    <t>Jurisdicionados</t>
  </si>
  <si>
    <t>06 a 10/04/2015</t>
  </si>
  <si>
    <t>Amauri Alves Nery</t>
  </si>
  <si>
    <t>5891/2015</t>
  </si>
  <si>
    <t>AUDITORIA EM OBRAS RODOVIÁRIAS</t>
  </si>
  <si>
    <t>Áreas Temáticas de Fiscalização do Setor Público</t>
  </si>
  <si>
    <t>Elci Pessoa Júnior</t>
  </si>
  <si>
    <t>2515/2015</t>
  </si>
  <si>
    <t>Treinamento de Jurisdicionados</t>
  </si>
  <si>
    <t>13 a 17/04/2015</t>
  </si>
  <si>
    <t>Leonardo José Alves Leal Neri</t>
  </si>
  <si>
    <t>7690/2015</t>
  </si>
  <si>
    <t>FISCALIZAÇÃO DE CONTRATOS ADMINISTRATIVOS</t>
  </si>
  <si>
    <t>16, 17, 22, 23 e 24/04/2020</t>
  </si>
  <si>
    <t>PALESTRA CONSELHOS REGIONAIS DE SAÚDE</t>
  </si>
  <si>
    <t>Sociedade</t>
  </si>
  <si>
    <t>N/A</t>
  </si>
  <si>
    <t/>
  </si>
  <si>
    <t>3481/2015</t>
  </si>
  <si>
    <t>PROCESSO NOS TRIBUNAIS DE CONTAS</t>
  </si>
  <si>
    <t>26 a 29/05/2015</t>
  </si>
  <si>
    <t>Odilon Cavallari de Oliveira</t>
  </si>
  <si>
    <t>5654/2015</t>
  </si>
  <si>
    <t>A NOVA CONTABILIDADE APLICADA AO SETOR PÚBLICO</t>
  </si>
  <si>
    <t>11 a 15/05/2015</t>
  </si>
  <si>
    <t>Romildo Araújo da Silva</t>
  </si>
  <si>
    <t>14060/2015</t>
  </si>
  <si>
    <t>TREINAMENTO DO SISTEMA TERRAGEO</t>
  </si>
  <si>
    <t>22/05/2015</t>
  </si>
  <si>
    <t>INSTRUTOR EXTERNO TERRACAP</t>
  </si>
  <si>
    <t>1098/2015</t>
  </si>
  <si>
    <t>EXCEL AVANÇADO</t>
  </si>
  <si>
    <t>25/05 a 01/06/2015</t>
  </si>
  <si>
    <t>Logus TI</t>
  </si>
  <si>
    <t>12742/2015</t>
  </si>
  <si>
    <t>TREINAMENTO SIGGO (Sistema Integrado de Contabilidade Governamental)</t>
  </si>
  <si>
    <t>08 a 12/06/2015</t>
  </si>
  <si>
    <t>Rômulo Miranda Alvim</t>
  </si>
  <si>
    <t>13480/2015</t>
  </si>
  <si>
    <t>GESTÃO E FISCALIZAÇÃO DE CONTRATOS ADMINISTRATIVOS - MÓDULO I</t>
  </si>
  <si>
    <t>15 a 19/06/2015</t>
  </si>
  <si>
    <t>Roberto Dias Santiago</t>
  </si>
  <si>
    <t>19283/2015</t>
  </si>
  <si>
    <t>SEMINÁRIO ATUALIZAÇÃO EM LEGISLAÇÃO DE PESSOAL</t>
  </si>
  <si>
    <t>05 e 07/08/2015</t>
  </si>
  <si>
    <t>Inácio Magalhães Filho</t>
  </si>
  <si>
    <t>22314/2015</t>
  </si>
  <si>
    <t>METODOLOGIA DE CONSTRUÇÃO E ATUALIZAÇÃO DO TESAURO DE CONTAS DO DF</t>
  </si>
  <si>
    <t>24 a 28/08/2015</t>
  </si>
  <si>
    <t>ANDREA FORTALEZA BRANDES DE SOUZA</t>
  </si>
  <si>
    <t>17949/2015</t>
  </si>
  <si>
    <t>RESPONSABILIDADE DE AGENTES PÚBLICOS E PRIVADOS PERANTE OS TRIBUNAIS DE CONTAS</t>
  </si>
  <si>
    <t>31/08/2015 a 04/09/2015</t>
  </si>
  <si>
    <t>Aprimora Treinamentos</t>
  </si>
  <si>
    <t>23973/2015</t>
  </si>
  <si>
    <t>TÉCNICAS DE AUDITORIA OPERACIONAL</t>
  </si>
  <si>
    <t>14 a 18/09/2015</t>
  </si>
  <si>
    <t>Dagomar Henrique Limas</t>
  </si>
  <si>
    <t>LEGISLAÇÃO DE PESSOAL NO SETOR PÚBLICO COM ENFOQUE NA LC nº 840/2011</t>
  </si>
  <si>
    <t>29327/2015</t>
  </si>
  <si>
    <t>CAPACITAÇÃO PARA CONSELHEIROS DE SAÚDE - Turma I</t>
  </si>
  <si>
    <t>29/09/2015 a 02/10/2015</t>
  </si>
  <si>
    <t>Romildo Araújo da Silva; Tarsila Firmino Ely</t>
  </si>
  <si>
    <t>30040/2015</t>
  </si>
  <si>
    <t>OFICINA DE ACCESS AVANÇADO</t>
  </si>
  <si>
    <t>05 a 09/10/2015</t>
  </si>
  <si>
    <t>JOSDEYVI MAGALHAES RUSSI</t>
  </si>
  <si>
    <t>GESTÃO E FISCALIZAÇÃO DE CONTRATOS ADMINISTRATIVOS - MÓDULO II</t>
  </si>
  <si>
    <t>19 a 23/10/2015</t>
  </si>
  <si>
    <t>CONTRATAÇÃO DE SOLUÇÕES DE TECNOLOGIA DA INFORMAÇÃO E COMUNICAÇÃO - IN nº 04/2014</t>
  </si>
  <si>
    <t>CAPACITAÇÃO PARA CONSELHEIROS DE SAÚDE - Turma II</t>
  </si>
  <si>
    <t>17 a 20/11/2015</t>
  </si>
  <si>
    <t>13946/2016</t>
  </si>
  <si>
    <t>Sistema Channel - Turma 1</t>
  </si>
  <si>
    <t>Breno</t>
  </si>
  <si>
    <t>Instrutoria</t>
  </si>
  <si>
    <t>30532/2016; 28880/2016</t>
  </si>
  <si>
    <t>Trilhas de Aprendizagem</t>
  </si>
  <si>
    <t>Pedro Paulo Carbone; Sylvio Maestrelli; Anelise Pereira Sihler</t>
  </si>
  <si>
    <t>8721/2016</t>
  </si>
  <si>
    <t>Termo de Referência de Serviços Continuados com dedicação exclusiva de mão de obra</t>
  </si>
  <si>
    <t>16 a 20/05/2016</t>
  </si>
  <si>
    <t>16866/2016</t>
  </si>
  <si>
    <t>Workshop para prefeitos comunitários</t>
  </si>
  <si>
    <t>13/06/2016</t>
  </si>
  <si>
    <t>LUIZ GENEDIO MENDES JORGE</t>
  </si>
  <si>
    <t>8195/2016</t>
  </si>
  <si>
    <t>Workshop sobre Parcerias Público-Privadas</t>
  </si>
  <si>
    <t>13 e 14/06/2016</t>
  </si>
  <si>
    <t>Maria Aparecida Aiko Ikemura</t>
  </si>
  <si>
    <t>12356/2016</t>
  </si>
  <si>
    <t>Contratação Direta - Dispensa e Inexigibilidade de Licitação</t>
  </si>
  <si>
    <t>13 a 17/06/2016</t>
  </si>
  <si>
    <t>16351/2016</t>
  </si>
  <si>
    <t>Capacitação para Conselheiros de Saúde</t>
  </si>
  <si>
    <t>27/06/2016 a 01/07/2016</t>
  </si>
  <si>
    <t>ROMILDO ARAUJO DA SILVA; TARSILA FIRMINO ELY</t>
  </si>
  <si>
    <t>13816/2016</t>
  </si>
  <si>
    <t>Access básico aplicado ao SIGGO</t>
  </si>
  <si>
    <t>ROMULO MIRANDA ALVIM</t>
  </si>
  <si>
    <t>15487/2016</t>
  </si>
  <si>
    <t>Acompanhamento do Orçamento Público – Jornalistas</t>
  </si>
  <si>
    <t>28/06/2016 a 30/06/2016</t>
  </si>
  <si>
    <t>Luiz Genédio Mendes Jorge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</si>
  <si>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</si>
  <si>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</si>
  <si>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</si>
  <si>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</si>
  <si>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</si>
  <si>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20995/2016</t>
  </si>
  <si>
    <t>Governança e gestão de TIC - Melhores práticas de mercado</t>
  </si>
  <si>
    <t>01 e 02/08/2016</t>
  </si>
  <si>
    <t>Everton Peixoto Correia de Assumpção</t>
  </si>
  <si>
    <t>13794/2016</t>
  </si>
  <si>
    <t>Oficina de Access Intermediário</t>
  </si>
  <si>
    <t>08 a 12/08/2016</t>
  </si>
  <si>
    <t>Josdeyvi Magalhães Russi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</si>
  <si>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</si>
  <si>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</si>
  <si>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</si>
  <si>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</si>
  <si>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</si>
  <si>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</si>
  <si>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</si>
  <si>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</si>
  <si>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</si>
  <si>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</si>
  <si>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</si>
  <si>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</si>
  <si>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</si>
  <si>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24427/2016</t>
  </si>
  <si>
    <t>Gestão de Processos</t>
  </si>
  <si>
    <t>12 a 16/09/2016</t>
  </si>
  <si>
    <t>Annibal</t>
  </si>
  <si>
    <t>26365/2016</t>
  </si>
  <si>
    <t>Orçamento Público</t>
  </si>
  <si>
    <t>19 a 23/09/2016</t>
  </si>
  <si>
    <t>Profº Rita (SENADO)</t>
  </si>
  <si>
    <t>3169/2016</t>
  </si>
  <si>
    <t>Gestão e fiscalização de contratos adm. - M1, Turma 1</t>
  </si>
  <si>
    <t>Gestão e fiscalização de contratos adm. - M2, Turma 1</t>
  </si>
  <si>
    <t>26373/2016</t>
  </si>
  <si>
    <t>Regime Próprio de Previdência Social</t>
  </si>
  <si>
    <t>03 a 07/10/2016</t>
  </si>
  <si>
    <t>Michel Martins de Morais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</si>
  <si>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</si>
  <si>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</si>
  <si>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</si>
  <si>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</si>
  <si>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30532/2016</t>
  </si>
  <si>
    <t>Aprendizagem Organizacional</t>
  </si>
  <si>
    <t>20, 21, 24, 27 e 28/10/2016</t>
  </si>
  <si>
    <t>28597/2016</t>
  </si>
  <si>
    <t>Contratação de TI com base na jurisprudência do TCDF</t>
  </si>
  <si>
    <t>24 a 26/10/2016</t>
  </si>
  <si>
    <t>Marcelo Oliveira Vasconcelos</t>
  </si>
  <si>
    <t>29925/2016</t>
  </si>
  <si>
    <t>Excel Avançado</t>
  </si>
  <si>
    <t>07 a 11/11/2016</t>
  </si>
  <si>
    <t>30869/2016</t>
  </si>
  <si>
    <t>Legislação de Pessoal no Setor Público com enfoque na LC 840/2011</t>
  </si>
  <si>
    <t>Sebastião Cal de Miranda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</si>
  <si>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</si>
  <si>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</si>
  <si>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</si>
  <si>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</si>
  <si>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9272/2016</t>
  </si>
  <si>
    <t>Gestão e fiscalização de contratos adm. - M2, Turma 2</t>
  </si>
  <si>
    <t>21 a 25/11/2016</t>
  </si>
  <si>
    <t>Gestão e fiscalização de contratos adm. - M1, Turma 2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</si>
  <si>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</si>
  <si>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</si>
  <si>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</si>
  <si>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</si>
  <si>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Instrutoria - Turma 2</t>
  </si>
  <si>
    <t>06, 07, 08, 20 e 21/02/2017</t>
  </si>
  <si>
    <t>Carbone, Sylvio - Inteletto</t>
  </si>
  <si>
    <t>Tutoria em EAD</t>
  </si>
  <si>
    <t>06 e 31/03/2017</t>
  </si>
  <si>
    <t>3164/2017</t>
  </si>
  <si>
    <t>Gestão e Fiscalização de Contratos Adm. - M1</t>
  </si>
  <si>
    <t>13 a 17/03/2017</t>
  </si>
  <si>
    <t>2265/2017</t>
  </si>
  <si>
    <t>Excel Avançado - I</t>
  </si>
  <si>
    <t>20 a 24/03/2017</t>
  </si>
  <si>
    <t>4730/2017</t>
  </si>
  <si>
    <t>Gestão e Fiscalização de Contratos - Serviços</t>
  </si>
  <si>
    <t>27 a 31/03/2017</t>
  </si>
  <si>
    <t>3784/2017</t>
  </si>
  <si>
    <t>Regime Próprio da Previdência</t>
  </si>
  <si>
    <t>997/2017</t>
  </si>
  <si>
    <t>Formulação e Avaliação de Políticas Públicas com foco no Controle Externo</t>
  </si>
  <si>
    <t>03 a 07/04/2017</t>
  </si>
  <si>
    <t>Pedro Luiz Costa Cavalcante</t>
  </si>
  <si>
    <t>Gestão e Fiscalização de Contratos Adm. - M2</t>
  </si>
  <si>
    <t>24 a 28/04/2017</t>
  </si>
  <si>
    <t>30532/2017</t>
  </si>
  <si>
    <t>Instrutoria - Turma 3</t>
  </si>
  <si>
    <t>Pedro Paulo Carbone; Sylvio Maestrelli</t>
  </si>
  <si>
    <t>13946/2017</t>
  </si>
  <si>
    <t>Sistema Channel - Turma 2</t>
  </si>
  <si>
    <t>8964/2017</t>
  </si>
  <si>
    <t>Excel Avançado - II</t>
  </si>
  <si>
    <t>08 a 12/05/2017</t>
  </si>
  <si>
    <t>2001/2017</t>
  </si>
  <si>
    <t>Processo nos Tribunais de Contas: Acusação, Contraditório, Julgamento e Recursos</t>
  </si>
  <si>
    <t>15 a 19/05/2017</t>
  </si>
  <si>
    <t>6120/2017</t>
  </si>
  <si>
    <t>Capacitação para Conselheiros de Cultura</t>
  </si>
  <si>
    <t>22 a 26/05/2017</t>
  </si>
  <si>
    <t>Carlos Augusto Pereira da Silva</t>
  </si>
  <si>
    <t>11354/2017</t>
  </si>
  <si>
    <t>Legislação de Pessoal no Setor Público, com enfoque na LC 840/2011</t>
  </si>
  <si>
    <t>11460/2017</t>
  </si>
  <si>
    <t>Tomada de Contas Especial</t>
  </si>
  <si>
    <t>25 e 26/05/2017</t>
  </si>
  <si>
    <t>Guilherme Henrique De La Rocque Almeida</t>
  </si>
  <si>
    <t>4675/2017</t>
  </si>
  <si>
    <t>Oratória - Turma 1</t>
  </si>
  <si>
    <t>25 a 26/05/2017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</si>
  <si>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</si>
  <si>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</si>
  <si>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</si>
  <si>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</si>
  <si>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Oratória - Turma 2</t>
  </si>
  <si>
    <t>05 a 09/06/2017</t>
  </si>
  <si>
    <t>7690/2017</t>
  </si>
  <si>
    <t>PPP - Análise Econômica e Financeira no Excel</t>
  </si>
  <si>
    <t>19 a 23/06/2017</t>
  </si>
  <si>
    <t>Orivam Ibiapina da Silva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</si>
  <si>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</si>
  <si>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</si>
  <si>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</si>
  <si>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</si>
  <si>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</si>
  <si>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4764/2017</t>
  </si>
  <si>
    <t>26 a 30/06/2017</t>
  </si>
  <si>
    <t>12741/2017</t>
  </si>
  <si>
    <t>Planilha de Terceirização de Mão de Obra - T.1</t>
  </si>
  <si>
    <t>14060/2017</t>
  </si>
  <si>
    <t>03 a 07/07/2017</t>
  </si>
  <si>
    <t>20884/2017</t>
  </si>
  <si>
    <t>Planilha de Terceirização de Mão de Obra - T.2</t>
  </si>
  <si>
    <t>24 a 28/07/2017</t>
  </si>
  <si>
    <t>13098/2017</t>
  </si>
  <si>
    <t>Excel Avançado - III</t>
  </si>
  <si>
    <t>21 a 25/08/2017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</si>
  <si>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</si>
  <si>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</si>
  <si>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</si>
  <si>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</si>
  <si>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24014/2017</t>
  </si>
  <si>
    <t>Contratação Direta - Dispensa e Inexigibilidade de Licitação sob o enfoque da Lei n° 8666/1993</t>
  </si>
  <si>
    <t>11 a 15/09/2017</t>
  </si>
  <si>
    <t>26440/2017</t>
  </si>
  <si>
    <t>Lei das Estatais</t>
  </si>
  <si>
    <t>25 a 29/09/2017</t>
  </si>
  <si>
    <t>25185/2017</t>
  </si>
  <si>
    <t>Impactos do Novo Sicro no Orçamento de Obras Rodoviárias</t>
  </si>
  <si>
    <t>17 a 18/10/2017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</si>
  <si>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</si>
  <si>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</si>
  <si>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</si>
  <si>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</si>
  <si>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17964/2017</t>
  </si>
  <si>
    <t>Regularidade nos Processo de Aquisição / Manutenção de Equipamentos médico-hospitalares – Termos de Referência</t>
  </si>
  <si>
    <t>Tarsila Firmino Ely; Luiz Eduardo Costa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</si>
  <si>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</si>
  <si>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</si>
  <si>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</si>
  <si>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</si>
  <si>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5529/2018</t>
  </si>
  <si>
    <t>20 e 21/03/2018</t>
  </si>
  <si>
    <t>Tarsila Firmino Ely</t>
  </si>
  <si>
    <t>13475/2018</t>
  </si>
  <si>
    <t>SAS aplicado ao Controle Externo (Turma 2)</t>
  </si>
  <si>
    <t>02 a 06/04/2018</t>
  </si>
  <si>
    <t>6835/2018</t>
  </si>
  <si>
    <t>Gestão e Fiscalização de Contratos Adm. - M1, Turma 1</t>
  </si>
  <si>
    <t>09 a 13/04/2018</t>
  </si>
  <si>
    <t>25059/2016</t>
  </si>
  <si>
    <t>Oficina de SAS</t>
  </si>
  <si>
    <t>6797/2018</t>
  </si>
  <si>
    <t>Oratória e Técnicas de Apresentação Corporativa (Turma 1)</t>
  </si>
  <si>
    <t>07, 08, 09 e 11/05/2018</t>
  </si>
  <si>
    <t>8374/2018</t>
  </si>
  <si>
    <t>SAS aplicado ao Controle Externo (Turma 1)</t>
  </si>
  <si>
    <t>14 a 18/05/2018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</si>
  <si>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</si>
  <si>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</si>
  <si>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</si>
  <si>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</si>
  <si>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SAS aplicado ao Controle Externo (Turma 3)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</si>
  <si>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</si>
  <si>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</si>
  <si>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</si>
  <si>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</si>
  <si>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14056/2018</t>
  </si>
  <si>
    <t>Legislação de Pessoal no Setor Público, com enfoque na LC nº 840/2011</t>
  </si>
  <si>
    <t>18 a 22/06/2018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</si>
  <si>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</si>
  <si>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</si>
  <si>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</si>
  <si>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</si>
  <si>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</si>
  <si>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16776/2018</t>
  </si>
  <si>
    <t>Gestão e Controle de Conta Vinculada aos Contratos de Terceirização</t>
  </si>
  <si>
    <t>16 a 20/07/2018</t>
  </si>
  <si>
    <t>Paola Karina de Barron Sales</t>
  </si>
  <si>
    <t>Oratória e Técnicas de Apresentação Corporativa (Turma 2)</t>
  </si>
  <si>
    <t>13, 14, 15 e 17/08/2018</t>
  </si>
  <si>
    <t>4085/2018</t>
  </si>
  <si>
    <t>XXIV SEMAT</t>
  </si>
  <si>
    <t>21 e 22/08/2018</t>
  </si>
  <si>
    <t>Diversos</t>
  </si>
  <si>
    <t>Entendendo a planilha de custos e formação de preços da IN 5/2017: Abordagem prática - impactos da reforma trabalhista</t>
  </si>
  <si>
    <t>27 e 31/08/2018</t>
  </si>
  <si>
    <t>25350/2018</t>
  </si>
  <si>
    <t>Lançamento do Programa - palestra in company “Liderança para um novo tempo”</t>
  </si>
  <si>
    <t>31/08/2018</t>
  </si>
  <si>
    <t>Leandro Karnal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</si>
  <si>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</si>
  <si>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</si>
  <si>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</si>
  <si>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</si>
  <si>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</si>
  <si>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</si>
  <si>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</si>
  <si>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</si>
  <si>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</si>
  <si>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</si>
  <si>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</si>
  <si>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</si>
  <si>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</si>
  <si>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</si>
  <si>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</si>
  <si>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32569/2018</t>
  </si>
  <si>
    <t>Workshop Secretariado</t>
  </si>
  <si>
    <t>03/12/2018</t>
  </si>
  <si>
    <t>cobucci Desenvolvimento Humano</t>
  </si>
  <si>
    <t>4080/2019</t>
  </si>
  <si>
    <t>Promoção Funcional - Auditores - Turma 1</t>
  </si>
  <si>
    <t>18/03 a 09/09/2019</t>
  </si>
  <si>
    <t>Francisco Antonio Alves de Souza</t>
  </si>
  <si>
    <t>4951/2019</t>
  </si>
  <si>
    <t>Concessões, PPPs e Regulação de Serviços Públicos na Prática</t>
  </si>
  <si>
    <t>22/03 a 16/04/2019</t>
  </si>
  <si>
    <t>Adalberto Santos de Vasconcelos</t>
  </si>
  <si>
    <t>3777/2019</t>
  </si>
  <si>
    <t>Promoção Funcional - Analistas e Técnicos - Turma 1</t>
  </si>
  <si>
    <t>25/03 a 20/09/2019</t>
  </si>
  <si>
    <t>Hanna Gabriela Lucena de Barron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</si>
  <si>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</si>
  <si>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</si>
  <si>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</si>
  <si>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</si>
  <si>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</si>
  <si>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</si>
  <si>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</si>
  <si>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</si>
  <si>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</si>
  <si>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</si>
  <si>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</si>
  <si>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Curso Encontro com Novos Gestores - Turma 2</t>
  </si>
  <si>
    <t>20/05/2019</t>
  </si>
  <si>
    <t>Curso Encontro com Novos Gestores - Turma 3</t>
  </si>
  <si>
    <t>21/05/2019</t>
  </si>
  <si>
    <t>11000/2019</t>
  </si>
  <si>
    <t>Documentação de Auditoria - Turma 1</t>
  </si>
  <si>
    <t>21 e 23/05/2019</t>
  </si>
  <si>
    <t>Cinthia Thais de Carvalho Luz Thomazi;David da Silva de Araujo</t>
  </si>
  <si>
    <t>10489/2019</t>
  </si>
  <si>
    <t>Matriz de Responsabilização - Turma 1</t>
  </si>
  <si>
    <t>22, 24 e 29/05/2019</t>
  </si>
  <si>
    <t>Gabriel Heller</t>
  </si>
  <si>
    <t>11663/2019</t>
  </si>
  <si>
    <t>SAS Área Meio</t>
  </si>
  <si>
    <t>27/05 a 03/06/2019</t>
  </si>
  <si>
    <t>Frederico Nardotto</t>
  </si>
  <si>
    <t>Matriz de Responsabilização - Turma 2</t>
  </si>
  <si>
    <t>06, 07e 10/06/2019</t>
  </si>
  <si>
    <t>Documentação de Auditoria - Turma 2</t>
  </si>
  <si>
    <t>17 e 19/06/2019</t>
  </si>
  <si>
    <t>Curso Encontro com Novos Gestores - Turma 4</t>
  </si>
  <si>
    <t>18/06/2019</t>
  </si>
  <si>
    <t>Matriz de Responsabilização - Turma 3</t>
  </si>
  <si>
    <t>27/06 a 05/07/2019</t>
  </si>
  <si>
    <t>13550/2019</t>
  </si>
  <si>
    <t>Oficina de Amostragem em Auditoria - Turma 1</t>
  </si>
  <si>
    <t>01, 04e 08/07/2019</t>
  </si>
  <si>
    <t>Carlos Alberto Cascão Junior</t>
  </si>
  <si>
    <t>12503/2019</t>
  </si>
  <si>
    <t>Gestão e Controle da Conta Vinculada aos Contratos de Terceirização - Turma 1</t>
  </si>
  <si>
    <t>08, 09, 10 e 11/07/2019</t>
  </si>
  <si>
    <t>13682/2019</t>
  </si>
  <si>
    <t>SISAUDIT - Turma 1</t>
  </si>
  <si>
    <t>12 e 15/07/2019</t>
  </si>
  <si>
    <t>DAVI ASSUNCAO SALVADOR NERY DE CASTRO</t>
  </si>
  <si>
    <t>SISAUDIT T2</t>
  </si>
  <si>
    <t>01 e 06/08/2019</t>
  </si>
  <si>
    <t>Davi Assunção Salvador Nery de Castro</t>
  </si>
  <si>
    <t>Oficina de Amostragem em Auditoria - Turma 2</t>
  </si>
  <si>
    <t>13, 15 e 20/08/2019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</si>
  <si>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</si>
  <si>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</si>
  <si>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</si>
  <si>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</si>
  <si>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Gestão e Controle da Conta Vinculada aos Contratos de Terceirização - Turma 2</t>
  </si>
  <si>
    <t>26, 27, 28 e 29/08/2019</t>
  </si>
  <si>
    <t>14719/2019</t>
  </si>
  <si>
    <t>Oratória</t>
  </si>
  <si>
    <t>26/08 a 29/09/2019</t>
  </si>
  <si>
    <t>Suelly Cobucci</t>
  </si>
  <si>
    <t>Promoção Funcional - Auditores - Turma 2</t>
  </si>
  <si>
    <t>02, 03, 04, 05e 09/09/2019</t>
  </si>
  <si>
    <t>Promoção Funcional - Analistas e Técnicos - Turma 2</t>
  </si>
  <si>
    <t>11, 13, 16, 17 e 20/09/2019</t>
  </si>
  <si>
    <t>HANNA GABRIELA LUCENA DE BARRON</t>
  </si>
  <si>
    <t>15332/2019</t>
  </si>
  <si>
    <t>Gestão Emocional e Relacionamentos Interpessoais</t>
  </si>
  <si>
    <t>11/09 a 09/10/2019</t>
  </si>
  <si>
    <t>ISAC MENDES CAIXETA DE PAMPLONA ARAUJO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</si>
  <si>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</si>
  <si>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</si>
  <si>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</si>
  <si>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</si>
  <si>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Matriz de Responsabilização - Turma 4</t>
  </si>
  <si>
    <t>18, 20 e 23/09/2019</t>
  </si>
  <si>
    <t>18528/2019</t>
  </si>
  <si>
    <t>Planilhas de Terceirização de Mão de Obra</t>
  </si>
  <si>
    <t>23, 24, 25, 26 e 27/09/2019</t>
  </si>
  <si>
    <t>20034/2019</t>
  </si>
  <si>
    <t>Elaboração de Ementas</t>
  </si>
  <si>
    <t>01, 02e 03/10/2019</t>
  </si>
  <si>
    <t>Guilherme Barbosa Neto</t>
  </si>
  <si>
    <t>Gestão e Controle da Conta Vinculada aos Contratos de Terceirização - Turma 3</t>
  </si>
  <si>
    <t>07, 08, 09e 10/10/2019</t>
  </si>
  <si>
    <t>Experiência do STF com Sustentabilidade</t>
  </si>
  <si>
    <t>11/10/2019</t>
  </si>
  <si>
    <t>Daniel</t>
  </si>
  <si>
    <t>23190/2019</t>
  </si>
  <si>
    <t>WordPress - Turma 1</t>
  </si>
  <si>
    <t>14, 16 e 18/10/2019</t>
  </si>
  <si>
    <t>Ednaldo Ramos de Souza</t>
  </si>
  <si>
    <t>Curso Encontro com Novos Gestores - Turma 5</t>
  </si>
  <si>
    <t>29/10/2019</t>
  </si>
  <si>
    <t>Agnaldo Moreira Marques;Roberto Dias Santiago</t>
  </si>
  <si>
    <t>Curso Encontro com Novos Gestores - Turma 6</t>
  </si>
  <si>
    <t>05/11/2019</t>
  </si>
  <si>
    <t>Oficina de Amostragem em Auditoria - Turma 3</t>
  </si>
  <si>
    <t>05, 07, 11 e 19/11/2019</t>
  </si>
  <si>
    <t>WordPress - Turma 2</t>
  </si>
  <si>
    <t>18, 20 e 22/11/2019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</si>
  <si>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</si>
  <si>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</si>
  <si>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</si>
  <si>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</si>
  <si>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24943/2019</t>
  </si>
  <si>
    <t>Previdência Complementar: migrar ou não migrar?</t>
  </si>
  <si>
    <t>26/11/2019</t>
  </si>
  <si>
    <t>Daniel Soares Godoi Gomes de Oliveira</t>
  </si>
  <si>
    <t>Curso Prático para executores de contrato - Turma 2</t>
  </si>
  <si>
    <t>02, 04, 06, 10 e 12/12/2019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</si>
  <si>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</si>
  <si>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</si>
  <si>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</si>
  <si>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</si>
  <si>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890/2020</t>
  </si>
  <si>
    <t>Excel Básico</t>
  </si>
  <si>
    <t>27 a 31/01/2020</t>
  </si>
  <si>
    <t>Raul Carvalho</t>
  </si>
  <si>
    <t>224644/2019</t>
  </si>
  <si>
    <t>Desenvolver competências gerenciais garante a efetividade de equipes?</t>
  </si>
  <si>
    <t>29/01/2020</t>
  </si>
  <si>
    <t>Marcela Guimarães</t>
  </si>
  <si>
    <t>8170/2020</t>
  </si>
  <si>
    <t>Fórum Nacional de Auditoria</t>
  </si>
  <si>
    <t>04 e 05/03/2020</t>
  </si>
  <si>
    <t>Excel Intermediário</t>
  </si>
  <si>
    <t>09/03 a 30/04/2020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</si>
  <si>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</si>
  <si>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</si>
  <si>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</si>
  <si>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</si>
  <si>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2903/2020</t>
  </si>
  <si>
    <t>Noções Básicas de Bancos de Dados Relacionais e Linguagem SQL</t>
  </si>
  <si>
    <t>20, 22, 23 e 24/04/2020</t>
  </si>
  <si>
    <t>863/2020</t>
  </si>
  <si>
    <t>Palestra "Ansiedade em tempos de pandemia: do medo à esperança"</t>
  </si>
  <si>
    <t>15/05/2020</t>
  </si>
  <si>
    <t>618/2020</t>
  </si>
  <si>
    <t>Excel Básico - turma 2</t>
  </si>
  <si>
    <t>18 a 26/05/2020</t>
  </si>
  <si>
    <t>Palestra "Motivação em tempos de pandemia: a experiência da crise"</t>
  </si>
  <si>
    <t>29/05/2020</t>
  </si>
  <si>
    <t>Isac Mendes Caixeta de Pamplona Araújo</t>
  </si>
  <si>
    <t>Encontro com boas práticas - A Experiência do STF com Gestão de Risco</t>
  </si>
  <si>
    <t>05/06/2020</t>
  </si>
  <si>
    <t>8677/2020</t>
  </si>
  <si>
    <t>Oficina de Amostragem - Parte 1</t>
  </si>
  <si>
    <t>08, 09, 10 e 12/06/2020</t>
  </si>
  <si>
    <t>3608/2020</t>
  </si>
  <si>
    <t>Power BI</t>
  </si>
  <si>
    <t>15, 17, 19, 22 e 24/06/2020</t>
  </si>
  <si>
    <t>2579/2020</t>
  </si>
  <si>
    <t>Palestra "Estratégias para Fiscalização de PPPs e Concessões"</t>
  </si>
  <si>
    <t>16/06/2020</t>
  </si>
  <si>
    <t>Airton Roberto Rehbein</t>
  </si>
  <si>
    <t>Palestra "Concessão de Estacionamento Rotativo - Caso do TCE-RS"</t>
  </si>
  <si>
    <t>30/06/2020</t>
  </si>
  <si>
    <t>Palestra "Concessão de Estacionamento Rotativo - Caso do TCE-SC"</t>
  </si>
  <si>
    <t>07/07/2020</t>
  </si>
  <si>
    <t>Azor El Achkar</t>
  </si>
  <si>
    <t>Palestra "Experiência do TCE-BA com a PPP do VLT"</t>
  </si>
  <si>
    <t>04/08/2020</t>
  </si>
  <si>
    <t>Bruno Mascarenhas da Silveira Ventim e Márcio Maia Valois Costa</t>
  </si>
  <si>
    <t>Palestra "Experiência do TCM-RJ com a PPP do VLT"</t>
  </si>
  <si>
    <t>11/08/2020</t>
  </si>
  <si>
    <t>Rodrigo Eugênio da Silva</t>
  </si>
  <si>
    <t>3653/2020</t>
  </si>
  <si>
    <t>"Auditoria e Perícia em Custos de Obras Públicas"</t>
  </si>
  <si>
    <t>20/08 a 04/09/2020</t>
  </si>
  <si>
    <t>André Baeta</t>
  </si>
  <si>
    <t>2818/2020</t>
  </si>
  <si>
    <t>Termo de Referência</t>
  </si>
  <si>
    <t>28/09 a 08/10/2020</t>
  </si>
  <si>
    <t>8413/2020</t>
  </si>
  <si>
    <t>II Encontro Técnico sobre Fiscalização de Concessões e PPPs pelos Tribunais de Contas</t>
  </si>
  <si>
    <t>23 a 27/11/2020</t>
  </si>
  <si>
    <t>373/2021</t>
  </si>
  <si>
    <t>Encontros Novo Manual de Auditoria - Inovações</t>
  </si>
  <si>
    <t>02/02/2021</t>
  </si>
  <si>
    <t>Francisco Antonio Alves de Souza; Rômulo Miranda Alvim</t>
  </si>
  <si>
    <t>Encontros Novo Manual de Auditoria - Auditoria</t>
  </si>
  <si>
    <t>09/02/2021</t>
  </si>
  <si>
    <t>Encontros Novo Manual de Auditoria - Levantamento e monitoramento</t>
  </si>
  <si>
    <t>23/02/2021</t>
  </si>
  <si>
    <t>Francisco Antonio Alves de Souza;ROMULO MIRANDA ALVIM</t>
  </si>
  <si>
    <t>Encontros Novo Manual de Auditoria - Inspeções</t>
  </si>
  <si>
    <t>02/03/2021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</si>
  <si>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</si>
  <si>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</si>
  <si>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</si>
  <si>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</si>
  <si>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Encontro com boas práticas – Experiência TST com o desenvolvimento do sistema Bem-te-vi</t>
  </si>
  <si>
    <t>10/03/2021</t>
  </si>
  <si>
    <t>Ricardo José Menezes Maia</t>
  </si>
  <si>
    <t>1664/2021</t>
  </si>
  <si>
    <t>Palestra "O papel dos controladores sociais na gestão dos recursos públicos"</t>
  </si>
  <si>
    <t>25/03/2021</t>
  </si>
  <si>
    <t>2498/2021</t>
  </si>
  <si>
    <t>Planejando acordos de trabalho estratégicos</t>
  </si>
  <si>
    <t>30/03/2021</t>
  </si>
  <si>
    <t>Luiz Genédio Mendes Jorge; Thamara Dayane Cardoso Santos</t>
  </si>
  <si>
    <t>2725/2021</t>
  </si>
  <si>
    <t>12, 15, 16, 19 e 22/04/2021</t>
  </si>
  <si>
    <t>FRANCISCO ANTONIO ALVES DE SOUSA</t>
  </si>
  <si>
    <t>1443/2021</t>
  </si>
  <si>
    <t>Comunicação escrita profissional com foco no manual de redação oficial do TCDF - turma 1</t>
  </si>
  <si>
    <t>12 a 16/04/2021</t>
  </si>
  <si>
    <t>Suely Cobucci</t>
  </si>
  <si>
    <t>2200/2021</t>
  </si>
  <si>
    <t>Matriz de responsabilização - turma 1</t>
  </si>
  <si>
    <t>26, 28 e 30/04/2021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</si>
  <si>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</si>
  <si>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</si>
  <si>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</si>
  <si>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</si>
  <si>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2666/2021</t>
  </si>
  <si>
    <t>03 a 28/05/2021</t>
  </si>
  <si>
    <t>Paola Karina de Barron Sales; Fernanda Viana de Souza</t>
  </si>
  <si>
    <t>2003/2021</t>
  </si>
  <si>
    <t>Palestra Design Thinking</t>
  </si>
  <si>
    <t>Carla Ribeiro da Motta</t>
  </si>
  <si>
    <t>5660/2021</t>
  </si>
  <si>
    <t>Lançamento do Guia Orietador para Conselheiros de Saúde do DF</t>
  </si>
  <si>
    <t>A definir</t>
  </si>
  <si>
    <t>Tarsila Firmino Ely; Danylo Vilaça</t>
  </si>
  <si>
    <t>3395/2021</t>
  </si>
  <si>
    <t>As compras e a nova lei de licitações - O que mudou?</t>
  </si>
  <si>
    <t>10, 11, 13 e 14/05/2021</t>
  </si>
  <si>
    <t>Tatiana Camarão</t>
  </si>
  <si>
    <t>2296/2021</t>
  </si>
  <si>
    <t>Atualização gramatical - turma 1</t>
  </si>
  <si>
    <t>11, 13, 18, 19 e 20/05/2021</t>
  </si>
  <si>
    <t>Wanderson Melo</t>
  </si>
  <si>
    <t>Conhecendo o Design thinking - turma 1</t>
  </si>
  <si>
    <t>14 a 21/05/2021</t>
  </si>
  <si>
    <t>24 a 28/05/2021</t>
  </si>
  <si>
    <t>3287/2021</t>
  </si>
  <si>
    <t>25/05 a 10/06/2021</t>
  </si>
  <si>
    <t>Orivam Ibiapina da Silva; Carlos Alberto Leite Coutinho Filho</t>
  </si>
  <si>
    <t>2630/2021</t>
  </si>
  <si>
    <t>Capacitação a distância e Planejamento e Design de Capacitações</t>
  </si>
  <si>
    <t>31/05 a 28/06/2021</t>
  </si>
  <si>
    <t>Andrea Filatro</t>
  </si>
  <si>
    <t>1409/2021</t>
  </si>
  <si>
    <t>Palestra "Sisaudit"</t>
  </si>
  <si>
    <t>5037/2021</t>
  </si>
  <si>
    <t>Café &amp; Tertúlia - encontro 1</t>
  </si>
  <si>
    <t>11/06/2021</t>
  </si>
  <si>
    <t>Isac Mendes Caixeta de Pamplona Araújo; Francisco Antonio Alves de Souza</t>
  </si>
  <si>
    <t>3769/2021</t>
  </si>
  <si>
    <t>Controle Social, Trasnparência e Acesso à Informação - Teoria e Prática</t>
  </si>
  <si>
    <t>14, 16 e 18/06/2021</t>
  </si>
  <si>
    <t>Indio Artiaga do Brasil Rabelo</t>
  </si>
  <si>
    <t>Comunicação escrita profissional com foco no manual de redação oficial do TCDF - turma 2</t>
  </si>
  <si>
    <t>14 a 18/06/2021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</si>
  <si>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</si>
  <si>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</si>
  <si>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</si>
  <si>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</si>
  <si>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Atualização gramatical - turma 2</t>
  </si>
  <si>
    <t>12 a 16/07/2021</t>
  </si>
  <si>
    <t>4259/2021</t>
  </si>
  <si>
    <t>Competências do Conselhos Regionais de Cultura e sua Relação com o Controle Social</t>
  </si>
  <si>
    <t>20 a 22/07/2021</t>
  </si>
  <si>
    <t>Café &amp; Tertúlia - encontro 2</t>
  </si>
  <si>
    <t>23/07/2021</t>
  </si>
  <si>
    <t>5252/2021</t>
  </si>
  <si>
    <t>Palestra "Siscoex"</t>
  </si>
  <si>
    <t>30/07/2021</t>
  </si>
  <si>
    <t>5431/2021</t>
  </si>
  <si>
    <t>A nova lei de licitações - As obras e serviços de engenharia</t>
  </si>
  <si>
    <t>05 e 06/08/2021</t>
  </si>
  <si>
    <t>Cláudio Sarian</t>
  </si>
  <si>
    <t>Controle Social, Trasnparência e Acesso à Informação - Teoria e Prática (turma 2)</t>
  </si>
  <si>
    <t>09, 11 e 13/08/2021</t>
  </si>
  <si>
    <t>3770/2021</t>
  </si>
  <si>
    <t>Excel Básico - turma 1</t>
  </si>
  <si>
    <t>09 a 13/08/2021</t>
  </si>
  <si>
    <t>5874/2021</t>
  </si>
  <si>
    <t>Introdução a Aprendizado de Máquina e Mineração de Dados do Diário Oficial - Turma A</t>
  </si>
  <si>
    <t>13/08 a 03/09/2021</t>
  </si>
  <si>
    <t>Thiago Faleiros</t>
  </si>
  <si>
    <t>6347/2021</t>
  </si>
  <si>
    <t>Contratação de Soluções de TIC conforme a Nova Lei de Licitações (turma 1)</t>
  </si>
  <si>
    <t>16 a 19/08/2021</t>
  </si>
  <si>
    <t>7002/2021</t>
  </si>
  <si>
    <t>Palestra LGPD</t>
  </si>
  <si>
    <t>23/08/2021</t>
  </si>
  <si>
    <t>Fábio Valgas</t>
  </si>
  <si>
    <t>2467/2021</t>
  </si>
  <si>
    <t>XXVI SEMAT</t>
  </si>
  <si>
    <t>30 e 31/08/2021</t>
  </si>
  <si>
    <t>Marcos Nóbrega, Cláudio Sarian, Lara Brainer e Paulo Alves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</si>
  <si>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</si>
  <si>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</si>
  <si>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</si>
  <si>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</si>
  <si>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7754/2021</t>
  </si>
  <si>
    <t>Oficina/SEMAT – Execução de Contratos Administrativos conforme a Nova Lei de Licitações</t>
  </si>
  <si>
    <t>PAOLA KARINA DE BARRON SALES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</si>
  <si>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</si>
  <si>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</si>
  <si>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</si>
  <si>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</si>
  <si>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Excel Intermediário  - turma 1</t>
  </si>
  <si>
    <t>20 a 24/09/2021</t>
  </si>
  <si>
    <t>6540/2021</t>
  </si>
  <si>
    <t>Comunicação Não Violenta no Trabalho</t>
  </si>
  <si>
    <t>21, 23, 28 e 04/10/2021</t>
  </si>
  <si>
    <t>Ivan Petry</t>
  </si>
  <si>
    <t>8356/2021</t>
  </si>
  <si>
    <t>Encontro "TCDF e a Fiscalização de Obras" - turma 1</t>
  </si>
  <si>
    <t>22/09/2021</t>
  </si>
  <si>
    <t>Silvia Lima Damasceno Carvalho</t>
  </si>
  <si>
    <t>Café &amp; Tertúlia - encontro 3</t>
  </si>
  <si>
    <t>24/09/2021</t>
  </si>
  <si>
    <t>Encontro "TCDF e a Fiscalização de Obras" - turma 2</t>
  </si>
  <si>
    <t>04/10/2021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</si>
  <si>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</si>
  <si>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</si>
  <si>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</si>
  <si>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</si>
  <si>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9350/2021</t>
  </si>
  <si>
    <t>Contraditório e Defesa no processo de Controle Externo</t>
  </si>
  <si>
    <t>18, 20 e 22/10/2021</t>
  </si>
  <si>
    <t>Gabriel Heller; Tarsila Firmino Ely</t>
  </si>
  <si>
    <t>10588/2021</t>
  </si>
  <si>
    <t>Palestra sobre o tema "Outubro Rosa".</t>
  </si>
  <si>
    <t>22/10/2021</t>
  </si>
  <si>
    <t>Andréa Discaciati de Miranda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</si>
  <si>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</si>
  <si>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</si>
  <si>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</si>
  <si>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</si>
  <si>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8999/2021</t>
  </si>
  <si>
    <t>Palestra People Analytics</t>
  </si>
  <si>
    <t>05/11/2021</t>
  </si>
  <si>
    <t>Juliana Almeida</t>
  </si>
  <si>
    <t>Processo de Implantação da Lei Geral de Proteção de Dados: Caso do TJSP</t>
  </si>
  <si>
    <t>08/11/2021</t>
  </si>
  <si>
    <t>Edivaldo Sartor, Claudio Matos Ramos, Fabio Maçoli, Adriano Breviglieri</t>
  </si>
  <si>
    <t>Curso People Analytics</t>
  </si>
  <si>
    <t>16, 17, 19, 23 e 25/11/2021</t>
  </si>
  <si>
    <t>10670/2021</t>
  </si>
  <si>
    <t>Denúncia, representação e consulta ao TCDF: fundamentos e prática</t>
  </si>
  <si>
    <t>18/11/2021</t>
  </si>
  <si>
    <t>Contratação de Soluções de TIC conforme a Nova Lei de Licitações (turma 2)</t>
  </si>
  <si>
    <t>22 a 25/11/2021</t>
  </si>
  <si>
    <t>Café &amp; Tertúlia - encontro 4</t>
  </si>
  <si>
    <t>10/12/2021</t>
  </si>
  <si>
    <t>383/2022</t>
  </si>
  <si>
    <t>Workshop Tainacan</t>
  </si>
  <si>
    <t>31/01 a 02/02/2022</t>
  </si>
  <si>
    <t>Dalton Martins</t>
  </si>
  <si>
    <t>436/2022</t>
  </si>
  <si>
    <t>Palestra Sisaudit - Apresentação do módulo de monitoramente e atualizações gerais do Sisaudit</t>
  </si>
  <si>
    <t>08/02/2022</t>
  </si>
  <si>
    <t>685/2022</t>
  </si>
  <si>
    <t>Palestra - DF PREVICOM</t>
  </si>
  <si>
    <t>17/02/2022</t>
  </si>
  <si>
    <t>Regina Célia Dias</t>
  </si>
  <si>
    <t>288/2022</t>
  </si>
  <si>
    <t>22/02/2022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</si>
  <si>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</si>
  <si>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</si>
  <si>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</si>
  <si>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</si>
  <si>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Café e Tertúlia</t>
  </si>
  <si>
    <t>11/03/2022</t>
  </si>
  <si>
    <t>12119/2021</t>
  </si>
  <si>
    <t>Blockchain</t>
  </si>
  <si>
    <t>13 a 25/03/2022</t>
  </si>
  <si>
    <t>Claudio Gottshalg</t>
  </si>
  <si>
    <t>2398/2022</t>
  </si>
  <si>
    <t>Roda de Conversa - Mulheres que inspiram o DF</t>
  </si>
  <si>
    <t>22/03/2022</t>
  </si>
  <si>
    <t>Sandra Vitorino; Fernanda Werneck; Nair Heloisa Bicalho de Sousa; Dyarley Viana</t>
  </si>
  <si>
    <t>2177/2022</t>
  </si>
  <si>
    <t>Palestra TCDF e a Fiscalização de Obras - UnB</t>
  </si>
  <si>
    <t>04/04/2022</t>
  </si>
  <si>
    <t>Adriana Cuoco Portugal</t>
  </si>
  <si>
    <t>12718/2021</t>
  </si>
  <si>
    <t>Lei 14.133/21 – Principais Inovações</t>
  </si>
  <si>
    <t>04, 05, 08, 12 e 13/04/2022</t>
  </si>
  <si>
    <t>Marcos Nóbrega</t>
  </si>
  <si>
    <t>708/2022</t>
  </si>
  <si>
    <t>Atualização Gramatical</t>
  </si>
  <si>
    <t>25/04/2022 a 05/05/2022</t>
  </si>
  <si>
    <t>1719/2022</t>
  </si>
  <si>
    <t>Comunicação não Violenta</t>
  </si>
  <si>
    <t>10, 12, 17 e 19/05/2022</t>
  </si>
  <si>
    <t>13/05/2022</t>
  </si>
  <si>
    <t>Palestra TCDF e a Fiscalização de Obras - Ceub</t>
  </si>
  <si>
    <t>16/05/2022</t>
  </si>
  <si>
    <t>ADRIANA CUOCO PORTUGAL</t>
  </si>
  <si>
    <t>4023/2022</t>
  </si>
  <si>
    <t>16/05 a 01/06/2022</t>
  </si>
  <si>
    <t>ORIVAM IBIAPINA DA SILVA;CARLOS ALBERTO LEITE COUTINHO FILHO;YASMIN CARLA MARCHIORO SILVERIO</t>
  </si>
  <si>
    <t>4581/2022</t>
  </si>
  <si>
    <t>Denúncia, representação e consulta ao TCDF: fundamentos e prática - turma 2</t>
  </si>
  <si>
    <t>17/05/2022</t>
  </si>
  <si>
    <t>5400/2022</t>
  </si>
  <si>
    <t>Curso e-CONTAS</t>
  </si>
  <si>
    <t>19/05/2022</t>
  </si>
  <si>
    <t>Leandro Oliveira Vaz de Souza</t>
  </si>
  <si>
    <t>2730/2022</t>
  </si>
  <si>
    <t>Treinamento Mais Tempo, Mais Produtividade (Gestão do Tempo)</t>
  </si>
  <si>
    <t>26/05 a 09/06/2022</t>
  </si>
  <si>
    <t>Gabriela Brasil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</si>
  <si>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</si>
  <si>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</si>
  <si>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</si>
  <si>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</si>
  <si>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4677/2022</t>
  </si>
  <si>
    <t>Denúncia ao TCDF: como o controle social pode contribuir com o controle externo</t>
  </si>
  <si>
    <t>31/05/2022</t>
  </si>
  <si>
    <t>4857/2022</t>
  </si>
  <si>
    <t>Curso Básico em Sistemas do TCDF</t>
  </si>
  <si>
    <t>03/06/2022</t>
  </si>
  <si>
    <t>João Guilherme Lima Candido; Leandro Oliveira Vaz de Souza; Raíssa Rodrigues Freire</t>
  </si>
  <si>
    <t>6135/2022</t>
  </si>
  <si>
    <t>Palestra "Apresentação do manual de auditoria e demais fiscalizações do TCDF"</t>
  </si>
  <si>
    <t>06/06/2022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</si>
  <si>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</si>
  <si>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</si>
  <si>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</si>
  <si>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</si>
  <si>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7160/2022</t>
  </si>
  <si>
    <t>Oficina "Diversidade e Inclusão"</t>
  </si>
  <si>
    <t>ENAP - Anna Paula Feminella; Maria Gutenara Martins Araújo; Eduardo Gomor dos Santos</t>
  </si>
  <si>
    <t>305/2022</t>
  </si>
  <si>
    <t>Controle Social, Trasnparência e Acesso à Informação - Teoria e Prática (turma 1),</t>
  </si>
  <si>
    <t>11, 13 e 15/07/2022</t>
  </si>
  <si>
    <t>7436/2022</t>
  </si>
  <si>
    <t>Monitoramento como instrumento de fiscalização no âmbito do TCDF</t>
  </si>
  <si>
    <t>20 e 22/07/2022</t>
  </si>
  <si>
    <t>Luciana Alvim</t>
  </si>
  <si>
    <t>8179/2022</t>
  </si>
  <si>
    <t>V Workshop do projeto KnEDLe (Knowledge Extration from Documents of Legal Content)</t>
  </si>
  <si>
    <t>29/07/2022</t>
  </si>
  <si>
    <t>1792/2022</t>
  </si>
  <si>
    <t>Curso Sisaudit - módulo monitoramento - turma 1</t>
  </si>
  <si>
    <t>02 e 04/08/2022</t>
  </si>
  <si>
    <t>Indio Artiaga do Brasil Rabelo; Davi Assunção Salvador Nery de Castro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</si>
  <si>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</si>
  <si>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</si>
  <si>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</si>
  <si>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</si>
  <si>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7335/2022</t>
  </si>
  <si>
    <t>Controle Externo das Concessão de Serviços de Transporte Coletivo por Ônibus: auditoria do processo licitatório e da execução contratual</t>
  </si>
  <si>
    <t>08 a 12/08/2022</t>
  </si>
  <si>
    <t>6536/2022</t>
  </si>
  <si>
    <t>Curso Sisaudit - módulo monitoramento - turma 2</t>
  </si>
  <si>
    <t>16 e 18/08/2022</t>
  </si>
  <si>
    <t>INDIO ARTIAGA DO BRASIL RABELO; DAVI ASSUNCAO SALVADOR NERY DE CASTRO</t>
  </si>
  <si>
    <t>7116/2022</t>
  </si>
  <si>
    <t>Palestra TCDF e a Fiscalização de Obras - 2º semestre</t>
  </si>
  <si>
    <t>22/08/2022</t>
  </si>
  <si>
    <t>8883/2022</t>
  </si>
  <si>
    <t>Encontro Regional - Atricon 30 anos</t>
  </si>
  <si>
    <t>26/08/2022</t>
  </si>
  <si>
    <t>10215/2022</t>
  </si>
  <si>
    <t>Apresentação do Sistema de Cálculo de Prescrição</t>
  </si>
  <si>
    <t>02/09/2022</t>
  </si>
  <si>
    <t>10466/2022</t>
  </si>
  <si>
    <t>Estudo de Caso - Obra do Túnel de Taguatinga</t>
  </si>
  <si>
    <t>09/09/2022</t>
  </si>
  <si>
    <t>6575/2022</t>
  </si>
  <si>
    <t>12 a 16/09/2022</t>
  </si>
  <si>
    <t>7818/2022</t>
  </si>
  <si>
    <t>Treinamento Mais Tempo, Mais Produtividade (Gestão do Tempo) - turma 2</t>
  </si>
  <si>
    <t>13, 15, 20 e 22/09/2022</t>
  </si>
  <si>
    <t>6105/2022</t>
  </si>
  <si>
    <t>Mentorias individuais para os gestores do TCDF</t>
  </si>
  <si>
    <t>13/09 a 14/12/2022</t>
  </si>
  <si>
    <t>9774/2022</t>
  </si>
  <si>
    <t>Visão SIstêmica dos Instrumentos de Fiscalização do TCDF e Boas Práticas em Documentação em Auditoria - turma A</t>
  </si>
  <si>
    <t>19, 21 e 27/09/2022</t>
  </si>
  <si>
    <t>Visão SIstêmica dos Instrumentos de Fiscalização do TCDF e Boas Práticas em Documentação em Auditoria - turma B</t>
  </si>
  <si>
    <t>19, 23 e 29/09/2022</t>
  </si>
  <si>
    <t>4891/2022</t>
  </si>
  <si>
    <t>Gestão da Conta Vinculada</t>
  </si>
  <si>
    <t>26 a 29/09/2022</t>
  </si>
  <si>
    <t>Thiago Bergmann</t>
  </si>
  <si>
    <t>11397/2022</t>
  </si>
  <si>
    <t>Palestra sobre o tema "Setembro Amarelo"</t>
  </si>
  <si>
    <t>30/09/2022</t>
  </si>
  <si>
    <t>Anny Mesquita; Isac Mendes Caixeta de Pamplona Araújo</t>
  </si>
  <si>
    <t>6578/2022</t>
  </si>
  <si>
    <t>03 a 07/10/2022</t>
  </si>
  <si>
    <t>5836/2022</t>
  </si>
  <si>
    <t>Como entender e se proteger aplicando a Lei Maria da Penha</t>
  </si>
  <si>
    <t>03, 05 e 07/10/2022</t>
  </si>
  <si>
    <t>Tarsila Firmino Ely;José Elias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</si>
  <si>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</si>
  <si>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</si>
  <si>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</si>
  <si>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</si>
  <si>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</si>
  <si>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</si>
  <si>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</si>
  <si>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</si>
  <si>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11590/2022</t>
  </si>
  <si>
    <t>Oficina SEMAT - PPPs</t>
  </si>
  <si>
    <t>13 e 14/10/2022</t>
  </si>
  <si>
    <t>Daniel Soares Godoi Gomes de Oliveira; Carlos Alberto Leite Coutinho Filho</t>
  </si>
  <si>
    <t>11594/2022</t>
  </si>
  <si>
    <t>Oficina SEMAT - eContas (turma 1)</t>
  </si>
  <si>
    <t>13/10/2022</t>
  </si>
  <si>
    <t>11276/2022</t>
  </si>
  <si>
    <t>Visita dos filhos ao trabalho</t>
  </si>
  <si>
    <t>14/10/2022</t>
  </si>
  <si>
    <t>Curso Liderando e desenvolvendo equipes</t>
  </si>
  <si>
    <t>17/10 a 11/11/2022</t>
  </si>
  <si>
    <t>8215/2022</t>
  </si>
  <si>
    <t>Curso de Capacitação para Conselheiros de Saúde</t>
  </si>
  <si>
    <t>18 a 21/10/2022</t>
  </si>
  <si>
    <t>12148/2022</t>
  </si>
  <si>
    <t>Palestra Sisaudit - Inspeção</t>
  </si>
  <si>
    <t>20/10/2022</t>
  </si>
  <si>
    <t>Davi Assunção Salvador Nery de Castro; Indio Artiaga do Brasil Rabelo</t>
  </si>
  <si>
    <t>8063/2022</t>
  </si>
  <si>
    <t>Encontro Técnico Nacional de Auditoria de Obras Públicas</t>
  </si>
  <si>
    <t>24 a 26/10/2022</t>
  </si>
  <si>
    <t>12944/2022</t>
  </si>
  <si>
    <t>Palestra Tecnologias aplicadas à educação e formação de instrutores</t>
  </si>
  <si>
    <t>27/10/2022</t>
  </si>
  <si>
    <t>Fernando Assis</t>
  </si>
  <si>
    <t>11505/2022</t>
  </si>
  <si>
    <t>Palestra TCDF e a fiscalização de obras + Estudo de caso: obra do túnel de taguatinga</t>
  </si>
  <si>
    <t>04/11/2022</t>
  </si>
  <si>
    <t>Palestra "A cura pode estar em suas mãos"</t>
  </si>
  <si>
    <t>9359/2022</t>
  </si>
  <si>
    <t>Termo de Referência e Estudo Técnico Preliminar à Luz da Nova Lei de Licitações</t>
  </si>
  <si>
    <t>07, 11, 16 e 25/11/2022</t>
  </si>
  <si>
    <t>Paulo Alves</t>
  </si>
  <si>
    <t>9072/2022</t>
  </si>
  <si>
    <t>Dois passos para se escrever com segurança e destreza</t>
  </si>
  <si>
    <t>08/11 a 06/12/2022</t>
  </si>
  <si>
    <t>João Dino</t>
  </si>
  <si>
    <t>12853/2022</t>
  </si>
  <si>
    <t>Curso de capacitação para auditores - auditoria em saúde</t>
  </si>
  <si>
    <t>08, 10, 16, 17 e 18/11/2022</t>
  </si>
  <si>
    <t>21, 23 e 25/11/2022</t>
  </si>
  <si>
    <t>INDIO ARTIAGA DO BRASIL RABELO</t>
  </si>
  <si>
    <t>11407/2022</t>
  </si>
  <si>
    <t>Matriz de Responsabilização</t>
  </si>
  <si>
    <t>22, 23 e 25/11/2022</t>
  </si>
  <si>
    <t>14061/2022</t>
  </si>
  <si>
    <t>Palestra "Nova Lei de Licitações e Contratos: principais mudanças e novidades"</t>
  </si>
  <si>
    <t>14/12/2022</t>
  </si>
  <si>
    <t>André Luiz da Cruz Marques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</si>
  <si>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</si>
  <si>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</si>
  <si>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</si>
  <si>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</si>
  <si>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8682/2022</t>
  </si>
  <si>
    <t>Como falar em público? Técnicas para melhorar sua comunicação e oratória</t>
  </si>
  <si>
    <t>07/02 a 28/03/2023</t>
  </si>
  <si>
    <t>Verbalize</t>
  </si>
  <si>
    <t>362/2023</t>
  </si>
  <si>
    <t>Planilhas de Terceirização de Mão de Obra - T1</t>
  </si>
  <si>
    <t>27/02 a 03/03/2023</t>
  </si>
  <si>
    <t>Palestra "Terapia transessencial: uma visão integral do cuidado humano"</t>
  </si>
  <si>
    <t>28/02/2023</t>
  </si>
  <si>
    <t>Henriqueta Ferreira da Rocha; Isac Mendes Caixeta de Pamplona Araújo</t>
  </si>
  <si>
    <t>1679/2023</t>
  </si>
  <si>
    <t>Seminário de Atualização em Auditoria de Obras Públicas</t>
  </si>
  <si>
    <t>Ibraop</t>
  </si>
  <si>
    <t>363/2023</t>
  </si>
  <si>
    <t>Roda de Conversa Boas Práticas de Controle Social no DF</t>
  </si>
  <si>
    <t>03/03/2023</t>
  </si>
  <si>
    <t>Olavo Pontes; Jovita Rosa; Jeovania Rodrigues; Everardo Aguiar</t>
  </si>
  <si>
    <t>1407/2023</t>
  </si>
  <si>
    <t>Roda de Mulheres - Elas por Elas</t>
  </si>
  <si>
    <t>06/03/2023</t>
  </si>
  <si>
    <t>Ismália Afonso; Tânia Maria Fontenele Mourão; Glícia Silveira</t>
  </si>
  <si>
    <t>561/2023</t>
  </si>
  <si>
    <t>Introdução ao processo de controle externo - T1</t>
  </si>
  <si>
    <t>07, 09, 14 e 16/03/2023</t>
  </si>
  <si>
    <t>952/2023</t>
  </si>
  <si>
    <t>Cine-debate: poeira e batom no Planalto Central - 50 mulheres na construção de Brasília</t>
  </si>
  <si>
    <t>07/03/2023</t>
  </si>
  <si>
    <t>Tânia Maria Fontenele Mourão</t>
  </si>
  <si>
    <t>Bate-papo sobre saúde sexual feminina e seu impacto na qualidade de vida da mulher</t>
  </si>
  <si>
    <t>09/03/2023</t>
  </si>
  <si>
    <t>Glícia Silveira; Ismália Afonso; Tânia Maria Fontenele Mourão</t>
  </si>
  <si>
    <t>1091/2023</t>
  </si>
  <si>
    <t>Café &amp; Tertúlia apresenta: mulheres no comando</t>
  </si>
  <si>
    <t>10/03/2023</t>
  </si>
  <si>
    <t>Marina Maia do Carmo</t>
  </si>
  <si>
    <t>2625/2023</t>
  </si>
  <si>
    <t>Curso de Ambientação de Novos Servidores</t>
  </si>
  <si>
    <t>15 a 21/03/2023</t>
  </si>
  <si>
    <t>1624/2023</t>
  </si>
  <si>
    <t>Gestão, Regulação e Controle Externo de Gastos em Sistemas de Transporte Coletivo por Ônibus</t>
  </si>
  <si>
    <t>20 a 24/03/2023</t>
  </si>
  <si>
    <t>2701/2023</t>
  </si>
  <si>
    <t>20 e 21/03/2023</t>
  </si>
  <si>
    <t>JOAO GUILHERME LIMA CANDIDO;CASSIO MURILO ALVES COSTA FILHO;RAISSA RODRIGUES FREIRE;RODRIGO VILAS BOAS LICURSI</t>
  </si>
  <si>
    <t>2629/2023</t>
  </si>
  <si>
    <t>Introdução ao processo de controle externo - T2</t>
  </si>
  <si>
    <t>22 e 23/03/2023</t>
  </si>
  <si>
    <t>2996/2023</t>
  </si>
  <si>
    <t>Palestra de lançamento do módulo SISCOEX no Painel de Acompanhamento da Gestão Fiscal e Orçamentária do Distrito Federal</t>
  </si>
  <si>
    <t>23/03/2023</t>
  </si>
  <si>
    <t>3006/2023</t>
  </si>
  <si>
    <t>Roda de conversas: Desafios da Paternalidade na Condução do Temperamento das Crianças</t>
  </si>
  <si>
    <t>24/03/2023</t>
  </si>
  <si>
    <t>Alice Simão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</si>
  <si>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</si>
  <si>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</si>
  <si>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</si>
  <si>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3001/2023</t>
  </si>
  <si>
    <t>VI Workshop do projeto KnEDLe (Knowledge Extration from Documents of Legal Content)</t>
  </si>
  <si>
    <t>Planilhas de Terceirização de Mão de Obra - T2</t>
  </si>
  <si>
    <t>27 a 31/03/2023</t>
  </si>
  <si>
    <t>3424/2023</t>
  </si>
  <si>
    <t>Projeto: Universidades e o TCDF – Graduação em Direito</t>
  </si>
  <si>
    <t>30/03/2023</t>
  </si>
  <si>
    <t>Antonio Renato Alves Rainha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</si>
  <si>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</si>
  <si>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</si>
  <si>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</si>
  <si>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</si>
  <si>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15005/2022</t>
  </si>
  <si>
    <t>Curso de Formação de Formadores Nível 1 - Módulo 1 - T1</t>
  </si>
  <si>
    <t>11 a 13/04/2023</t>
  </si>
  <si>
    <t>Fernando de Assis Alves e Vladimir Santos Vitovsky</t>
  </si>
  <si>
    <t>13572/2022</t>
  </si>
  <si>
    <t>Diálogo sobre a Lei Maria da penha</t>
  </si>
  <si>
    <t>14/04/2023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</si>
  <si>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</si>
  <si>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</si>
  <si>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</si>
  <si>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</si>
  <si>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</si>
  <si>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LGPD - Ação 1 - Palestra 2 (Alta Administração do TCDF)</t>
  </si>
  <si>
    <t>18/04/2023</t>
  </si>
  <si>
    <t>LGPD - Ação 2 - Palestra para servidores do TCDF</t>
  </si>
  <si>
    <t>4447/2023</t>
  </si>
  <si>
    <t>TCDF e a atuação do contador público - T1</t>
  </si>
  <si>
    <t>Fernanda Viana de Souza</t>
  </si>
  <si>
    <t>TCDF e a atuação do contador público - T2</t>
  </si>
  <si>
    <t>TCDF e a atuação do contador público - T3</t>
  </si>
  <si>
    <t>19/04/2023</t>
  </si>
  <si>
    <t>TCDF e a atuação do contador público - T4</t>
  </si>
  <si>
    <t>772/2023</t>
  </si>
  <si>
    <t>Foco na liderança e desenvolvimento da mentalidade de People Analytics - T1</t>
  </si>
  <si>
    <t>03, 05, 08, 10, 12, 15, 17, 19 e 22/05/2023</t>
  </si>
  <si>
    <t>Planilhas de Terceirização de Mão de Obra - T3</t>
  </si>
  <si>
    <t>24 a 28/04/2023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</si>
  <si>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</si>
  <si>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</si>
  <si>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</si>
  <si>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</si>
  <si>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</si>
  <si>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</si>
  <si>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</si>
  <si>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</si>
  <si>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3866/2023</t>
  </si>
  <si>
    <t>Introdução ao processo de controle externo - T3</t>
  </si>
  <si>
    <t>02, 04, 09e 11/05/2023</t>
  </si>
  <si>
    <t>1338/2023</t>
  </si>
  <si>
    <t>Certified Scrum Product Owner (CSPO)</t>
  </si>
  <si>
    <t>11/05 a 14/06/2023</t>
  </si>
  <si>
    <t>K21</t>
  </si>
  <si>
    <t>LGPD - Ação 3</t>
  </si>
  <si>
    <t>15/05 a 14/07/2023</t>
  </si>
  <si>
    <t>Adriana Carla</t>
  </si>
  <si>
    <t>5617/2023</t>
  </si>
  <si>
    <t>Palestra sobre o teletrabalho</t>
  </si>
  <si>
    <t>25/05/2023</t>
  </si>
  <si>
    <t>Marcela Shakir; Thamara Dayane Cardoso Santos; Bruno Coelho</t>
  </si>
  <si>
    <t>Foco na liderança e desenvolvimento da mentalidade de People Analytics - T2</t>
  </si>
  <si>
    <t>12, 14, 16, 19, 21, 23, 26, 28 e 30/06/2023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</si>
  <si>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</si>
  <si>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</si>
  <si>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</si>
  <si>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</si>
  <si>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5949/2023</t>
  </si>
  <si>
    <t>Nova Lei de Licitações e Contratos - Teoria e Aplicações</t>
  </si>
  <si>
    <t>19 a 23/06/2023</t>
  </si>
  <si>
    <t>Oswaldo Junqueira Vaz Junior</t>
  </si>
  <si>
    <t xml:space="preserve">Palestra sobre contratos em Saúde </t>
  </si>
  <si>
    <t>20/06/2023</t>
  </si>
  <si>
    <t>Daniel Gomes</t>
  </si>
  <si>
    <t>5209/2023</t>
  </si>
  <si>
    <t>Curso de Capacitação para Conselheiros de Saúde - T1</t>
  </si>
  <si>
    <t>26 a 30/06/2023</t>
  </si>
  <si>
    <t>7981/2023</t>
  </si>
  <si>
    <t>TCDF e a Fiscalização de Obras - T1</t>
  </si>
  <si>
    <t>26/06/2023</t>
  </si>
  <si>
    <t>7978/2023</t>
  </si>
  <si>
    <t>Evento de lançamento do Projeto Ideia Nova</t>
  </si>
  <si>
    <t>27/06/2023</t>
  </si>
  <si>
    <t>Leon Sólon</t>
  </si>
  <si>
    <t>5662/2023</t>
  </si>
  <si>
    <t>Curso Básico em e-TCDF</t>
  </si>
  <si>
    <t>03 e 04/07/2023</t>
  </si>
  <si>
    <t>8365/2023</t>
  </si>
  <si>
    <t>Projeto: Universidades e o TCDF - “Estudo de caso: obra de drenagem do Programa Drenar DF”</t>
  </si>
  <si>
    <t>07/07/2023</t>
  </si>
  <si>
    <t>7001/2023; 7137/2023</t>
  </si>
  <si>
    <t>Capacitação para Promoção Funcional - T1</t>
  </si>
  <si>
    <t>24 a 28/07/2023</t>
  </si>
  <si>
    <t>Hanna Gabriela Lucena de Barron; Rômulo Miranda Alvim</t>
  </si>
  <si>
    <t>7137/2023</t>
  </si>
  <si>
    <t>Palestra Gestão Pública baseada em evidências - T1</t>
  </si>
  <si>
    <t>Publix</t>
  </si>
  <si>
    <t>Palestra Gestão Pública baseada em evidências - T2</t>
  </si>
  <si>
    <t>LGPD - Ação 5</t>
  </si>
  <si>
    <t>31/07 a 28/08/2023</t>
  </si>
  <si>
    <t>Frank Ned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</si>
  <si>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</si>
  <si>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</si>
  <si>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</si>
  <si>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</si>
  <si>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8621/2023</t>
  </si>
  <si>
    <t>Oficina SEMAT XXVIII - TIC</t>
  </si>
  <si>
    <t>07 a 08/08/2023</t>
  </si>
  <si>
    <t>Flávio José Fonseca de Souza</t>
  </si>
  <si>
    <t>5295/2023</t>
  </si>
  <si>
    <t>Mentorias individuais para gstores de nivel tático do TCDF</t>
  </si>
  <si>
    <t>07/08 a 05/12/2023</t>
  </si>
  <si>
    <t>8966/2023</t>
  </si>
  <si>
    <t>Oficina temática SEMAT - Reajustes em contratos de obras públicas – Legislação e aspectos práticos,</t>
  </si>
  <si>
    <t>07 e 08/08/2023</t>
  </si>
  <si>
    <t>8988/2023</t>
  </si>
  <si>
    <t>Oficina temática SEMAT – Admissões e Fiscalização de Pessoal</t>
  </si>
  <si>
    <t>07/08/2023</t>
  </si>
  <si>
    <t>Vilcemar Fernandes Maia Filho; Carlos Antônio</t>
  </si>
  <si>
    <t>9158/2023</t>
  </si>
  <si>
    <t>Oficina temática SEMAT - Concessões e Fiscalização de Pessoal</t>
  </si>
  <si>
    <t>08/08/2023</t>
  </si>
  <si>
    <t>Vilcemar Fernandes Maia Filho; Hugo Mesquita</t>
  </si>
  <si>
    <t>LGPD - Ação 4</t>
  </si>
  <si>
    <t>09/08 a 18/09/2023</t>
  </si>
  <si>
    <t>Curso de Formação de Formadores Nível 1 - Módulo 1 - T2</t>
  </si>
  <si>
    <t>09 a 11/08/2023</t>
  </si>
  <si>
    <t>7979/2023</t>
  </si>
  <si>
    <t>Teoria e prática na elaboração de ementas jurisprudenciais</t>
  </si>
  <si>
    <t>10, 11 e 17/08/2023</t>
  </si>
  <si>
    <t>Murilo Costa Moreira</t>
  </si>
  <si>
    <t>5918/2023</t>
  </si>
  <si>
    <t>Maratona temática: auditoria em mobilidade urbana</t>
  </si>
  <si>
    <t>16 a 18/08/2023</t>
  </si>
  <si>
    <t>Capacitação para Promoção Funcional - T2</t>
  </si>
  <si>
    <t>21 a 25/08/2023</t>
  </si>
  <si>
    <t>6269/2023</t>
  </si>
  <si>
    <t>"Regulação, Concessões e Parcerias Público-Privadas"</t>
  </si>
  <si>
    <t>28/08 a 04/09/2023</t>
  </si>
  <si>
    <t>Thiago Caldeira</t>
  </si>
  <si>
    <t>9004/2023</t>
  </si>
  <si>
    <t>Avaliação de Riscos e Controles</t>
  </si>
  <si>
    <t>05 a 27/09/2023</t>
  </si>
  <si>
    <t>9895/2023</t>
  </si>
  <si>
    <t>Nova Lei de Licitações e Contratos - Teoria e Aplicações - T2</t>
  </si>
  <si>
    <t>11 a 15/09/2023</t>
  </si>
  <si>
    <t>10004/2023</t>
  </si>
  <si>
    <t>A LINDB nas esferas administrativa e controladora</t>
  </si>
  <si>
    <t>12, 14, 19 e 21/09/2023</t>
  </si>
  <si>
    <t>Gabriel Heller; Danilo Morais</t>
  </si>
  <si>
    <t>Foco na liderança e desenvolvimento da mentalidade de People Analytics - T3</t>
  </si>
  <si>
    <t>13/09 a 02/10/2023</t>
  </si>
  <si>
    <t>8841/2023</t>
  </si>
  <si>
    <t>18, 20 e 22/09/2023</t>
  </si>
  <si>
    <t>10378/2023</t>
  </si>
  <si>
    <t>Comunicação: princípios e práticas para se relacionar com empatia e assertividade</t>
  </si>
  <si>
    <t>26 a 28/09/2023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</si>
  <si>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</si>
  <si>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</si>
  <si>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</si>
  <si>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12286/2023</t>
  </si>
  <si>
    <t>Curso de Capacitação para Conselheiros de Saúde - Região Sudoeste T1</t>
  </si>
  <si>
    <t>03 e 04/10/2023</t>
  </si>
  <si>
    <t>LGPD - Ação 6 - Workshop de Adequação dos contratos</t>
  </si>
  <si>
    <t>05/10/2023</t>
  </si>
  <si>
    <t>Renata de Castro</t>
  </si>
  <si>
    <t>9089/2023</t>
  </si>
  <si>
    <t>“Chat GPT na prática docente</t>
  </si>
  <si>
    <t>12258/2023</t>
  </si>
  <si>
    <t>Visita do Filhos ao Trabalho</t>
  </si>
  <si>
    <t>06/10/2023</t>
  </si>
  <si>
    <t>Fábula Cia de Teatro e mágico Tio André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</si>
  <si>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</si>
  <si>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</si>
  <si>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</si>
  <si>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</si>
  <si>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12261/2023</t>
  </si>
  <si>
    <t>TCDF na sociedade: fiscalizações em saúde.</t>
  </si>
  <si>
    <t>10/10/2023</t>
  </si>
  <si>
    <t>12703/2023</t>
  </si>
  <si>
    <t>Palestras "Ciclo de Inovação TCDF" - T1</t>
  </si>
  <si>
    <t>Curso de Capacitação para Conselheiros de Saúde - Região Sul T2</t>
  </si>
  <si>
    <t>17 e 18/10/2023</t>
  </si>
  <si>
    <t>Palestras "Ciclo de Inovação TCDF" - T2</t>
  </si>
  <si>
    <t>17/10/2023</t>
  </si>
  <si>
    <t>LGPD - Ação 6 - Workshop Inventário de Dados Pessoais (turma 1)</t>
  </si>
  <si>
    <t>18/10/2023</t>
  </si>
  <si>
    <t>Curso de Capacitação para Conselheiros de Saúde - Centro Sul T3</t>
  </si>
  <si>
    <t>19 e 20/10/2023</t>
  </si>
  <si>
    <t>LGPD - Ação 6 - Workshop Inventário de Dados Pessoais (turma 2)</t>
  </si>
  <si>
    <t>19/10/2023</t>
  </si>
  <si>
    <t>LGPD - Ação 6 - Workshop Inventário de Dados Pessoais (turma 3)</t>
  </si>
  <si>
    <t>20/10/2023</t>
  </si>
  <si>
    <t>12912/2023</t>
  </si>
  <si>
    <t>Atividades da 5ª Semana do Servidor do TCDF</t>
  </si>
  <si>
    <t>23 a 27/10/2023</t>
  </si>
  <si>
    <t>13923/2023</t>
  </si>
  <si>
    <t>Mesa “O consenso nos contratos de concessão de infraestrutura: o papel e a experiência do TCU"</t>
  </si>
  <si>
    <t>24/10/2023</t>
  </si>
  <si>
    <t>Nicola Espinheira</t>
  </si>
  <si>
    <t>13012/2023</t>
  </si>
  <si>
    <t>Oficina de Escrita Criativa</t>
  </si>
  <si>
    <t>25/10/2023</t>
  </si>
  <si>
    <t>Curso de Capacitação para Conselheiros de Saúde - Leste T4</t>
  </si>
  <si>
    <t>26 e 27/10/2023</t>
  </si>
  <si>
    <t>LGPD - Ação 6 - Workshop Relatório de impacto e Termos de uso</t>
  </si>
  <si>
    <t>13068/2023</t>
  </si>
  <si>
    <t>Café &amp; Tertúlia – especial Semana do Servidor</t>
  </si>
  <si>
    <t>27/10/2023</t>
  </si>
  <si>
    <t>Certified Scrum Product Owner (CSPO) - T2</t>
  </si>
  <si>
    <t>31/10 a 17/11/2023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</si>
  <si>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</si>
  <si>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</si>
  <si>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</si>
  <si>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Palestras "Ciclo de Inovação TCDF" - T4</t>
  </si>
  <si>
    <t>07/11/2023</t>
  </si>
  <si>
    <t>12887/2023</t>
  </si>
  <si>
    <t>Maratona temática: primeira infância</t>
  </si>
  <si>
    <t>09 e 10/11/2023</t>
  </si>
  <si>
    <t>Curso de Capacitação para Conselheiros de Saúde - Central T5</t>
  </si>
  <si>
    <t>13 e 14/11/2023</t>
  </si>
  <si>
    <t>14153/2023</t>
  </si>
  <si>
    <t>Palestra “A Implementação da Nova Lei de Licitações no TCDF”</t>
  </si>
  <si>
    <t>13/11/2023</t>
  </si>
  <si>
    <t>Curso de Capacitação para Conselheiros de Saúde - Norte T6</t>
  </si>
  <si>
    <t>16 e 17/11/2023</t>
  </si>
  <si>
    <t>14667/2023</t>
  </si>
  <si>
    <t>Mentoria em elaboração de ementas jurisprudenciais</t>
  </si>
  <si>
    <t>17/11 a 08/12/2023</t>
  </si>
  <si>
    <t>Jéssyca Péres</t>
  </si>
  <si>
    <t>14668/2023</t>
  </si>
  <si>
    <t>Curso de Capacitação para Conselheiros de Saúde - Oeste T7</t>
  </si>
  <si>
    <t>21 e 22/11/2023</t>
  </si>
  <si>
    <t>15017/2023</t>
  </si>
  <si>
    <t>Encontro de encerramento das mentorias e apresentação do diagnóstico das lideranças no TCDF.</t>
  </si>
  <si>
    <t>24/11/2023</t>
  </si>
  <si>
    <t>12826/2023</t>
  </si>
  <si>
    <t>Oficina de Contratações de Tecnologia da Informação</t>
  </si>
  <si>
    <t>27 e 28/11/2023</t>
  </si>
  <si>
    <t>15016/2023</t>
  </si>
  <si>
    <t>Peça Teatral Antonieta de Barros: Uma história que não nos contaram.</t>
  </si>
  <si>
    <t>27/11/2023</t>
  </si>
  <si>
    <t>14906/2023</t>
  </si>
  <si>
    <t>Maratona Temática: auditoria em resíduos sólidos</t>
  </si>
  <si>
    <t>04 e 05/12/2023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</si>
  <si>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</si>
  <si>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</si>
  <si>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</si>
  <si>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</si>
  <si>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15206/2023</t>
  </si>
  <si>
    <t>Encontro Escola de Instrutores - Premiação</t>
  </si>
  <si>
    <t>14952/2023</t>
  </si>
  <si>
    <t>Palestra “Tendências e tecnologias disruptivas que impactam o Tribunal de Contas”</t>
  </si>
  <si>
    <t>07/12/2023</t>
  </si>
  <si>
    <t>Alexandre Nunes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</si>
  <si>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</si>
  <si>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</si>
  <si>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</si>
  <si>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</si>
  <si>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10814/2023</t>
  </si>
  <si>
    <t>Mentoria em Análise de Dados com o uso de Power Apps e Power BI.</t>
  </si>
  <si>
    <t>15/12/2023</t>
  </si>
  <si>
    <t>394/2024</t>
  </si>
  <si>
    <t>Contraditório e Defesa no Processo de Controle Externo (Turma 1)</t>
  </si>
  <si>
    <t>20, 22, 27 e 29/02/2024</t>
  </si>
  <si>
    <t>Gabriel Heller; Tarsila Firmino</t>
  </si>
  <si>
    <t>13950/2023</t>
  </si>
  <si>
    <t>Curso “Cadeia de Valor Institucional"</t>
  </si>
  <si>
    <t>22/02 a 08/03/2024</t>
  </si>
  <si>
    <t>9993/2023</t>
  </si>
  <si>
    <t>Tcendo o Futuro (1ª turma) - Colégio Mão Amiga João Paulo II - Paronoá</t>
  </si>
  <si>
    <t>03/12/2024</t>
  </si>
  <si>
    <t>Fernando de Assis Alves</t>
  </si>
  <si>
    <t>513/2024</t>
  </si>
  <si>
    <t>Planilhas de Terceirização de Mão de Obra, de acordo com a Lei nº 14.133/2021 - (Turma 1)</t>
  </si>
  <si>
    <t>04 a 08/03/2024</t>
  </si>
  <si>
    <t>784/2024</t>
  </si>
  <si>
    <t>Teoria e Prática na elaboração de ementas Jurisprudenciais</t>
  </si>
  <si>
    <t>05, 07, 12 e 14/03/2024</t>
  </si>
  <si>
    <t>Caio Filipe; Marcelo Kessler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</si>
  <si>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</si>
  <si>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</si>
  <si>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</si>
  <si>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</si>
  <si>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833/2024</t>
  </si>
  <si>
    <t>Feira com empreendedores locais (projeto Transforma-se) - Dia da Mulher</t>
  </si>
  <si>
    <t>710/2024</t>
  </si>
  <si>
    <t>Atendimento humanizado ao público no TCDF: Inteligência emocional e comunicação assertiva</t>
  </si>
  <si>
    <t>12 a 21/03/2024</t>
  </si>
  <si>
    <t>Isac Pamplona</t>
  </si>
  <si>
    <t>1125/2024</t>
  </si>
  <si>
    <t>Curso de Capacitação para Conselheiros de Saúde (Turma 1)</t>
  </si>
  <si>
    <t>18 a 22/03/2024</t>
  </si>
  <si>
    <t>1895/2024</t>
  </si>
  <si>
    <t>Ouvidoria Day</t>
  </si>
  <si>
    <t>19/03/2024</t>
  </si>
  <si>
    <t>Mônica; Cecília; Juliana; Demóstenes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</si>
  <si>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</si>
  <si>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</si>
  <si>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</si>
  <si>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</si>
  <si>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</si>
  <si>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12891/2023</t>
  </si>
  <si>
    <t>Escola de Instrutores: Avaliação de Aprendizagem</t>
  </si>
  <si>
    <t>01 a 05/04/2024</t>
  </si>
  <si>
    <t>1093/2024</t>
  </si>
  <si>
    <t>Relacionamentos Interpessoais no Trabalho</t>
  </si>
  <si>
    <t>01, 03, 05, 08 e 10/04/2024</t>
  </si>
  <si>
    <t>1401/2024</t>
  </si>
  <si>
    <t>Curso prático de Amostragem de Unidades Monetárias em Auditorias Financeiras</t>
  </si>
  <si>
    <t>Carlos Cascão</t>
  </si>
  <si>
    <t>1461/2024</t>
  </si>
  <si>
    <t>Mentoria: Quantificação de Benefícios para o TCDF</t>
  </si>
  <si>
    <t>02/04 a 23/05/2024</t>
  </si>
  <si>
    <t>Fábio Flores; Mario David</t>
  </si>
  <si>
    <t>Curso de Aperfeiçoamento em Avaliação e Controle de Políticas Públicas</t>
  </si>
  <si>
    <t>05, 12, 19 e 26/04/2024</t>
  </si>
  <si>
    <t>Leonardo Albernaz</t>
  </si>
  <si>
    <t>1865/2024</t>
  </si>
  <si>
    <t>Sua segurança importa muito! - T1</t>
  </si>
  <si>
    <t>05/04/2024</t>
  </si>
  <si>
    <t>Tarsila Firmino Ely; Antonio Renato Alves Rainha</t>
  </si>
  <si>
    <t>Planilhas de Terceirização de Mão de Obra, de acordo com a Lei nº 14.133/2021 - (Turma 2)</t>
  </si>
  <si>
    <t>08 a 12/04/2024</t>
  </si>
  <si>
    <t>2928/2024</t>
  </si>
  <si>
    <t>Mentoria em Redação de Ementas Jurisprudenciais</t>
  </si>
  <si>
    <t>08/04/2024 a 03/05/2024</t>
  </si>
  <si>
    <t>Jessyca Rodrigues</t>
  </si>
  <si>
    <t>Sua segurança importa muito! - T2</t>
  </si>
  <si>
    <t>12/04/2024</t>
  </si>
  <si>
    <t>588/2024</t>
  </si>
  <si>
    <t>Oratória e Storytelling</t>
  </si>
  <si>
    <t>15, 17, 19, 22, 24 e 29/04/2024</t>
  </si>
  <si>
    <t>Corregedoria Day</t>
  </si>
  <si>
    <t>02/05/2024</t>
  </si>
  <si>
    <t>419/2024</t>
  </si>
  <si>
    <t>Oficina PDG - O Papel do Líder - nível tatico</t>
  </si>
  <si>
    <t>03/05/2024</t>
  </si>
  <si>
    <t>Henrique Santana</t>
  </si>
  <si>
    <t>613/2024</t>
  </si>
  <si>
    <t>Curso básico em e-TCDF (T1)</t>
  </si>
  <si>
    <t>06 a 09/05/2024</t>
  </si>
  <si>
    <t>Cássio Murilo Alves Costa Filho</t>
  </si>
  <si>
    <t>3829/2024</t>
  </si>
  <si>
    <t>Universidades e o TCDF - "TCDF e a atuação administrativa no setor público" - Contabilidade T1</t>
  </si>
  <si>
    <t>08 a 10/05/2024</t>
  </si>
  <si>
    <t>Universidades e o TCDF - "TCDF e a atuação administrativa no setor público" - Contabilidade T2</t>
  </si>
  <si>
    <t>Universidades e o TCDF - "TCDF e a atuação administrativa no setor público" - Contabilidade T3</t>
  </si>
  <si>
    <t>Universidades e o TCDF - "TCDF e a atuação administrativa no setor público" - Eng Civil Palestra</t>
  </si>
  <si>
    <t>Universidades e o TCDF - "TCDF e a atuação administrativa no setor público" - Eng Civil Visita Técnica</t>
  </si>
  <si>
    <t>Oficina PDG - O Papel do Líder - nível operacional</t>
  </si>
  <si>
    <t>10/05/2024</t>
  </si>
  <si>
    <t>Happy hour - Dia da Mulher</t>
  </si>
  <si>
    <t>Curso de Capacitação para Conselheiros de Saúde (Turma 2)</t>
  </si>
  <si>
    <t>13 a 17/05/2024</t>
  </si>
  <si>
    <t>2524/2024</t>
  </si>
  <si>
    <t>Palestra "Segurança Orgânica" - servidores em geral</t>
  </si>
  <si>
    <t>14/05/2024</t>
  </si>
  <si>
    <t>Alexandre Herculano; Willian Vitoriano; Frederico Nardotto</t>
  </si>
  <si>
    <t>Palestra "Segurança Orgânica" - servidores Segedam e NIE</t>
  </si>
  <si>
    <t>15/05/2024</t>
  </si>
  <si>
    <t>Palestra "Segurança Orgânica" - terceirizados</t>
  </si>
  <si>
    <t>16/05/2024</t>
  </si>
  <si>
    <t>17/05/2024</t>
  </si>
  <si>
    <t>3810/2024</t>
  </si>
  <si>
    <t>Matriz de Responsabilização - MPDFT</t>
  </si>
  <si>
    <t>20, 22 e 24/05/2024</t>
  </si>
  <si>
    <t>1524/2024</t>
  </si>
  <si>
    <t>Curso de oratória para auditores de controle externo</t>
  </si>
  <si>
    <t>27/05 a 03/06/2024</t>
  </si>
  <si>
    <t>5386/2024</t>
  </si>
  <si>
    <t>Consulta a base de dados do TCDF usando o SAS</t>
  </si>
  <si>
    <t>28/05 a 13/06/2024</t>
  </si>
  <si>
    <t>Rômulo Miranda Alvim; Luis Gustavo de Aquino Carvalho</t>
  </si>
  <si>
    <t>4078/2024</t>
  </si>
  <si>
    <t>Contraditório e Defesa no Processo de Controle Externo T2</t>
  </si>
  <si>
    <t>03, 05, 07, 11 e 13/06/2024</t>
  </si>
  <si>
    <t>2308/2024</t>
  </si>
  <si>
    <t>MAis tempo, mais produtividade</t>
  </si>
  <si>
    <t>04, 06, 11 e 13/06/2024</t>
  </si>
  <si>
    <t>3873/2024</t>
  </si>
  <si>
    <t>Maratona Temática - educação</t>
  </si>
  <si>
    <t>13 e 14/06/2024</t>
  </si>
  <si>
    <t>Coffee-Talk PDG - O Papel do Líder - nível tatico</t>
  </si>
  <si>
    <t>14/06/2024</t>
  </si>
  <si>
    <t>3839/2024</t>
  </si>
  <si>
    <t>Levantamento na prática</t>
  </si>
  <si>
    <t>17 a 20/06/2024</t>
  </si>
  <si>
    <t>Curso básico em e-TCDF (T2)</t>
  </si>
  <si>
    <t>5803/2024</t>
  </si>
  <si>
    <t>Curso de Ambientação</t>
  </si>
  <si>
    <t>18 a 21/06/2024</t>
  </si>
  <si>
    <t>Curso em Quantificação de Benefícios para o TCDF</t>
  </si>
  <si>
    <t>18, 19, 25 e 26/06/2024</t>
  </si>
  <si>
    <t>Coffee-Talk PDG - O Papel do Líder - nível operacional</t>
  </si>
  <si>
    <t>21/06/2024</t>
  </si>
  <si>
    <t>4734/2024</t>
  </si>
  <si>
    <t>Palestra "Combate ao Assedio Moral e Sexual"</t>
  </si>
  <si>
    <t>24/06/2024</t>
  </si>
  <si>
    <t>Apresentação do SQB - Sistema de Quantificação de Benefícios</t>
  </si>
  <si>
    <t>27/06/2024</t>
  </si>
  <si>
    <t>Conectando-se ao TCDF: tour físico e virtual</t>
  </si>
  <si>
    <t>28/06/2024</t>
  </si>
  <si>
    <t>Luiz Felipe Tenório</t>
  </si>
  <si>
    <t>Oficina PDG - Comunicação e Feedback - nível tatico</t>
  </si>
  <si>
    <t>Festa Junina da Integração</t>
  </si>
  <si>
    <t>6589/2024</t>
  </si>
  <si>
    <t>Curso básico em e-TCDF para novos servidores (T1)</t>
  </si>
  <si>
    <t>01 a 05/07/2024</t>
  </si>
  <si>
    <t>7023/2024</t>
  </si>
  <si>
    <t>Formação para novos Auditores</t>
  </si>
  <si>
    <t>01 a 19/07/2024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</si>
  <si>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</si>
  <si>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</si>
  <si>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</si>
  <si>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</si>
  <si>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5036/2024</t>
  </si>
  <si>
    <t>Auditoria de Obras nos Regimes de Contratação Integrada e Semi-integrada</t>
  </si>
  <si>
    <t>03/07/2024</t>
  </si>
  <si>
    <t>Oficina PDG - Comunicação e Feedback - nível operacional</t>
  </si>
  <si>
    <t>05/07/2024</t>
  </si>
  <si>
    <t>6564/2024</t>
  </si>
  <si>
    <t>Mapeamento de processos para auditoria</t>
  </si>
  <si>
    <t>22, 24 e 25/07/2024</t>
  </si>
  <si>
    <t>Caio Filipe</t>
  </si>
  <si>
    <t>5757/2024</t>
  </si>
  <si>
    <t>Introcução ao processo de CE (ambientação)</t>
  </si>
  <si>
    <t>24, 25, 27 e 28/07/2024</t>
  </si>
  <si>
    <t>Coffee-Talk PDG - Comunicação e Feedback - nível tatico</t>
  </si>
  <si>
    <t>26/07/2024</t>
  </si>
  <si>
    <t>4979/2024</t>
  </si>
  <si>
    <t>SIGGO para Auditoria</t>
  </si>
  <si>
    <t>29/07 a 02/08/2024</t>
  </si>
  <si>
    <t>Fernanda Viana de Souza; Túllio Herbeth</t>
  </si>
  <si>
    <t>4375/2024</t>
  </si>
  <si>
    <t>Encontro Nacional de Mobilidade Urbana - aberto</t>
  </si>
  <si>
    <t>29, 30 e 31/07/2024</t>
  </si>
  <si>
    <t>Encontro Nacional de Mobilidade Urbana - fechado</t>
  </si>
  <si>
    <t>31/07 a 01/08/2024</t>
  </si>
  <si>
    <t>6295/2024</t>
  </si>
  <si>
    <t>Pesquisa em Jurisprudência do TCDF e Legislação do Distrito Federal - T1</t>
  </si>
  <si>
    <t>06 e 08/08/2024</t>
  </si>
  <si>
    <t>Idalécio José; Rodrigo Vilas Boas Licursi</t>
  </si>
  <si>
    <t>Coffee-Talk PDG - Comunicação e Feedback - nível operacional</t>
  </si>
  <si>
    <t>02/08/2024</t>
  </si>
  <si>
    <t>Oficina PDG - Performance de Equipe - nível tatico</t>
  </si>
  <si>
    <t>09/08/2024</t>
  </si>
  <si>
    <t>6994/2024</t>
  </si>
  <si>
    <t>XXIX SEMAT</t>
  </si>
  <si>
    <t>15 e 16/08/2024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</si>
  <si>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</si>
  <si>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</si>
  <si>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</si>
  <si>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</si>
  <si>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6546/2024</t>
  </si>
  <si>
    <t>Segurança Jurídica e desafios na tomada de decisão no setor público</t>
  </si>
  <si>
    <t>20, 22, 26, 28 e 30/08/2024</t>
  </si>
  <si>
    <t>Danilo; Gabriel Heller</t>
  </si>
  <si>
    <t>8142/2024</t>
  </si>
  <si>
    <t>Oficina temática - SEMAT: Concursos públicos e registro de admissões</t>
  </si>
  <si>
    <t>20/08/2024</t>
  </si>
  <si>
    <t>Carlos Antônio</t>
  </si>
  <si>
    <t>9914/2024</t>
  </si>
  <si>
    <t>Treinamento SRH</t>
  </si>
  <si>
    <t>20 e 21/08/2024</t>
  </si>
  <si>
    <t>João Guilherme Lima Candido; Marcelo Luiz Garcia Salles</t>
  </si>
  <si>
    <t>8164/2024</t>
  </si>
  <si>
    <t>Oficina temática – SEMAT: Concessões e Fiscalização de Pessoal</t>
  </si>
  <si>
    <t>21/08/2024</t>
  </si>
  <si>
    <t>Mayara e Hugo</t>
  </si>
  <si>
    <t>7463/2024</t>
  </si>
  <si>
    <t>E-Contas - T1</t>
  </si>
  <si>
    <t>22/08/2024</t>
  </si>
  <si>
    <t>9305/2024</t>
  </si>
  <si>
    <t>SIGGO para Auditoria - T2</t>
  </si>
  <si>
    <t>26, 28 e 29/08/2024</t>
  </si>
  <si>
    <t>7736/2024</t>
  </si>
  <si>
    <t>Segundo Ciclo - Conselheiros de Saude - T1</t>
  </si>
  <si>
    <t>26 a 30/08/2024</t>
  </si>
  <si>
    <t>Tarsila Firmino e Adbiel</t>
  </si>
  <si>
    <t>7444/2024</t>
  </si>
  <si>
    <t>Instrução de Tomada de Contas Especiais</t>
  </si>
  <si>
    <t>02 a 04/09/2024</t>
  </si>
  <si>
    <t>Curso básico em e-TCDF (T3)</t>
  </si>
  <si>
    <t>02 a 05/09/2024</t>
  </si>
  <si>
    <t>Cássio Murilo</t>
  </si>
  <si>
    <t>920/2024</t>
  </si>
  <si>
    <t>Ferramentas tecnológicas para o processo de ensino aprendizagem</t>
  </si>
  <si>
    <t>10 a 12/09/2024</t>
  </si>
  <si>
    <t>Fernando de Assis Alves; Vladimir Santos Vitovsky</t>
  </si>
  <si>
    <t>10, 12, 17 e 19/09/2024</t>
  </si>
  <si>
    <t>E-Contas - T2</t>
  </si>
  <si>
    <t>12/09/2024</t>
  </si>
  <si>
    <t>Coffee Talk PDG</t>
  </si>
  <si>
    <t>13/09/2024</t>
  </si>
  <si>
    <t>16, 18, 20, 23, 25 e 27/09/2024</t>
  </si>
  <si>
    <t>6654/2024</t>
  </si>
  <si>
    <t>Curso Básico de Power BI - turma 1</t>
  </si>
  <si>
    <t>16 a 20/09/2024</t>
  </si>
  <si>
    <t>Oficina PDG - Performance de Equipe - nível operacional</t>
  </si>
  <si>
    <t>20/09/2024</t>
  </si>
  <si>
    <t>Planilhas de Terceirização de Mão de Obra, de acordo com a Lei nº 14.133/2021 - (Turma 3)</t>
  </si>
  <si>
    <t>23 a 27/09/2024</t>
  </si>
  <si>
    <t>Segundo Ciclo - Conselheiro de Saude - T2</t>
  </si>
  <si>
    <t>9044/2024</t>
  </si>
  <si>
    <t>O instituto da prescrição no âmbito do TCDF</t>
  </si>
  <si>
    <t>24 e 26/09/2024</t>
  </si>
  <si>
    <t>Marcos Garcia da Silva Pinto</t>
  </si>
  <si>
    <t>10410/2024</t>
  </si>
  <si>
    <t>Contraditório e Defesa no Processo de Controle Externo.</t>
  </si>
  <si>
    <t>01, 02, 03, 08 e 10/10/2024</t>
  </si>
  <si>
    <t>Gabriel Heller; Luciana Alvim</t>
  </si>
  <si>
    <t>11896/2024</t>
  </si>
  <si>
    <t>Ambientação - T2</t>
  </si>
  <si>
    <t>04 e 07/10/2024</t>
  </si>
  <si>
    <t>11097/2024</t>
  </si>
  <si>
    <t>Animação profissional para o Dia da Visita dos Filhos ao Trabalho 2024</t>
  </si>
  <si>
    <t>04/10/2024</t>
  </si>
  <si>
    <t>Daniel da Silva Grisóstomo</t>
  </si>
  <si>
    <t>10889/2024</t>
  </si>
  <si>
    <t>Mês do Servidor e Semana da Saúde 2024</t>
  </si>
  <si>
    <t>07 a 25/10/2024</t>
  </si>
  <si>
    <t>10895/2024</t>
  </si>
  <si>
    <t>Palestra "Propósito e sentido de vida"</t>
  </si>
  <si>
    <t>07/10/2024</t>
  </si>
  <si>
    <t>Lúcia Helena Galvão</t>
  </si>
  <si>
    <t>Pesquisa em Jurisprudência do TCDF e Legislação do Distrito Federal - T2</t>
  </si>
  <si>
    <t>08 e 10/10/2024</t>
  </si>
  <si>
    <t>Curso básico em e-TCDF (T4)</t>
  </si>
  <si>
    <t>08 a 11/10/2024</t>
  </si>
  <si>
    <t>11954/2024</t>
  </si>
  <si>
    <t>Palestra “TCDF na sociedade: apresentação de resultados da auditoria em saúde realizada pelo TCDF”</t>
  </si>
  <si>
    <t>08/10/2024</t>
  </si>
  <si>
    <t>Ludmyla Machado</t>
  </si>
  <si>
    <t>10896/2024</t>
  </si>
  <si>
    <t>Aulão de foto e edição de imagens com celular</t>
  </si>
  <si>
    <t>10/10/2024</t>
  </si>
  <si>
    <t>Zuleika de Souza</t>
  </si>
  <si>
    <t>Oficina PDG - Gestão para o Futuro - nível tatico</t>
  </si>
  <si>
    <t>11/10/2024</t>
  </si>
  <si>
    <t>10686/2024</t>
  </si>
  <si>
    <t>Curso Prático de ETP e TR - T1</t>
  </si>
  <si>
    <t>14 a 17/10/2024</t>
  </si>
  <si>
    <t>João Forni</t>
  </si>
  <si>
    <t>11840/2024</t>
  </si>
  <si>
    <t>Curso “Atendimento humanizado ao público na área da saúde” - T1</t>
  </si>
  <si>
    <t>14, 15, 16 e 18/10/2024</t>
  </si>
  <si>
    <t>11191/2024</t>
  </si>
  <si>
    <t>Consulta a bases de dados do TCDF usando o SAS - T2</t>
  </si>
  <si>
    <t>14, 16, 18, 22, 24 e 30/10/2024</t>
  </si>
  <si>
    <t>10897/2024</t>
  </si>
  <si>
    <t>Oficina "Poética Visual"</t>
  </si>
  <si>
    <t>17/10/2024</t>
  </si>
  <si>
    <t>Pedro Sangeon</t>
  </si>
  <si>
    <t>Coffee-Talk PDG - Performance de Equipe - nível operacional</t>
  </si>
  <si>
    <t>18/10/2024</t>
  </si>
  <si>
    <t>8683/2024</t>
  </si>
  <si>
    <t>Coordenação de ações educacionais - ementas</t>
  </si>
  <si>
    <t>21/10/2024</t>
  </si>
  <si>
    <t>Marcelo Kessler</t>
  </si>
  <si>
    <t>1347/2024</t>
  </si>
  <si>
    <t>MEntoria em Liderança, gestão, desenvolvimento e resultado de equipes</t>
  </si>
  <si>
    <t>10898/2024</t>
  </si>
  <si>
    <t>Palestra “Segurança, saúde, bem-estar e felicidade – o papel da organização e o protagonismo de cada um”</t>
  </si>
  <si>
    <t>Eugênio Mussak</t>
  </si>
  <si>
    <t>Segundo Ciclo - Conselheiro de Saude - T3</t>
  </si>
  <si>
    <t>21 a 25/10/2024</t>
  </si>
  <si>
    <t>10901/2024</t>
  </si>
  <si>
    <t>Roda de Conversa “Neurociências e Sono: Estratégias para Recuperar o Bem-Estar e a Qualidade de Vida”</t>
  </si>
  <si>
    <t>23/10/2024</t>
  </si>
  <si>
    <t>Carolina Prado</t>
  </si>
  <si>
    <t>10547/2024</t>
  </si>
  <si>
    <t>Boas práticas em gestão para Administrações Regionais</t>
  </si>
  <si>
    <t>29 a 31/10/2024</t>
  </si>
  <si>
    <t>Elwys Presley dos Reis</t>
  </si>
  <si>
    <t>6321/2024</t>
  </si>
  <si>
    <t>Oficina de acesso a conteúdos digitais do TCDF - T2</t>
  </si>
  <si>
    <t>29 e 31/10/2024</t>
  </si>
  <si>
    <t>Leandro Silva</t>
  </si>
  <si>
    <t>Curso Básico de Power BI - turma 2</t>
  </si>
  <si>
    <t>04 a 08/11/2024</t>
  </si>
  <si>
    <t>10477/2024</t>
  </si>
  <si>
    <t>Conselheiros de Cultura</t>
  </si>
  <si>
    <t>04, 05, 11 e 12/11/2024</t>
  </si>
  <si>
    <t>Chris Ramirez</t>
  </si>
  <si>
    <t>10118/2024</t>
  </si>
  <si>
    <t>Elaboração de Cartilha sobre Inteligência Artificial no âmbito do Tribunal.</t>
  </si>
  <si>
    <t>07/11/2024</t>
  </si>
  <si>
    <t>Coffee-Talk PDG - Gestão para o Futuro - nível tatico</t>
  </si>
  <si>
    <t>08/11/2024</t>
  </si>
  <si>
    <t>Sílvia Regina e Leandro Silva</t>
  </si>
  <si>
    <t>11240/2024</t>
  </si>
  <si>
    <t>Curso "Erros comuns em Contratos de Obras e como evitá-los"</t>
  </si>
  <si>
    <t>11 a 13/11/2024</t>
  </si>
  <si>
    <t>Silvia e Wibys</t>
  </si>
  <si>
    <t>10697/2024</t>
  </si>
  <si>
    <t>Contratação de TIC</t>
  </si>
  <si>
    <t>18, 19 e 21/11/2024</t>
  </si>
  <si>
    <t>12138/2024</t>
  </si>
  <si>
    <t>Curso "Teoria e prática de elaboração de ementas jurisprudenciais" - T2</t>
  </si>
  <si>
    <t>18, 19, 21 e 22/11/2024</t>
  </si>
  <si>
    <t>10874/2024</t>
  </si>
  <si>
    <t>Matriz de Responsabilização - IGES</t>
  </si>
  <si>
    <t>19, 21, 26 e 28/11/2024</t>
  </si>
  <si>
    <t>10049/2024</t>
  </si>
  <si>
    <t>Cartilha Suprimento de Fundos</t>
  </si>
  <si>
    <t>21/11/2024</t>
  </si>
  <si>
    <t>Cartilha de Uso de Inteligência Artifical Generativa no TCDF</t>
  </si>
  <si>
    <t>Gustavo Henrique</t>
  </si>
  <si>
    <t>Oficina PDG - Gestão para o Futuro - nível operacional</t>
  </si>
  <si>
    <t>22/11/2024</t>
  </si>
  <si>
    <t>Curso Prático de ETP e TR - T2</t>
  </si>
  <si>
    <t>25 a 28/11/2024</t>
  </si>
  <si>
    <t>João Paulo Forni</t>
  </si>
  <si>
    <t>Curso “Atendimento humanizado ao público na área da saúde” - T2</t>
  </si>
  <si>
    <t>Lançamento de livros</t>
  </si>
  <si>
    <t>Tarsila Firmino Ely; Abdiel Andrade</t>
  </si>
  <si>
    <t>11946/2024</t>
  </si>
  <si>
    <t>Oficina de Boas práticas administrativas para Gabinetes e Secretariado.</t>
  </si>
  <si>
    <t>26 e 28/11/2024</t>
  </si>
  <si>
    <t>Hadijaline Itapá</t>
  </si>
  <si>
    <t>11703/2024</t>
  </si>
  <si>
    <t>Auditoria e Orçamentação de Obras Públicas com o uso do Sinapi</t>
  </si>
  <si>
    <t>26/11 a 03/12/2024</t>
  </si>
  <si>
    <t>11199/2024</t>
  </si>
  <si>
    <t>Maratona temática - Governança em Saúde</t>
  </si>
  <si>
    <t>28 e 29/11/2024</t>
  </si>
  <si>
    <t>Ciclo de Capacitação para gestores de Contrato – SES/IGESDF T2</t>
  </si>
  <si>
    <t>02, 03 e 04/12/2024</t>
  </si>
  <si>
    <t>12532/2024</t>
  </si>
  <si>
    <t>Palestra Escon 10 anos</t>
  </si>
  <si>
    <t>05/12/2024</t>
  </si>
  <si>
    <t>Gustavo Ziller</t>
  </si>
  <si>
    <t>Coffee-Talk PDG - Gestão para o Futuro - nível operacional</t>
  </si>
  <si>
    <t>06/12/2024</t>
  </si>
  <si>
    <t>13257/2024</t>
  </si>
  <si>
    <t>O Governo é da Nossa Conta - T2</t>
  </si>
  <si>
    <t>Fernanda Viana de Souza; Luiz Felipe Tenório; Ellen Verri Lopes; Joabe Dutra</t>
  </si>
  <si>
    <t>Segundo Ciclo - Conselheiro de Saude - T4</t>
  </si>
  <si>
    <t>09, 10, 12 e 13/12/2024</t>
  </si>
  <si>
    <t>456/2024</t>
  </si>
  <si>
    <t>Alura</t>
  </si>
  <si>
    <t>15/12/2024</t>
  </si>
  <si>
    <t>14335/2024</t>
  </si>
  <si>
    <t>Planilhas de Terceirização de Mão de Obra - Turma 1</t>
  </si>
  <si>
    <t>27 a 31/01/2025</t>
  </si>
  <si>
    <t>2954/2025</t>
  </si>
  <si>
    <t>01/02/2025</t>
  </si>
  <si>
    <t>13993/2024</t>
  </si>
  <si>
    <t>Atendimento humanizado ao público na área da saúde - Turma 1</t>
  </si>
  <si>
    <t>03 a 06/02/2025</t>
  </si>
  <si>
    <t>350/2025</t>
  </si>
  <si>
    <t>Ambientação para novos servidores</t>
  </si>
  <si>
    <t>03 e 04/02/2025</t>
  </si>
  <si>
    <t>13778/2024</t>
  </si>
  <si>
    <t>Curso Prático de Siggo para Auditoria</t>
  </si>
  <si>
    <t>03, 04 e 05/02/2025</t>
  </si>
  <si>
    <t>13850/2024</t>
  </si>
  <si>
    <t>Amostragem de Unidades Monetárias em Auditorias Financeiras</t>
  </si>
  <si>
    <t>03, 05, 07, 10, 12, 14 e 17/02/2025</t>
  </si>
  <si>
    <t>256/2025</t>
  </si>
  <si>
    <t>e-TCDF para novos servidores</t>
  </si>
  <si>
    <t>06, 07, 12, 13 e 14/02/2025</t>
  </si>
  <si>
    <t>9074/2024</t>
  </si>
  <si>
    <t>Análise e Avaliação de Políticas Públicas</t>
  </si>
  <si>
    <t>10, 12 e 14/02/2025</t>
  </si>
  <si>
    <t>13675/2024</t>
  </si>
  <si>
    <t>Contraditório e Defesa no Processo de Controle Externo</t>
  </si>
  <si>
    <t>11, 13, 18, 19 e 20/02/2025</t>
  </si>
  <si>
    <t>14239/2024</t>
  </si>
  <si>
    <t>CSPO - Certified Scrum Product Owner</t>
  </si>
  <si>
    <t>18 e 19/02/2025</t>
  </si>
  <si>
    <t>13779/2024</t>
  </si>
  <si>
    <t>“O instituto da prescrição no âmbito do TCDF”</t>
  </si>
  <si>
    <t>18 e 20/02/2025</t>
  </si>
  <si>
    <t>15317/2024</t>
  </si>
  <si>
    <t>O Governo é da Nossa Conta - T1 2025</t>
  </si>
  <si>
    <t>21/02/2025</t>
  </si>
  <si>
    <t>14337/2024</t>
  </si>
  <si>
    <t>Elaboração de Estudo Técnico Preliminar e Termo de Referência - Turma 1</t>
  </si>
  <si>
    <t>24 a 28/02/2025</t>
  </si>
  <si>
    <t>13776/2024</t>
  </si>
  <si>
    <t>Curso Engenharia de Prompt - T1</t>
  </si>
  <si>
    <t>10 e 12/03/2025</t>
  </si>
  <si>
    <t>Eric Hans</t>
  </si>
  <si>
    <t>318/2025</t>
  </si>
  <si>
    <t>Auditoria Operacional</t>
  </si>
  <si>
    <t>11/03 a 04/04/2025</t>
  </si>
  <si>
    <t>Dagomar Lima</t>
  </si>
  <si>
    <t>15452/2024</t>
  </si>
  <si>
    <t>Roda de Conversa - Mulheres em Movimento</t>
  </si>
  <si>
    <t>11/03/2025</t>
  </si>
  <si>
    <t>“O instituto da prescrição no âmbito do TCDF” - T2 (GDF)</t>
  </si>
  <si>
    <t>13 e 14/03/2025</t>
  </si>
  <si>
    <t>13637/2024</t>
  </si>
  <si>
    <t>Power BI Básico</t>
  </si>
  <si>
    <t>17 a 21/03/2025</t>
  </si>
  <si>
    <t>13835/2024</t>
  </si>
  <si>
    <t>Curso de Formação para Conselheiros de Saúde do DF - nível iniciante</t>
  </si>
  <si>
    <t>17, 19 e 21/03/2025</t>
  </si>
  <si>
    <t>Programa Nacional de Transparência Pública - ciclo 2025</t>
  </si>
  <si>
    <t>20 e 21/03/2025</t>
  </si>
  <si>
    <t>Atricon</t>
  </si>
  <si>
    <t>13934/2024</t>
  </si>
  <si>
    <t>Curso de Formação para Conselheiros de Saúde do DF - nível avançado</t>
  </si>
  <si>
    <t>24, 26 e 28/03/2024</t>
  </si>
  <si>
    <t>2274/2025</t>
  </si>
  <si>
    <t>Ambientação para novos servidores - T2</t>
  </si>
  <si>
    <t>27 e 28/03/2025</t>
  </si>
  <si>
    <t>31/03 a 04/04/2025</t>
  </si>
  <si>
    <t>2424/2025</t>
  </si>
  <si>
    <t>Matriz de responsabilização: teoria e prática</t>
  </si>
  <si>
    <t>01, 04, 08 e 11/04/2025</t>
  </si>
  <si>
    <t>Gabriel Heller; Caio Filipe</t>
  </si>
  <si>
    <t>1439/2025</t>
  </si>
  <si>
    <t>CSPO - T2</t>
  </si>
  <si>
    <t>01/04/2025 a 01/08/2025</t>
  </si>
  <si>
    <t>Rodrigo de Toledo</t>
  </si>
  <si>
    <t>1066/2025</t>
  </si>
  <si>
    <t>Maratona Temática: Obras Públicas</t>
  </si>
  <si>
    <t>03 e 04/04/2025</t>
  </si>
  <si>
    <t>876/2025</t>
  </si>
  <si>
    <t>07 a 10/04/2025</t>
  </si>
  <si>
    <t>952/2025</t>
  </si>
  <si>
    <t>Gestão de Contratos na Lei 14.133/2021 - T1</t>
  </si>
  <si>
    <t>10, 11, 14 e 15/04/2025</t>
  </si>
  <si>
    <t>2815/2025</t>
  </si>
  <si>
    <t>Palestra "IA Generativa na prática"</t>
  </si>
  <si>
    <t>10/04/2025</t>
  </si>
  <si>
    <t>Alexandre Aquiles</t>
  </si>
  <si>
    <t>10935/2025</t>
  </si>
  <si>
    <t>Palestras Gartner - Tendências de Tecnologia</t>
  </si>
  <si>
    <t>04/11/2025</t>
  </si>
  <si>
    <t>Ricardo Machado</t>
  </si>
  <si>
    <t>Curso Engenharia de Prompt - T2</t>
  </si>
  <si>
    <t>14 e 15/04/2025</t>
  </si>
  <si>
    <t>Gestão de Contratos na Lei 14.133/2021 - T2</t>
  </si>
  <si>
    <t>22, 28, 29 e 30/04/2025</t>
  </si>
  <si>
    <t>665/2025</t>
  </si>
  <si>
    <t>Instrução de Tomada de Contas Especial</t>
  </si>
  <si>
    <t>23 a 25/04/2025</t>
  </si>
  <si>
    <t>3371/2025</t>
  </si>
  <si>
    <t>e-TCDF para novos servidores - T2</t>
  </si>
  <si>
    <t>24, 25, 28, 29 e 30/04/2025</t>
  </si>
  <si>
    <t>3633/2025</t>
  </si>
  <si>
    <t>Café &amp; Tértulia - Passado, presente e futuro</t>
  </si>
  <si>
    <t>25/04/2025</t>
  </si>
  <si>
    <t>Isac Pamplona; Valéria Cristina; Gabriel Heller; Cinthia Thomazi</t>
  </si>
  <si>
    <t>4128/2025</t>
  </si>
  <si>
    <t>Sessão Cinema - Aniversário de Brasília: "JK o Reinventor do Brasil"</t>
  </si>
  <si>
    <t>28/04/2025</t>
  </si>
  <si>
    <t>2109/2025; 2736/2025</t>
  </si>
  <si>
    <t>29/04/2025</t>
  </si>
  <si>
    <t>4708/2025</t>
  </si>
  <si>
    <t>Mentoria para lideranças do TCDF</t>
  </si>
  <si>
    <t>01/05/2025</t>
  </si>
  <si>
    <t>ETP e TR - T2</t>
  </si>
  <si>
    <t>05 a 09/05/2025</t>
  </si>
  <si>
    <t>1503/2025</t>
  </si>
  <si>
    <t>Curso de Formação para Conselheiros de Saúde do DF - nível iniciante - T2</t>
  </si>
  <si>
    <t>12, 14 e 16/05/2025</t>
  </si>
  <si>
    <t>4157/2025</t>
  </si>
  <si>
    <t>Homenagem ao Dia das Mães</t>
  </si>
  <si>
    <t>20/05/2025</t>
  </si>
  <si>
    <t>Cinthia Thais de Carvalho Luz Thomazi e Tatianne Hatem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</si>
  <si>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</si>
  <si>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</si>
  <si>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</si>
  <si>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</si>
  <si>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Tcendo o Futuro - E.C. 06 do Cruzeiro</t>
  </si>
  <si>
    <t>23/05/2025</t>
  </si>
  <si>
    <t>3403/2025</t>
  </si>
  <si>
    <t>Informática Básica</t>
  </si>
  <si>
    <t>26, 28 e 30/05/2025</t>
  </si>
  <si>
    <t>Bruno Coelho</t>
  </si>
  <si>
    <t>4184/2025</t>
  </si>
  <si>
    <t>Processo de Contas no TCDF</t>
  </si>
  <si>
    <t>27, 29 e 30/05/2025</t>
  </si>
  <si>
    <t>2207/2025</t>
  </si>
  <si>
    <t>Liderança com base em evidências</t>
  </si>
  <si>
    <t>28/05 a 03/06/2025</t>
  </si>
  <si>
    <t>Análise e Avaliação de Políticas Públicas - mentoria</t>
  </si>
  <si>
    <t>01/06/2025</t>
  </si>
  <si>
    <t>1507/2025</t>
  </si>
  <si>
    <t>Curso de Formação para Conselheiros de Saúde do DF - nível avançado- T2</t>
  </si>
  <si>
    <t>02, 04 e 06/06/2025</t>
  </si>
  <si>
    <t>3406/2025</t>
  </si>
  <si>
    <t>Auditoria de custos de obras rodoviárias e vias urbanas, com o Sicro</t>
  </si>
  <si>
    <t>02, 03, 05, 09, 10 e 12/06/2025</t>
  </si>
  <si>
    <t>1563/2025</t>
  </si>
  <si>
    <t>04/06/2025</t>
  </si>
  <si>
    <t>e-TCDF para novos servidores - T3</t>
  </si>
  <si>
    <t>09, 10, 11, 16 e 17/06/2025</t>
  </si>
  <si>
    <t>5158/2025</t>
  </si>
  <si>
    <t>Ambientação de novos estagiários - T1</t>
  </si>
  <si>
    <t>09 e 10/06/2025</t>
  </si>
  <si>
    <t>Denise Duarte Guirra Kuhlmann; Luiz Felipe Tenório; Norton Ferraz</t>
  </si>
  <si>
    <t>4234/2025</t>
  </si>
  <si>
    <t>Power Automate aplicado ao Controle Externo</t>
  </si>
  <si>
    <t>12 e 13/06/2025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</si>
  <si>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</si>
  <si>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</si>
  <si>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</si>
  <si>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</si>
  <si>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5503/2025</t>
  </si>
  <si>
    <t>Curso de Formação para Conselheiros de Saúde do DF - nível básico - T3</t>
  </si>
  <si>
    <t>23 a 27/06/2025</t>
  </si>
  <si>
    <t>4936/2025</t>
  </si>
  <si>
    <t>Engenharia de Prompt/Chat TCDF - T1</t>
  </si>
  <si>
    <t>24 e 26/06/2025</t>
  </si>
  <si>
    <t>Gustavo Henrique; Arthur Nogueira</t>
  </si>
  <si>
    <t>2984/2025</t>
  </si>
  <si>
    <t>Teoria e prática de elaboração de ementas jurisprudenciais</t>
  </si>
  <si>
    <t>24/06 a 03/07/2025</t>
  </si>
  <si>
    <t>Caio Filipe e Marcelo Kessler</t>
  </si>
  <si>
    <t>6576/2025</t>
  </si>
  <si>
    <t>Sirac - Indícios - T1</t>
  </si>
  <si>
    <t>30/06/2025</t>
  </si>
  <si>
    <t>Gustavo Carvalho; Vilcemar Fernandes Maia Filho</t>
  </si>
  <si>
    <t>5942/2025</t>
  </si>
  <si>
    <t>TCDF e as Universidades: TCDF e a Fiscalização de Obras e Visita Guiada</t>
  </si>
  <si>
    <t>30/06 a 04/07/2025</t>
  </si>
  <si>
    <t>2495/2025</t>
  </si>
  <si>
    <t>04/07/2025</t>
  </si>
  <si>
    <t>Ellen Verri Lopes; Joabe Dutra; Luiz Felipe Gondim</t>
  </si>
  <si>
    <t>672/2025</t>
  </si>
  <si>
    <t>Contratação de Soluções em TIC</t>
  </si>
  <si>
    <t>04/07 a 04/09/2025</t>
  </si>
  <si>
    <t>4838/2025</t>
  </si>
  <si>
    <t>Treinamento para Organizações da Sociedade Civil – MROSC</t>
  </si>
  <si>
    <t>07, 09 e 11/07/2025</t>
  </si>
  <si>
    <t>Indio Artiaga do Brasil Rabelo; Leonardo de Melo</t>
  </si>
  <si>
    <t>8812/2025</t>
  </si>
  <si>
    <t>Contratações Integradas aplicada ao Controle Externo</t>
  </si>
  <si>
    <t>10/07 a 15/10/2025</t>
  </si>
  <si>
    <t>Rafael Martins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</si>
  <si>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</si>
  <si>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</si>
  <si>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</si>
  <si>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</si>
  <si>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Engenharia de Prompt/Chat TCDF - T2</t>
  </si>
  <si>
    <t>22 e 24/07/2025</t>
  </si>
  <si>
    <t>6623/2025</t>
  </si>
  <si>
    <t>Prescrição no âmbito do TCDF - T2</t>
  </si>
  <si>
    <t>31/07 a 01/08/2025</t>
  </si>
  <si>
    <t>6725/2025</t>
  </si>
  <si>
    <t>Atualização em Avaliação de Riscos para Auditorias Financeiras</t>
  </si>
  <si>
    <t>04, 06, 08, 11, 13, 15, 18, 20, 22, 25, 27 e 29/08/2025</t>
  </si>
  <si>
    <t>4501/2025</t>
  </si>
  <si>
    <t>Estruturação e Governança de Ecossistema de Inovação Pública</t>
  </si>
  <si>
    <t>05/08 a 04/09/2025</t>
  </si>
  <si>
    <t>Antonio Isidro</t>
  </si>
  <si>
    <t>Sirac - Indícios - T2</t>
  </si>
  <si>
    <t>07/08/2025</t>
  </si>
  <si>
    <t>Vilcemar Fernandes Maia Filho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</si>
  <si>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</si>
  <si>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</si>
  <si>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</si>
  <si>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</si>
  <si>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Café &amp; Tértulia - Versão Neuroquímica</t>
  </si>
  <si>
    <t>Gabriel Heller; Valéria Feitoza; Cinthia Thais de Carvalho Luz Thomazi; Isac Mendes Caixeta de Pamplona Araújo</t>
  </si>
  <si>
    <t>5463/2025</t>
  </si>
  <si>
    <t>Oratória - T1</t>
  </si>
  <si>
    <t>11 a 15/08/2025</t>
  </si>
  <si>
    <t>5671/2025</t>
  </si>
  <si>
    <t>Tutela de urgência no TCDF</t>
  </si>
  <si>
    <t>12, 13 e 15/08/2025</t>
  </si>
  <si>
    <t>Gabriel Heller; Marcelo Kessler</t>
  </si>
  <si>
    <t>Palestra “TCDF na sociedade: apresentação de resultados da auditoria em saúde realizada pelo TCDF” - T2</t>
  </si>
  <si>
    <t>12/08/2025</t>
  </si>
  <si>
    <t>8295/2025</t>
  </si>
  <si>
    <t>Curso de Reanimação Avançada</t>
  </si>
  <si>
    <t>16 e 17/08/2025</t>
  </si>
  <si>
    <t>Academia Simulamed</t>
  </si>
  <si>
    <t>8582/2025</t>
  </si>
  <si>
    <t>Dia do Estagiário no TCDF</t>
  </si>
  <si>
    <t>18/08/2025</t>
  </si>
  <si>
    <t>Everton Lima</t>
  </si>
  <si>
    <t>Homenagem ao Dia dos Estagiários</t>
  </si>
  <si>
    <t>Luiz Felipe Tenório; Fernanda Viana de Souza; Diogo dos Santos; Everton Lima</t>
  </si>
  <si>
    <t>7804/2025</t>
  </si>
  <si>
    <t>XXX SEMAT</t>
  </si>
  <si>
    <t>21 e 22/08/2025</t>
  </si>
  <si>
    <t>8080/2025</t>
  </si>
  <si>
    <t>Oficina Temática - SEMAT: Falhas recorrentes em Contratações de TI.</t>
  </si>
  <si>
    <t>25 e 26/08/2025</t>
  </si>
  <si>
    <t>Oficina SEMAT - Falhas recorrentes em contratações de Obras - Legislação e aspectos práticos</t>
  </si>
  <si>
    <t>25/08 a 05/09/2025</t>
  </si>
  <si>
    <t>8152/2025</t>
  </si>
  <si>
    <t>Oficina Semat - Sirac Concessões e Fiscalização de Pessoal</t>
  </si>
  <si>
    <t>27/08/2025</t>
  </si>
  <si>
    <t>Hugo Póvoa; Mayara Lima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</si>
  <si>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</si>
  <si>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</si>
  <si>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</si>
  <si>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</si>
  <si>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8157/2025</t>
  </si>
  <si>
    <t>Oficina Semat - Sirac Admissões</t>
  </si>
  <si>
    <t>4570/2025</t>
  </si>
  <si>
    <t>Boas Práticas em Gestão para Administrações Regionais</t>
  </si>
  <si>
    <t>02 a 04/09/2025</t>
  </si>
  <si>
    <t>8748/2025</t>
  </si>
  <si>
    <t>Linguagem Simples aplicada ao TCDF</t>
  </si>
  <si>
    <t>05/09/2025</t>
  </si>
  <si>
    <t>Polyana Mota Resende Brant; Kelly Cristina Domingos</t>
  </si>
  <si>
    <t>Ambientação de novos estagiários - T2</t>
  </si>
  <si>
    <t>08 e 09/09/2025</t>
  </si>
  <si>
    <t>8153/2025</t>
  </si>
  <si>
    <t>Chora PPT</t>
  </si>
  <si>
    <t>10 e 11/09/2025</t>
  </si>
  <si>
    <t>Perestroika</t>
  </si>
  <si>
    <t>Tcendo o Futuro - E.C. 114 Sul e E.C. 106 Norte</t>
  </si>
  <si>
    <t>11/09/2025</t>
  </si>
  <si>
    <t>O Governo é da Nossa Conta - T3</t>
  </si>
  <si>
    <t>12/09/2025</t>
  </si>
  <si>
    <t>Tcendo o Futuro - E.C. 708 Norte e E.C. 113 Norte</t>
  </si>
  <si>
    <t>Em andamento</t>
  </si>
  <si>
    <t>6011/2025</t>
  </si>
  <si>
    <t>01/12/2025</t>
  </si>
  <si>
    <t>9325/2025</t>
  </si>
  <si>
    <t>Sessão de Cinema - Aniversário TCDF "JK o Reinventor do Brasil"</t>
  </si>
  <si>
    <t>16/09/2025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</si>
  <si>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</si>
  <si>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</si>
  <si>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</si>
  <si>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</si>
  <si>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</si>
  <si>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5489/2025</t>
  </si>
  <si>
    <t>Principais Falhas em Processos Licitatórios</t>
  </si>
  <si>
    <t>24/09 a 01/10/2025</t>
  </si>
  <si>
    <t>Henrique Luciano</t>
  </si>
  <si>
    <t>6899/2025</t>
  </si>
  <si>
    <t>Maratona Temática “O Olhar dos Tribunais de Contas sobre Políticas Públicas"</t>
  </si>
  <si>
    <t>25 e 26/09/2025</t>
  </si>
  <si>
    <t>Prescrição no âmbito do TCDF - T3</t>
  </si>
  <si>
    <t>02 e 03/10/2025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</si>
  <si>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</si>
  <si>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</si>
  <si>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</si>
  <si>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</si>
  <si>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10519/2025</t>
  </si>
  <si>
    <t>Curso “MROSC para servidores públicas distritais”</t>
  </si>
  <si>
    <t>02, 03e 06/10/2025</t>
  </si>
  <si>
    <t>11320/2025</t>
  </si>
  <si>
    <t>Visita dos Filhos ao TCDF</t>
  </si>
  <si>
    <t>03/10/2025</t>
  </si>
  <si>
    <t>Palestras Gartner - Segurança da Informação e privacidade</t>
  </si>
  <si>
    <t>06/10/2025</t>
  </si>
  <si>
    <t>10959/2025</t>
  </si>
  <si>
    <t>Curso para gestores e fiscais de contrato – SES/DF</t>
  </si>
  <si>
    <t>08 a 10/10/2025</t>
  </si>
  <si>
    <t>Adriana Salles; Luciana Alvim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</si>
  <si>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</si>
  <si>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</si>
  <si>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</si>
  <si>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</si>
  <si>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10932/2025</t>
  </si>
  <si>
    <t>Curso "Gestão de Informações e Proteção do Conhecimento no Controle Externo"</t>
  </si>
  <si>
    <t>20 a 24/10/2025</t>
  </si>
  <si>
    <t>10621/2025</t>
  </si>
  <si>
    <t>Maratona Temática: Segurança Pública</t>
  </si>
  <si>
    <t>20 e 21/10/2025</t>
  </si>
  <si>
    <t>12113/2025</t>
  </si>
  <si>
    <t>Lançamento de Livros</t>
  </si>
  <si>
    <t>23/10/2025</t>
  </si>
  <si>
    <t>13122/2025</t>
  </si>
  <si>
    <t>24/10 a 28/11/2025</t>
  </si>
  <si>
    <t>Adriana Portugal</t>
  </si>
  <si>
    <t>12335/2025</t>
  </si>
  <si>
    <t>03 a 07/11/2025</t>
  </si>
  <si>
    <t>Tcendo o Futuro</t>
  </si>
  <si>
    <t>06/11/2025</t>
  </si>
  <si>
    <t>4523/2025</t>
  </si>
  <si>
    <t>Cinthia Thais de Carvalho Luz Thomazi; Adriana Cuoco Portugal; Fernanda Viana de Souza; Denise Duarte Guirra Kuhlmann; Priscila Nolasco</t>
  </si>
  <si>
    <t>12086/2025</t>
  </si>
  <si>
    <t>Café e Tertúlia - Mês do Servidor (Show de Talentos)</t>
  </si>
  <si>
    <t>07/11/2025</t>
  </si>
  <si>
    <t>Oratória - T2</t>
  </si>
  <si>
    <t>10 a 14/11/2025</t>
  </si>
  <si>
    <t>9102/2025</t>
  </si>
  <si>
    <t>11, 12, 13, 18 e 19/11/2025</t>
  </si>
  <si>
    <t>12830/2025</t>
  </si>
  <si>
    <t>Curso “Contratação Integrada na Prática”</t>
  </si>
  <si>
    <t>17 a 19/11/2025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</si>
  <si>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</si>
  <si>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</si>
  <si>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</si>
  <si>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</si>
  <si>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9077/2025</t>
  </si>
  <si>
    <t>Vieses e Armadilhas Mentais: como tomar melhores decisões na Administração Pública</t>
  </si>
  <si>
    <t>24 a 26/11/2025</t>
  </si>
  <si>
    <t>Gabriel Heller; Reinaldo Alencar</t>
  </si>
  <si>
    <t>6624/2025</t>
  </si>
  <si>
    <t>Curso “Fundamentos de Auditoria Ágil”</t>
  </si>
  <si>
    <t>24, 26 e 28/11/2025</t>
  </si>
  <si>
    <t>Ricardo Akl</t>
  </si>
  <si>
    <t>11833/2025</t>
  </si>
  <si>
    <t>Curso para Conselheiros Tutelares do DF</t>
  </si>
  <si>
    <t>13654/2025</t>
  </si>
  <si>
    <t>Curso básico de e-TCDF</t>
  </si>
  <si>
    <t>03, 05, 08 e 10/12/2025</t>
  </si>
  <si>
    <t>14610/2024</t>
  </si>
  <si>
    <t>Curso e Mentoria em Oratória - Balbio</t>
  </si>
  <si>
    <t>15/12/2025</t>
  </si>
  <si>
    <t>15651/2024</t>
  </si>
  <si>
    <t>Palestra “TCDF e a Fiscalização de Obras” - Universidade e TCDF</t>
  </si>
  <si>
    <t>20/01/2025</t>
  </si>
  <si>
    <t>14319/2025</t>
  </si>
  <si>
    <t>20 e 22/01/2026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</si>
  <si>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</si>
  <si>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</si>
  <si>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</si>
  <si>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</si>
  <si>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4926/2025</t>
  </si>
  <si>
    <t>Estruturação de Inovações Disruptivas no TCDF</t>
  </si>
  <si>
    <t>26/01 a 10/02/2026</t>
  </si>
  <si>
    <t>Caio Castelliano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</si>
  <si>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</si>
  <si>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</si>
  <si>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</si>
  <si>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</si>
  <si>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</si>
  <si>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</si>
  <si>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</si>
  <si>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</si>
  <si>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</si>
  <si>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</si>
  <si>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</si>
  <si>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</si>
  <si>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</si>
  <si>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</si>
  <si>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10/2026</t>
  </si>
  <si>
    <t>Planilhas de Terceirização de Mão de Obra, de acordo com a Lei nº 14.133/2021 - T1</t>
  </si>
  <si>
    <t>09 a 13/03/2026</t>
  </si>
  <si>
    <t>354/2026</t>
  </si>
  <si>
    <t>Curso de Promoção Funcional 2026/2027</t>
  </si>
  <si>
    <t>16, 17, 19 e 20/03/2026</t>
  </si>
  <si>
    <t>Rômulo Miranda Alvim; Cinthia Thais de Carvalho Luz Thomazi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</si>
  <si>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</si>
  <si>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</si>
  <si>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</si>
  <si>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</si>
  <si>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</si>
  <si>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Planilhas de Terceirização de Mão de Obra, de acordo com a Lei nº 14.133/2021 - T2</t>
  </si>
  <si>
    <t>23 a 27/03/2026</t>
  </si>
  <si>
    <t>2111/2026</t>
  </si>
  <si>
    <t>Dia do Ouvidor</t>
  </si>
  <si>
    <t>24/03/2026</t>
  </si>
  <si>
    <t>49/2026</t>
  </si>
  <si>
    <t>Maratona Temática: Transparência Pública</t>
  </si>
  <si>
    <t>30 a 31/03/2026</t>
  </si>
  <si>
    <t>1984/2026</t>
  </si>
  <si>
    <t>Curso para gestores e fiscais de contratos de serviços assistenciais complementares – SES/DF - T2</t>
  </si>
  <si>
    <t>08 a 10/04/2026</t>
  </si>
  <si>
    <t>3976/2025</t>
  </si>
  <si>
    <t>Curso de Formação para Conselheiros de Cultura</t>
  </si>
  <si>
    <t>Formação de Controladores sociais e cidadãos</t>
  </si>
  <si>
    <t>13 a 16/04/2026</t>
  </si>
  <si>
    <t>Introdução à Engenharia de Prompt - t2</t>
  </si>
  <si>
    <t>15 e 17/04/2026</t>
  </si>
  <si>
    <t>Arthur Wú; Gustavo Takahashi</t>
  </si>
  <si>
    <t>3669/2026</t>
  </si>
  <si>
    <t>Mentoria de introdução à Engenharia de Prompt</t>
  </si>
  <si>
    <t>16/04/2026</t>
  </si>
  <si>
    <t>2511/2026</t>
  </si>
  <si>
    <t>Mostra Fotográfica “Meu Olhar sobre Brasília”</t>
  </si>
  <si>
    <t>20 a 30/04/2026</t>
  </si>
  <si>
    <t>Servidores, colaboradores e estagiários do TCDF</t>
  </si>
  <si>
    <t>1900/2026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</si>
  <si>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</si>
  <si>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</si>
  <si>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</si>
  <si>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4663/2026</t>
  </si>
  <si>
    <t>Curso de Ambientação para os novos Auditores de Controle Externo - Área Auditoria</t>
  </si>
  <si>
    <t>28, 29 e 30/04; 04 e 05/05/2026</t>
  </si>
  <si>
    <t>A realizar</t>
  </si>
  <si>
    <t>7377/2026</t>
  </si>
  <si>
    <t xml:space="preserve">Alura </t>
  </si>
  <si>
    <t>2026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</si>
  <si>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</si>
  <si>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</si>
  <si>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</si>
  <si>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</si>
  <si>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4135/2026</t>
  </si>
  <si>
    <t>UniTCDF: Ciências Contábeis</t>
  </si>
  <si>
    <t>06/05/2026</t>
  </si>
  <si>
    <t>Fernanda Viana de Souza; Túllio Herbeth Teixeira Moraes</t>
  </si>
  <si>
    <t>Tcendo o Futuro 2</t>
  </si>
  <si>
    <t>08/05/2026</t>
  </si>
  <si>
    <t>3741/2026</t>
  </si>
  <si>
    <t>Introdução à Engenharia de Prompt - T3</t>
  </si>
  <si>
    <t>12 e 14/05/2026</t>
  </si>
  <si>
    <t>4652/2026</t>
  </si>
  <si>
    <t>Elaboração da Cartilha "Gestão e Fiscalização de Contratos em Saúde"</t>
  </si>
  <si>
    <t xml:space="preserve">Cancelado </t>
  </si>
  <si>
    <t>3103/2026</t>
  </si>
  <si>
    <t>Escola de Instrutores - Curso "Fundamentos em TD&amp;E"</t>
  </si>
  <si>
    <t>18 a 21/05/2026</t>
  </si>
  <si>
    <t>4728/2026</t>
  </si>
  <si>
    <t>18, 20, 22 e 25/05/2026</t>
  </si>
  <si>
    <t>2151/2026</t>
  </si>
  <si>
    <t>II Fórum de Educação para a Aposentadoria e Longevidade</t>
  </si>
  <si>
    <t>21 e 22/05/2026</t>
  </si>
  <si>
    <t>5897/2026</t>
  </si>
  <si>
    <t>UniTCDF: TCDF e a Fiscalização de Obras</t>
  </si>
  <si>
    <t>25/05/2026 e 29/05/2026</t>
  </si>
  <si>
    <t>3726/2026</t>
  </si>
  <si>
    <t>Mentoria em auditoria de saúde</t>
  </si>
  <si>
    <t>01/06/2026 a 31/12/2026</t>
  </si>
  <si>
    <t>Rita de Cássia Leal Fonseca dos Santos</t>
  </si>
  <si>
    <t>4141/2026</t>
  </si>
  <si>
    <t>Fiscalizações Baseadas em Risco</t>
  </si>
  <si>
    <t>08 a 12/06/2026</t>
  </si>
  <si>
    <t>Reinaldo Alencar; Rogério Ribeiro</t>
  </si>
  <si>
    <t>3685/2026</t>
  </si>
  <si>
    <t>Curso de formação para gestores e fiscais de Contrato em equipamentos nas unidades hospitalares - T2</t>
  </si>
  <si>
    <t>09 a 11/06/2026</t>
  </si>
  <si>
    <t>Curso de formação para gestores e fiscais de Contrato em equipamentos nas unidades hospitalares - T3</t>
  </si>
  <si>
    <t>16, 17 e 18/06/2026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</si>
  <si>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</si>
  <si>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</si>
  <si>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</si>
  <si>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</si>
  <si>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3502/2026</t>
  </si>
  <si>
    <t>3ª Maratona Temática em Saúde Pública - Boas Práticas</t>
  </si>
  <si>
    <t>22 e 23/06/2026</t>
  </si>
  <si>
    <t>Introdução à Engenharia de Prompt - T4</t>
  </si>
  <si>
    <t>23 e 25/06/2026</t>
  </si>
  <si>
    <t>6761/2026</t>
  </si>
  <si>
    <t>Introdução à Engenharia de Prompt - SEE</t>
  </si>
  <si>
    <t>30/06/2026 e 02/07/2026</t>
  </si>
  <si>
    <t>6107/2026</t>
  </si>
  <si>
    <t>Introdução ao processo de controle externo - EAD</t>
  </si>
  <si>
    <t>4583/2026</t>
  </si>
  <si>
    <t>MROSC para os gestores das Organizações da Sociedade Civil – OSCs</t>
  </si>
  <si>
    <t>01, 02 e 03/07/2026</t>
  </si>
  <si>
    <t>Escola de Instrutores - Design Instrucional</t>
  </si>
  <si>
    <t>07 a 09/07/2026</t>
  </si>
  <si>
    <t>4392/2026</t>
  </si>
  <si>
    <t>O novo olhar sobre as políticas públicas para o Controle Externo</t>
  </si>
  <si>
    <t>20, 21, 23, 27, 28 e 30/07/2026</t>
  </si>
  <si>
    <t>3483/2026</t>
  </si>
  <si>
    <t>Curso de Formação para Conselheiros de Saúde do DF</t>
  </si>
  <si>
    <t>20 a 24/07/2026</t>
  </si>
  <si>
    <t>6371/2026</t>
  </si>
  <si>
    <t>Painel MROSC</t>
  </si>
  <si>
    <t>20/07/2026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</si>
  <si>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</si>
  <si>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</si>
  <si>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</si>
  <si>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</si>
  <si>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3 a 5/08/2026</t>
  </si>
  <si>
    <t>7828/2026</t>
  </si>
  <si>
    <t>Oficina Temática – SEMAT: Falhas recorrentes em contratações de TI</t>
  </si>
  <si>
    <t>10 e 11/08/2026</t>
  </si>
  <si>
    <t>Felipe da Costa Malaquias</t>
  </si>
  <si>
    <t>8268/2026</t>
  </si>
  <si>
    <t>Oficina Temática - SEMAT: MROSC para servidores do GDF</t>
  </si>
  <si>
    <t>10/08/2026</t>
  </si>
  <si>
    <t>8446/2026</t>
  </si>
  <si>
    <t>Oficina Temática - SEMAT: Reajuste de preços em contratos de obras e serviços de engenharia</t>
  </si>
  <si>
    <t>Thiago Magalhães de Oliveira; Silvia Lima Damasceno Carvalho</t>
  </si>
  <si>
    <t>8450/2026</t>
  </si>
  <si>
    <t>Oficina Temática - SEMAT: Pesquisa de Preços em contratos de obras e serviços de engenharia</t>
  </si>
  <si>
    <t>11/08/2026</t>
  </si>
  <si>
    <t>8449/2026</t>
  </si>
  <si>
    <t>Encontro Técnico - SEMAT: Concursos públicos e registro de admissões</t>
  </si>
  <si>
    <t>12/08/2026</t>
  </si>
  <si>
    <t>8510/2026</t>
  </si>
  <si>
    <t>Oficina Temática – SEMAT: Controle Tecnológico de obras e serviços de engenharia</t>
  </si>
  <si>
    <t>Silvia Lima Damasceno Carvalho; Marcelo Silva Santana</t>
  </si>
  <si>
    <t>8436/2026</t>
  </si>
  <si>
    <t>Encontro Técnico– SEMAT: Concessões e Fiscalização de Pessoal</t>
  </si>
  <si>
    <t>13/08/2026</t>
  </si>
  <si>
    <t>Jamile Medeiros Fon; José Roberto Alcuri Júnior</t>
  </si>
  <si>
    <t>8565/2026</t>
  </si>
  <si>
    <t>Oficina Temática - SEMAT: Aditivos na Contratação Integrada de obras e serviços de engenharia</t>
  </si>
  <si>
    <t>Douglas Vieira Silva Filho; Silvia Lima Damasceno Carvalho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</si>
  <si>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</si>
  <si>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</si>
  <si>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</si>
  <si>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</si>
  <si>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TCendo o Futuro</t>
  </si>
  <si>
    <t>20/08/2026</t>
  </si>
  <si>
    <t>Adriana Cuoco Portugal; Cinthia Thais de Carvalho Luz Thomazi; Fernanda Viana de Souza;  Luiz Felipe Tenório de Lima Gondim; Priscila Nolasco de Oliveira</t>
  </si>
  <si>
    <t>21/08/2026</t>
  </si>
  <si>
    <t>Adriana Cuoco Portugal; Cinthia Thais de Carvalho Luz Thomazi; Fernanda Viana de Souza; Luiz Felipe Tenório de Lima Gondim; Priscila Nolasco de Oliveira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</si>
  <si>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</si>
  <si>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</si>
  <si>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</si>
  <si>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</si>
  <si>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12314/2025</t>
  </si>
  <si>
    <t>Curso “Gestão Estratégica do Fundo dos Direitos da Criança e do Adolescente do DF: Formação para Conselheiros</t>
  </si>
  <si>
    <t>08 a 18/09/2026</t>
  </si>
  <si>
    <t>Karine Tomaz Veiga</t>
  </si>
  <si>
    <t>24/09/2026</t>
  </si>
  <si>
    <t>25/09/2026</t>
  </si>
  <si>
    <t>08/10/2026</t>
  </si>
  <si>
    <t>09/10/2026</t>
  </si>
  <si>
    <t>4369/2026</t>
  </si>
  <si>
    <t>Maratona Temática - Obras Públicas</t>
  </si>
  <si>
    <t>26 e 27/10/2026</t>
  </si>
  <si>
    <t>4346/2026</t>
  </si>
  <si>
    <t>Maratona Temática - Mobilidade Urbana</t>
  </si>
  <si>
    <t>09 e 10/11/2026</t>
  </si>
  <si>
    <t>5416/2026</t>
  </si>
  <si>
    <t>Orçamentação de Obras Públicas com a Nova Reforma Tributária</t>
  </si>
  <si>
    <t>18 e 19/11/2026</t>
  </si>
  <si>
    <t>André Pachioni Baeta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</si>
  <si>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</si>
  <si>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</si>
  <si>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</si>
  <si>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</si>
  <si>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</si>
  <si>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8623/2026</t>
  </si>
  <si>
    <t>Oficina Temática - SEMAT: Matriz de Riscos em contratos de obras e serviços de engenharia</t>
  </si>
  <si>
    <t>Silvia Lima Damasceno Carvalho; Renan Dias da Silva</t>
  </si>
  <si>
    <t>8913/2026</t>
  </si>
  <si>
    <t>Palestra “De Mãos Dadas: a saúde que nasce dos vínculos”</t>
  </si>
  <si>
    <t>Adriana Fittipaldi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</si>
  <si>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</si>
  <si>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</si>
  <si>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</si>
  <si>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</si>
  <si>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</si>
  <si>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</si>
  <si>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</si>
  <si>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</si>
  <si>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</si>
  <si>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</si>
  <si>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</si>
  <si>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</si>
  <si>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</si>
  <si>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</si>
  <si>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</si>
  <si>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</si>
  <si>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</si>
  <si>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</si>
  <si>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</si>
  <si>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</si>
  <si>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</si>
  <si>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</si>
  <si>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</si>
  <si>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</si>
  <si>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</si>
  <si>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</si>
  <si>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</si>
  <si>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</si>
  <si>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</si>
  <si>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</si>
  <si>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</si>
  <si>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</si>
  <si>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</si>
  <si>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</si>
  <si>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</si>
  <si>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</si>
  <si>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</si>
  <si>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</si>
  <si>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</si>
  <si>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</si>
  <si>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</si>
  <si>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</si>
  <si>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</si>
  <si>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</si>
  <si>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</si>
  <si>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</si>
  <si>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</si>
  <si>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</si>
  <si>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</si>
  <si>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</si>
  <si>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</si>
  <si>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</si>
  <si>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</si>
  <si>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</si>
  <si>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</si>
  <si>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</si>
  <si>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</si>
  <si>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</si>
  <si>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</si>
  <si>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</si>
  <si>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</si>
  <si>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2026-057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</si>
  <si>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</si>
  <si>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</si>
  <si>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</si>
  <si>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</si>
  <si>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</si>
  <si>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</si>
  <si>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</si>
  <si>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</si>
  <si>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</si>
  <si>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</si>
  <si>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</si>
  <si>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</si>
  <si>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</si>
  <si>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2026-021</t>
  </si>
  <si>
    <t>2026-024</t>
  </si>
  <si>
    <t>2026-016</t>
  </si>
  <si>
    <t>Marcelo Bálbio Moraes</t>
  </si>
  <si>
    <t>Mauri Siqueira Montessi</t>
  </si>
  <si>
    <t>2026-005</t>
  </si>
  <si>
    <t>2026-002</t>
  </si>
  <si>
    <t>2026-020</t>
  </si>
  <si>
    <t>2026-018</t>
  </si>
  <si>
    <t>2026-015</t>
  </si>
  <si>
    <t>2026-032</t>
  </si>
  <si>
    <t>2026-033</t>
  </si>
  <si>
    <t>2026-034</t>
  </si>
  <si>
    <t>2026-036</t>
  </si>
  <si>
    <t>2026-037</t>
  </si>
  <si>
    <t>Total:</t>
  </si>
  <si>
    <t>2026-025</t>
  </si>
  <si>
    <t>2026-042</t>
  </si>
  <si>
    <t>2026-044</t>
  </si>
  <si>
    <t>2026-047</t>
  </si>
  <si>
    <t>2026-048</t>
  </si>
  <si>
    <t>2026-045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</si>
  <si>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</si>
  <si>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</si>
  <si>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</si>
  <si>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</si>
  <si>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</si>
  <si>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</si>
  <si>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</si>
  <si>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2026-059</t>
  </si>
  <si>
    <t>2026-056</t>
  </si>
  <si>
    <t>2026-054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</si>
  <si>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</si>
  <si>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</si>
  <si>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</si>
  <si>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</si>
  <si>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</si>
  <si>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</si>
  <si>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</si>
  <si>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</si>
  <si>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</si>
  <si>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</si>
  <si>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</si>
  <si>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</si>
  <si>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</si>
  <si>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</si>
  <si>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</si>
  <si>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</si>
  <si>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</si>
  <si>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</si>
  <si>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</si>
  <si>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</si>
  <si>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</si>
  <si>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</si>
  <si>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</si>
  <si>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</si>
  <si>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</si>
  <si>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</si>
  <si>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</si>
  <si>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</si>
  <si>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</si>
  <si>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</si>
  <si>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</si>
  <si>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</si>
  <si>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</si>
  <si>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</si>
  <si>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</si>
  <si>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</si>
  <si>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</si>
  <si>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</si>
  <si>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</si>
  <si>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</si>
  <si>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</si>
  <si>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</si>
  <si>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</si>
  <si>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</si>
  <si>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</si>
  <si>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</si>
  <si>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</si>
  <si>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</si>
  <si>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</si>
  <si>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</si>
  <si>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</si>
  <si>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</si>
  <si>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</si>
  <si>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</si>
  <si>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</si>
  <si>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</si>
  <si>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</si>
  <si>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</si>
  <si>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</si>
  <si>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</si>
  <si>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</si>
  <si>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</si>
  <si>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</si>
  <si>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</si>
  <si>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</si>
  <si>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</si>
  <si>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</si>
  <si>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</si>
  <si>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</si>
  <si>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</si>
  <si>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</si>
  <si>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</si>
  <si>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</si>
  <si>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</si>
  <si>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</si>
  <si>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</si>
  <si>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</si>
  <si>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</si>
  <si>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</si>
  <si>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</si>
  <si>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2026-066</t>
  </si>
  <si>
    <t>2014-001</t>
  </si>
  <si>
    <t>2014-002</t>
  </si>
  <si>
    <t>2014-003</t>
  </si>
  <si>
    <t>2014-004</t>
  </si>
  <si>
    <t>2014-005</t>
  </si>
  <si>
    <t>2014-006</t>
  </si>
  <si>
    <t>2014-007</t>
  </si>
  <si>
    <t>2014-008</t>
  </si>
  <si>
    <t>2014-009</t>
  </si>
  <si>
    <t>2015-001</t>
  </si>
  <si>
    <t>2015-002</t>
  </si>
  <si>
    <t>2015-003</t>
  </si>
  <si>
    <t>2015-004</t>
  </si>
  <si>
    <t>2015-005</t>
  </si>
  <si>
    <t>2015-006</t>
  </si>
  <si>
    <t>2015-007</t>
  </si>
  <si>
    <t>2015-008</t>
  </si>
  <si>
    <t>2015-009</t>
  </si>
  <si>
    <t>2015-010</t>
  </si>
  <si>
    <t>2015-011</t>
  </si>
  <si>
    <t>2015-012</t>
  </si>
  <si>
    <t>2015-013</t>
  </si>
  <si>
    <t>2015-014</t>
  </si>
  <si>
    <t>2015-015</t>
  </si>
  <si>
    <t>2015-016</t>
  </si>
  <si>
    <t>2015-017</t>
  </si>
  <si>
    <t>2015-018</t>
  </si>
  <si>
    <t>2015-019</t>
  </si>
  <si>
    <t>2015-020</t>
  </si>
  <si>
    <t>2015-021</t>
  </si>
  <si>
    <t>2015-022</t>
  </si>
  <si>
    <t>2016-001</t>
  </si>
  <si>
    <t>2016-002</t>
  </si>
  <si>
    <t>2016-003</t>
  </si>
  <si>
    <t>2016-004</t>
  </si>
  <si>
    <t>2016-005</t>
  </si>
  <si>
    <t>2016-006</t>
  </si>
  <si>
    <t>2016-007</t>
  </si>
  <si>
    <t>2016-008</t>
  </si>
  <si>
    <t>2016-009</t>
  </si>
  <si>
    <t>2016-010</t>
  </si>
  <si>
    <t>2016-011</t>
  </si>
  <si>
    <t>2016-012</t>
  </si>
  <si>
    <t>2016-013</t>
  </si>
  <si>
    <t>2016-014</t>
  </si>
  <si>
    <t>2016-015</t>
  </si>
  <si>
    <t>2016-016</t>
  </si>
  <si>
    <t>2016-017</t>
  </si>
  <si>
    <t>2016-018</t>
  </si>
  <si>
    <t>2016-019</t>
  </si>
  <si>
    <t>2016-020</t>
  </si>
  <si>
    <t>2016-021</t>
  </si>
  <si>
    <t>2016-022</t>
  </si>
  <si>
    <t>2016-023</t>
  </si>
  <si>
    <t>2016-024</t>
  </si>
  <si>
    <t>2016-025</t>
  </si>
  <si>
    <t>2016-026</t>
  </si>
  <si>
    <t>2016-027</t>
  </si>
  <si>
    <t>2016-028</t>
  </si>
  <si>
    <t>2016-029</t>
  </si>
  <si>
    <t>2016-030</t>
  </si>
  <si>
    <t>2017-001</t>
  </si>
  <si>
    <t>2017-002</t>
  </si>
  <si>
    <t>2017-003</t>
  </si>
  <si>
    <t>2017-004</t>
  </si>
  <si>
    <t>2017-005</t>
  </si>
  <si>
    <t>2017-006</t>
  </si>
  <si>
    <t>2017-007</t>
  </si>
  <si>
    <t>2017-008</t>
  </si>
  <si>
    <t>2017-009</t>
  </si>
  <si>
    <t>2017-010</t>
  </si>
  <si>
    <t>2017-011</t>
  </si>
  <si>
    <t>2017-012</t>
  </si>
  <si>
    <t>2017-013</t>
  </si>
  <si>
    <t>2017-014</t>
  </si>
  <si>
    <t>2017-015</t>
  </si>
  <si>
    <t>2017-016</t>
  </si>
  <si>
    <t>2017-017</t>
  </si>
  <si>
    <t>2017-018</t>
  </si>
  <si>
    <t>2017-019</t>
  </si>
  <si>
    <t>2017-020</t>
  </si>
  <si>
    <t>2017-021</t>
  </si>
  <si>
    <t>2017-022</t>
  </si>
  <si>
    <t>2017-023</t>
  </si>
  <si>
    <t>2017-024</t>
  </si>
  <si>
    <t>2017-025</t>
  </si>
  <si>
    <t>2017-026</t>
  </si>
  <si>
    <t>2017-027</t>
  </si>
  <si>
    <t>2017-028</t>
  </si>
  <si>
    <t>2017-029</t>
  </si>
  <si>
    <t>2017-030</t>
  </si>
  <si>
    <t>2017-031</t>
  </si>
  <si>
    <t>2017-032</t>
  </si>
  <si>
    <t>2018-001</t>
  </si>
  <si>
    <t>2018-002</t>
  </si>
  <si>
    <t>2018-003</t>
  </si>
  <si>
    <t>2018-004</t>
  </si>
  <si>
    <t>2018-005</t>
  </si>
  <si>
    <t>2018-006</t>
  </si>
  <si>
    <t>2018-007</t>
  </si>
  <si>
    <t>2018-008</t>
  </si>
  <si>
    <t>2018-009</t>
  </si>
  <si>
    <t>2018-010</t>
  </si>
  <si>
    <t>2018-011</t>
  </si>
  <si>
    <t>2018-012</t>
  </si>
  <si>
    <t>2018-013</t>
  </si>
  <si>
    <t>2018-014</t>
  </si>
  <si>
    <t>2018-015</t>
  </si>
  <si>
    <t>2018-016</t>
  </si>
  <si>
    <t>2018-017</t>
  </si>
  <si>
    <t>2018-018</t>
  </si>
  <si>
    <t>2018-019</t>
  </si>
  <si>
    <t>2018-020</t>
  </si>
  <si>
    <t>2018-021</t>
  </si>
  <si>
    <t>2019-001</t>
  </si>
  <si>
    <t>2019-002</t>
  </si>
  <si>
    <t>2019-003</t>
  </si>
  <si>
    <t>2019-004</t>
  </si>
  <si>
    <t>2019-005</t>
  </si>
  <si>
    <t>2019-006</t>
  </si>
  <si>
    <t>2019-007</t>
  </si>
  <si>
    <t>2019-008</t>
  </si>
  <si>
    <t>2019-009</t>
  </si>
  <si>
    <t>2019-010</t>
  </si>
  <si>
    <t>2019-011</t>
  </si>
  <si>
    <t>2019-012</t>
  </si>
  <si>
    <t>2019-013</t>
  </si>
  <si>
    <t>2019-014</t>
  </si>
  <si>
    <t>2019-015</t>
  </si>
  <si>
    <t>2019-016</t>
  </si>
  <si>
    <t>2019-017</t>
  </si>
  <si>
    <t>2019-018</t>
  </si>
  <si>
    <t>2019-019</t>
  </si>
  <si>
    <t>2019-020</t>
  </si>
  <si>
    <t>2019-021</t>
  </si>
  <si>
    <t>2019-022</t>
  </si>
  <si>
    <t>2019-023</t>
  </si>
  <si>
    <t>2019-024</t>
  </si>
  <si>
    <t>2019-025</t>
  </si>
  <si>
    <t>2019-026</t>
  </si>
  <si>
    <t>2019-027</t>
  </si>
  <si>
    <t>2019-028</t>
  </si>
  <si>
    <t>2019-029</t>
  </si>
  <si>
    <t>2019-030</t>
  </si>
  <si>
    <t>2019-031</t>
  </si>
  <si>
    <t>2019-032</t>
  </si>
  <si>
    <t>2019-033</t>
  </si>
  <si>
    <t>2019-034</t>
  </si>
  <si>
    <t>2019-035</t>
  </si>
  <si>
    <t>2019-036</t>
  </si>
  <si>
    <t>2019-037</t>
  </si>
  <si>
    <t>2019-038</t>
  </si>
  <si>
    <t>2019-039</t>
  </si>
  <si>
    <t>2019-040</t>
  </si>
  <si>
    <t>2020-001</t>
  </si>
  <si>
    <t>2020-002</t>
  </si>
  <si>
    <t>2020-003</t>
  </si>
  <si>
    <t>2020-004</t>
  </si>
  <si>
    <t>2020-005</t>
  </si>
  <si>
    <t>2020-006</t>
  </si>
  <si>
    <t>2020-007</t>
  </si>
  <si>
    <t>2020-008</t>
  </si>
  <si>
    <t>2020-009</t>
  </si>
  <si>
    <t>2020-010</t>
  </si>
  <si>
    <t>2020-011</t>
  </si>
  <si>
    <t>2020-012</t>
  </si>
  <si>
    <t>2020-013</t>
  </si>
  <si>
    <t>2020-014</t>
  </si>
  <si>
    <t>2020-015</t>
  </si>
  <si>
    <t>2020-016</t>
  </si>
  <si>
    <t>2020-017</t>
  </si>
  <si>
    <t>2020-018</t>
  </si>
  <si>
    <t>2020-019</t>
  </si>
  <si>
    <t>2020-020</t>
  </si>
  <si>
    <t>2020-021</t>
  </si>
  <si>
    <t>2021-001</t>
  </si>
  <si>
    <t>2021-002</t>
  </si>
  <si>
    <t>2021-003</t>
  </si>
  <si>
    <t>2021-004</t>
  </si>
  <si>
    <t>2021-005</t>
  </si>
  <si>
    <t>2021-006</t>
  </si>
  <si>
    <t>2021-007</t>
  </si>
  <si>
    <t>2021-008</t>
  </si>
  <si>
    <t>2021-009</t>
  </si>
  <si>
    <t>2021-010</t>
  </si>
  <si>
    <t>2021-011</t>
  </si>
  <si>
    <t>2021-012</t>
  </si>
  <si>
    <t>2021-013</t>
  </si>
  <si>
    <t>2021-014</t>
  </si>
  <si>
    <t>2021-015</t>
  </si>
  <si>
    <t>2021-016</t>
  </si>
  <si>
    <t>2021-017</t>
  </si>
  <si>
    <t>2021-018</t>
  </si>
  <si>
    <t>2021-019</t>
  </si>
  <si>
    <t>2021-020</t>
  </si>
  <si>
    <t>2021-021</t>
  </si>
  <si>
    <t>2021-022</t>
  </si>
  <si>
    <t>2021-023</t>
  </si>
  <si>
    <t>2021-024</t>
  </si>
  <si>
    <t>2021-025</t>
  </si>
  <si>
    <t>2021-026</t>
  </si>
  <si>
    <t>2021-027</t>
  </si>
  <si>
    <t>2021-028</t>
  </si>
  <si>
    <t>2021-029</t>
  </si>
  <si>
    <t>2021-030</t>
  </si>
  <si>
    <t>2021-031</t>
  </si>
  <si>
    <t>2021-032</t>
  </si>
  <si>
    <t>2021-033</t>
  </si>
  <si>
    <t>2021-034</t>
  </si>
  <si>
    <t>2021-035</t>
  </si>
  <si>
    <t>2021-036</t>
  </si>
  <si>
    <t>2021-037</t>
  </si>
  <si>
    <t>2021-038</t>
  </si>
  <si>
    <t>2021-039</t>
  </si>
  <si>
    <t>2021-040</t>
  </si>
  <si>
    <t>2021-041</t>
  </si>
  <si>
    <t>2021-042</t>
  </si>
  <si>
    <t>2021-043</t>
  </si>
  <si>
    <t>2021-044</t>
  </si>
  <si>
    <t>2021-045</t>
  </si>
  <si>
    <t>2021-046</t>
  </si>
  <si>
    <t>2021-047</t>
  </si>
  <si>
    <t>2021-048</t>
  </si>
  <si>
    <t>2021-049</t>
  </si>
  <si>
    <t>2021-050</t>
  </si>
  <si>
    <t>2021-051</t>
  </si>
  <si>
    <t>2021-052</t>
  </si>
  <si>
    <t>2021-053</t>
  </si>
  <si>
    <t>2021-054</t>
  </si>
  <si>
    <t>2021-055</t>
  </si>
  <si>
    <t>2022-001</t>
  </si>
  <si>
    <t>2022-002</t>
  </si>
  <si>
    <t>2022-003</t>
  </si>
  <si>
    <t>2022-004</t>
  </si>
  <si>
    <t>2022-005</t>
  </si>
  <si>
    <t>2022-006</t>
  </si>
  <si>
    <t>2022-007</t>
  </si>
  <si>
    <t>2022-008</t>
  </si>
  <si>
    <t>2022-009</t>
  </si>
  <si>
    <t>2022-010</t>
  </si>
  <si>
    <t>2022-011</t>
  </si>
  <si>
    <t>2022-012</t>
  </si>
  <si>
    <t>2022-013</t>
  </si>
  <si>
    <t>2022-014</t>
  </si>
  <si>
    <t>2022-015</t>
  </si>
  <si>
    <t>2022-016</t>
  </si>
  <si>
    <t>2022-017</t>
  </si>
  <si>
    <t>2022-018</t>
  </si>
  <si>
    <t>2022-019</t>
  </si>
  <si>
    <t>2022-020</t>
  </si>
  <si>
    <t>2022-021</t>
  </si>
  <si>
    <t>2022-022</t>
  </si>
  <si>
    <t>2022-023</t>
  </si>
  <si>
    <t>2022-024</t>
  </si>
  <si>
    <t>2022-025</t>
  </si>
  <si>
    <t>2022-026</t>
  </si>
  <si>
    <t>2022-027</t>
  </si>
  <si>
    <t>2022-028</t>
  </si>
  <si>
    <t>2022-029</t>
  </si>
  <si>
    <t>2022-030</t>
  </si>
  <si>
    <t>2022-031</t>
  </si>
  <si>
    <t>2022-032</t>
  </si>
  <si>
    <t>2022-033</t>
  </si>
  <si>
    <t>2022-034</t>
  </si>
  <si>
    <t>2022-035</t>
  </si>
  <si>
    <t>2022-036</t>
  </si>
  <si>
    <t>2022-037</t>
  </si>
  <si>
    <t>2022-038</t>
  </si>
  <si>
    <t>2022-039</t>
  </si>
  <si>
    <t>2022-040</t>
  </si>
  <si>
    <t>2022-041</t>
  </si>
  <si>
    <t>2022-042</t>
  </si>
  <si>
    <t>2022-043</t>
  </si>
  <si>
    <t>2022-044</t>
  </si>
  <si>
    <t>2022-045</t>
  </si>
  <si>
    <t>2022-046</t>
  </si>
  <si>
    <t>2022-047</t>
  </si>
  <si>
    <t>2022-048</t>
  </si>
  <si>
    <t>2022-049</t>
  </si>
  <si>
    <t>2022-050</t>
  </si>
  <si>
    <t>2022-051</t>
  </si>
  <si>
    <t>2022-052</t>
  </si>
  <si>
    <t>2022-053</t>
  </si>
  <si>
    <t>2022-054</t>
  </si>
  <si>
    <t>2022-055</t>
  </si>
  <si>
    <t>2022-056</t>
  </si>
  <si>
    <t>2022-057</t>
  </si>
  <si>
    <t>2022-058</t>
  </si>
  <si>
    <t>2022-059</t>
  </si>
  <si>
    <t>2022-060</t>
  </si>
  <si>
    <t>2022-061</t>
  </si>
  <si>
    <t>2022-062</t>
  </si>
  <si>
    <t>2022-063</t>
  </si>
  <si>
    <t>2023-001</t>
  </si>
  <si>
    <t>2023-002</t>
  </si>
  <si>
    <t>2023-003</t>
  </si>
  <si>
    <t>2023-004</t>
  </si>
  <si>
    <t>2023-005</t>
  </si>
  <si>
    <t>2023-006</t>
  </si>
  <si>
    <t>2023-007</t>
  </si>
  <si>
    <t>2023-008</t>
  </si>
  <si>
    <t>2023-009</t>
  </si>
  <si>
    <t>2023-010</t>
  </si>
  <si>
    <t>2023-011</t>
  </si>
  <si>
    <t>2023-012</t>
  </si>
  <si>
    <t>2023-013</t>
  </si>
  <si>
    <t>2023-014</t>
  </si>
  <si>
    <t>2023-015</t>
  </si>
  <si>
    <t>2023-016</t>
  </si>
  <si>
    <t>2023-017</t>
  </si>
  <si>
    <t>2023-018</t>
  </si>
  <si>
    <t>2023-019</t>
  </si>
  <si>
    <t>2023-020</t>
  </si>
  <si>
    <t>2023-021</t>
  </si>
  <si>
    <t>2023-022</t>
  </si>
  <si>
    <t>2023-023</t>
  </si>
  <si>
    <t>2023-024</t>
  </si>
  <si>
    <t>2023-025</t>
  </si>
  <si>
    <t>2023-026</t>
  </si>
  <si>
    <t>2023-027</t>
  </si>
  <si>
    <t>2023-028</t>
  </si>
  <si>
    <t>2023-029</t>
  </si>
  <si>
    <t>2023-030</t>
  </si>
  <si>
    <t>2023-031</t>
  </si>
  <si>
    <t>2023-032</t>
  </si>
  <si>
    <t>2023-033</t>
  </si>
  <si>
    <t>2023-034</t>
  </si>
  <si>
    <t>2023-035</t>
  </si>
  <si>
    <t>2023-036</t>
  </si>
  <si>
    <t>2023-037</t>
  </si>
  <si>
    <t>2023-038</t>
  </si>
  <si>
    <t>2023-039</t>
  </si>
  <si>
    <t>2023-040</t>
  </si>
  <si>
    <t>2023-041</t>
  </si>
  <si>
    <t>2023-042</t>
  </si>
  <si>
    <t>2023-043</t>
  </si>
  <si>
    <t>2023-044</t>
  </si>
  <si>
    <t>2023-045</t>
  </si>
  <si>
    <t>2023-046</t>
  </si>
  <si>
    <t>2023-047</t>
  </si>
  <si>
    <t>2023-048</t>
  </si>
  <si>
    <t>2023-049</t>
  </si>
  <si>
    <t>2023-050</t>
  </si>
  <si>
    <t>2023-051</t>
  </si>
  <si>
    <t>2023-052</t>
  </si>
  <si>
    <t>2023-053</t>
  </si>
  <si>
    <t>2023-054</t>
  </si>
  <si>
    <t>2023-055</t>
  </si>
  <si>
    <t>2023-056</t>
  </si>
  <si>
    <t>2023-057</t>
  </si>
  <si>
    <t>2023-058</t>
  </si>
  <si>
    <t>2023-059</t>
  </si>
  <si>
    <t>2023-060</t>
  </si>
  <si>
    <t>2023-061</t>
  </si>
  <si>
    <t>2023-062</t>
  </si>
  <si>
    <t>2023-063</t>
  </si>
  <si>
    <t>2023-064</t>
  </si>
  <si>
    <t>2023-065</t>
  </si>
  <si>
    <t>2023-066</t>
  </si>
  <si>
    <t>2023-067</t>
  </si>
  <si>
    <t>2023-068</t>
  </si>
  <si>
    <t>2023-069</t>
  </si>
  <si>
    <t>2023-070</t>
  </si>
  <si>
    <t>2023-071</t>
  </si>
  <si>
    <t>2023-072</t>
  </si>
  <si>
    <t>2023-073</t>
  </si>
  <si>
    <t>2023-074</t>
  </si>
  <si>
    <t>2023-075</t>
  </si>
  <si>
    <t>2023-076</t>
  </si>
  <si>
    <t>2023-077</t>
  </si>
  <si>
    <t>2023-078</t>
  </si>
  <si>
    <t>2023-079</t>
  </si>
  <si>
    <t>2023-080</t>
  </si>
  <si>
    <t>2023-081</t>
  </si>
  <si>
    <t>2023-082</t>
  </si>
  <si>
    <t>2023-083</t>
  </si>
  <si>
    <t>2023-084</t>
  </si>
  <si>
    <t>2023-085</t>
  </si>
  <si>
    <t>2023-086</t>
  </si>
  <si>
    <t>2023-087</t>
  </si>
  <si>
    <t>2023-088</t>
  </si>
  <si>
    <t>2023-089</t>
  </si>
  <si>
    <t>2023-090</t>
  </si>
  <si>
    <t>2023-091</t>
  </si>
  <si>
    <t>2023-092</t>
  </si>
  <si>
    <t>2023-093</t>
  </si>
  <si>
    <t>2023-094</t>
  </si>
  <si>
    <t>2023-095</t>
  </si>
  <si>
    <t>2023-096</t>
  </si>
  <si>
    <t>2023-097</t>
  </si>
  <si>
    <t>2023-098</t>
  </si>
  <si>
    <t>2023-099</t>
  </si>
  <si>
    <t>2023-100</t>
  </si>
  <si>
    <t>2023-101</t>
  </si>
  <si>
    <t>2023-102</t>
  </si>
  <si>
    <t>2023-103</t>
  </si>
  <si>
    <t>2023-104</t>
  </si>
  <si>
    <t>2023-105</t>
  </si>
  <si>
    <t>2023-106</t>
  </si>
  <si>
    <t>2023-107</t>
  </si>
  <si>
    <t>2023-108</t>
  </si>
  <si>
    <t>2023-109</t>
  </si>
  <si>
    <t>2024-001</t>
  </si>
  <si>
    <t>2024-002</t>
  </si>
  <si>
    <t>2024-003</t>
  </si>
  <si>
    <t>2024-004</t>
  </si>
  <si>
    <t>2024-005</t>
  </si>
  <si>
    <t>2024-006</t>
  </si>
  <si>
    <t>2024-007</t>
  </si>
  <si>
    <t>2024-008</t>
  </si>
  <si>
    <t>2024-009</t>
  </si>
  <si>
    <t>2024-010</t>
  </si>
  <si>
    <t>2024-011</t>
  </si>
  <si>
    <t>2024-012</t>
  </si>
  <si>
    <t>2024-013</t>
  </si>
  <si>
    <t>2024-014</t>
  </si>
  <si>
    <t>2024-015</t>
  </si>
  <si>
    <t>2024-016</t>
  </si>
  <si>
    <t>2024-017</t>
  </si>
  <si>
    <t>2024-018</t>
  </si>
  <si>
    <t>2024-019</t>
  </si>
  <si>
    <t>2024-020</t>
  </si>
  <si>
    <t>2024-021</t>
  </si>
  <si>
    <t>2024-022</t>
  </si>
  <si>
    <t>2024-023</t>
  </si>
  <si>
    <t>2024-024</t>
  </si>
  <si>
    <t>2024-025</t>
  </si>
  <si>
    <t>2024-026</t>
  </si>
  <si>
    <t>2024-027</t>
  </si>
  <si>
    <t>2024-028</t>
  </si>
  <si>
    <t>2024-029</t>
  </si>
  <si>
    <t>2024-030</t>
  </si>
  <si>
    <t>2024-031</t>
  </si>
  <si>
    <t>2024-032</t>
  </si>
  <si>
    <t>2024-033</t>
  </si>
  <si>
    <t>2024-034</t>
  </si>
  <si>
    <t>2024-035</t>
  </si>
  <si>
    <t>2024-036</t>
  </si>
  <si>
    <t>2024-037</t>
  </si>
  <si>
    <t>2024-038</t>
  </si>
  <si>
    <t>2024-039</t>
  </si>
  <si>
    <t>2024-040</t>
  </si>
  <si>
    <t>2024-041</t>
  </si>
  <si>
    <t>2024-042</t>
  </si>
  <si>
    <t>2024-043</t>
  </si>
  <si>
    <t>2024-044</t>
  </si>
  <si>
    <t>2024-045</t>
  </si>
  <si>
    <t>2024-046</t>
  </si>
  <si>
    <t>2024-047</t>
  </si>
  <si>
    <t>2024-048</t>
  </si>
  <si>
    <t>2024-049</t>
  </si>
  <si>
    <t>2024-050</t>
  </si>
  <si>
    <t>2024-051</t>
  </si>
  <si>
    <t>2024-052</t>
  </si>
  <si>
    <t>2024-053</t>
  </si>
  <si>
    <t>2024-054</t>
  </si>
  <si>
    <t>2024-055</t>
  </si>
  <si>
    <t>2024-056</t>
  </si>
  <si>
    <t>2024-057</t>
  </si>
  <si>
    <t>2024-058</t>
  </si>
  <si>
    <t>2024-059</t>
  </si>
  <si>
    <t>2024-060</t>
  </si>
  <si>
    <t>2024-061</t>
  </si>
  <si>
    <t>2024-062</t>
  </si>
  <si>
    <t>2024-063</t>
  </si>
  <si>
    <t>2024-064</t>
  </si>
  <si>
    <t>2024-065</t>
  </si>
  <si>
    <t>2024-066</t>
  </si>
  <si>
    <t>2024-067</t>
  </si>
  <si>
    <t>2024-068</t>
  </si>
  <si>
    <t>2024-069</t>
  </si>
  <si>
    <t>2024-070</t>
  </si>
  <si>
    <t>2024-071</t>
  </si>
  <si>
    <t>2024-072</t>
  </si>
  <si>
    <t>2024-073</t>
  </si>
  <si>
    <t>2024-074</t>
  </si>
  <si>
    <t>2024-075</t>
  </si>
  <si>
    <t>2024-076</t>
  </si>
  <si>
    <t>2024-077</t>
  </si>
  <si>
    <t>2024-078</t>
  </si>
  <si>
    <t>2024-079</t>
  </si>
  <si>
    <t>2024-080</t>
  </si>
  <si>
    <t>2024-081</t>
  </si>
  <si>
    <t>2024-082</t>
  </si>
  <si>
    <t>2024-083</t>
  </si>
  <si>
    <t>2024-084</t>
  </si>
  <si>
    <t>2024-085</t>
  </si>
  <si>
    <t>2024-086</t>
  </si>
  <si>
    <t>2024-087</t>
  </si>
  <si>
    <t>2024-088</t>
  </si>
  <si>
    <t>2024-089</t>
  </si>
  <si>
    <t>2024-090</t>
  </si>
  <si>
    <t>2024-091</t>
  </si>
  <si>
    <t>2024-092</t>
  </si>
  <si>
    <t>2024-093</t>
  </si>
  <si>
    <t>2024-094</t>
  </si>
  <si>
    <t>2024-095</t>
  </si>
  <si>
    <t>2024-096</t>
  </si>
  <si>
    <t>2024-097</t>
  </si>
  <si>
    <t>2024-098</t>
  </si>
  <si>
    <t>2024-099</t>
  </si>
  <si>
    <t>2024-100</t>
  </si>
  <si>
    <t>2024-101</t>
  </si>
  <si>
    <t>2024-102</t>
  </si>
  <si>
    <t>2024-103</t>
  </si>
  <si>
    <t>2024-104</t>
  </si>
  <si>
    <t>2024-105</t>
  </si>
  <si>
    <t>2024-106</t>
  </si>
  <si>
    <t>2024-107</t>
  </si>
  <si>
    <t>2024-108</t>
  </si>
  <si>
    <t>2024-109</t>
  </si>
  <si>
    <t>2024-110</t>
  </si>
  <si>
    <t>2024-111</t>
  </si>
  <si>
    <t>2024-112</t>
  </si>
  <si>
    <t>2024-113</t>
  </si>
  <si>
    <t>2024-114</t>
  </si>
  <si>
    <t>2024-115</t>
  </si>
  <si>
    <t>2024-116</t>
  </si>
  <si>
    <t>2024-117</t>
  </si>
  <si>
    <t>2024-118</t>
  </si>
  <si>
    <t>2024-119</t>
  </si>
  <si>
    <t>2024-120</t>
  </si>
  <si>
    <t>2024-121</t>
  </si>
  <si>
    <t>2024-122</t>
  </si>
  <si>
    <t>2024-123</t>
  </si>
  <si>
    <t>2024-124</t>
  </si>
  <si>
    <t>2024-125</t>
  </si>
  <si>
    <t>2024-126</t>
  </si>
  <si>
    <t>2024-127</t>
  </si>
  <si>
    <t>2024-128</t>
  </si>
  <si>
    <t>2024-129</t>
  </si>
  <si>
    <t>2024-130</t>
  </si>
  <si>
    <t>2024-131</t>
  </si>
  <si>
    <t>2024-132</t>
  </si>
  <si>
    <t>2024-133</t>
  </si>
  <si>
    <t>2025-001</t>
  </si>
  <si>
    <t>2025-002</t>
  </si>
  <si>
    <t>2025-003</t>
  </si>
  <si>
    <t>2025-004</t>
  </si>
  <si>
    <t>2025-005</t>
  </si>
  <si>
    <t>2025-006</t>
  </si>
  <si>
    <t>2025-007</t>
  </si>
  <si>
    <t>2025-008</t>
  </si>
  <si>
    <t>2025-009</t>
  </si>
  <si>
    <t>2025-010</t>
  </si>
  <si>
    <t>2025-011</t>
  </si>
  <si>
    <t>2025-012</t>
  </si>
  <si>
    <t>2025-013</t>
  </si>
  <si>
    <t>2025-014</t>
  </si>
  <si>
    <t>2025-015</t>
  </si>
  <si>
    <t>2025-016</t>
  </si>
  <si>
    <t>2025-017</t>
  </si>
  <si>
    <t>2025-018</t>
  </si>
  <si>
    <t>2025-019</t>
  </si>
  <si>
    <t>2025-020</t>
  </si>
  <si>
    <t>2025-021</t>
  </si>
  <si>
    <t>2025-022</t>
  </si>
  <si>
    <t>2025-023</t>
  </si>
  <si>
    <t>2025-024</t>
  </si>
  <si>
    <t>2025-025</t>
  </si>
  <si>
    <t>2025-026</t>
  </si>
  <si>
    <t>2025-027</t>
  </si>
  <si>
    <t>2025-028</t>
  </si>
  <si>
    <t>2025-029</t>
  </si>
  <si>
    <t>2025-030</t>
  </si>
  <si>
    <t>2025-031</t>
  </si>
  <si>
    <t>2025-032</t>
  </si>
  <si>
    <t>2025-033</t>
  </si>
  <si>
    <t>2025-034</t>
  </si>
  <si>
    <t>2025-035</t>
  </si>
  <si>
    <t>2025-036</t>
  </si>
  <si>
    <t>2025-037</t>
  </si>
  <si>
    <t>2025-038</t>
  </si>
  <si>
    <t>2025-039</t>
  </si>
  <si>
    <t>2025-040</t>
  </si>
  <si>
    <t>2025-041</t>
  </si>
  <si>
    <t>2025-042</t>
  </si>
  <si>
    <t>2025-043</t>
  </si>
  <si>
    <t>2025-044</t>
  </si>
  <si>
    <t>2025-045</t>
  </si>
  <si>
    <t>2025-046</t>
  </si>
  <si>
    <t>2025-047</t>
  </si>
  <si>
    <t>2025-048</t>
  </si>
  <si>
    <t>2025-049</t>
  </si>
  <si>
    <t>2025-050</t>
  </si>
  <si>
    <t>2025-051</t>
  </si>
  <si>
    <t>2025-052</t>
  </si>
  <si>
    <t>2025-053</t>
  </si>
  <si>
    <t>2025-054</t>
  </si>
  <si>
    <t>2025-055</t>
  </si>
  <si>
    <t>2025-056</t>
  </si>
  <si>
    <t>2025-057</t>
  </si>
  <si>
    <t>2025-058</t>
  </si>
  <si>
    <t>2025-059</t>
  </si>
  <si>
    <t>2025-060</t>
  </si>
  <si>
    <t>2025-061</t>
  </si>
  <si>
    <t>2025-062</t>
  </si>
  <si>
    <t>2025-063</t>
  </si>
  <si>
    <t>2025-064</t>
  </si>
  <si>
    <t>2025-065</t>
  </si>
  <si>
    <t>2025-066</t>
  </si>
  <si>
    <t>2025-067</t>
  </si>
  <si>
    <t>2025-068</t>
  </si>
  <si>
    <t>2025-069</t>
  </si>
  <si>
    <t>2025-070</t>
  </si>
  <si>
    <t>2025-071</t>
  </si>
  <si>
    <t>2025-072</t>
  </si>
  <si>
    <t>2025-073</t>
  </si>
  <si>
    <t>2025-074</t>
  </si>
  <si>
    <t>2025-075</t>
  </si>
  <si>
    <t>2025-076</t>
  </si>
  <si>
    <t>2025-077</t>
  </si>
  <si>
    <t>2025-078</t>
  </si>
  <si>
    <t>2025-079</t>
  </si>
  <si>
    <t>2025-080</t>
  </si>
  <si>
    <t>2025-081</t>
  </si>
  <si>
    <t>2025-082</t>
  </si>
  <si>
    <t>2025-083</t>
  </si>
  <si>
    <t>2025-084</t>
  </si>
  <si>
    <t>2025-085</t>
  </si>
  <si>
    <t>2025-086</t>
  </si>
  <si>
    <t>2025-087</t>
  </si>
  <si>
    <t>2025-088</t>
  </si>
  <si>
    <t>2025-089</t>
  </si>
  <si>
    <t>2025-090</t>
  </si>
  <si>
    <t>2025-091</t>
  </si>
  <si>
    <t>2025-092</t>
  </si>
  <si>
    <t>2025-093</t>
  </si>
  <si>
    <t>2025-094</t>
  </si>
  <si>
    <t>2025-095</t>
  </si>
  <si>
    <t>2025-096</t>
  </si>
  <si>
    <t>2025-097</t>
  </si>
  <si>
    <t>2025-098</t>
  </si>
  <si>
    <t>2025-099</t>
  </si>
  <si>
    <t>2025-100</t>
  </si>
  <si>
    <t>2025-101</t>
  </si>
  <si>
    <t>2025-102</t>
  </si>
  <si>
    <t>2025-103</t>
  </si>
  <si>
    <t>2025-104</t>
  </si>
  <si>
    <t>2025-105</t>
  </si>
  <si>
    <t>2025-106</t>
  </si>
  <si>
    <t>2025-107</t>
  </si>
  <si>
    <t>2025-108</t>
  </si>
  <si>
    <t>2025-109</t>
  </si>
  <si>
    <t>2025-110</t>
  </si>
  <si>
    <t>2025-111</t>
  </si>
  <si>
    <t>2025-112</t>
  </si>
  <si>
    <t>2025-113</t>
  </si>
  <si>
    <t>2025-114</t>
  </si>
  <si>
    <t>2025-115</t>
  </si>
  <si>
    <t>2025-116</t>
  </si>
  <si>
    <t>2025-117</t>
  </si>
  <si>
    <t>2025-118</t>
  </si>
  <si>
    <t>2025-119</t>
  </si>
  <si>
    <t>2025-120</t>
  </si>
  <si>
    <t>2026-001</t>
  </si>
  <si>
    <t>2026-003</t>
  </si>
  <si>
    <t>2026-004</t>
  </si>
  <si>
    <t>2026-006</t>
  </si>
  <si>
    <t>2026-007</t>
  </si>
  <si>
    <t>2026-008</t>
  </si>
  <si>
    <t>2026-009</t>
  </si>
  <si>
    <t>2026-010</t>
  </si>
  <si>
    <t>2026-011</t>
  </si>
  <si>
    <t>2026-012</t>
  </si>
  <si>
    <t>2026-013</t>
  </si>
  <si>
    <t>2026-014</t>
  </si>
  <si>
    <t>2026-017</t>
  </si>
  <si>
    <t>2026-019</t>
  </si>
  <si>
    <t>2026-022</t>
  </si>
  <si>
    <t>2026-023</t>
  </si>
  <si>
    <t>2026-026</t>
  </si>
  <si>
    <t>2026-027</t>
  </si>
  <si>
    <t>2026-028</t>
  </si>
  <si>
    <t>2026-029</t>
  </si>
  <si>
    <t>2026-030</t>
  </si>
  <si>
    <t>2026-031</t>
  </si>
  <si>
    <t>2026-035</t>
  </si>
  <si>
    <t>2026-038</t>
  </si>
  <si>
    <t>2026-039</t>
  </si>
  <si>
    <t>2026-040</t>
  </si>
  <si>
    <t>2026-041</t>
  </si>
  <si>
    <t>2026-043</t>
  </si>
  <si>
    <t>2026-046</t>
  </si>
  <si>
    <t>2026-049</t>
  </si>
  <si>
    <t>2026-050</t>
  </si>
  <si>
    <t>2026-051</t>
  </si>
  <si>
    <t>2026-052</t>
  </si>
  <si>
    <t>2026-053</t>
  </si>
  <si>
    <t>2026-055</t>
  </si>
  <si>
    <t>2026-058</t>
  </si>
  <si>
    <t>2026-060</t>
  </si>
  <si>
    <t>2026-061</t>
  </si>
  <si>
    <t>2026-062</t>
  </si>
  <si>
    <t>2026-063</t>
  </si>
  <si>
    <t>2026-064</t>
  </si>
  <si>
    <t>2026-065</t>
  </si>
  <si>
    <t>2026-067</t>
  </si>
  <si>
    <t>2026-068</t>
  </si>
  <si>
    <t>PAINEL DE CONTROLE DE IDs — não excluir</t>
  </si>
  <si>
    <t>Ano do novo curso</t>
  </si>
  <si>
    <t>Próximo ID disponível</t>
  </si>
  <si>
    <t>Total de IDs atribuídos</t>
  </si>
  <si>
    <t>IDs duplicados (deve ser 0)</t>
  </si>
  <si>
    <t>Linhas com dados e sem ID (deve ser 0)</t>
  </si>
  <si>
    <t>IDs fora do padrão AAAA-NNN (deve ser 0)</t>
  </si>
  <si>
    <t>2026-069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</si>
  <si>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</si>
  <si>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</si>
  <si>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</si>
  <si>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</si>
  <si>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</si>
  <si>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</si>
  <si>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</si>
  <si>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</si>
  <si>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</si>
  <si>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</si>
  <si>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</si>
  <si>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OK</t>
  </si>
  <si>
    <t>David da Silva de Araújo</t>
  </si>
  <si>
    <t>BLOCOS INCOMPLETOS — verificar manualmente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</si>
  <si>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</si>
  <si>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</si>
  <si>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</si>
  <si>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</si>
  <si>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</si>
  <si>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</si>
  <si>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</si>
  <si>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</si>
  <si>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</si>
  <si>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</si>
  <si>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</si>
  <si>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</si>
  <si>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</si>
  <si>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</si>
  <si>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</si>
  <si>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2026-070</t>
  </si>
  <si>
    <t>2026-071</t>
  </si>
  <si>
    <t>2026-072</t>
  </si>
  <si>
    <t>2026-073</t>
  </si>
  <si>
    <t>Túllio Herbeth Teixeira Moraes</t>
  </si>
  <si>
    <t>Hamilton de Jesus Lopes Neto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</si>
</sst>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70" formatCode="&quot;R$&quot;\ #,##0.00"/>
  </numFmts>
  <fonts count="57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9"/>
      <color rgb="FF7F7F7F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u/>
      <sz val="11"/>
      <color rgb="FF000000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1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0" xfId="0" applyFont="1"/>
    <xf numFmtId="0" fontId="48" fillId="0" borderId="0" xfId="0" applyFont="1"/>
    <xf numFmtId="0" fontId="49" fillId="0" borderId="1" xfId="0" applyFont="1" applyBorder="1" applyAlignment="1">
      <alignment vertical="center"/>
    </xf>
    <xf numFmtId="49" fontId="12" fillId="0" borderId="0" xfId="0" applyNumberFormat="1" applyFont="1"/>
    <xf numFmtId="170" fontId="4" fillId="2" borderId="1" xfId="2" applyNumberFormat="1" applyFont="1" applyFill="1" applyBorder="1" applyAlignment="1">
      <alignment horizontal="center" vertical="center" wrapText="1"/>
    </xf>
    <xf numFmtId="170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3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4" fillId="4" borderId="1" xfId="0" applyFont="1" applyFill="1" applyBorder="1" applyAlignment="1">
      <alignment vertical="center"/>
    </xf>
    <xf numFmtId="1" fontId="55" fillId="0" borderId="1" xfId="0" applyNumberFormat="1" applyFont="1" applyBorder="1" applyAlignment="1">
      <alignment horizontal="center" vertical="center"/>
    </xf>
    <xf numFmtId="49" fontId="54" fillId="17" borderId="1" xfId="0" applyNumberFormat="1" applyFont="1" applyFill="1" applyBorder="1" applyAlignment="1">
      <alignment horizontal="center"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  <xf numFmtId="0" fontId="15" fillId="7" borderId="0" xfId="0" applyFont="1" applyFill="1"/>
    <xf numFmtId="0" fontId="15" fillId="18" borderId="0" xfId="0" applyFont="1" applyFill="1"/>
    <xf numFmtId="49" fontId="52" fillId="0" borderId="21" xfId="0" applyNumberFormat="1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49" fontId="9" fillId="0" borderId="1" xfId="0" applyNumberFormat="1" applyFont="1" applyFill="1" applyBorder="1" applyAlignment="1">
      <alignment vertical="center"/>
    </xf>
    <xf numFmtId="0" fontId="9" fillId="0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vertical="center"/>
    </xf>
    <xf numFmtId="49" fontId="8" fillId="0" borderId="1" xfId="0" applyNumberFormat="1" applyFont="1" applyFill="1" applyBorder="1" applyAlignment="1">
      <alignment horizontal="center" vertical="center"/>
    </xf>
    <xf numFmtId="166" fontId="8" fillId="0" borderId="1" xfId="0" applyNumberFormat="1" applyFont="1" applyFill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Fill="1" applyBorder="1" applyAlignment="1">
      <alignment horizontal="center" vertical="center"/>
    </xf>
    <xf numFmtId="3" fontId="8" fillId="0" borderId="1" xfId="0" applyNumberFormat="1" applyFont="1" applyFill="1" applyBorder="1" applyAlignment="1">
      <alignment horizontal="center" vertical="center"/>
    </xf>
    <xf numFmtId="1" fontId="8" fillId="0" borderId="1" xfId="0" applyNumberFormat="1" applyFont="1" applyFill="1" applyBorder="1" applyAlignment="1">
      <alignment horizontal="center" vertical="center"/>
    </xf>
    <xf numFmtId="49" fontId="52" fillId="0" borderId="1" xfId="0" applyNumberFormat="1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left" vertical="center"/>
    </xf>
    <xf numFmtId="0" fontId="9" fillId="0" borderId="1" xfId="0" applyFont="1" applyFill="1" applyBorder="1" applyAlignment="1">
      <alignment vertical="center"/>
    </xf>
    <xf numFmtId="1" fontId="8" fillId="0" borderId="1" xfId="0" applyNumberFormat="1" applyFont="1" applyFill="1" applyBorder="1" applyAlignment="1">
      <alignment vertical="center"/>
    </xf>
    <xf numFmtId="14" fontId="8" fillId="0" borderId="1" xfId="0" applyNumberFormat="1" applyFont="1" applyFill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Fill="1" applyBorder="1" applyAlignment="1">
      <alignment horizontal="center" vertical="center"/>
    </xf>
    <xf numFmtId="0" fontId="8" fillId="0" borderId="1" xfId="0" applyFont="1" applyFill="1" applyBorder="1" applyAlignment="1">
      <alignment vertical="center" wrapText="1"/>
    </xf>
    <xf numFmtId="49" fontId="9" fillId="0" borderId="1" xfId="0" applyNumberFormat="1" applyFont="1" applyFill="1" applyBorder="1" applyAlignment="1">
      <alignment horizontal="left" vertical="center"/>
    </xf>
    <xf numFmtId="14" fontId="8" fillId="0" borderId="1" xfId="0" applyNumberFormat="1" applyFont="1" applyFill="1" applyBorder="1"/>
    <xf numFmtId="0" fontId="8" fillId="0" borderId="0" xfId="0" applyFont="1" applyFill="1" applyAlignment="1">
      <alignment vertical="center"/>
    </xf>
    <xf numFmtId="0" fontId="8" fillId="0" borderId="1" xfId="0" applyFont="1" applyFill="1" applyBorder="1"/>
    <xf numFmtId="49" fontId="8" fillId="0" borderId="0" xfId="0" applyNumberFormat="1" applyFont="1" applyFill="1" applyAlignment="1">
      <alignment horizontal="center" vertical="center"/>
    </xf>
    <xf numFmtId="49" fontId="9" fillId="0" borderId="1" xfId="0" applyNumberFormat="1" applyFont="1" applyFill="1" applyBorder="1" applyAlignment="1">
      <alignment horizontal="center" vertical="center"/>
    </xf>
    <xf numFmtId="0" fontId="8" fillId="0" borderId="0" xfId="0" applyFont="1" applyFill="1" applyAlignment="1">
      <alignment horizontal="center" vertical="center"/>
    </xf>
    <xf numFmtId="0" fontId="8" fillId="0" borderId="2" xfId="0" applyFont="1" applyFill="1" applyBorder="1" applyAlignment="1">
      <alignment horizontal="center" vertical="center"/>
    </xf>
    <xf numFmtId="49" fontId="9" fillId="0" borderId="2" xfId="0" applyNumberFormat="1" applyFont="1" applyFill="1" applyBorder="1" applyAlignment="1">
      <alignment vertical="center"/>
    </xf>
    <xf numFmtId="0" fontId="8" fillId="0" borderId="2" xfId="0" applyFont="1" applyFill="1" applyBorder="1" applyAlignment="1">
      <alignment vertical="center"/>
    </xf>
    <xf numFmtId="49" fontId="8" fillId="0" borderId="2" xfId="0" applyNumberFormat="1" applyFont="1" applyFill="1" applyBorder="1" applyAlignment="1">
      <alignment horizontal="center" vertical="center"/>
    </xf>
    <xf numFmtId="166" fontId="8" fillId="0" borderId="2" xfId="0" applyNumberFormat="1" applyFont="1" applyFill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Fill="1" applyBorder="1" applyAlignment="1">
      <alignment horizontal="center" vertical="center"/>
    </xf>
    <xf numFmtId="3" fontId="8" fillId="0" borderId="2" xfId="0" applyNumberFormat="1" applyFont="1" applyFill="1" applyBorder="1" applyAlignment="1">
      <alignment horizontal="center" vertical="center"/>
    </xf>
    <xf numFmtId="1" fontId="8" fillId="0" borderId="2" xfId="0" applyNumberFormat="1" applyFont="1" applyFill="1" applyBorder="1" applyAlignment="1">
      <alignment horizontal="center" vertical="center"/>
    </xf>
    <xf numFmtId="0" fontId="9" fillId="0" borderId="2" xfId="0" applyFont="1" applyFill="1" applyBorder="1" applyAlignment="1">
      <alignment horizontal="center" vertical="center"/>
    </xf>
    <xf numFmtId="49" fontId="9" fillId="0" borderId="1" xfId="0" applyNumberFormat="1" applyFont="1" applyFill="1" applyBorder="1" applyAlignment="1">
      <alignment vertical="center" wrapText="1"/>
    </xf>
    <xf numFmtId="166" fontId="8" fillId="0" borderId="0" xfId="0" applyNumberFormat="1" applyFont="1" applyFill="1" applyAlignment="1">
      <alignment horizontal="center" vertical="center"/>
    </xf>
    <xf numFmtId="0" fontId="8" fillId="0" borderId="1" xfId="0" applyFont="1" applyFill="1" applyBorder="1" applyAlignment="1">
      <alignment horizontal="center" vertical="center" wrapText="1"/>
    </xf>
    <xf numFmtId="49" fontId="8" fillId="0" borderId="1" xfId="0" applyNumberFormat="1" applyFont="1" applyFill="1" applyBorder="1" applyAlignment="1">
      <alignment horizontal="center" vertical="center" wrapText="1"/>
    </xf>
    <xf numFmtId="0" fontId="8" fillId="0" borderId="1" xfId="0" applyFont="1" applyFill="1" applyBorder="1" applyAlignment="1">
      <alignment wrapText="1"/>
    </xf>
    <xf numFmtId="0" fontId="8" fillId="0" borderId="2" xfId="0" applyFont="1" applyFill="1" applyBorder="1" applyAlignment="1">
      <alignment vertical="center" wrapText="1"/>
    </xf>
    <xf numFmtId="0" fontId="8" fillId="0" borderId="2" xfId="0" applyFont="1" applyFill="1" applyBorder="1" applyAlignment="1">
      <alignment horizontal="center" vertical="center" wrapText="1"/>
    </xf>
    <xf numFmtId="0" fontId="9" fillId="0" borderId="1" xfId="0" applyFont="1" applyFill="1" applyBorder="1" applyAlignment="1">
      <alignment horizontal="center" vertical="center" wrapText="1"/>
    </xf>
    <xf numFmtId="49" fontId="8" fillId="0" borderId="0" xfId="0" applyNumberFormat="1" applyFont="1" applyFill="1" applyAlignment="1">
      <alignment horizontal="center" vertical="center" wrapText="1"/>
    </xf>
    <xf numFmtId="170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Fill="1" applyBorder="1" applyAlignment="1">
      <alignment horizontal="center" vertical="center"/>
    </xf>
    <xf numFmtId="0" fontId="31" fillId="0" borderId="1" xfId="0" applyFont="1" applyFill="1" applyBorder="1" applyAlignment="1">
      <alignment horizontal="center" vertical="center"/>
    </xf>
    <xf numFmtId="0" fontId="31" fillId="0" borderId="1" xfId="0" applyFont="1" applyFill="1" applyBorder="1" applyAlignment="1">
      <alignment vertical="center"/>
    </xf>
    <xf numFmtId="49" fontId="31" fillId="0" borderId="1" xfId="0" applyNumberFormat="1" applyFont="1" applyFill="1" applyBorder="1" applyAlignment="1">
      <alignment horizontal="center" vertical="center"/>
    </xf>
    <xf numFmtId="166" fontId="31" fillId="0" borderId="1" xfId="0" applyNumberFormat="1" applyFont="1" applyFill="1" applyBorder="1" applyAlignment="1">
      <alignment horizontal="center" vertical="center"/>
    </xf>
    <xf numFmtId="164" fontId="31" fillId="0" borderId="1" xfId="0" applyNumberFormat="1" applyFont="1" applyFill="1" applyBorder="1" applyAlignment="1">
      <alignment horizontal="center" vertical="center"/>
    </xf>
    <xf numFmtId="3" fontId="31" fillId="0" borderId="1" xfId="0" applyNumberFormat="1" applyFont="1" applyFill="1" applyBorder="1" applyAlignment="1">
      <alignment horizontal="center" vertical="center"/>
    </xf>
    <xf numFmtId="1" fontId="31" fillId="0" borderId="1" xfId="0" applyNumberFormat="1" applyFont="1" applyFill="1" applyBorder="1" applyAlignment="1">
      <alignment horizontal="center" vertical="center"/>
    </xf>
    <xf numFmtId="49" fontId="4" fillId="0" borderId="1" xfId="0" applyNumberFormat="1" applyFont="1" applyFill="1" applyBorder="1" applyAlignment="1">
      <alignment vertical="center"/>
    </xf>
    <xf numFmtId="170" fontId="31" fillId="0" borderId="1" xfId="2" applyNumberFormat="1" applyFont="1" applyFill="1" applyBorder="1" applyAlignment="1">
      <alignment vertical="center"/>
    </xf>
    <xf numFmtId="170" fontId="8" fillId="0" borderId="1" xfId="0" applyNumberFormat="1" applyFont="1" applyFill="1" applyBorder="1" applyAlignment="1">
      <alignment vertical="center"/>
    </xf>
    <xf numFmtId="0" fontId="50" fillId="0" borderId="1" xfId="0" applyFont="1" applyFill="1" applyBorder="1" applyAlignment="1">
      <alignment horizontal="center" vertical="center"/>
    </xf>
    <xf numFmtId="49" fontId="51" fillId="0" borderId="1" xfId="0" applyNumberFormat="1" applyFont="1" applyFill="1" applyBorder="1" applyAlignment="1">
      <alignment vertical="center"/>
    </xf>
    <xf numFmtId="0" fontId="51" fillId="0" borderId="1" xfId="0" applyFont="1" applyFill="1" applyBorder="1" applyAlignment="1">
      <alignment horizontal="center" vertical="center"/>
    </xf>
    <xf numFmtId="0" fontId="50" fillId="0" borderId="1" xfId="0" applyFont="1" applyFill="1" applyBorder="1" applyAlignment="1">
      <alignment vertical="center"/>
    </xf>
    <xf numFmtId="49" fontId="50" fillId="0" borderId="0" xfId="0" applyNumberFormat="1" applyFont="1" applyFill="1" applyAlignment="1">
      <alignment horizontal="center" vertical="center"/>
    </xf>
    <xf numFmtId="14" fontId="50" fillId="0" borderId="0" xfId="0" applyNumberFormat="1" applyFont="1" applyFill="1" applyAlignment="1">
      <alignment horizontal="center" vertical="center"/>
    </xf>
    <xf numFmtId="170" fontId="50" fillId="0" borderId="1" xfId="2" applyNumberFormat="1" applyFont="1" applyFill="1" applyBorder="1" applyAlignment="1">
      <alignment vertical="center"/>
    </xf>
    <xf numFmtId="164" fontId="50" fillId="0" borderId="1" xfId="0" applyNumberFormat="1" applyFont="1" applyFill="1" applyBorder="1" applyAlignment="1">
      <alignment horizontal="center" vertical="center"/>
    </xf>
    <xf numFmtId="3" fontId="50" fillId="0" borderId="1" xfId="0" applyNumberFormat="1" applyFont="1" applyFill="1" applyBorder="1" applyAlignment="1">
      <alignment horizontal="center" vertical="center"/>
    </xf>
    <xf numFmtId="1" fontId="50" fillId="0" borderId="1" xfId="0" applyNumberFormat="1" applyFont="1" applyFill="1" applyBorder="1" applyAlignment="1">
      <alignment horizontal="center" vertical="center"/>
    </xf>
    <xf numFmtId="49" fontId="50" fillId="0" borderId="1" xfId="0" applyNumberFormat="1" applyFont="1" applyFill="1" applyBorder="1" applyAlignment="1">
      <alignment horizontal="center" vertical="center"/>
    </xf>
    <xf numFmtId="14" fontId="50" fillId="0" borderId="1" xfId="0" applyNumberFormat="1" applyFont="1" applyFill="1" applyBorder="1" applyAlignment="1">
      <alignment horizontal="center" vertical="center"/>
    </xf>
    <xf numFmtId="0" fontId="50" fillId="0" borderId="2" xfId="0" applyFont="1" applyFill="1" applyBorder="1" applyAlignment="1">
      <alignment horizontal="center" vertical="center"/>
    </xf>
    <xf numFmtId="0" fontId="50" fillId="0" borderId="2" xfId="0" applyFont="1" applyFill="1" applyBorder="1" applyAlignment="1">
      <alignment vertical="center"/>
    </xf>
    <xf numFmtId="49" fontId="50" fillId="0" borderId="2" xfId="0" applyNumberFormat="1" applyFont="1" applyFill="1" applyBorder="1" applyAlignment="1">
      <alignment horizontal="center" vertical="center"/>
    </xf>
    <xf numFmtId="14" fontId="50" fillId="0" borderId="2" xfId="0" applyNumberFormat="1" applyFont="1" applyFill="1" applyBorder="1" applyAlignment="1">
      <alignment horizontal="center" vertical="center"/>
    </xf>
    <xf numFmtId="170" fontId="50" fillId="0" borderId="2" xfId="2" applyNumberFormat="1" applyFont="1" applyFill="1" applyBorder="1" applyAlignment="1">
      <alignment vertical="center"/>
    </xf>
    <xf numFmtId="164" fontId="50" fillId="0" borderId="2" xfId="0" applyNumberFormat="1" applyFont="1" applyFill="1" applyBorder="1" applyAlignment="1">
      <alignment horizontal="center" vertical="center"/>
    </xf>
    <xf numFmtId="3" fontId="50" fillId="0" borderId="2" xfId="0" applyNumberFormat="1" applyFont="1" applyFill="1" applyBorder="1" applyAlignment="1">
      <alignment horizontal="center" vertical="center"/>
    </xf>
    <xf numFmtId="1" fontId="50" fillId="0" borderId="2" xfId="0" applyNumberFormat="1" applyFont="1" applyFill="1" applyBorder="1" applyAlignment="1">
      <alignment horizontal="center" vertical="center"/>
    </xf>
    <xf numFmtId="170" fontId="8" fillId="0" borderId="2" xfId="0" applyNumberFormat="1" applyFont="1" applyFill="1" applyBorder="1" applyAlignment="1">
      <alignment vertical="center"/>
    </xf>
    <xf numFmtId="0" fontId="8" fillId="0" borderId="2" xfId="0" applyFont="1" applyFill="1" applyBorder="1" applyAlignment="1">
      <alignment wrapText="1"/>
    </xf>
    <xf numFmtId="49" fontId="51" fillId="0" borderId="2" xfId="0" applyNumberFormat="1" applyFont="1" applyFill="1" applyBorder="1" applyAlignment="1">
      <alignment vertical="center"/>
    </xf>
    <xf numFmtId="170" fontId="52" fillId="0" borderId="1" xfId="2" applyNumberFormat="1" applyFont="1" applyFill="1" applyBorder="1" applyAlignment="1">
      <alignment vertical="center"/>
    </xf>
    <xf numFmtId="0" fontId="52" fillId="0" borderId="1" xfId="0" applyFont="1" applyFill="1" applyBorder="1" applyAlignment="1">
      <alignment vertical="center"/>
    </xf>
    <xf numFmtId="170" fontId="8" fillId="0" borderId="2" xfId="2" applyNumberFormat="1" applyFont="1" applyFill="1" applyBorder="1" applyAlignment="1">
      <alignment vertical="center"/>
    </xf>
    <xf numFmtId="0" fontId="31" fillId="0" borderId="2" xfId="0" applyFont="1" applyFill="1" applyBorder="1" applyAlignment="1">
      <alignment horizontal="center" vertical="center"/>
    </xf>
    <xf numFmtId="49" fontId="4" fillId="0" borderId="2" xfId="0" applyNumberFormat="1" applyFont="1" applyFill="1" applyBorder="1" applyAlignment="1">
      <alignment vertical="center"/>
    </xf>
    <xf numFmtId="0" fontId="4" fillId="0" borderId="2" xfId="0" applyFont="1" applyFill="1" applyBorder="1" applyAlignment="1">
      <alignment horizontal="center" vertical="center"/>
    </xf>
    <xf numFmtId="0" fontId="31" fillId="0" borderId="2" xfId="0" applyFont="1" applyFill="1" applyBorder="1" applyAlignment="1">
      <alignment vertical="center"/>
    </xf>
    <xf numFmtId="49" fontId="31" fillId="0" borderId="2" xfId="0" applyNumberFormat="1" applyFont="1" applyFill="1" applyBorder="1" applyAlignment="1">
      <alignment horizontal="center" vertical="center"/>
    </xf>
    <xf numFmtId="166" fontId="31" fillId="0" borderId="2" xfId="0" applyNumberFormat="1" applyFont="1" applyFill="1" applyBorder="1" applyAlignment="1">
      <alignment horizontal="center" vertical="center"/>
    </xf>
    <xf numFmtId="170" fontId="31" fillId="0" borderId="2" xfId="2" applyNumberFormat="1" applyFont="1" applyFill="1" applyBorder="1" applyAlignment="1">
      <alignment vertical="center"/>
    </xf>
    <xf numFmtId="164" fontId="31" fillId="0" borderId="2" xfId="0" applyNumberFormat="1" applyFont="1" applyFill="1" applyBorder="1" applyAlignment="1">
      <alignment horizontal="center" vertical="center"/>
    </xf>
    <xf numFmtId="3" fontId="31" fillId="0" borderId="2" xfId="0" applyNumberFormat="1" applyFont="1" applyFill="1" applyBorder="1" applyAlignment="1">
      <alignment horizontal="center" vertical="center"/>
    </xf>
    <xf numFmtId="1" fontId="31" fillId="0" borderId="2" xfId="0" applyNumberFormat="1" applyFont="1" applyFill="1" applyBorder="1" applyAlignment="1">
      <alignment horizontal="center" vertical="center"/>
    </xf>
    <xf numFmtId="49" fontId="4" fillId="0" borderId="1" xfId="0" applyNumberFormat="1" applyFont="1" applyFill="1" applyBorder="1" applyAlignment="1">
      <alignment vertical="center" wrapText="1"/>
    </xf>
    <xf numFmtId="49" fontId="50" fillId="0" borderId="1" xfId="0" applyNumberFormat="1" applyFont="1" applyFill="1" applyBorder="1" applyAlignment="1">
      <alignment horizontal="center" vertical="center" wrapText="1"/>
    </xf>
    <xf numFmtId="0" fontId="52" fillId="0" borderId="1" xfId="0" applyFont="1" applyFill="1" applyBorder="1" applyAlignment="1">
      <alignment horizontal="center" vertical="center"/>
    </xf>
    <xf numFmtId="0" fontId="51" fillId="0" borderId="2" xfId="0" applyFont="1" applyFill="1" applyBorder="1" applyAlignment="1">
      <alignment horizontal="center" vertical="center"/>
    </xf>
    <xf numFmtId="0" fontId="50" fillId="0" borderId="1" xfId="0" applyNumberFormat="1" applyFont="1" applyFill="1" applyBorder="1" applyAlignment="1">
      <alignment horizontal="center" vertical="center"/>
    </xf>
    <xf numFmtId="0" fontId="56" fillId="0" borderId="1" xfId="0" applyFont="1" applyFill="1" applyBorder="1" applyAlignment="1">
      <alignment horizontal="center" vertical="center"/>
    </xf>
    <xf numFmtId="0" fontId="50" fillId="0" borderId="2" xfId="0" applyNumberFormat="1" applyFont="1" applyFill="1" applyBorder="1" applyAlignment="1">
      <alignment horizontal="center" vertical="center"/>
    </xf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87"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ill>
        <patternFill patternType="solid">
          <fgColor indexed="64"/>
          <bgColor rgb="FFFAEEED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FFFFF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numFmt numFmtId="169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ont>
        <b/>
        <i val="0"/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86"/>
      <tableStyleElement type="firstRowStripe" dxfId="85"/>
      <tableStyleElement type="secondRowStripe" dxfId="84"/>
    </tableStyle>
    <tableStyle name="Ações InCompany-style" pivot="0" count="3" xr9:uid="{00000000-0011-0000-FFFF-FFFF01000000}">
      <tableStyleElement type="headerRow" dxfId="83"/>
      <tableStyleElement type="firstRowStripe" dxfId="82"/>
      <tableStyleElement type="secondRowStripe" dxfId="81"/>
    </tableStyle>
    <tableStyle name="Coffee Break-style" pivot="0" count="3" xr9:uid="{00000000-0011-0000-FFFF-FFFF02000000}">
      <tableStyleElement type="headerRow" dxfId="80"/>
      <tableStyleElement type="firstRowStripe" dxfId="79"/>
      <tableStyleElement type="secondRowStripe" dxfId="78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17</c:v>
                </c:pt>
                <c:pt idx="1">
                  <c:v>13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535</c:v>
                </c:pt>
                <c:pt idx="1">
                  <c:v>808</c:v>
                </c:pt>
                <c:pt idx="2">
                  <c:v>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7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14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  <c:pt idx="5">
                  <c:v>7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1" tableId="2">
      <columnFilter colId="1" id="{19532738-24D5-4BD5-BE04-C19DCC5894A1}">
        <filter colId="1">
          <x:filters>
            <x:filter val="2026"/>
          </x:filters>
        </filter>
      </columnFilter>
      <sortRules>
        <sortRule colId="8" id="{62016C67-3729-4C41-B72D-09D6616B7474}">
          <sortCondition ref="I1:I2001"/>
        </sortRule>
      </sortRules>
    </nsvFilter>
  </namedSheetView>
</namedSheetViews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1" totalsRowShown="0" headerRowDxfId="73" dataDxfId="25" totalsRowDxfId="72" totalsRowBorderDxfId="71">
  <autoFilter ref="A1:T2001" xr:uid="{D1BD5F14-CD6F-4B62-85D2-128A9D3B5FF1}">
    <filterColumn colId="1">
      <filters>
        <filter val="2026"/>
      </filters>
    </filterColumn>
  </autoFilter>
  <sortState xmlns:xlrd2="http://schemas.microsoft.com/office/spreadsheetml/2017/richdata2" ref="A2:T2001">
    <sortCondition ref="I1:I2001"/>
  </sortState>
  <tableColumns count="20">
    <tableColumn id="1" xr3:uid="{022FA08A-515E-453B-85A4-E200B40364EE}" name="ID" dataDxfId="45" totalsRowDxfId="70"/>
    <tableColumn id="2" xr3:uid="{19532738-24D5-4BD5-BE04-C19DCC5894A1}" name="Ano" dataDxfId="44" totalsRowDxfId="69"/>
    <tableColumn id="3" xr3:uid="{8DE0B36A-F0DC-47A1-A74E-F4BE63A4FB1D}" name="Status Evento" dataDxfId="43" totalsRowDxfId="68"/>
    <tableColumn id="4" xr3:uid="{C1159FBD-CCD0-4CA2-BB8C-598E3AB5DDD8}" name="Processo" dataDxfId="42" totalsRowDxfId="67"/>
    <tableColumn id="5" xr3:uid="{A32670A4-BE4F-480D-8DE9-8FF18024C829}" name="Curso" dataDxfId="41" totalsRowDxfId="66"/>
    <tableColumn id="8" xr3:uid="{905DEA0A-D099-47EA-972D-1012D71C7792}" name="Público-Alvo" dataDxfId="40" totalsRowDxfId="65"/>
    <tableColumn id="9" xr3:uid="{7DC0A0BE-8030-47CA-AF56-2C13C9FF7AE5}" name="Programa" dataDxfId="39" totalsRowDxfId="64"/>
    <tableColumn id="11" xr3:uid="{2B799ACD-69E4-46A5-9A4F-F7E3D7A47CE9}" name="Data TXT" dataDxfId="38" totalsRowDxfId="63"/>
    <tableColumn id="12" xr3:uid="{62016C67-3729-4C41-B72D-09D6616B7474}" name="Início" dataDxfId="37" totalsRowDxfId="62"/>
    <tableColumn id="13" xr3:uid="{E4F20518-0042-40C0-B590-B7616F2843A5}" name="Término" dataDxfId="36" totalsRowDxfId="61"/>
    <tableColumn id="14" xr3:uid="{4D6C4412-CFEE-4506-830E-F79FD008371B}" name="Modalidade" dataDxfId="35" totalsRowDxfId="60"/>
    <tableColumn id="15" xr3:uid="{12EC931A-E71B-4AEB-B20B-0F9EA63D0C71}" name="Valor instrutoria" dataDxfId="34" totalsRowDxfId="59" dataCellStyle="Moeda"/>
    <tableColumn id="17" xr3:uid="{8FCDFADA-4FA3-41E0-86FF-E623116BAFEB}" name="Nota Av. Reação" dataDxfId="33" totalsRowDxfId="58"/>
    <tableColumn id="19" xr3:uid="{316EB379-BB97-4F60-9566-576B25A26B0E}" name="Qtd Vagas" dataDxfId="32" totalsRowDxfId="57"/>
    <tableColumn id="20" xr3:uid="{59A9FB16-6726-411C-88B5-8165DD520DA3}" name="P. Servidores" dataDxfId="31" totalsRowDxfId="56"/>
    <tableColumn id="21" xr3:uid="{0246E091-ADCD-4F62-8F95-84B21E8A7BE1}" name="P. Jurisdicionados" dataDxfId="30" totalsRowDxfId="55"/>
    <tableColumn id="22" xr3:uid="{1B6DBD6D-C072-4600-81C1-69D6F4422D7D}" name="P. Sociedade" dataDxfId="29" totalsRowDxfId="54"/>
    <tableColumn id="23" xr3:uid="{109F7E4E-776C-4249-88BE-FEC3A375D7D9}" name="Total Part." dataDxfId="28" totalsRowDxfId="53"/>
    <tableColumn id="24" xr3:uid="{C67AA4C6-834C-4EBB-839B-EF0CDD50F649}" name="C.H." dataDxfId="27" totalsRowDxfId="52"/>
    <tableColumn id="26" xr3:uid="{973608F6-3E97-493C-AC61-980F73C13CD6}" name="Instrutor" dataDxfId="26" totalsRowDxfId="51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97" totalsRowShown="0">
  <autoFilter ref="A3:D97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9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1"/>
  <sheetViews>
    <sheetView tabSelected="1" zoomScaleNormal="100" workbookViewId="0">
      <pane ySplit="1" topLeftCell="A692" activePane="bottomLeft" state="frozen"/>
      <selection pane="bottomLeft" activeCell="E697" sqref="E697"/>
    </sheetView>
  </sheetViews>
  <sheetFormatPr defaultColWidth="9.140625" defaultRowHeight="22.5" customHeight="1" x14ac:dyDescent="0.25"/>
  <cols>
    <col min="1" max="1" width="11.5703125" style="3" bestFit="1" customWidth="1"/>
    <col min="2" max="2" width="17.7109375" style="3" customWidth="1"/>
    <col min="3" max="3" width="21.42578125" style="3" hidden="1" customWidth="1"/>
    <col min="4" max="4" width="22.140625" style="2" customWidth="1"/>
    <col min="5" max="5" width="92.7109375" style="2" customWidth="1"/>
    <col min="6" max="6" width="18.28515625" style="2" hidden="1" customWidth="1"/>
    <col min="7" max="7" width="46.85546875" style="3" hidden="1" customWidth="1"/>
    <col min="8" max="8" width="33.42578125" style="1" customWidth="1"/>
    <col min="9" max="9" width="10.7109375" style="1" hidden="1" customWidth="1"/>
    <col min="10" max="10" width="13" style="3" hidden="1" customWidth="1"/>
    <col min="11" max="11" width="18.140625" style="111" hidden="1" customWidth="1"/>
    <col min="12" max="12" width="16.28515625" style="2" hidden="1" customWidth="1"/>
    <col min="13" max="13" width="12.7109375" style="4" hidden="1" customWidth="1"/>
    <col min="14" max="14" width="12.42578125" style="4" hidden="1" customWidth="1"/>
    <col min="15" max="15" width="18.42578125" style="4" hidden="1" customWidth="1"/>
    <col min="16" max="16" width="12.42578125" style="4" hidden="1" customWidth="1"/>
    <col min="17" max="17" width="15.140625" style="4" hidden="1" customWidth="1"/>
    <col min="18" max="18" width="9.140625" style="2" hidden="1" customWidth="1"/>
    <col min="19" max="19" width="9.140625" style="2" bestFit="1" customWidth="1"/>
    <col min="20" max="20" width="255.7109375" style="2" bestFit="1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22.5" customHeight="1" x14ac:dyDescent="0.25">
      <c r="A1" s="120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10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21" t="s">
        <v>3124</v>
      </c>
    </row>
    <row r="2" spans="1:23" ht="22.5" hidden="1" customHeight="1" x14ac:dyDescent="0.25">
      <c r="A2" s="141" t="s">
        <v>2425</v>
      </c>
      <c r="B2" s="142">
        <v>2014</v>
      </c>
      <c r="C2" s="142" t="s">
        <v>20</v>
      </c>
      <c r="D2" s="142"/>
      <c r="E2" s="143" t="s">
        <v>21</v>
      </c>
      <c r="F2" s="144" t="s">
        <v>22</v>
      </c>
      <c r="G2" s="145" t="s">
        <v>23</v>
      </c>
      <c r="H2" s="146" t="s">
        <v>24</v>
      </c>
      <c r="I2" s="147">
        <v>41715</v>
      </c>
      <c r="J2" s="147">
        <v>41719</v>
      </c>
      <c r="K2" s="142" t="s">
        <v>25</v>
      </c>
      <c r="L2" s="148">
        <v>19500</v>
      </c>
      <c r="M2" s="149"/>
      <c r="N2" s="150"/>
      <c r="O2" s="151">
        <v>20</v>
      </c>
      <c r="P2" s="151"/>
      <c r="Q2" s="151"/>
      <c r="R2" s="151">
        <f>SUM(O2:Q2)</f>
        <v>20</v>
      </c>
      <c r="S2" s="142">
        <v>20</v>
      </c>
      <c r="T2" s="145"/>
      <c r="V2" s="2" t="s">
        <v>3125</v>
      </c>
      <c r="W2" s="122">
        <v>2026</v>
      </c>
    </row>
    <row r="3" spans="1:23" ht="22.5" hidden="1" customHeight="1" x14ac:dyDescent="0.25">
      <c r="A3" s="152" t="s">
        <v>2426</v>
      </c>
      <c r="B3" s="142">
        <v>2014</v>
      </c>
      <c r="C3" s="142" t="s">
        <v>20</v>
      </c>
      <c r="D3" s="142" t="s">
        <v>26</v>
      </c>
      <c r="E3" s="143" t="s">
        <v>27</v>
      </c>
      <c r="F3" s="144" t="s">
        <v>22</v>
      </c>
      <c r="G3" s="145" t="s">
        <v>23</v>
      </c>
      <c r="H3" s="146" t="s">
        <v>28</v>
      </c>
      <c r="I3" s="147">
        <v>41743</v>
      </c>
      <c r="J3" s="147">
        <v>41744</v>
      </c>
      <c r="K3" s="142" t="s">
        <v>25</v>
      </c>
      <c r="L3" s="148">
        <v>28000</v>
      </c>
      <c r="M3" s="149"/>
      <c r="N3" s="150"/>
      <c r="O3" s="151">
        <v>16</v>
      </c>
      <c r="P3" s="151"/>
      <c r="Q3" s="151"/>
      <c r="R3" s="151">
        <f>SUM(O3:Q3)</f>
        <v>16</v>
      </c>
      <c r="S3" s="142">
        <v>16</v>
      </c>
      <c r="T3" s="145"/>
      <c r="V3" s="2" t="s">
        <v>3126</v>
      </c>
      <c r="W3" s="123" t="str" cm="1">
        <f t="array" ref="W3">TEXT(W2,"0")&amp;"-"&amp;TEXT(MAX(IFERROR((LEFT(Tabela2[ID],4)=TEXT(W2,"0"))*VALUE(RIGHT(Tabela2[ID],3)),0))+1,"000")</f>
        <v>2026-074</v>
      </c>
    </row>
    <row r="4" spans="1:23" ht="22.5" hidden="1" customHeight="1" x14ac:dyDescent="0.25">
      <c r="A4" s="152" t="s">
        <v>2427</v>
      </c>
      <c r="B4" s="142">
        <v>2014</v>
      </c>
      <c r="C4" s="142" t="s">
        <v>20</v>
      </c>
      <c r="D4" s="142"/>
      <c r="E4" s="143" t="s">
        <v>29</v>
      </c>
      <c r="F4" s="144" t="s">
        <v>22</v>
      </c>
      <c r="G4" s="145" t="s">
        <v>30</v>
      </c>
      <c r="H4" s="146" t="s">
        <v>31</v>
      </c>
      <c r="I4" s="147">
        <v>41792</v>
      </c>
      <c r="J4" s="147">
        <v>41799</v>
      </c>
      <c r="K4" s="142" t="s">
        <v>32</v>
      </c>
      <c r="L4" s="148">
        <v>2991</v>
      </c>
      <c r="M4" s="149"/>
      <c r="N4" s="150"/>
      <c r="O4" s="151">
        <v>24</v>
      </c>
      <c r="P4" s="151"/>
      <c r="Q4" s="151"/>
      <c r="R4" s="151">
        <f>SUM(O4:Q4)</f>
        <v>24</v>
      </c>
      <c r="S4" s="142">
        <v>24</v>
      </c>
      <c r="T4" s="145"/>
      <c r="V4" s="2" t="s">
        <v>3127</v>
      </c>
      <c r="W4" s="3">
        <f>COUNTA(Tabela2[ID])</f>
        <v>728</v>
      </c>
    </row>
    <row r="5" spans="1:23" ht="22.5" hidden="1" customHeight="1" x14ac:dyDescent="0.25">
      <c r="A5" s="152" t="s">
        <v>2428</v>
      </c>
      <c r="B5" s="142">
        <v>2014</v>
      </c>
      <c r="C5" s="142" t="s">
        <v>20</v>
      </c>
      <c r="D5" s="142"/>
      <c r="E5" s="143" t="s">
        <v>33</v>
      </c>
      <c r="F5" s="144" t="s">
        <v>22</v>
      </c>
      <c r="G5" s="145" t="s">
        <v>34</v>
      </c>
      <c r="H5" s="146" t="s">
        <v>35</v>
      </c>
      <c r="I5" s="147">
        <v>41814</v>
      </c>
      <c r="J5" s="147">
        <v>41815</v>
      </c>
      <c r="K5" s="142" t="s">
        <v>25</v>
      </c>
      <c r="L5" s="148">
        <v>41341.160000000003</v>
      </c>
      <c r="M5" s="149"/>
      <c r="N5" s="150"/>
      <c r="O5" s="151">
        <v>16</v>
      </c>
      <c r="P5" s="151"/>
      <c r="Q5" s="151"/>
      <c r="R5" s="151">
        <f>SUM(O5:Q5)</f>
        <v>16</v>
      </c>
      <c r="S5" s="142">
        <v>16</v>
      </c>
      <c r="T5" s="145"/>
      <c r="V5" s="2" t="s">
        <v>3128</v>
      </c>
      <c r="W5" s="3" cm="1">
        <f t="array" ref="W5">SUMPRODUCT((Tabela2[ID]&lt;&gt;"")*(COUNTIF(Tabela2[ID],Tabela2[ID]&amp;"")&gt;1))</f>
        <v>0</v>
      </c>
    </row>
    <row r="6" spans="1:23" ht="22.5" hidden="1" customHeight="1" x14ac:dyDescent="0.25">
      <c r="A6" s="152" t="s">
        <v>2429</v>
      </c>
      <c r="B6" s="142">
        <v>2014</v>
      </c>
      <c r="C6" s="142" t="s">
        <v>20</v>
      </c>
      <c r="D6" s="142"/>
      <c r="E6" s="143" t="s">
        <v>36</v>
      </c>
      <c r="F6" s="144" t="s">
        <v>22</v>
      </c>
      <c r="G6" s="145" t="s">
        <v>23</v>
      </c>
      <c r="H6" s="146" t="s">
        <v>37</v>
      </c>
      <c r="I6" s="147">
        <v>41855</v>
      </c>
      <c r="J6" s="147">
        <v>41859</v>
      </c>
      <c r="K6" s="142" t="s">
        <v>25</v>
      </c>
      <c r="L6" s="148">
        <v>54900</v>
      </c>
      <c r="M6" s="149"/>
      <c r="N6" s="150"/>
      <c r="O6" s="151">
        <v>40</v>
      </c>
      <c r="P6" s="151"/>
      <c r="Q6" s="151"/>
      <c r="R6" s="151">
        <f>SUM(O6:Q6)</f>
        <v>40</v>
      </c>
      <c r="S6" s="142">
        <v>40</v>
      </c>
      <c r="T6" s="145"/>
      <c r="V6" s="2" t="s">
        <v>3129</v>
      </c>
      <c r="W6" s="3" cm="1">
        <f t="array" ref="W6">SUMPRODUCT((Tabela2[Ano]&lt;&gt;"")*(Tabela2[ID]=""))</f>
        <v>0</v>
      </c>
    </row>
    <row r="7" spans="1:23" ht="22.5" hidden="1" customHeight="1" x14ac:dyDescent="0.25">
      <c r="A7" s="152" t="s">
        <v>2430</v>
      </c>
      <c r="B7" s="142">
        <v>2014</v>
      </c>
      <c r="C7" s="142" t="s">
        <v>20</v>
      </c>
      <c r="D7" s="142"/>
      <c r="E7" s="143" t="s">
        <v>38</v>
      </c>
      <c r="F7" s="144" t="s">
        <v>22</v>
      </c>
      <c r="G7" s="145" t="s">
        <v>23</v>
      </c>
      <c r="H7" s="146" t="s">
        <v>39</v>
      </c>
      <c r="I7" s="147">
        <v>41892</v>
      </c>
      <c r="J7" s="147">
        <v>41892</v>
      </c>
      <c r="K7" s="142" t="s">
        <v>25</v>
      </c>
      <c r="L7" s="148">
        <v>15000</v>
      </c>
      <c r="M7" s="149"/>
      <c r="N7" s="150"/>
      <c r="O7" s="151">
        <v>30</v>
      </c>
      <c r="P7" s="151"/>
      <c r="Q7" s="151"/>
      <c r="R7" s="151">
        <f>SUM(O7:Q7)</f>
        <v>30</v>
      </c>
      <c r="S7" s="142">
        <v>30</v>
      </c>
      <c r="T7" s="145"/>
      <c r="V7" s="2" t="s">
        <v>3130</v>
      </c>
      <c r="W7" s="2" cm="1">
        <f t="array" ref="W7">SUMPRODUCT((Tabela2[ID]&lt;&gt;"")*(1-((LEN(Tabela2[ID])=8)*(MID(Tabela2[ID]&amp;"        ",5,1)="-")*ISNUMBER(VALUE(LEFT(Tabela2[ID]&amp;"0000",4))))))</f>
        <v>0</v>
      </c>
    </row>
    <row r="8" spans="1:23" ht="22.5" hidden="1" customHeight="1" x14ac:dyDescent="0.25">
      <c r="A8" s="152" t="s">
        <v>2431</v>
      </c>
      <c r="B8" s="142">
        <v>2014</v>
      </c>
      <c r="C8" s="142" t="s">
        <v>20</v>
      </c>
      <c r="D8" s="142"/>
      <c r="E8" s="143"/>
      <c r="F8" s="144" t="s">
        <v>22</v>
      </c>
      <c r="G8" s="145" t="s">
        <v>23</v>
      </c>
      <c r="H8" s="146" t="s">
        <v>40</v>
      </c>
      <c r="I8" s="147">
        <v>41943</v>
      </c>
      <c r="J8" s="147">
        <v>41943</v>
      </c>
      <c r="K8" s="142" t="s">
        <v>25</v>
      </c>
      <c r="L8" s="148">
        <v>33260</v>
      </c>
      <c r="M8" s="149"/>
      <c r="N8" s="150"/>
      <c r="O8" s="151">
        <v>24</v>
      </c>
      <c r="P8" s="151"/>
      <c r="Q8" s="151"/>
      <c r="R8" s="151">
        <f>SUM(O8:Q8)</f>
        <v>24</v>
      </c>
      <c r="S8" s="142">
        <v>24</v>
      </c>
      <c r="T8" s="145"/>
    </row>
    <row r="9" spans="1:23" ht="22.5" hidden="1" customHeight="1" x14ac:dyDescent="0.25">
      <c r="A9" s="152" t="s">
        <v>2432</v>
      </c>
      <c r="B9" s="142">
        <v>2014</v>
      </c>
      <c r="C9" s="142" t="s">
        <v>20</v>
      </c>
      <c r="D9" s="142"/>
      <c r="E9" s="143" t="s">
        <v>41</v>
      </c>
      <c r="F9" s="144" t="s">
        <v>22</v>
      </c>
      <c r="G9" s="145" t="s">
        <v>34</v>
      </c>
      <c r="H9" s="146" t="s">
        <v>42</v>
      </c>
      <c r="I9" s="147">
        <v>41953</v>
      </c>
      <c r="J9" s="147">
        <v>41957</v>
      </c>
      <c r="K9" s="142" t="s">
        <v>32</v>
      </c>
      <c r="L9" s="148">
        <v>4353.54</v>
      </c>
      <c r="M9" s="149"/>
      <c r="N9" s="150"/>
      <c r="O9" s="151"/>
      <c r="P9" s="151">
        <v>37</v>
      </c>
      <c r="Q9" s="151"/>
      <c r="R9" s="151">
        <f>SUM(O9:Q9)</f>
        <v>37</v>
      </c>
      <c r="S9" s="142">
        <v>8</v>
      </c>
      <c r="T9" s="145"/>
    </row>
    <row r="10" spans="1:23" ht="22.5" hidden="1" customHeight="1" x14ac:dyDescent="0.25">
      <c r="A10" s="152" t="s">
        <v>2433</v>
      </c>
      <c r="B10" s="142">
        <v>2014</v>
      </c>
      <c r="C10" s="142" t="s">
        <v>20</v>
      </c>
      <c r="D10" s="142"/>
      <c r="E10" s="143" t="s">
        <v>43</v>
      </c>
      <c r="F10" s="144" t="s">
        <v>22</v>
      </c>
      <c r="G10" s="145" t="s">
        <v>23</v>
      </c>
      <c r="H10" s="146" t="s">
        <v>44</v>
      </c>
      <c r="I10" s="147">
        <v>41967</v>
      </c>
      <c r="J10" s="147">
        <v>41971</v>
      </c>
      <c r="K10" s="142" t="s">
        <v>32</v>
      </c>
      <c r="L10" s="148">
        <v>4353.54</v>
      </c>
      <c r="M10" s="149"/>
      <c r="N10" s="150"/>
      <c r="O10" s="151"/>
      <c r="P10" s="151">
        <v>58</v>
      </c>
      <c r="Q10" s="151"/>
      <c r="R10" s="151">
        <f>SUM(O10:Q10)</f>
        <v>58</v>
      </c>
      <c r="S10" s="142">
        <v>20</v>
      </c>
      <c r="T10" s="145"/>
    </row>
    <row r="11" spans="1:23" ht="22.5" hidden="1" customHeight="1" x14ac:dyDescent="0.25">
      <c r="A11" s="152" t="s">
        <v>2434</v>
      </c>
      <c r="B11" s="142">
        <v>2015</v>
      </c>
      <c r="C11" s="142" t="s">
        <v>20</v>
      </c>
      <c r="D11" s="142" t="s">
        <v>45</v>
      </c>
      <c r="E11" s="143" t="s">
        <v>46</v>
      </c>
      <c r="F11" s="144" t="s">
        <v>22</v>
      </c>
      <c r="G11" s="145" t="s">
        <v>23</v>
      </c>
      <c r="H11" s="146" t="s">
        <v>47</v>
      </c>
      <c r="I11" s="147">
        <v>42086</v>
      </c>
      <c r="J11" s="147">
        <v>42090</v>
      </c>
      <c r="K11" s="142" t="s">
        <v>25</v>
      </c>
      <c r="L11" s="148">
        <v>23500</v>
      </c>
      <c r="M11" s="149"/>
      <c r="N11" s="150"/>
      <c r="O11" s="151">
        <v>25</v>
      </c>
      <c r="P11" s="151"/>
      <c r="Q11" s="151"/>
      <c r="R11" s="151">
        <f>SUM(O11:Q11)</f>
        <v>25</v>
      </c>
      <c r="S11" s="142">
        <v>20</v>
      </c>
      <c r="T11" s="145" t="s">
        <v>48</v>
      </c>
    </row>
    <row r="12" spans="1:23" ht="22.5" hidden="1" customHeight="1" x14ac:dyDescent="0.25">
      <c r="A12" s="152" t="s">
        <v>2435</v>
      </c>
      <c r="B12" s="142">
        <v>2015</v>
      </c>
      <c r="C12" s="142" t="s">
        <v>20</v>
      </c>
      <c r="D12" s="142" t="s">
        <v>49</v>
      </c>
      <c r="E12" s="143" t="s">
        <v>50</v>
      </c>
      <c r="F12" s="144" t="s">
        <v>51</v>
      </c>
      <c r="G12" s="145" t="s">
        <v>34</v>
      </c>
      <c r="H12" s="146" t="s">
        <v>52</v>
      </c>
      <c r="I12" s="147">
        <v>42100</v>
      </c>
      <c r="J12" s="147">
        <v>42104</v>
      </c>
      <c r="K12" s="142" t="s">
        <v>32</v>
      </c>
      <c r="L12" s="148">
        <v>4992.74</v>
      </c>
      <c r="M12" s="149"/>
      <c r="N12" s="150"/>
      <c r="O12" s="151"/>
      <c r="P12" s="151">
        <v>85</v>
      </c>
      <c r="Q12" s="151"/>
      <c r="R12" s="151">
        <f>SUM(O12:Q12)</f>
        <v>85</v>
      </c>
      <c r="S12" s="142">
        <v>20</v>
      </c>
      <c r="T12" s="145" t="s">
        <v>53</v>
      </c>
    </row>
    <row r="13" spans="1:23" ht="22.5" hidden="1" customHeight="1" x14ac:dyDescent="0.25">
      <c r="A13" s="152" t="s">
        <v>2436</v>
      </c>
      <c r="B13" s="142">
        <v>2015</v>
      </c>
      <c r="C13" s="142" t="s">
        <v>20</v>
      </c>
      <c r="D13" s="142" t="s">
        <v>54</v>
      </c>
      <c r="E13" s="143" t="s">
        <v>55</v>
      </c>
      <c r="F13" s="144" t="s">
        <v>22</v>
      </c>
      <c r="G13" s="145" t="s">
        <v>56</v>
      </c>
      <c r="H13" s="146" t="s">
        <v>52</v>
      </c>
      <c r="I13" s="147">
        <v>42100</v>
      </c>
      <c r="J13" s="147">
        <v>42104</v>
      </c>
      <c r="K13" s="142" t="s">
        <v>25</v>
      </c>
      <c r="L13" s="148">
        <v>29000</v>
      </c>
      <c r="M13" s="149"/>
      <c r="N13" s="150"/>
      <c r="O13" s="151">
        <v>19</v>
      </c>
      <c r="P13" s="151"/>
      <c r="Q13" s="151"/>
      <c r="R13" s="151">
        <f>SUM(O13:Q13)</f>
        <v>19</v>
      </c>
      <c r="S13" s="142">
        <v>40</v>
      </c>
      <c r="T13" s="145" t="s">
        <v>57</v>
      </c>
    </row>
    <row r="14" spans="1:23" ht="22.5" hidden="1" customHeight="1" x14ac:dyDescent="0.25">
      <c r="A14" s="152" t="s">
        <v>2437</v>
      </c>
      <c r="B14" s="142">
        <v>2015</v>
      </c>
      <c r="C14" s="142" t="s">
        <v>20</v>
      </c>
      <c r="D14" s="142" t="s">
        <v>58</v>
      </c>
      <c r="E14" s="143" t="s">
        <v>43</v>
      </c>
      <c r="F14" s="144" t="s">
        <v>51</v>
      </c>
      <c r="G14" s="145" t="s">
        <v>59</v>
      </c>
      <c r="H14" s="146" t="s">
        <v>60</v>
      </c>
      <c r="I14" s="147">
        <v>42107</v>
      </c>
      <c r="J14" s="147">
        <v>42111</v>
      </c>
      <c r="K14" s="142" t="s">
        <v>32</v>
      </c>
      <c r="L14" s="148">
        <v>4447.5200000000004</v>
      </c>
      <c r="M14" s="149"/>
      <c r="N14" s="150"/>
      <c r="O14" s="151"/>
      <c r="P14" s="151">
        <v>89</v>
      </c>
      <c r="Q14" s="151"/>
      <c r="R14" s="151">
        <f>SUM(O14:Q14)</f>
        <v>89</v>
      </c>
      <c r="S14" s="142">
        <v>20</v>
      </c>
      <c r="T14" s="145" t="s">
        <v>61</v>
      </c>
    </row>
    <row r="15" spans="1:23" ht="22.5" hidden="1" customHeight="1" x14ac:dyDescent="0.25">
      <c r="A15" s="152" t="s">
        <v>2438</v>
      </c>
      <c r="B15" s="142">
        <v>2015</v>
      </c>
      <c r="C15" s="142" t="s">
        <v>20</v>
      </c>
      <c r="D15" s="142" t="s">
        <v>62</v>
      </c>
      <c r="E15" s="143" t="s">
        <v>63</v>
      </c>
      <c r="F15" s="144" t="s">
        <v>22</v>
      </c>
      <c r="G15" s="145" t="s">
        <v>34</v>
      </c>
      <c r="H15" s="146" t="s">
        <v>64</v>
      </c>
      <c r="I15" s="147">
        <v>42110</v>
      </c>
      <c r="J15" s="147">
        <v>42118</v>
      </c>
      <c r="K15" s="142" t="s">
        <v>32</v>
      </c>
      <c r="L15" s="148">
        <v>4447.5200000000004</v>
      </c>
      <c r="M15" s="149"/>
      <c r="N15" s="150"/>
      <c r="O15" s="151">
        <v>37</v>
      </c>
      <c r="P15" s="151"/>
      <c r="Q15" s="151"/>
      <c r="R15" s="151">
        <f>SUM(O15:Q15)</f>
        <v>37</v>
      </c>
      <c r="S15" s="142">
        <v>30</v>
      </c>
      <c r="T15" s="145" t="s">
        <v>61</v>
      </c>
    </row>
    <row r="16" spans="1:23" ht="22.5" hidden="1" customHeight="1" x14ac:dyDescent="0.25">
      <c r="A16" s="152" t="s">
        <v>2439</v>
      </c>
      <c r="B16" s="142">
        <v>2015</v>
      </c>
      <c r="C16" s="142" t="s">
        <v>20</v>
      </c>
      <c r="D16" s="142"/>
      <c r="E16" s="143" t="s">
        <v>65</v>
      </c>
      <c r="F16" s="144" t="s">
        <v>66</v>
      </c>
      <c r="G16" s="145" t="s">
        <v>67</v>
      </c>
      <c r="H16" s="146" t="s">
        <v>68</v>
      </c>
      <c r="I16" s="147">
        <v>42122</v>
      </c>
      <c r="J16" s="147">
        <v>42122</v>
      </c>
      <c r="K16" s="142" t="s">
        <v>32</v>
      </c>
      <c r="L16" s="148">
        <v>0</v>
      </c>
      <c r="M16" s="149"/>
      <c r="N16" s="150"/>
      <c r="O16" s="151">
        <v>0</v>
      </c>
      <c r="P16" s="151">
        <v>0</v>
      </c>
      <c r="Q16" s="151">
        <v>0</v>
      </c>
      <c r="R16" s="151">
        <f>SUM(O16:Q16)</f>
        <v>0</v>
      </c>
      <c r="S16" s="142">
        <v>5</v>
      </c>
      <c r="T16" s="145"/>
    </row>
    <row r="17" spans="1:20" ht="22.5" hidden="1" customHeight="1" x14ac:dyDescent="0.25">
      <c r="A17" s="152" t="s">
        <v>2440</v>
      </c>
      <c r="B17" s="142">
        <v>2015</v>
      </c>
      <c r="C17" s="142" t="s">
        <v>20</v>
      </c>
      <c r="D17" s="142" t="s">
        <v>69</v>
      </c>
      <c r="E17" s="143" t="s">
        <v>70</v>
      </c>
      <c r="F17" s="144" t="s">
        <v>22</v>
      </c>
      <c r="G17" s="145" t="s">
        <v>23</v>
      </c>
      <c r="H17" s="146" t="s">
        <v>71</v>
      </c>
      <c r="I17" s="147">
        <v>42129</v>
      </c>
      <c r="J17" s="147">
        <v>42132</v>
      </c>
      <c r="K17" s="142" t="s">
        <v>25</v>
      </c>
      <c r="L17" s="148">
        <v>35500</v>
      </c>
      <c r="M17" s="149"/>
      <c r="N17" s="150"/>
      <c r="O17" s="151">
        <v>30</v>
      </c>
      <c r="P17" s="151"/>
      <c r="Q17" s="151"/>
      <c r="R17" s="151">
        <f>SUM(O17:Q17)</f>
        <v>30</v>
      </c>
      <c r="S17" s="142">
        <v>16</v>
      </c>
      <c r="T17" s="145" t="s">
        <v>72</v>
      </c>
    </row>
    <row r="18" spans="1:20" ht="22.5" hidden="1" customHeight="1" x14ac:dyDescent="0.25">
      <c r="A18" s="152" t="s">
        <v>2441</v>
      </c>
      <c r="B18" s="142">
        <v>2015</v>
      </c>
      <c r="C18" s="142" t="s">
        <v>20</v>
      </c>
      <c r="D18" s="142" t="s">
        <v>73</v>
      </c>
      <c r="E18" s="143" t="s">
        <v>74</v>
      </c>
      <c r="F18" s="144" t="s">
        <v>22</v>
      </c>
      <c r="G18" s="145" t="s">
        <v>34</v>
      </c>
      <c r="H18" s="146" t="s">
        <v>75</v>
      </c>
      <c r="I18" s="147">
        <v>42135</v>
      </c>
      <c r="J18" s="147">
        <v>42139</v>
      </c>
      <c r="K18" s="142" t="s">
        <v>32</v>
      </c>
      <c r="L18" s="148">
        <v>4992.74</v>
      </c>
      <c r="M18" s="149"/>
      <c r="N18" s="150"/>
      <c r="O18" s="151">
        <v>30</v>
      </c>
      <c r="P18" s="151"/>
      <c r="Q18" s="151"/>
      <c r="R18" s="151">
        <f>SUM(O18:Q18)</f>
        <v>30</v>
      </c>
      <c r="S18" s="142">
        <v>20</v>
      </c>
      <c r="T18" s="145" t="s">
        <v>76</v>
      </c>
    </row>
    <row r="19" spans="1:20" ht="22.5" hidden="1" customHeight="1" x14ac:dyDescent="0.25">
      <c r="A19" s="152" t="s">
        <v>2442</v>
      </c>
      <c r="B19" s="142">
        <v>2015</v>
      </c>
      <c r="C19" s="142" t="s">
        <v>20</v>
      </c>
      <c r="D19" s="142" t="s">
        <v>77</v>
      </c>
      <c r="E19" s="143" t="s">
        <v>78</v>
      </c>
      <c r="F19" s="144" t="s">
        <v>22</v>
      </c>
      <c r="G19" s="145" t="s">
        <v>34</v>
      </c>
      <c r="H19" s="146" t="s">
        <v>79</v>
      </c>
      <c r="I19" s="147">
        <v>42146</v>
      </c>
      <c r="J19" s="147">
        <v>42146</v>
      </c>
      <c r="K19" s="142" t="s">
        <v>25</v>
      </c>
      <c r="L19" s="148">
        <v>0</v>
      </c>
      <c r="M19" s="149"/>
      <c r="N19" s="150"/>
      <c r="O19" s="151">
        <v>15</v>
      </c>
      <c r="P19" s="151"/>
      <c r="Q19" s="151"/>
      <c r="R19" s="151">
        <f>SUM(O19:Q19)</f>
        <v>15</v>
      </c>
      <c r="S19" s="142">
        <v>8</v>
      </c>
      <c r="T19" s="145" t="s">
        <v>80</v>
      </c>
    </row>
    <row r="20" spans="1:20" ht="22.5" hidden="1" customHeight="1" x14ac:dyDescent="0.25">
      <c r="A20" s="152" t="s">
        <v>2443</v>
      </c>
      <c r="B20" s="142">
        <v>2015</v>
      </c>
      <c r="C20" s="142" t="s">
        <v>20</v>
      </c>
      <c r="D20" s="142" t="s">
        <v>81</v>
      </c>
      <c r="E20" s="143" t="s">
        <v>82</v>
      </c>
      <c r="F20" s="144" t="s">
        <v>22</v>
      </c>
      <c r="G20" s="145" t="s">
        <v>30</v>
      </c>
      <c r="H20" s="146" t="s">
        <v>83</v>
      </c>
      <c r="I20" s="147">
        <v>42149</v>
      </c>
      <c r="J20" s="147">
        <v>42156</v>
      </c>
      <c r="K20" s="142" t="s">
        <v>25</v>
      </c>
      <c r="L20" s="148">
        <v>2630</v>
      </c>
      <c r="M20" s="149"/>
      <c r="N20" s="150"/>
      <c r="O20" s="151">
        <v>14</v>
      </c>
      <c r="P20" s="151"/>
      <c r="Q20" s="151"/>
      <c r="R20" s="151">
        <f>SUM(O20:Q20)</f>
        <v>14</v>
      </c>
      <c r="S20" s="142">
        <v>24</v>
      </c>
      <c r="T20" s="145" t="s">
        <v>84</v>
      </c>
    </row>
    <row r="21" spans="1:20" ht="22.5" hidden="1" customHeight="1" x14ac:dyDescent="0.25">
      <c r="A21" s="152" t="s">
        <v>2444</v>
      </c>
      <c r="B21" s="142">
        <v>2015</v>
      </c>
      <c r="C21" s="142" t="s">
        <v>20</v>
      </c>
      <c r="D21" s="142" t="s">
        <v>85</v>
      </c>
      <c r="E21" s="143" t="s">
        <v>86</v>
      </c>
      <c r="F21" s="144" t="s">
        <v>22</v>
      </c>
      <c r="G21" s="145" t="s">
        <v>34</v>
      </c>
      <c r="H21" s="146" t="s">
        <v>87</v>
      </c>
      <c r="I21" s="147">
        <v>42163</v>
      </c>
      <c r="J21" s="147">
        <v>42167</v>
      </c>
      <c r="K21" s="142" t="s">
        <v>32</v>
      </c>
      <c r="L21" s="148">
        <v>0</v>
      </c>
      <c r="M21" s="149"/>
      <c r="N21" s="150"/>
      <c r="O21" s="151">
        <v>14</v>
      </c>
      <c r="P21" s="151"/>
      <c r="Q21" s="151"/>
      <c r="R21" s="151">
        <f>SUM(O21:Q21)</f>
        <v>14</v>
      </c>
      <c r="S21" s="142">
        <v>20</v>
      </c>
      <c r="T21" s="145" t="s">
        <v>88</v>
      </c>
    </row>
    <row r="22" spans="1:20" ht="22.5" hidden="1" customHeight="1" x14ac:dyDescent="0.25">
      <c r="A22" s="152" t="s">
        <v>2445</v>
      </c>
      <c r="B22" s="142">
        <v>2015</v>
      </c>
      <c r="C22" s="142" t="s">
        <v>20</v>
      </c>
      <c r="D22" s="142" t="s">
        <v>89</v>
      </c>
      <c r="E22" s="143" t="s">
        <v>90</v>
      </c>
      <c r="F22" s="144" t="s">
        <v>51</v>
      </c>
      <c r="G22" s="145" t="s">
        <v>59</v>
      </c>
      <c r="H22" s="146" t="s">
        <v>91</v>
      </c>
      <c r="I22" s="147">
        <v>42170</v>
      </c>
      <c r="J22" s="147">
        <v>42174</v>
      </c>
      <c r="K22" s="142" t="s">
        <v>32</v>
      </c>
      <c r="L22" s="148">
        <v>4447.5200000000004</v>
      </c>
      <c r="M22" s="149"/>
      <c r="N22" s="150"/>
      <c r="O22" s="151"/>
      <c r="P22" s="151">
        <v>49</v>
      </c>
      <c r="Q22" s="151"/>
      <c r="R22" s="151">
        <f>SUM(O22:Q22)</f>
        <v>49</v>
      </c>
      <c r="S22" s="142">
        <v>20</v>
      </c>
      <c r="T22" s="145" t="s">
        <v>92</v>
      </c>
    </row>
    <row r="23" spans="1:20" ht="22.5" hidden="1" customHeight="1" x14ac:dyDescent="0.25">
      <c r="A23" s="152" t="s">
        <v>2446</v>
      </c>
      <c r="B23" s="142">
        <v>2015</v>
      </c>
      <c r="C23" s="142" t="s">
        <v>20</v>
      </c>
      <c r="D23" s="142" t="s">
        <v>93</v>
      </c>
      <c r="E23" s="143" t="s">
        <v>94</v>
      </c>
      <c r="F23" s="144" t="s">
        <v>22</v>
      </c>
      <c r="G23" s="145" t="s">
        <v>34</v>
      </c>
      <c r="H23" s="146" t="s">
        <v>95</v>
      </c>
      <c r="I23" s="147">
        <v>42221</v>
      </c>
      <c r="J23" s="147">
        <v>42223</v>
      </c>
      <c r="K23" s="142" t="s">
        <v>32</v>
      </c>
      <c r="L23" s="148">
        <v>0</v>
      </c>
      <c r="M23" s="149"/>
      <c r="N23" s="150"/>
      <c r="O23" s="151">
        <v>43</v>
      </c>
      <c r="P23" s="151"/>
      <c r="Q23" s="151"/>
      <c r="R23" s="151">
        <f>SUM(O23:Q23)</f>
        <v>43</v>
      </c>
      <c r="S23" s="142">
        <v>8</v>
      </c>
      <c r="T23" s="145" t="s">
        <v>96</v>
      </c>
    </row>
    <row r="24" spans="1:20" ht="22.5" hidden="1" customHeight="1" x14ac:dyDescent="0.25">
      <c r="A24" s="152" t="s">
        <v>2447</v>
      </c>
      <c r="B24" s="142">
        <v>2015</v>
      </c>
      <c r="C24" s="142" t="s">
        <v>20</v>
      </c>
      <c r="D24" s="142" t="s">
        <v>97</v>
      </c>
      <c r="E24" s="143" t="s">
        <v>98</v>
      </c>
      <c r="F24" s="144" t="s">
        <v>22</v>
      </c>
      <c r="G24" s="145" t="s">
        <v>30</v>
      </c>
      <c r="H24" s="146" t="s">
        <v>99</v>
      </c>
      <c r="I24" s="147">
        <v>42240</v>
      </c>
      <c r="J24" s="147">
        <v>42244</v>
      </c>
      <c r="K24" s="142" t="s">
        <v>32</v>
      </c>
      <c r="L24" s="148">
        <v>2702.38</v>
      </c>
      <c r="M24" s="149"/>
      <c r="N24" s="150"/>
      <c r="O24" s="151">
        <v>25</v>
      </c>
      <c r="P24" s="151"/>
      <c r="Q24" s="151"/>
      <c r="R24" s="151">
        <f>SUM(O24:Q24)</f>
        <v>25</v>
      </c>
      <c r="S24" s="142">
        <v>20</v>
      </c>
      <c r="T24" s="145" t="s">
        <v>100</v>
      </c>
    </row>
    <row r="25" spans="1:20" ht="22.5" hidden="1" customHeight="1" x14ac:dyDescent="0.25">
      <c r="A25" s="152" t="s">
        <v>2448</v>
      </c>
      <c r="B25" s="142">
        <v>2015</v>
      </c>
      <c r="C25" s="142" t="s">
        <v>20</v>
      </c>
      <c r="D25" s="142" t="s">
        <v>101</v>
      </c>
      <c r="E25" s="143" t="s">
        <v>102</v>
      </c>
      <c r="F25" s="144" t="s">
        <v>22</v>
      </c>
      <c r="G25" s="145" t="s">
        <v>59</v>
      </c>
      <c r="H25" s="146" t="s">
        <v>103</v>
      </c>
      <c r="I25" s="147">
        <v>42247</v>
      </c>
      <c r="J25" s="147">
        <v>42251</v>
      </c>
      <c r="K25" s="142" t="s">
        <v>25</v>
      </c>
      <c r="L25" s="148">
        <v>33600</v>
      </c>
      <c r="M25" s="149"/>
      <c r="N25" s="150"/>
      <c r="O25" s="151">
        <v>35</v>
      </c>
      <c r="P25" s="151"/>
      <c r="Q25" s="151"/>
      <c r="R25" s="151">
        <f>SUM(O25:Q25)</f>
        <v>35</v>
      </c>
      <c r="S25" s="142">
        <v>20</v>
      </c>
      <c r="T25" s="145" t="s">
        <v>104</v>
      </c>
    </row>
    <row r="26" spans="1:20" ht="22.5" hidden="1" customHeight="1" x14ac:dyDescent="0.25">
      <c r="A26" s="152" t="s">
        <v>2449</v>
      </c>
      <c r="B26" s="142">
        <v>2015</v>
      </c>
      <c r="C26" s="142" t="s">
        <v>20</v>
      </c>
      <c r="D26" s="142" t="s">
        <v>105</v>
      </c>
      <c r="E26" s="143" t="s">
        <v>106</v>
      </c>
      <c r="F26" s="144" t="s">
        <v>22</v>
      </c>
      <c r="G26" s="145" t="s">
        <v>23</v>
      </c>
      <c r="H26" s="146" t="s">
        <v>107</v>
      </c>
      <c r="I26" s="147">
        <v>42261</v>
      </c>
      <c r="J26" s="147">
        <v>42265</v>
      </c>
      <c r="K26" s="142" t="s">
        <v>25</v>
      </c>
      <c r="L26" s="148">
        <v>15000</v>
      </c>
      <c r="M26" s="149"/>
      <c r="N26" s="150"/>
      <c r="O26" s="151">
        <v>35</v>
      </c>
      <c r="P26" s="151"/>
      <c r="Q26" s="151"/>
      <c r="R26" s="151">
        <f>SUM(O26:Q26)</f>
        <v>35</v>
      </c>
      <c r="S26" s="142">
        <v>25</v>
      </c>
      <c r="T26" s="145" t="s">
        <v>108</v>
      </c>
    </row>
    <row r="27" spans="1:20" ht="22.5" hidden="1" customHeight="1" x14ac:dyDescent="0.25">
      <c r="A27" s="152" t="s">
        <v>2450</v>
      </c>
      <c r="B27" s="142">
        <v>2015</v>
      </c>
      <c r="C27" s="142" t="s">
        <v>20</v>
      </c>
      <c r="D27" s="142"/>
      <c r="E27" s="143" t="s">
        <v>109</v>
      </c>
      <c r="F27" s="144" t="s">
        <v>51</v>
      </c>
      <c r="G27" s="145" t="s">
        <v>67</v>
      </c>
      <c r="H27" s="146" t="s">
        <v>68</v>
      </c>
      <c r="I27" s="147">
        <v>42268</v>
      </c>
      <c r="J27" s="147">
        <v>42272</v>
      </c>
      <c r="K27" s="142" t="s">
        <v>32</v>
      </c>
      <c r="L27" s="148">
        <v>4447.5200000000004</v>
      </c>
      <c r="M27" s="149"/>
      <c r="N27" s="150"/>
      <c r="O27" s="151">
        <v>87</v>
      </c>
      <c r="P27" s="151"/>
      <c r="Q27" s="151"/>
      <c r="R27" s="151">
        <f>SUM(O27:Q27)</f>
        <v>87</v>
      </c>
      <c r="S27" s="142"/>
      <c r="T27" s="145"/>
    </row>
    <row r="28" spans="1:20" ht="22.5" hidden="1" customHeight="1" x14ac:dyDescent="0.25">
      <c r="A28" s="152" t="s">
        <v>2451</v>
      </c>
      <c r="B28" s="142">
        <v>2015</v>
      </c>
      <c r="C28" s="142" t="s">
        <v>20</v>
      </c>
      <c r="D28" s="142" t="s">
        <v>110</v>
      </c>
      <c r="E28" s="143" t="s">
        <v>111</v>
      </c>
      <c r="F28" s="144" t="s">
        <v>66</v>
      </c>
      <c r="G28" s="145" t="s">
        <v>59</v>
      </c>
      <c r="H28" s="146" t="s">
        <v>112</v>
      </c>
      <c r="I28" s="147">
        <v>42276</v>
      </c>
      <c r="J28" s="147">
        <v>42279</v>
      </c>
      <c r="K28" s="142" t="s">
        <v>32</v>
      </c>
      <c r="L28" s="148">
        <v>4076.52</v>
      </c>
      <c r="M28" s="149"/>
      <c r="N28" s="150"/>
      <c r="O28" s="151"/>
      <c r="P28" s="151"/>
      <c r="Q28" s="151">
        <v>46</v>
      </c>
      <c r="R28" s="151">
        <f>SUM(O28:Q28)</f>
        <v>46</v>
      </c>
      <c r="S28" s="142">
        <v>20</v>
      </c>
      <c r="T28" s="145" t="s">
        <v>113</v>
      </c>
    </row>
    <row r="29" spans="1:20" ht="22.5" hidden="1" customHeight="1" x14ac:dyDescent="0.25">
      <c r="A29" s="152" t="s">
        <v>2452</v>
      </c>
      <c r="B29" s="142">
        <v>2015</v>
      </c>
      <c r="C29" s="142" t="s">
        <v>20</v>
      </c>
      <c r="D29" s="142" t="s">
        <v>114</v>
      </c>
      <c r="E29" s="143" t="s">
        <v>115</v>
      </c>
      <c r="F29" s="144" t="s">
        <v>22</v>
      </c>
      <c r="G29" s="145" t="s">
        <v>30</v>
      </c>
      <c r="H29" s="146" t="s">
        <v>116</v>
      </c>
      <c r="I29" s="147">
        <v>42282</v>
      </c>
      <c r="J29" s="147">
        <v>42286</v>
      </c>
      <c r="K29" s="142" t="s">
        <v>32</v>
      </c>
      <c r="L29" s="148">
        <v>4447.5200000000004</v>
      </c>
      <c r="M29" s="149"/>
      <c r="N29" s="150"/>
      <c r="O29" s="151">
        <v>15</v>
      </c>
      <c r="P29" s="151"/>
      <c r="Q29" s="151"/>
      <c r="R29" s="151">
        <f>SUM(O29:Q29)</f>
        <v>15</v>
      </c>
      <c r="S29" s="142">
        <v>20</v>
      </c>
      <c r="T29" s="153" t="s">
        <v>117</v>
      </c>
    </row>
    <row r="30" spans="1:20" ht="22.5" hidden="1" customHeight="1" x14ac:dyDescent="0.25">
      <c r="A30" s="152" t="s">
        <v>2453</v>
      </c>
      <c r="B30" s="142">
        <v>2015</v>
      </c>
      <c r="C30" s="142" t="s">
        <v>20</v>
      </c>
      <c r="D30" s="142" t="s">
        <v>89</v>
      </c>
      <c r="E30" s="143" t="s">
        <v>118</v>
      </c>
      <c r="F30" s="144" t="s">
        <v>51</v>
      </c>
      <c r="G30" s="145" t="s">
        <v>59</v>
      </c>
      <c r="H30" s="146" t="s">
        <v>119</v>
      </c>
      <c r="I30" s="147">
        <v>42296</v>
      </c>
      <c r="J30" s="147">
        <v>42300</v>
      </c>
      <c r="K30" s="142" t="s">
        <v>32</v>
      </c>
      <c r="L30" s="148">
        <v>4447.5200000000004</v>
      </c>
      <c r="M30" s="149"/>
      <c r="N30" s="150"/>
      <c r="O30" s="151"/>
      <c r="P30" s="151">
        <v>54</v>
      </c>
      <c r="Q30" s="151"/>
      <c r="R30" s="151">
        <f>SUM(O30:Q30)</f>
        <v>54</v>
      </c>
      <c r="S30" s="142">
        <v>20</v>
      </c>
      <c r="T30" s="145" t="s">
        <v>92</v>
      </c>
    </row>
    <row r="31" spans="1:20" ht="22.5" hidden="1" customHeight="1" x14ac:dyDescent="0.25">
      <c r="A31" s="152" t="s">
        <v>2454</v>
      </c>
      <c r="B31" s="142">
        <v>2015</v>
      </c>
      <c r="C31" s="142" t="s">
        <v>20</v>
      </c>
      <c r="D31" s="142"/>
      <c r="E31" s="143" t="s">
        <v>120</v>
      </c>
      <c r="F31" s="144" t="s">
        <v>51</v>
      </c>
      <c r="G31" s="145" t="s">
        <v>67</v>
      </c>
      <c r="H31" s="146" t="s">
        <v>68</v>
      </c>
      <c r="I31" s="147">
        <v>42303</v>
      </c>
      <c r="J31" s="147">
        <v>42305</v>
      </c>
      <c r="K31" s="142" t="s">
        <v>32</v>
      </c>
      <c r="L31" s="148">
        <v>4447.5200000000004</v>
      </c>
      <c r="M31" s="149"/>
      <c r="N31" s="150"/>
      <c r="O31" s="151">
        <v>52</v>
      </c>
      <c r="P31" s="151"/>
      <c r="Q31" s="151"/>
      <c r="R31" s="151">
        <f>SUM(O31:Q31)</f>
        <v>52</v>
      </c>
      <c r="S31" s="142">
        <v>0</v>
      </c>
      <c r="T31" s="145"/>
    </row>
    <row r="32" spans="1:20" ht="22.5" hidden="1" customHeight="1" x14ac:dyDescent="0.25">
      <c r="A32" s="152" t="s">
        <v>2455</v>
      </c>
      <c r="B32" s="142">
        <v>2015</v>
      </c>
      <c r="C32" s="142" t="s">
        <v>20</v>
      </c>
      <c r="D32" s="142" t="s">
        <v>110</v>
      </c>
      <c r="E32" s="143" t="s">
        <v>121</v>
      </c>
      <c r="F32" s="144" t="s">
        <v>66</v>
      </c>
      <c r="G32" s="145" t="s">
        <v>59</v>
      </c>
      <c r="H32" s="146" t="s">
        <v>122</v>
      </c>
      <c r="I32" s="147">
        <v>42325</v>
      </c>
      <c r="J32" s="147">
        <v>42328</v>
      </c>
      <c r="K32" s="142" t="s">
        <v>32</v>
      </c>
      <c r="L32" s="148">
        <v>4076.52</v>
      </c>
      <c r="M32" s="149"/>
      <c r="N32" s="150"/>
      <c r="O32" s="151"/>
      <c r="P32" s="151"/>
      <c r="Q32" s="151">
        <v>46</v>
      </c>
      <c r="R32" s="151">
        <f>SUM(O32:Q32)</f>
        <v>46</v>
      </c>
      <c r="S32" s="142">
        <v>20</v>
      </c>
      <c r="T32" s="145" t="s">
        <v>113</v>
      </c>
    </row>
    <row r="33" spans="1:20" ht="22.5" hidden="1" customHeight="1" x14ac:dyDescent="0.25">
      <c r="A33" s="152" t="s">
        <v>2456</v>
      </c>
      <c r="B33" s="142">
        <v>2016</v>
      </c>
      <c r="C33" s="142" t="s">
        <v>20</v>
      </c>
      <c r="D33" s="142" t="s">
        <v>123</v>
      </c>
      <c r="E33" s="143" t="s">
        <v>124</v>
      </c>
      <c r="F33" s="144" t="s">
        <v>22</v>
      </c>
      <c r="G33" s="145" t="s">
        <v>67</v>
      </c>
      <c r="H33" s="146" t="s">
        <v>68</v>
      </c>
      <c r="I33" s="147">
        <v>42495</v>
      </c>
      <c r="J33" s="147"/>
      <c r="K33" s="142" t="s">
        <v>25</v>
      </c>
      <c r="L33" s="148">
        <v>0</v>
      </c>
      <c r="M33" s="149"/>
      <c r="N33" s="150"/>
      <c r="O33" s="151">
        <v>14</v>
      </c>
      <c r="P33" s="151"/>
      <c r="Q33" s="151"/>
      <c r="R33" s="151">
        <f>SUM(O33:Q33)</f>
        <v>14</v>
      </c>
      <c r="S33" s="142">
        <v>8</v>
      </c>
      <c r="T33" s="145" t="s">
        <v>125</v>
      </c>
    </row>
    <row r="34" spans="1:20" ht="22.5" hidden="1" customHeight="1" x14ac:dyDescent="0.25">
      <c r="A34" s="152" t="s">
        <v>2457</v>
      </c>
      <c r="B34" s="142">
        <v>2016</v>
      </c>
      <c r="C34" s="142" t="s">
        <v>20</v>
      </c>
      <c r="D34" s="142"/>
      <c r="E34" s="143" t="s">
        <v>126</v>
      </c>
      <c r="F34" s="144" t="s">
        <v>22</v>
      </c>
      <c r="G34" s="145" t="s">
        <v>67</v>
      </c>
      <c r="H34" s="146" t="s">
        <v>68</v>
      </c>
      <c r="I34" s="147">
        <v>42495</v>
      </c>
      <c r="J34" s="147"/>
      <c r="K34" s="142" t="s">
        <v>25</v>
      </c>
      <c r="L34" s="148">
        <v>22500</v>
      </c>
      <c r="M34" s="149"/>
      <c r="N34" s="150"/>
      <c r="O34" s="151">
        <v>25</v>
      </c>
      <c r="P34" s="151"/>
      <c r="Q34" s="151"/>
      <c r="R34" s="151">
        <f>SUM(O34:Q34)</f>
        <v>25</v>
      </c>
      <c r="S34" s="142">
        <v>20</v>
      </c>
      <c r="T34" s="145"/>
    </row>
    <row r="35" spans="1:20" ht="22.5" hidden="1" customHeight="1" x14ac:dyDescent="0.25">
      <c r="A35" s="152" t="s">
        <v>2458</v>
      </c>
      <c r="B35" s="142">
        <v>2016</v>
      </c>
      <c r="C35" s="142" t="s">
        <v>20</v>
      </c>
      <c r="D35" s="142" t="s">
        <v>127</v>
      </c>
      <c r="E35" s="143" t="s">
        <v>128</v>
      </c>
      <c r="F35" s="144" t="s">
        <v>22</v>
      </c>
      <c r="G35" s="145" t="s">
        <v>67</v>
      </c>
      <c r="H35" s="146" t="s">
        <v>68</v>
      </c>
      <c r="I35" s="147">
        <v>42495</v>
      </c>
      <c r="J35" s="147"/>
      <c r="K35" s="142" t="s">
        <v>25</v>
      </c>
      <c r="L35" s="148">
        <v>25200</v>
      </c>
      <c r="M35" s="149"/>
      <c r="N35" s="150"/>
      <c r="O35" s="151">
        <v>17</v>
      </c>
      <c r="P35" s="151"/>
      <c r="Q35" s="151"/>
      <c r="R35" s="151">
        <f>SUM(O35:Q35)</f>
        <v>17</v>
      </c>
      <c r="S35" s="142">
        <v>20</v>
      </c>
      <c r="T35" s="145" t="s">
        <v>129</v>
      </c>
    </row>
    <row r="36" spans="1:20" ht="22.5" hidden="1" customHeight="1" x14ac:dyDescent="0.25">
      <c r="A36" s="152" t="s">
        <v>2459</v>
      </c>
      <c r="B36" s="142">
        <v>2016</v>
      </c>
      <c r="C36" s="142" t="s">
        <v>20</v>
      </c>
      <c r="D36" s="142" t="s">
        <v>130</v>
      </c>
      <c r="E36" s="143" t="s">
        <v>131</v>
      </c>
      <c r="F36" s="144" t="s">
        <v>51</v>
      </c>
      <c r="G36" s="145" t="s">
        <v>59</v>
      </c>
      <c r="H36" s="146" t="s">
        <v>132</v>
      </c>
      <c r="I36" s="147">
        <v>42506</v>
      </c>
      <c r="J36" s="147">
        <v>42510</v>
      </c>
      <c r="K36" s="142" t="s">
        <v>32</v>
      </c>
      <c r="L36" s="148">
        <v>6671.48</v>
      </c>
      <c r="M36" s="149"/>
      <c r="N36" s="150"/>
      <c r="O36" s="151"/>
      <c r="P36" s="151">
        <v>75</v>
      </c>
      <c r="Q36" s="151"/>
      <c r="R36" s="151">
        <f>SUM(O36:Q36)</f>
        <v>75</v>
      </c>
      <c r="S36" s="142">
        <v>20</v>
      </c>
      <c r="T36" s="145" t="s">
        <v>61</v>
      </c>
    </row>
    <row r="37" spans="1:20" ht="22.5" hidden="1" customHeight="1" x14ac:dyDescent="0.25">
      <c r="A37" s="152" t="s">
        <v>2460</v>
      </c>
      <c r="B37" s="142">
        <v>2016</v>
      </c>
      <c r="C37" s="142" t="s">
        <v>20</v>
      </c>
      <c r="D37" s="142" t="s">
        <v>133</v>
      </c>
      <c r="E37" s="143" t="s">
        <v>134</v>
      </c>
      <c r="F37" s="144" t="s">
        <v>66</v>
      </c>
      <c r="G37" s="145" t="s">
        <v>59</v>
      </c>
      <c r="H37" s="146" t="s">
        <v>135</v>
      </c>
      <c r="I37" s="147">
        <v>42534</v>
      </c>
      <c r="J37" s="147">
        <v>42534</v>
      </c>
      <c r="K37" s="142" t="s">
        <v>32</v>
      </c>
      <c r="L37" s="148">
        <v>2668.6</v>
      </c>
      <c r="M37" s="149"/>
      <c r="N37" s="150"/>
      <c r="O37" s="151"/>
      <c r="P37" s="151">
        <v>18</v>
      </c>
      <c r="Q37" s="151"/>
      <c r="R37" s="151">
        <f>SUM(O37:Q37)</f>
        <v>18</v>
      </c>
      <c r="S37" s="142">
        <v>3</v>
      </c>
      <c r="T37" s="153" t="s">
        <v>136</v>
      </c>
    </row>
    <row r="38" spans="1:20" ht="22.5" hidden="1" customHeight="1" x14ac:dyDescent="0.25">
      <c r="A38" s="152" t="s">
        <v>2461</v>
      </c>
      <c r="B38" s="142">
        <v>2016</v>
      </c>
      <c r="C38" s="142" t="s">
        <v>20</v>
      </c>
      <c r="D38" s="142" t="s">
        <v>137</v>
      </c>
      <c r="E38" s="143" t="s">
        <v>138</v>
      </c>
      <c r="F38" s="144" t="s">
        <v>66</v>
      </c>
      <c r="G38" s="145" t="s">
        <v>59</v>
      </c>
      <c r="H38" s="146" t="s">
        <v>139</v>
      </c>
      <c r="I38" s="147">
        <v>42534</v>
      </c>
      <c r="J38" s="147">
        <v>42535</v>
      </c>
      <c r="K38" s="142" t="s">
        <v>25</v>
      </c>
      <c r="L38" s="148">
        <v>0</v>
      </c>
      <c r="M38" s="149"/>
      <c r="N38" s="150"/>
      <c r="O38" s="151">
        <v>33</v>
      </c>
      <c r="P38" s="151"/>
      <c r="Q38" s="151"/>
      <c r="R38" s="151">
        <f>SUM(O38:Q38)</f>
        <v>33</v>
      </c>
      <c r="S38" s="142">
        <v>10</v>
      </c>
      <c r="T38" s="145" t="s">
        <v>140</v>
      </c>
    </row>
    <row r="39" spans="1:20" ht="22.5" hidden="1" customHeight="1" x14ac:dyDescent="0.25">
      <c r="A39" s="152" t="s">
        <v>2462</v>
      </c>
      <c r="B39" s="142">
        <v>2016</v>
      </c>
      <c r="C39" s="142" t="s">
        <v>20</v>
      </c>
      <c r="D39" s="142" t="s">
        <v>141</v>
      </c>
      <c r="E39" s="143" t="s">
        <v>142</v>
      </c>
      <c r="F39" s="144" t="s">
        <v>51</v>
      </c>
      <c r="G39" s="145" t="s">
        <v>59</v>
      </c>
      <c r="H39" s="146" t="s">
        <v>143</v>
      </c>
      <c r="I39" s="147">
        <v>42534</v>
      </c>
      <c r="J39" s="147">
        <v>42538</v>
      </c>
      <c r="K39" s="142" t="s">
        <v>32</v>
      </c>
      <c r="L39" s="148">
        <v>6671.48</v>
      </c>
      <c r="M39" s="149"/>
      <c r="N39" s="150"/>
      <c r="O39" s="151"/>
      <c r="P39" s="151">
        <v>55</v>
      </c>
      <c r="Q39" s="151"/>
      <c r="R39" s="151">
        <f>SUM(O39:Q39)</f>
        <v>55</v>
      </c>
      <c r="S39" s="142">
        <v>20</v>
      </c>
      <c r="T39" s="145" t="s">
        <v>92</v>
      </c>
    </row>
    <row r="40" spans="1:20" ht="22.5" hidden="1" customHeight="1" x14ac:dyDescent="0.25">
      <c r="A40" s="152" t="s">
        <v>2463</v>
      </c>
      <c r="B40" s="142">
        <v>2016</v>
      </c>
      <c r="C40" s="142" t="s">
        <v>20</v>
      </c>
      <c r="D40" s="142" t="s">
        <v>144</v>
      </c>
      <c r="E40" s="143" t="s">
        <v>145</v>
      </c>
      <c r="F40" s="144" t="s">
        <v>66</v>
      </c>
      <c r="G40" s="145" t="s">
        <v>23</v>
      </c>
      <c r="H40" s="146" t="s">
        <v>146</v>
      </c>
      <c r="I40" s="147">
        <v>42548</v>
      </c>
      <c r="J40" s="147">
        <v>42552</v>
      </c>
      <c r="K40" s="142" t="s">
        <v>32</v>
      </c>
      <c r="L40" s="148">
        <v>7080.23</v>
      </c>
      <c r="M40" s="149"/>
      <c r="N40" s="150"/>
      <c r="O40" s="151"/>
      <c r="P40" s="151"/>
      <c r="Q40" s="151">
        <v>45</v>
      </c>
      <c r="R40" s="151">
        <f>SUM(O40:Q40)</f>
        <v>45</v>
      </c>
      <c r="S40" s="142">
        <v>20</v>
      </c>
      <c r="T40" s="145" t="s">
        <v>147</v>
      </c>
    </row>
    <row r="41" spans="1:20" ht="22.5" hidden="1" customHeight="1" x14ac:dyDescent="0.25">
      <c r="A41" s="152" t="s">
        <v>2464</v>
      </c>
      <c r="B41" s="142">
        <v>2016</v>
      </c>
      <c r="C41" s="142" t="s">
        <v>20</v>
      </c>
      <c r="D41" s="142" t="s">
        <v>148</v>
      </c>
      <c r="E41" s="143" t="s">
        <v>149</v>
      </c>
      <c r="F41" s="144" t="s">
        <v>22</v>
      </c>
      <c r="G41" s="145" t="s">
        <v>30</v>
      </c>
      <c r="H41" s="146" t="s">
        <v>146</v>
      </c>
      <c r="I41" s="147">
        <v>42548</v>
      </c>
      <c r="J41" s="147">
        <v>42552</v>
      </c>
      <c r="K41" s="142" t="s">
        <v>32</v>
      </c>
      <c r="L41" s="148">
        <v>6671.48</v>
      </c>
      <c r="M41" s="149"/>
      <c r="N41" s="150"/>
      <c r="O41" s="151">
        <v>15</v>
      </c>
      <c r="P41" s="151"/>
      <c r="Q41" s="151"/>
      <c r="R41" s="151">
        <f>SUM(O41:Q41)</f>
        <v>15</v>
      </c>
      <c r="S41" s="142">
        <v>20</v>
      </c>
      <c r="T41" s="145" t="s">
        <v>150</v>
      </c>
    </row>
    <row r="42" spans="1:20" ht="22.5" hidden="1" customHeight="1" x14ac:dyDescent="0.25">
      <c r="A42" s="152" t="s">
        <v>2465</v>
      </c>
      <c r="B42" s="142">
        <v>2016</v>
      </c>
      <c r="C42" s="142" t="s">
        <v>20</v>
      </c>
      <c r="D42" s="142" t="s">
        <v>151</v>
      </c>
      <c r="E42" s="143" t="s">
        <v>152</v>
      </c>
      <c r="F42" s="144" t="s">
        <v>66</v>
      </c>
      <c r="G42" s="145" t="s">
        <v>59</v>
      </c>
      <c r="H42" s="146" t="s">
        <v>153</v>
      </c>
      <c r="I42" s="147">
        <v>42549</v>
      </c>
      <c r="J42" s="147">
        <v>42551</v>
      </c>
      <c r="K42" s="142" t="s">
        <v>32</v>
      </c>
      <c r="L42" s="148">
        <v>1334.3</v>
      </c>
      <c r="M42" s="149"/>
      <c r="N42" s="150"/>
      <c r="O42" s="151"/>
      <c r="P42" s="151"/>
      <c r="Q42" s="151">
        <v>21</v>
      </c>
      <c r="R42" s="151">
        <f>SUM(O42:Q42)</f>
        <v>21</v>
      </c>
      <c r="S42" s="142">
        <v>8</v>
      </c>
      <c r="T42" s="153" t="s">
        <v>154</v>
      </c>
    </row>
    <row r="43" spans="1:20" ht="22.5" hidden="1" customHeight="1" x14ac:dyDescent="0.25">
      <c r="A43" s="152" t="s">
        <v>2466</v>
      </c>
      <c r="B43" s="142">
        <v>2016</v>
      </c>
      <c r="C43" s="142" t="s">
        <v>20</v>
      </c>
      <c r="D43" s="142" t="s">
        <v>155</v>
      </c>
      <c r="E43" s="143" t="s">
        <v>156</v>
      </c>
      <c r="F43" s="144" t="s">
        <v>22</v>
      </c>
      <c r="G43" s="145" t="s">
        <v>157</v>
      </c>
      <c r="H43" s="146" t="s">
        <v>158</v>
      </c>
      <c r="I43" s="147">
        <v>42571</v>
      </c>
      <c r="J43" s="147">
        <v>42572</v>
      </c>
      <c r="K43" s="142" t="s">
        <v>25</v>
      </c>
      <c r="L43" s="148">
        <v>0</v>
      </c>
      <c r="M43" s="149"/>
      <c r="N43" s="150"/>
      <c r="O43" s="151">
        <v>40</v>
      </c>
      <c r="P43" s="151"/>
      <c r="Q43" s="151"/>
      <c r="R43" s="151">
        <f>SUM(O43:Q43)</f>
        <v>40</v>
      </c>
      <c r="S43" s="142">
        <v>9</v>
      </c>
      <c r="T43" s="145" t="s">
        <v>159</v>
      </c>
    </row>
    <row r="44" spans="1:20" ht="22.5" hidden="1" customHeight="1" x14ac:dyDescent="0.25">
      <c r="A44" s="152" t="s">
        <v>2467</v>
      </c>
      <c r="B44" s="142">
        <v>2016</v>
      </c>
      <c r="C44" s="142" t="s">
        <v>20</v>
      </c>
      <c r="D44" s="142" t="s">
        <v>160</v>
      </c>
      <c r="E44" s="143" t="s">
        <v>161</v>
      </c>
      <c r="F44" s="144" t="s">
        <v>51</v>
      </c>
      <c r="G44" s="145" t="s">
        <v>59</v>
      </c>
      <c r="H44" s="146" t="s">
        <v>162</v>
      </c>
      <c r="I44" s="147">
        <v>42583</v>
      </c>
      <c r="J44" s="147">
        <v>42584</v>
      </c>
      <c r="K44" s="142" t="s">
        <v>32</v>
      </c>
      <c r="L44" s="148">
        <v>2668.6</v>
      </c>
      <c r="M44" s="149"/>
      <c r="N44" s="150"/>
      <c r="O44" s="151"/>
      <c r="P44" s="151">
        <v>45</v>
      </c>
      <c r="Q44" s="151"/>
      <c r="R44" s="151">
        <f>SUM(O44:Q44)</f>
        <v>45</v>
      </c>
      <c r="S44" s="142">
        <v>8</v>
      </c>
      <c r="T44" s="145" t="s">
        <v>163</v>
      </c>
    </row>
    <row r="45" spans="1:20" ht="22.5" hidden="1" customHeight="1" x14ac:dyDescent="0.25">
      <c r="A45" s="152" t="s">
        <v>2468</v>
      </c>
      <c r="B45" s="142">
        <v>2016</v>
      </c>
      <c r="C45" s="142" t="s">
        <v>20</v>
      </c>
      <c r="D45" s="142" t="s">
        <v>164</v>
      </c>
      <c r="E45" s="143" t="s">
        <v>165</v>
      </c>
      <c r="F45" s="144" t="s">
        <v>22</v>
      </c>
      <c r="G45" s="145" t="s">
        <v>30</v>
      </c>
      <c r="H45" s="146" t="s">
        <v>166</v>
      </c>
      <c r="I45" s="147">
        <v>42590</v>
      </c>
      <c r="J45" s="147">
        <v>42594</v>
      </c>
      <c r="K45" s="142" t="s">
        <v>32</v>
      </c>
      <c r="L45" s="148">
        <v>7488.98</v>
      </c>
      <c r="M45" s="149"/>
      <c r="N45" s="150"/>
      <c r="O45" s="151">
        <v>13</v>
      </c>
      <c r="P45" s="151"/>
      <c r="Q45" s="151"/>
      <c r="R45" s="151">
        <f>SUM(O45:Q45)</f>
        <v>13</v>
      </c>
      <c r="S45" s="142">
        <v>20</v>
      </c>
      <c r="T45" s="153" t="s">
        <v>167</v>
      </c>
    </row>
    <row r="46" spans="1:20" ht="22.5" hidden="1" customHeight="1" x14ac:dyDescent="0.25">
      <c r="A46" s="152" t="s">
        <v>2469</v>
      </c>
      <c r="B46" s="142">
        <v>2016</v>
      </c>
      <c r="C46" s="142" t="s">
        <v>20</v>
      </c>
      <c r="D46" s="142" t="s">
        <v>168</v>
      </c>
      <c r="E46" s="143" t="s">
        <v>169</v>
      </c>
      <c r="F46" s="144" t="s">
        <v>22</v>
      </c>
      <c r="G46" s="145" t="s">
        <v>157</v>
      </c>
      <c r="H46" s="146" t="s">
        <v>170</v>
      </c>
      <c r="I46" s="147">
        <v>42597</v>
      </c>
      <c r="J46" s="147">
        <v>42601</v>
      </c>
      <c r="K46" s="142" t="s">
        <v>25</v>
      </c>
      <c r="L46" s="148">
        <v>7880</v>
      </c>
      <c r="M46" s="149"/>
      <c r="N46" s="150"/>
      <c r="O46" s="151">
        <v>35</v>
      </c>
      <c r="P46" s="151"/>
      <c r="Q46" s="151"/>
      <c r="R46" s="151">
        <f>SUM(O46:Q46)</f>
        <v>35</v>
      </c>
      <c r="S46" s="142">
        <v>20</v>
      </c>
      <c r="T46" s="145" t="s">
        <v>171</v>
      </c>
    </row>
    <row r="47" spans="1:20" ht="22.5" hidden="1" customHeight="1" x14ac:dyDescent="0.25">
      <c r="A47" s="152" t="s">
        <v>2470</v>
      </c>
      <c r="B47" s="142">
        <v>2016</v>
      </c>
      <c r="C47" s="142" t="s">
        <v>20</v>
      </c>
      <c r="D47" s="142" t="s">
        <v>172</v>
      </c>
      <c r="E47" s="143" t="s">
        <v>173</v>
      </c>
      <c r="F47" s="144" t="s">
        <v>51</v>
      </c>
      <c r="G47" s="145" t="s">
        <v>59</v>
      </c>
      <c r="H47" s="146" t="s">
        <v>170</v>
      </c>
      <c r="I47" s="147">
        <v>42597</v>
      </c>
      <c r="J47" s="147">
        <v>42601</v>
      </c>
      <c r="K47" s="142" t="s">
        <v>174</v>
      </c>
      <c r="L47" s="148">
        <v>9556.7000000000007</v>
      </c>
      <c r="M47" s="149"/>
      <c r="N47" s="150"/>
      <c r="O47" s="151">
        <v>8</v>
      </c>
      <c r="P47" s="151">
        <v>63</v>
      </c>
      <c r="Q47" s="151"/>
      <c r="R47" s="151">
        <f>SUM(O47:Q47)</f>
        <v>71</v>
      </c>
      <c r="S47" s="142">
        <v>20</v>
      </c>
      <c r="T47" s="145" t="s">
        <v>175</v>
      </c>
    </row>
    <row r="48" spans="1:20" ht="22.5" hidden="1" customHeight="1" x14ac:dyDescent="0.25">
      <c r="A48" s="152" t="s">
        <v>2471</v>
      </c>
      <c r="B48" s="142">
        <v>2016</v>
      </c>
      <c r="C48" s="142" t="s">
        <v>20</v>
      </c>
      <c r="D48" s="142" t="s">
        <v>176</v>
      </c>
      <c r="E48" s="143" t="s">
        <v>177</v>
      </c>
      <c r="F48" s="144" t="s">
        <v>178</v>
      </c>
      <c r="G48" s="145" t="s">
        <v>59</v>
      </c>
      <c r="H48" s="146" t="s">
        <v>179</v>
      </c>
      <c r="I48" s="147">
        <v>42613</v>
      </c>
      <c r="J48" s="147">
        <v>42614</v>
      </c>
      <c r="K48" s="142" t="s">
        <v>25</v>
      </c>
      <c r="L48" s="148">
        <v>44423.6</v>
      </c>
      <c r="M48" s="149"/>
      <c r="N48" s="150"/>
      <c r="O48" s="151">
        <v>87</v>
      </c>
      <c r="P48" s="151">
        <v>242</v>
      </c>
      <c r="Q48" s="151">
        <v>0</v>
      </c>
      <c r="R48" s="151">
        <f>SUM(O48:Q48)</f>
        <v>329</v>
      </c>
      <c r="S48" s="142">
        <v>8</v>
      </c>
      <c r="T48" s="145" t="s">
        <v>180</v>
      </c>
    </row>
    <row r="49" spans="1:20" ht="22.5" hidden="1" customHeight="1" x14ac:dyDescent="0.25">
      <c r="A49" s="152" t="s">
        <v>2472</v>
      </c>
      <c r="B49" s="142">
        <v>2016</v>
      </c>
      <c r="C49" s="142" t="s">
        <v>20</v>
      </c>
      <c r="D49" s="142" t="s">
        <v>181</v>
      </c>
      <c r="E49" s="143" t="s">
        <v>182</v>
      </c>
      <c r="F49" s="144" t="s">
        <v>22</v>
      </c>
      <c r="G49" s="145" t="s">
        <v>34</v>
      </c>
      <c r="H49" s="146" t="s">
        <v>183</v>
      </c>
      <c r="I49" s="147">
        <v>42625</v>
      </c>
      <c r="J49" s="147">
        <v>42629</v>
      </c>
      <c r="K49" s="142" t="s">
        <v>25</v>
      </c>
      <c r="L49" s="148">
        <v>9200</v>
      </c>
      <c r="M49" s="149"/>
      <c r="N49" s="150"/>
      <c r="O49" s="151">
        <v>26</v>
      </c>
      <c r="P49" s="151"/>
      <c r="Q49" s="151"/>
      <c r="R49" s="151">
        <f>SUM(O49:Q49)</f>
        <v>26</v>
      </c>
      <c r="S49" s="142">
        <v>20</v>
      </c>
      <c r="T49" s="145" t="s">
        <v>184</v>
      </c>
    </row>
    <row r="50" spans="1:20" ht="22.5" hidden="1" customHeight="1" x14ac:dyDescent="0.25">
      <c r="A50" s="152" t="s">
        <v>2473</v>
      </c>
      <c r="B50" s="142">
        <v>2016</v>
      </c>
      <c r="C50" s="142" t="s">
        <v>20</v>
      </c>
      <c r="D50" s="142" t="s">
        <v>185</v>
      </c>
      <c r="E50" s="143" t="s">
        <v>186</v>
      </c>
      <c r="F50" s="144" t="s">
        <v>22</v>
      </c>
      <c r="G50" s="145" t="s">
        <v>34</v>
      </c>
      <c r="H50" s="146" t="s">
        <v>187</v>
      </c>
      <c r="I50" s="147">
        <v>42632</v>
      </c>
      <c r="J50" s="147">
        <v>42636</v>
      </c>
      <c r="K50" s="142" t="s">
        <v>25</v>
      </c>
      <c r="L50" s="148">
        <v>5900</v>
      </c>
      <c r="M50" s="149"/>
      <c r="N50" s="150"/>
      <c r="O50" s="151">
        <v>35</v>
      </c>
      <c r="P50" s="151"/>
      <c r="Q50" s="151"/>
      <c r="R50" s="151">
        <f>SUM(O50:Q50)</f>
        <v>35</v>
      </c>
      <c r="S50" s="142">
        <v>20</v>
      </c>
      <c r="T50" s="145" t="s">
        <v>188</v>
      </c>
    </row>
    <row r="51" spans="1:20" ht="22.5" hidden="1" customHeight="1" x14ac:dyDescent="0.25">
      <c r="A51" s="152" t="s">
        <v>2474</v>
      </c>
      <c r="B51" s="142">
        <v>2016</v>
      </c>
      <c r="C51" s="142" t="s">
        <v>20</v>
      </c>
      <c r="D51" s="142" t="s">
        <v>189</v>
      </c>
      <c r="E51" s="143" t="s">
        <v>190</v>
      </c>
      <c r="F51" s="144" t="s">
        <v>51</v>
      </c>
      <c r="G51" s="145" t="s">
        <v>59</v>
      </c>
      <c r="H51" s="146" t="s">
        <v>187</v>
      </c>
      <c r="I51" s="147">
        <v>42632</v>
      </c>
      <c r="J51" s="147">
        <v>42636</v>
      </c>
      <c r="K51" s="142" t="s">
        <v>32</v>
      </c>
      <c r="L51" s="148">
        <v>6671.48</v>
      </c>
      <c r="M51" s="149"/>
      <c r="N51" s="150"/>
      <c r="O51" s="151"/>
      <c r="P51" s="151">
        <v>46</v>
      </c>
      <c r="Q51" s="151"/>
      <c r="R51" s="151">
        <f>SUM(O51:Q51)</f>
        <v>46</v>
      </c>
      <c r="S51" s="142">
        <v>20</v>
      </c>
      <c r="T51" s="145" t="s">
        <v>92</v>
      </c>
    </row>
    <row r="52" spans="1:20" ht="22.5" hidden="1" customHeight="1" x14ac:dyDescent="0.25">
      <c r="A52" s="152" t="s">
        <v>2475</v>
      </c>
      <c r="B52" s="142">
        <v>2016</v>
      </c>
      <c r="C52" s="142" t="s">
        <v>20</v>
      </c>
      <c r="D52" s="142" t="s">
        <v>189</v>
      </c>
      <c r="E52" s="143" t="s">
        <v>191</v>
      </c>
      <c r="F52" s="144" t="s">
        <v>51</v>
      </c>
      <c r="G52" s="145" t="s">
        <v>59</v>
      </c>
      <c r="H52" s="146" t="s">
        <v>187</v>
      </c>
      <c r="I52" s="147">
        <v>42632</v>
      </c>
      <c r="J52" s="147">
        <v>42636</v>
      </c>
      <c r="K52" s="142" t="s">
        <v>32</v>
      </c>
      <c r="L52" s="148">
        <v>6671.48</v>
      </c>
      <c r="M52" s="149"/>
      <c r="N52" s="150"/>
      <c r="O52" s="151"/>
      <c r="P52" s="151">
        <v>52</v>
      </c>
      <c r="Q52" s="151"/>
      <c r="R52" s="151">
        <f>SUM(O52:Q52)</f>
        <v>52</v>
      </c>
      <c r="S52" s="142">
        <v>20</v>
      </c>
      <c r="T52" s="145" t="s">
        <v>92</v>
      </c>
    </row>
    <row r="53" spans="1:20" ht="22.5" hidden="1" customHeight="1" x14ac:dyDescent="0.25">
      <c r="A53" s="152" t="s">
        <v>2476</v>
      </c>
      <c r="B53" s="142">
        <v>2016</v>
      </c>
      <c r="C53" s="142" t="s">
        <v>20</v>
      </c>
      <c r="D53" s="142" t="s">
        <v>192</v>
      </c>
      <c r="E53" s="143" t="s">
        <v>193</v>
      </c>
      <c r="F53" s="144" t="s">
        <v>22</v>
      </c>
      <c r="G53" s="145" t="s">
        <v>157</v>
      </c>
      <c r="H53" s="146" t="s">
        <v>194</v>
      </c>
      <c r="I53" s="147">
        <v>42646</v>
      </c>
      <c r="J53" s="147">
        <v>42650</v>
      </c>
      <c r="K53" s="142" t="s">
        <v>32</v>
      </c>
      <c r="L53" s="148">
        <v>8088.22</v>
      </c>
      <c r="M53" s="149"/>
      <c r="N53" s="150"/>
      <c r="O53" s="151">
        <v>34</v>
      </c>
      <c r="P53" s="151"/>
      <c r="Q53" s="151"/>
      <c r="R53" s="151">
        <f>SUM(O53:Q53)</f>
        <v>34</v>
      </c>
      <c r="S53" s="142">
        <v>20</v>
      </c>
      <c r="T53" s="145" t="s">
        <v>195</v>
      </c>
    </row>
    <row r="54" spans="1:20" ht="22.5" hidden="1" customHeight="1" x14ac:dyDescent="0.25">
      <c r="A54" s="152" t="s">
        <v>2477</v>
      </c>
      <c r="B54" s="142">
        <v>2016</v>
      </c>
      <c r="C54" s="142" t="s">
        <v>20</v>
      </c>
      <c r="D54" s="142" t="s">
        <v>196</v>
      </c>
      <c r="E54" s="143" t="s">
        <v>197</v>
      </c>
      <c r="F54" s="144" t="s">
        <v>22</v>
      </c>
      <c r="G54" s="145" t="s">
        <v>23</v>
      </c>
      <c r="H54" s="146" t="s">
        <v>198</v>
      </c>
      <c r="I54" s="147">
        <v>42660</v>
      </c>
      <c r="J54" s="147">
        <v>42662</v>
      </c>
      <c r="K54" s="142" t="s">
        <v>25</v>
      </c>
      <c r="L54" s="148">
        <v>54183.63</v>
      </c>
      <c r="M54" s="149"/>
      <c r="N54" s="150"/>
      <c r="O54" s="151">
        <v>27</v>
      </c>
      <c r="P54" s="151"/>
      <c r="Q54" s="151"/>
      <c r="R54" s="151">
        <f>SUM(O54:Q54)</f>
        <v>27</v>
      </c>
      <c r="S54" s="142">
        <v>15</v>
      </c>
      <c r="T54" s="145" t="s">
        <v>199</v>
      </c>
    </row>
    <row r="55" spans="1:20" ht="22.5" hidden="1" customHeight="1" x14ac:dyDescent="0.25">
      <c r="A55" s="152" t="s">
        <v>2478</v>
      </c>
      <c r="B55" s="142">
        <v>2016</v>
      </c>
      <c r="C55" s="142" t="s">
        <v>20</v>
      </c>
      <c r="D55" s="142" t="s">
        <v>200</v>
      </c>
      <c r="E55" s="154" t="s">
        <v>201</v>
      </c>
      <c r="F55" s="144" t="s">
        <v>22</v>
      </c>
      <c r="G55" s="145" t="s">
        <v>34</v>
      </c>
      <c r="H55" s="146" t="s">
        <v>202</v>
      </c>
      <c r="I55" s="147">
        <v>42663</v>
      </c>
      <c r="J55" s="147">
        <v>42671</v>
      </c>
      <c r="K55" s="142" t="s">
        <v>25</v>
      </c>
      <c r="L55" s="148">
        <v>22500</v>
      </c>
      <c r="M55" s="149"/>
      <c r="N55" s="150"/>
      <c r="O55" s="151">
        <v>16</v>
      </c>
      <c r="P55" s="151"/>
      <c r="Q55" s="151"/>
      <c r="R55" s="151">
        <f>SUM(O55:Q55)</f>
        <v>16</v>
      </c>
      <c r="S55" s="142">
        <v>20</v>
      </c>
      <c r="T55" s="145" t="s">
        <v>129</v>
      </c>
    </row>
    <row r="56" spans="1:20" ht="22.5" hidden="1" customHeight="1" x14ac:dyDescent="0.25">
      <c r="A56" s="152" t="s">
        <v>2479</v>
      </c>
      <c r="B56" s="142">
        <v>2016</v>
      </c>
      <c r="C56" s="142" t="s">
        <v>20</v>
      </c>
      <c r="D56" s="142" t="s">
        <v>203</v>
      </c>
      <c r="E56" s="143" t="s">
        <v>204</v>
      </c>
      <c r="F56" s="144" t="s">
        <v>51</v>
      </c>
      <c r="G56" s="145" t="s">
        <v>59</v>
      </c>
      <c r="H56" s="146" t="s">
        <v>205</v>
      </c>
      <c r="I56" s="147">
        <v>42667</v>
      </c>
      <c r="J56" s="147">
        <v>42669</v>
      </c>
      <c r="K56" s="142" t="s">
        <v>32</v>
      </c>
      <c r="L56" s="148">
        <v>4002.88</v>
      </c>
      <c r="M56" s="149"/>
      <c r="N56" s="150"/>
      <c r="O56" s="151"/>
      <c r="P56" s="151">
        <v>55</v>
      </c>
      <c r="Q56" s="151"/>
      <c r="R56" s="151">
        <f>SUM(O56:Q56)</f>
        <v>55</v>
      </c>
      <c r="S56" s="142">
        <v>12</v>
      </c>
      <c r="T56" s="145" t="s">
        <v>206</v>
      </c>
    </row>
    <row r="57" spans="1:20" ht="22.5" hidden="1" customHeight="1" x14ac:dyDescent="0.25">
      <c r="A57" s="152" t="s">
        <v>2480</v>
      </c>
      <c r="B57" s="142">
        <v>2016</v>
      </c>
      <c r="C57" s="142" t="s">
        <v>20</v>
      </c>
      <c r="D57" s="142" t="s">
        <v>207</v>
      </c>
      <c r="E57" s="143" t="s">
        <v>208</v>
      </c>
      <c r="F57" s="144" t="s">
        <v>22</v>
      </c>
      <c r="G57" s="145" t="s">
        <v>30</v>
      </c>
      <c r="H57" s="146" t="s">
        <v>209</v>
      </c>
      <c r="I57" s="147">
        <v>42681</v>
      </c>
      <c r="J57" s="147">
        <v>42685</v>
      </c>
      <c r="K57" s="142" t="s">
        <v>32</v>
      </c>
      <c r="L57" s="148">
        <v>8088.22</v>
      </c>
      <c r="M57" s="149"/>
      <c r="N57" s="150"/>
      <c r="O57" s="151">
        <v>14</v>
      </c>
      <c r="P57" s="151"/>
      <c r="Q57" s="151"/>
      <c r="R57" s="151">
        <f>SUM(O57:Q57)</f>
        <v>14</v>
      </c>
      <c r="S57" s="142">
        <v>20</v>
      </c>
      <c r="T57" s="153" t="s">
        <v>167</v>
      </c>
    </row>
    <row r="58" spans="1:20" ht="22.5" hidden="1" customHeight="1" x14ac:dyDescent="0.25">
      <c r="A58" s="152" t="s">
        <v>2481</v>
      </c>
      <c r="B58" s="142">
        <v>2016</v>
      </c>
      <c r="C58" s="142" t="s">
        <v>20</v>
      </c>
      <c r="D58" s="142" t="s">
        <v>210</v>
      </c>
      <c r="E58" s="143" t="s">
        <v>211</v>
      </c>
      <c r="F58" s="144" t="s">
        <v>51</v>
      </c>
      <c r="G58" s="145" t="s">
        <v>59</v>
      </c>
      <c r="H58" s="146" t="s">
        <v>209</v>
      </c>
      <c r="I58" s="147">
        <v>42681</v>
      </c>
      <c r="J58" s="147">
        <v>42685</v>
      </c>
      <c r="K58" s="142" t="s">
        <v>32</v>
      </c>
      <c r="L58" s="148">
        <v>6671.48</v>
      </c>
      <c r="M58" s="149"/>
      <c r="N58" s="150"/>
      <c r="O58" s="151"/>
      <c r="P58" s="151">
        <v>47</v>
      </c>
      <c r="Q58" s="151"/>
      <c r="R58" s="151">
        <f>SUM(O58:Q58)</f>
        <v>47</v>
      </c>
      <c r="S58" s="142">
        <v>20</v>
      </c>
      <c r="T58" s="145" t="s">
        <v>212</v>
      </c>
    </row>
    <row r="59" spans="1:20" ht="22.5" hidden="1" customHeight="1" x14ac:dyDescent="0.25">
      <c r="A59" s="152" t="s">
        <v>2482</v>
      </c>
      <c r="B59" s="142">
        <v>2016</v>
      </c>
      <c r="C59" s="142" t="s">
        <v>20</v>
      </c>
      <c r="D59" s="142" t="s">
        <v>213</v>
      </c>
      <c r="E59" s="143" t="s">
        <v>214</v>
      </c>
      <c r="F59" s="144" t="s">
        <v>22</v>
      </c>
      <c r="G59" s="145" t="s">
        <v>157</v>
      </c>
      <c r="H59" s="146" t="s">
        <v>215</v>
      </c>
      <c r="I59" s="147">
        <v>42695</v>
      </c>
      <c r="J59" s="147">
        <v>42702</v>
      </c>
      <c r="K59" s="142" t="s">
        <v>25</v>
      </c>
      <c r="L59" s="148">
        <v>7880</v>
      </c>
      <c r="M59" s="149"/>
      <c r="N59" s="150"/>
      <c r="O59" s="151">
        <v>31</v>
      </c>
      <c r="P59" s="151"/>
      <c r="Q59" s="151"/>
      <c r="R59" s="151">
        <f>SUM(O59:Q59)</f>
        <v>31</v>
      </c>
      <c r="S59" s="142">
        <v>20</v>
      </c>
      <c r="T59" s="145" t="s">
        <v>216</v>
      </c>
    </row>
    <row r="60" spans="1:20" ht="22.5" hidden="1" customHeight="1" x14ac:dyDescent="0.25">
      <c r="A60" s="152" t="s">
        <v>2483</v>
      </c>
      <c r="B60" s="142">
        <v>2016</v>
      </c>
      <c r="C60" s="142" t="s">
        <v>20</v>
      </c>
      <c r="D60" s="142" t="s">
        <v>217</v>
      </c>
      <c r="E60" s="143" t="s">
        <v>218</v>
      </c>
      <c r="F60" s="144" t="s">
        <v>51</v>
      </c>
      <c r="G60" s="145" t="s">
        <v>59</v>
      </c>
      <c r="H60" s="146" t="s">
        <v>219</v>
      </c>
      <c r="I60" s="147">
        <v>42695</v>
      </c>
      <c r="J60" s="147">
        <v>42699</v>
      </c>
      <c r="K60" s="142" t="s">
        <v>32</v>
      </c>
      <c r="L60" s="148">
        <v>5612</v>
      </c>
      <c r="M60" s="149"/>
      <c r="N60" s="150"/>
      <c r="O60" s="151"/>
      <c r="P60" s="151">
        <v>28</v>
      </c>
      <c r="Q60" s="151"/>
      <c r="R60" s="151">
        <f>SUM(O60:Q60)</f>
        <v>28</v>
      </c>
      <c r="S60" s="142">
        <v>20</v>
      </c>
      <c r="T60" s="145" t="s">
        <v>92</v>
      </c>
    </row>
    <row r="61" spans="1:20" ht="22.5" hidden="1" customHeight="1" x14ac:dyDescent="0.25">
      <c r="A61" s="152" t="s">
        <v>2484</v>
      </c>
      <c r="B61" s="142">
        <v>2016</v>
      </c>
      <c r="C61" s="142" t="s">
        <v>20</v>
      </c>
      <c r="D61" s="142" t="s">
        <v>217</v>
      </c>
      <c r="E61" s="143" t="s">
        <v>220</v>
      </c>
      <c r="F61" s="144" t="s">
        <v>51</v>
      </c>
      <c r="G61" s="145" t="s">
        <v>59</v>
      </c>
      <c r="H61" s="146" t="s">
        <v>219</v>
      </c>
      <c r="I61" s="147">
        <v>42695</v>
      </c>
      <c r="J61" s="147">
        <v>42699</v>
      </c>
      <c r="K61" s="142" t="s">
        <v>32</v>
      </c>
      <c r="L61" s="148">
        <v>5612</v>
      </c>
      <c r="M61" s="149"/>
      <c r="N61" s="150"/>
      <c r="O61" s="151"/>
      <c r="P61" s="151">
        <v>34</v>
      </c>
      <c r="Q61" s="151"/>
      <c r="R61" s="151">
        <f>SUM(O61:Q61)</f>
        <v>34</v>
      </c>
      <c r="S61" s="142">
        <v>20</v>
      </c>
      <c r="T61" s="145" t="s">
        <v>92</v>
      </c>
    </row>
    <row r="62" spans="1:20" ht="22.5" hidden="1" customHeight="1" x14ac:dyDescent="0.25">
      <c r="A62" s="152" t="s">
        <v>2485</v>
      </c>
      <c r="B62" s="142">
        <v>2016</v>
      </c>
      <c r="C62" s="142" t="s">
        <v>20</v>
      </c>
      <c r="D62" s="142" t="s">
        <v>221</v>
      </c>
      <c r="E62" s="143" t="s">
        <v>222</v>
      </c>
      <c r="F62" s="144" t="s">
        <v>51</v>
      </c>
      <c r="G62" s="145" t="s">
        <v>59</v>
      </c>
      <c r="H62" s="146" t="s">
        <v>223</v>
      </c>
      <c r="I62" s="147">
        <v>42709</v>
      </c>
      <c r="J62" s="147">
        <v>42711</v>
      </c>
      <c r="K62" s="142" t="s">
        <v>32</v>
      </c>
      <c r="L62" s="148">
        <v>8000</v>
      </c>
      <c r="M62" s="149"/>
      <c r="N62" s="150"/>
      <c r="O62" s="151"/>
      <c r="P62" s="151">
        <v>60</v>
      </c>
      <c r="Q62" s="151"/>
      <c r="R62" s="151">
        <f>SUM(O62:Q62)</f>
        <v>60</v>
      </c>
      <c r="S62" s="142">
        <v>20</v>
      </c>
      <c r="T62" s="145" t="s">
        <v>224</v>
      </c>
    </row>
    <row r="63" spans="1:20" ht="22.5" hidden="1" customHeight="1" x14ac:dyDescent="0.25">
      <c r="A63" s="152" t="s">
        <v>2486</v>
      </c>
      <c r="B63" s="142">
        <v>2017</v>
      </c>
      <c r="C63" s="142" t="s">
        <v>20</v>
      </c>
      <c r="D63" s="142" t="s">
        <v>200</v>
      </c>
      <c r="E63" s="143" t="s">
        <v>225</v>
      </c>
      <c r="F63" s="144" t="s">
        <v>22</v>
      </c>
      <c r="G63" s="145" t="s">
        <v>34</v>
      </c>
      <c r="H63" s="146" t="s">
        <v>226</v>
      </c>
      <c r="I63" s="147">
        <v>42773</v>
      </c>
      <c r="J63" s="147">
        <v>42788</v>
      </c>
      <c r="K63" s="142" t="s">
        <v>25</v>
      </c>
      <c r="L63" s="148">
        <v>27300</v>
      </c>
      <c r="M63" s="149"/>
      <c r="N63" s="150"/>
      <c r="O63" s="151">
        <v>29</v>
      </c>
      <c r="P63" s="151"/>
      <c r="Q63" s="151"/>
      <c r="R63" s="151">
        <f>SUM(O63:Q63)</f>
        <v>29</v>
      </c>
      <c r="S63" s="142">
        <v>26</v>
      </c>
      <c r="T63" s="145" t="s">
        <v>227</v>
      </c>
    </row>
    <row r="64" spans="1:20" ht="22.5" hidden="1" customHeight="1" x14ac:dyDescent="0.25">
      <c r="A64" s="152" t="s">
        <v>2487</v>
      </c>
      <c r="B64" s="142">
        <v>2017</v>
      </c>
      <c r="C64" s="142" t="s">
        <v>20</v>
      </c>
      <c r="D64" s="142" t="s">
        <v>200</v>
      </c>
      <c r="E64" s="143" t="s">
        <v>228</v>
      </c>
      <c r="F64" s="144" t="s">
        <v>22</v>
      </c>
      <c r="G64" s="145" t="s">
        <v>34</v>
      </c>
      <c r="H64" s="146" t="s">
        <v>229</v>
      </c>
      <c r="I64" s="147">
        <v>42800</v>
      </c>
      <c r="J64" s="147">
        <v>42825</v>
      </c>
      <c r="K64" s="142" t="s">
        <v>25</v>
      </c>
      <c r="L64" s="148">
        <v>54300</v>
      </c>
      <c r="M64" s="149"/>
      <c r="N64" s="150"/>
      <c r="O64" s="151">
        <v>26</v>
      </c>
      <c r="P64" s="151"/>
      <c r="Q64" s="151"/>
      <c r="R64" s="151">
        <f>SUM(O64:Q64)</f>
        <v>26</v>
      </c>
      <c r="S64" s="142">
        <v>30</v>
      </c>
      <c r="T64" s="145" t="s">
        <v>129</v>
      </c>
    </row>
    <row r="65" spans="1:20" ht="22.5" hidden="1" customHeight="1" x14ac:dyDescent="0.25">
      <c r="A65" s="152" t="s">
        <v>2488</v>
      </c>
      <c r="B65" s="142">
        <v>2017</v>
      </c>
      <c r="C65" s="142" t="s">
        <v>20</v>
      </c>
      <c r="D65" s="142" t="s">
        <v>230</v>
      </c>
      <c r="E65" s="143" t="s">
        <v>231</v>
      </c>
      <c r="F65" s="144" t="s">
        <v>51</v>
      </c>
      <c r="G65" s="145" t="s">
        <v>59</v>
      </c>
      <c r="H65" s="146" t="s">
        <v>232</v>
      </c>
      <c r="I65" s="147">
        <v>42807</v>
      </c>
      <c r="J65" s="147">
        <v>42811</v>
      </c>
      <c r="K65" s="142" t="s">
        <v>32</v>
      </c>
      <c r="L65" s="148">
        <v>6962.15</v>
      </c>
      <c r="M65" s="149"/>
      <c r="N65" s="150"/>
      <c r="O65" s="151"/>
      <c r="P65" s="151">
        <v>47</v>
      </c>
      <c r="Q65" s="151"/>
      <c r="R65" s="151">
        <f>SUM(O65:Q65)</f>
        <v>47</v>
      </c>
      <c r="S65" s="142">
        <v>20</v>
      </c>
      <c r="T65" s="145" t="s">
        <v>92</v>
      </c>
    </row>
    <row r="66" spans="1:20" ht="22.5" hidden="1" customHeight="1" x14ac:dyDescent="0.25">
      <c r="A66" s="152" t="s">
        <v>2489</v>
      </c>
      <c r="B66" s="142">
        <v>2017</v>
      </c>
      <c r="C66" s="142" t="s">
        <v>20</v>
      </c>
      <c r="D66" s="142" t="s">
        <v>233</v>
      </c>
      <c r="E66" s="143" t="s">
        <v>234</v>
      </c>
      <c r="F66" s="144" t="s">
        <v>22</v>
      </c>
      <c r="G66" s="145" t="s">
        <v>30</v>
      </c>
      <c r="H66" s="146" t="s">
        <v>235</v>
      </c>
      <c r="I66" s="147">
        <v>42814</v>
      </c>
      <c r="J66" s="147">
        <v>42818</v>
      </c>
      <c r="K66" s="142" t="s">
        <v>32</v>
      </c>
      <c r="L66" s="148">
        <v>7466.41</v>
      </c>
      <c r="M66" s="149"/>
      <c r="N66" s="150"/>
      <c r="O66" s="151">
        <v>20</v>
      </c>
      <c r="P66" s="151"/>
      <c r="Q66" s="151"/>
      <c r="R66" s="151">
        <f>SUM(O66:Q66)</f>
        <v>20</v>
      </c>
      <c r="S66" s="142">
        <v>20</v>
      </c>
      <c r="T66" s="153" t="s">
        <v>167</v>
      </c>
    </row>
    <row r="67" spans="1:20" ht="22.5" hidden="1" customHeight="1" x14ac:dyDescent="0.25">
      <c r="A67" s="152" t="s">
        <v>2490</v>
      </c>
      <c r="B67" s="142">
        <v>2017</v>
      </c>
      <c r="C67" s="142" t="s">
        <v>20</v>
      </c>
      <c r="D67" s="142" t="s">
        <v>236</v>
      </c>
      <c r="E67" s="143" t="s">
        <v>237</v>
      </c>
      <c r="F67" s="144" t="s">
        <v>51</v>
      </c>
      <c r="G67" s="145" t="s">
        <v>59</v>
      </c>
      <c r="H67" s="146" t="s">
        <v>238</v>
      </c>
      <c r="I67" s="147">
        <v>42821</v>
      </c>
      <c r="J67" s="147">
        <v>42825</v>
      </c>
      <c r="K67" s="142" t="s">
        <v>32</v>
      </c>
      <c r="L67" s="148">
        <v>6962.15</v>
      </c>
      <c r="M67" s="149"/>
      <c r="N67" s="150"/>
      <c r="O67" s="151"/>
      <c r="P67" s="151">
        <v>43</v>
      </c>
      <c r="Q67" s="151"/>
      <c r="R67" s="151">
        <f>SUM(O67:Q67)</f>
        <v>43</v>
      </c>
      <c r="S67" s="142">
        <v>20</v>
      </c>
      <c r="T67" s="145" t="s">
        <v>61</v>
      </c>
    </row>
    <row r="68" spans="1:20" ht="22.5" hidden="1" customHeight="1" x14ac:dyDescent="0.25">
      <c r="A68" s="152" t="s">
        <v>2491</v>
      </c>
      <c r="B68" s="142">
        <v>2017</v>
      </c>
      <c r="C68" s="142" t="s">
        <v>20</v>
      </c>
      <c r="D68" s="142" t="s">
        <v>239</v>
      </c>
      <c r="E68" s="143" t="s">
        <v>240</v>
      </c>
      <c r="F68" s="144" t="s">
        <v>22</v>
      </c>
      <c r="G68" s="145" t="s">
        <v>157</v>
      </c>
      <c r="H68" s="146" t="s">
        <v>238</v>
      </c>
      <c r="I68" s="147">
        <v>42821</v>
      </c>
      <c r="J68" s="147">
        <v>42825</v>
      </c>
      <c r="K68" s="142" t="s">
        <v>32</v>
      </c>
      <c r="L68" s="148">
        <v>7241.74</v>
      </c>
      <c r="M68" s="149"/>
      <c r="N68" s="150"/>
      <c r="O68" s="151">
        <v>15</v>
      </c>
      <c r="P68" s="151"/>
      <c r="Q68" s="151"/>
      <c r="R68" s="151">
        <f>SUM(O68:Q68)</f>
        <v>15</v>
      </c>
      <c r="S68" s="142">
        <v>20</v>
      </c>
      <c r="T68" s="145" t="s">
        <v>195</v>
      </c>
    </row>
    <row r="69" spans="1:20" ht="22.5" hidden="1" customHeight="1" x14ac:dyDescent="0.25">
      <c r="A69" s="152" t="s">
        <v>2492</v>
      </c>
      <c r="B69" s="142">
        <v>2017</v>
      </c>
      <c r="C69" s="142" t="s">
        <v>20</v>
      </c>
      <c r="D69" s="142" t="s">
        <v>241</v>
      </c>
      <c r="E69" s="143" t="s">
        <v>242</v>
      </c>
      <c r="F69" s="144" t="s">
        <v>22</v>
      </c>
      <c r="G69" s="145" t="s">
        <v>56</v>
      </c>
      <c r="H69" s="146" t="s">
        <v>243</v>
      </c>
      <c r="I69" s="147">
        <v>42828</v>
      </c>
      <c r="J69" s="147">
        <v>42832</v>
      </c>
      <c r="K69" s="142" t="s">
        <v>25</v>
      </c>
      <c r="L69" s="148">
        <v>7950</v>
      </c>
      <c r="M69" s="149"/>
      <c r="N69" s="150"/>
      <c r="O69" s="151">
        <v>29</v>
      </c>
      <c r="P69" s="151"/>
      <c r="Q69" s="151"/>
      <c r="R69" s="151">
        <f>SUM(O69:Q69)</f>
        <v>29</v>
      </c>
      <c r="S69" s="142">
        <v>20</v>
      </c>
      <c r="T69" s="145" t="s">
        <v>244</v>
      </c>
    </row>
    <row r="70" spans="1:20" ht="22.5" hidden="1" customHeight="1" x14ac:dyDescent="0.25">
      <c r="A70" s="152" t="s">
        <v>2493</v>
      </c>
      <c r="B70" s="142">
        <v>2017</v>
      </c>
      <c r="C70" s="142" t="s">
        <v>20</v>
      </c>
      <c r="D70" s="142" t="s">
        <v>230</v>
      </c>
      <c r="E70" s="143" t="s">
        <v>245</v>
      </c>
      <c r="F70" s="144" t="s">
        <v>51</v>
      </c>
      <c r="G70" s="145" t="s">
        <v>59</v>
      </c>
      <c r="H70" s="146" t="s">
        <v>246</v>
      </c>
      <c r="I70" s="147">
        <v>42849</v>
      </c>
      <c r="J70" s="147">
        <v>42853</v>
      </c>
      <c r="K70" s="142" t="s">
        <v>32</v>
      </c>
      <c r="L70" s="148">
        <v>6962.15</v>
      </c>
      <c r="M70" s="149"/>
      <c r="N70" s="150"/>
      <c r="O70" s="151"/>
      <c r="P70" s="151">
        <v>46</v>
      </c>
      <c r="Q70" s="151"/>
      <c r="R70" s="151">
        <f>SUM(O70:Q70)</f>
        <v>46</v>
      </c>
      <c r="S70" s="142">
        <v>20</v>
      </c>
      <c r="T70" s="145" t="s">
        <v>92</v>
      </c>
    </row>
    <row r="71" spans="1:20" ht="22.5" hidden="1" customHeight="1" x14ac:dyDescent="0.25">
      <c r="A71" s="152" t="s">
        <v>2494</v>
      </c>
      <c r="B71" s="142">
        <v>2017</v>
      </c>
      <c r="C71" s="142" t="s">
        <v>20</v>
      </c>
      <c r="D71" s="142" t="s">
        <v>247</v>
      </c>
      <c r="E71" s="143" t="s">
        <v>248</v>
      </c>
      <c r="F71" s="144" t="s">
        <v>22</v>
      </c>
      <c r="G71" s="145" t="s">
        <v>67</v>
      </c>
      <c r="H71" s="146" t="s">
        <v>68</v>
      </c>
      <c r="I71" s="147">
        <v>42860</v>
      </c>
      <c r="J71" s="147">
        <v>42860</v>
      </c>
      <c r="K71" s="142" t="s">
        <v>25</v>
      </c>
      <c r="L71" s="148">
        <v>27300</v>
      </c>
      <c r="M71" s="149"/>
      <c r="N71" s="150"/>
      <c r="O71" s="151">
        <v>14</v>
      </c>
      <c r="P71" s="151"/>
      <c r="Q71" s="151"/>
      <c r="R71" s="151">
        <f>SUM(O71:Q71)</f>
        <v>14</v>
      </c>
      <c r="S71" s="142">
        <v>26</v>
      </c>
      <c r="T71" s="145" t="s">
        <v>249</v>
      </c>
    </row>
    <row r="72" spans="1:20" ht="22.5" hidden="1" customHeight="1" x14ac:dyDescent="0.25">
      <c r="A72" s="152" t="s">
        <v>2495</v>
      </c>
      <c r="B72" s="142">
        <v>2017</v>
      </c>
      <c r="C72" s="142" t="s">
        <v>20</v>
      </c>
      <c r="D72" s="142" t="s">
        <v>250</v>
      </c>
      <c r="E72" s="143" t="s">
        <v>251</v>
      </c>
      <c r="F72" s="144" t="s">
        <v>22</v>
      </c>
      <c r="G72" s="145" t="s">
        <v>67</v>
      </c>
      <c r="H72" s="146" t="s">
        <v>68</v>
      </c>
      <c r="I72" s="147">
        <v>42860</v>
      </c>
      <c r="J72" s="147">
        <v>42860</v>
      </c>
      <c r="K72" s="142" t="s">
        <v>25</v>
      </c>
      <c r="L72" s="148">
        <v>0</v>
      </c>
      <c r="M72" s="149"/>
      <c r="N72" s="150"/>
      <c r="O72" s="151">
        <v>12</v>
      </c>
      <c r="P72" s="151"/>
      <c r="Q72" s="151"/>
      <c r="R72" s="151">
        <f>SUM(O72:Q72)</f>
        <v>12</v>
      </c>
      <c r="S72" s="142">
        <v>8</v>
      </c>
      <c r="T72" s="145" t="s">
        <v>125</v>
      </c>
    </row>
    <row r="73" spans="1:20" ht="22.5" hidden="1" customHeight="1" x14ac:dyDescent="0.25">
      <c r="A73" s="152" t="s">
        <v>2496</v>
      </c>
      <c r="B73" s="142">
        <v>2017</v>
      </c>
      <c r="C73" s="142" t="s">
        <v>20</v>
      </c>
      <c r="D73" s="142" t="s">
        <v>252</v>
      </c>
      <c r="E73" s="143" t="s">
        <v>253</v>
      </c>
      <c r="F73" s="144" t="s">
        <v>22</v>
      </c>
      <c r="G73" s="145" t="s">
        <v>30</v>
      </c>
      <c r="H73" s="146" t="s">
        <v>254</v>
      </c>
      <c r="I73" s="147">
        <v>42863</v>
      </c>
      <c r="J73" s="147">
        <v>42867</v>
      </c>
      <c r="K73" s="142" t="s">
        <v>32</v>
      </c>
      <c r="L73" s="148">
        <v>7241.74</v>
      </c>
      <c r="M73" s="149"/>
      <c r="N73" s="150"/>
      <c r="O73" s="151">
        <v>18</v>
      </c>
      <c r="P73" s="151"/>
      <c r="Q73" s="151"/>
      <c r="R73" s="151">
        <f>SUM(O73:Q73)</f>
        <v>18</v>
      </c>
      <c r="S73" s="142">
        <v>20</v>
      </c>
      <c r="T73" s="153" t="s">
        <v>167</v>
      </c>
    </row>
    <row r="74" spans="1:20" ht="22.5" hidden="1" customHeight="1" x14ac:dyDescent="0.25">
      <c r="A74" s="152" t="s">
        <v>2497</v>
      </c>
      <c r="B74" s="142">
        <v>2017</v>
      </c>
      <c r="C74" s="142" t="s">
        <v>20</v>
      </c>
      <c r="D74" s="142" t="s">
        <v>255</v>
      </c>
      <c r="E74" s="143" t="s">
        <v>256</v>
      </c>
      <c r="F74" s="144" t="s">
        <v>22</v>
      </c>
      <c r="G74" s="145" t="s">
        <v>23</v>
      </c>
      <c r="H74" s="146" t="s">
        <v>257</v>
      </c>
      <c r="I74" s="147">
        <v>42870</v>
      </c>
      <c r="J74" s="147">
        <v>42874</v>
      </c>
      <c r="K74" s="142" t="s">
        <v>25</v>
      </c>
      <c r="L74" s="148">
        <v>33600</v>
      </c>
      <c r="M74" s="149"/>
      <c r="N74" s="150"/>
      <c r="O74" s="151">
        <v>30</v>
      </c>
      <c r="P74" s="151"/>
      <c r="Q74" s="151"/>
      <c r="R74" s="151">
        <f>SUM(O74:Q74)</f>
        <v>30</v>
      </c>
      <c r="S74" s="142">
        <v>20</v>
      </c>
      <c r="T74" s="145" t="s">
        <v>72</v>
      </c>
    </row>
    <row r="75" spans="1:20" ht="22.5" hidden="1" customHeight="1" x14ac:dyDescent="0.25">
      <c r="A75" s="152" t="s">
        <v>2498</v>
      </c>
      <c r="B75" s="142">
        <v>2017</v>
      </c>
      <c r="C75" s="142" t="s">
        <v>20</v>
      </c>
      <c r="D75" s="142" t="s">
        <v>258</v>
      </c>
      <c r="E75" s="143" t="s">
        <v>259</v>
      </c>
      <c r="F75" s="144" t="s">
        <v>66</v>
      </c>
      <c r="G75" s="145" t="s">
        <v>59</v>
      </c>
      <c r="H75" s="146" t="s">
        <v>260</v>
      </c>
      <c r="I75" s="147">
        <v>42877</v>
      </c>
      <c r="J75" s="147">
        <v>42881</v>
      </c>
      <c r="K75" s="142" t="s">
        <v>32</v>
      </c>
      <c r="L75" s="148">
        <v>0</v>
      </c>
      <c r="M75" s="149"/>
      <c r="N75" s="150"/>
      <c r="O75" s="151"/>
      <c r="P75" s="151"/>
      <c r="Q75" s="151">
        <v>37</v>
      </c>
      <c r="R75" s="151">
        <f>SUM(O75:Q75)</f>
        <v>37</v>
      </c>
      <c r="S75" s="142">
        <v>20</v>
      </c>
      <c r="T75" s="145" t="s">
        <v>261</v>
      </c>
    </row>
    <row r="76" spans="1:20" ht="22.5" hidden="1" customHeight="1" x14ac:dyDescent="0.25">
      <c r="A76" s="152" t="s">
        <v>2499</v>
      </c>
      <c r="B76" s="142">
        <v>2017</v>
      </c>
      <c r="C76" s="142" t="s">
        <v>20</v>
      </c>
      <c r="D76" s="142" t="s">
        <v>262</v>
      </c>
      <c r="E76" s="143" t="s">
        <v>263</v>
      </c>
      <c r="F76" s="144" t="s">
        <v>51</v>
      </c>
      <c r="G76" s="145" t="s">
        <v>59</v>
      </c>
      <c r="H76" s="146" t="s">
        <v>260</v>
      </c>
      <c r="I76" s="147">
        <v>42877</v>
      </c>
      <c r="J76" s="147">
        <v>42881</v>
      </c>
      <c r="K76" s="142" t="s">
        <v>32</v>
      </c>
      <c r="L76" s="148">
        <v>6962.15</v>
      </c>
      <c r="M76" s="149"/>
      <c r="N76" s="150"/>
      <c r="O76" s="151"/>
      <c r="P76" s="151">
        <v>47</v>
      </c>
      <c r="Q76" s="151"/>
      <c r="R76" s="151">
        <f>SUM(O76:Q76)</f>
        <v>47</v>
      </c>
      <c r="S76" s="142">
        <v>20</v>
      </c>
      <c r="T76" s="145" t="s">
        <v>212</v>
      </c>
    </row>
    <row r="77" spans="1:20" ht="22.5" hidden="1" customHeight="1" x14ac:dyDescent="0.25">
      <c r="A77" s="152" t="s">
        <v>2500</v>
      </c>
      <c r="B77" s="142">
        <v>2017</v>
      </c>
      <c r="C77" s="142" t="s">
        <v>20</v>
      </c>
      <c r="D77" s="142" t="s">
        <v>264</v>
      </c>
      <c r="E77" s="143" t="s">
        <v>265</v>
      </c>
      <c r="F77" s="144" t="s">
        <v>22</v>
      </c>
      <c r="G77" s="145" t="s">
        <v>23</v>
      </c>
      <c r="H77" s="146" t="s">
        <v>266</v>
      </c>
      <c r="I77" s="147">
        <v>42880</v>
      </c>
      <c r="J77" s="147">
        <v>42881</v>
      </c>
      <c r="K77" s="142" t="s">
        <v>25</v>
      </c>
      <c r="L77" s="148">
        <v>8000</v>
      </c>
      <c r="M77" s="149"/>
      <c r="N77" s="150"/>
      <c r="O77" s="151">
        <v>30</v>
      </c>
      <c r="P77" s="151"/>
      <c r="Q77" s="151"/>
      <c r="R77" s="151">
        <f>SUM(O77:Q77)</f>
        <v>30</v>
      </c>
      <c r="S77" s="142">
        <v>16</v>
      </c>
      <c r="T77" s="145" t="s">
        <v>267</v>
      </c>
    </row>
    <row r="78" spans="1:20" ht="22.5" hidden="1" customHeight="1" x14ac:dyDescent="0.25">
      <c r="A78" s="152" t="s">
        <v>2501</v>
      </c>
      <c r="B78" s="142">
        <v>2017</v>
      </c>
      <c r="C78" s="142" t="s">
        <v>20</v>
      </c>
      <c r="D78" s="142" t="s">
        <v>268</v>
      </c>
      <c r="E78" s="143" t="s">
        <v>269</v>
      </c>
      <c r="F78" s="144" t="s">
        <v>22</v>
      </c>
      <c r="G78" s="145" t="s">
        <v>157</v>
      </c>
      <c r="H78" s="146" t="s">
        <v>270</v>
      </c>
      <c r="I78" s="147">
        <v>42880</v>
      </c>
      <c r="J78" s="147">
        <v>42881</v>
      </c>
      <c r="K78" s="142" t="s">
        <v>25</v>
      </c>
      <c r="L78" s="148">
        <v>7880</v>
      </c>
      <c r="M78" s="149"/>
      <c r="N78" s="150"/>
      <c r="O78" s="151">
        <v>19</v>
      </c>
      <c r="P78" s="151"/>
      <c r="Q78" s="151"/>
      <c r="R78" s="151">
        <f>SUM(O78:Q78)</f>
        <v>19</v>
      </c>
      <c r="S78" s="142">
        <v>20</v>
      </c>
      <c r="T78" s="145" t="s">
        <v>216</v>
      </c>
    </row>
    <row r="79" spans="1:20" ht="22.5" hidden="1" customHeight="1" x14ac:dyDescent="0.25">
      <c r="A79" s="152" t="s">
        <v>2502</v>
      </c>
      <c r="B79" s="142">
        <v>2017</v>
      </c>
      <c r="C79" s="142" t="s">
        <v>20</v>
      </c>
      <c r="D79" s="142" t="s">
        <v>271</v>
      </c>
      <c r="E79" s="143" t="s">
        <v>272</v>
      </c>
      <c r="F79" s="144" t="s">
        <v>51</v>
      </c>
      <c r="G79" s="145" t="s">
        <v>59</v>
      </c>
      <c r="H79" s="146" t="s">
        <v>273</v>
      </c>
      <c r="I79" s="147">
        <v>42881</v>
      </c>
      <c r="J79" s="147">
        <v>42884</v>
      </c>
      <c r="K79" s="142" t="s">
        <v>32</v>
      </c>
      <c r="L79" s="148">
        <v>5569.72</v>
      </c>
      <c r="M79" s="149"/>
      <c r="N79" s="150"/>
      <c r="O79" s="151"/>
      <c r="P79" s="151">
        <v>37</v>
      </c>
      <c r="Q79" s="151"/>
      <c r="R79" s="151">
        <f>SUM(O79:Q79)</f>
        <v>37</v>
      </c>
      <c r="S79" s="142">
        <v>16</v>
      </c>
      <c r="T79" s="145" t="s">
        <v>274</v>
      </c>
    </row>
    <row r="80" spans="1:20" ht="22.5" hidden="1" customHeight="1" x14ac:dyDescent="0.25">
      <c r="A80" s="152" t="s">
        <v>2503</v>
      </c>
      <c r="B80" s="142">
        <v>2017</v>
      </c>
      <c r="C80" s="142" t="s">
        <v>20</v>
      </c>
      <c r="D80" s="142" t="s">
        <v>268</v>
      </c>
      <c r="E80" s="143" t="s">
        <v>275</v>
      </c>
      <c r="F80" s="144" t="s">
        <v>22</v>
      </c>
      <c r="G80" s="145" t="s">
        <v>157</v>
      </c>
      <c r="H80" s="146" t="s">
        <v>276</v>
      </c>
      <c r="I80" s="147">
        <v>42891</v>
      </c>
      <c r="J80" s="147">
        <v>42895</v>
      </c>
      <c r="K80" s="142" t="s">
        <v>25</v>
      </c>
      <c r="L80" s="148">
        <v>7880</v>
      </c>
      <c r="M80" s="149"/>
      <c r="N80" s="150"/>
      <c r="O80" s="151">
        <v>19</v>
      </c>
      <c r="P80" s="151"/>
      <c r="Q80" s="151"/>
      <c r="R80" s="151">
        <f>SUM(O80:Q80)</f>
        <v>19</v>
      </c>
      <c r="S80" s="142">
        <v>20</v>
      </c>
      <c r="T80" s="145" t="s">
        <v>216</v>
      </c>
    </row>
    <row r="81" spans="1:20" ht="22.5" hidden="1" customHeight="1" x14ac:dyDescent="0.25">
      <c r="A81" s="152" t="s">
        <v>2504</v>
      </c>
      <c r="B81" s="142">
        <v>2017</v>
      </c>
      <c r="C81" s="142" t="s">
        <v>20</v>
      </c>
      <c r="D81" s="142" t="s">
        <v>277</v>
      </c>
      <c r="E81" s="143" t="s">
        <v>278</v>
      </c>
      <c r="F81" s="144" t="s">
        <v>22</v>
      </c>
      <c r="G81" s="145" t="s">
        <v>30</v>
      </c>
      <c r="H81" s="146" t="s">
        <v>279</v>
      </c>
      <c r="I81" s="147">
        <v>42905</v>
      </c>
      <c r="J81" s="147">
        <v>42909</v>
      </c>
      <c r="K81" s="142" t="s">
        <v>32</v>
      </c>
      <c r="L81" s="148">
        <v>8547.4</v>
      </c>
      <c r="M81" s="149"/>
      <c r="N81" s="150"/>
      <c r="O81" s="151">
        <v>20</v>
      </c>
      <c r="P81" s="151"/>
      <c r="Q81" s="151"/>
      <c r="R81" s="151">
        <f>SUM(O81:Q81)</f>
        <v>20</v>
      </c>
      <c r="S81" s="142">
        <v>20</v>
      </c>
      <c r="T81" s="145" t="s">
        <v>280</v>
      </c>
    </row>
    <row r="82" spans="1:20" ht="22.5" hidden="1" customHeight="1" x14ac:dyDescent="0.25">
      <c r="A82" s="152" t="s">
        <v>2505</v>
      </c>
      <c r="B82" s="142">
        <v>2017</v>
      </c>
      <c r="C82" s="142" t="s">
        <v>20</v>
      </c>
      <c r="D82" s="142" t="s">
        <v>281</v>
      </c>
      <c r="E82" s="143" t="s">
        <v>282</v>
      </c>
      <c r="F82" s="144" t="s">
        <v>22</v>
      </c>
      <c r="G82" s="145" t="s">
        <v>283</v>
      </c>
      <c r="H82" s="146" t="s">
        <v>284</v>
      </c>
      <c r="I82" s="147">
        <v>42909</v>
      </c>
      <c r="J82" s="147">
        <v>42963</v>
      </c>
      <c r="K82" s="142" t="s">
        <v>32</v>
      </c>
      <c r="L82" s="148">
        <v>11567.86</v>
      </c>
      <c r="M82" s="149"/>
      <c r="N82" s="150"/>
      <c r="O82" s="151">
        <v>50</v>
      </c>
      <c r="P82" s="151"/>
      <c r="Q82" s="151"/>
      <c r="R82" s="151">
        <f>SUM(O82:Q82)</f>
        <v>50</v>
      </c>
      <c r="S82" s="142">
        <v>20</v>
      </c>
      <c r="T82" s="145" t="s">
        <v>285</v>
      </c>
    </row>
    <row r="83" spans="1:20" ht="22.5" hidden="1" customHeight="1" x14ac:dyDescent="0.25">
      <c r="A83" s="152" t="s">
        <v>2506</v>
      </c>
      <c r="B83" s="142">
        <v>2017</v>
      </c>
      <c r="C83" s="142" t="s">
        <v>20</v>
      </c>
      <c r="D83" s="142" t="s">
        <v>286</v>
      </c>
      <c r="E83" s="143" t="s">
        <v>182</v>
      </c>
      <c r="F83" s="144" t="s">
        <v>22</v>
      </c>
      <c r="G83" s="145" t="s">
        <v>34</v>
      </c>
      <c r="H83" s="146" t="s">
        <v>287</v>
      </c>
      <c r="I83" s="147">
        <v>42912</v>
      </c>
      <c r="J83" s="147">
        <v>42916</v>
      </c>
      <c r="K83" s="142" t="s">
        <v>25</v>
      </c>
      <c r="L83" s="148">
        <v>9780</v>
      </c>
      <c r="M83" s="149"/>
      <c r="N83" s="150"/>
      <c r="O83" s="151">
        <v>17</v>
      </c>
      <c r="P83" s="151"/>
      <c r="Q83" s="151"/>
      <c r="R83" s="151">
        <f>SUM(O83:Q83)</f>
        <v>17</v>
      </c>
      <c r="S83" s="142">
        <v>20</v>
      </c>
      <c r="T83" s="145" t="s">
        <v>184</v>
      </c>
    </row>
    <row r="84" spans="1:20" ht="22.5" hidden="1" customHeight="1" x14ac:dyDescent="0.25">
      <c r="A84" s="152" t="s">
        <v>2507</v>
      </c>
      <c r="B84" s="142">
        <v>2017</v>
      </c>
      <c r="C84" s="142" t="s">
        <v>20</v>
      </c>
      <c r="D84" s="142" t="s">
        <v>288</v>
      </c>
      <c r="E84" s="143" t="s">
        <v>289</v>
      </c>
      <c r="F84" s="144" t="s">
        <v>51</v>
      </c>
      <c r="G84" s="145" t="s">
        <v>59</v>
      </c>
      <c r="H84" s="146" t="s">
        <v>287</v>
      </c>
      <c r="I84" s="147">
        <v>42912</v>
      </c>
      <c r="J84" s="147">
        <v>42916</v>
      </c>
      <c r="K84" s="142" t="s">
        <v>32</v>
      </c>
      <c r="L84" s="148">
        <v>6962.15</v>
      </c>
      <c r="M84" s="149"/>
      <c r="N84" s="150"/>
      <c r="O84" s="151"/>
      <c r="P84" s="151">
        <v>25</v>
      </c>
      <c r="Q84" s="151"/>
      <c r="R84" s="151">
        <f>SUM(O84:Q84)</f>
        <v>25</v>
      </c>
      <c r="S84" s="142">
        <v>20</v>
      </c>
      <c r="T84" s="145" t="s">
        <v>61</v>
      </c>
    </row>
    <row r="85" spans="1:20" ht="22.5" hidden="1" customHeight="1" x14ac:dyDescent="0.25">
      <c r="A85" s="152" t="s">
        <v>2508</v>
      </c>
      <c r="B85" s="142">
        <v>2017</v>
      </c>
      <c r="C85" s="142" t="s">
        <v>20</v>
      </c>
      <c r="D85" s="142" t="s">
        <v>290</v>
      </c>
      <c r="E85" s="143" t="s">
        <v>145</v>
      </c>
      <c r="F85" s="144" t="s">
        <v>66</v>
      </c>
      <c r="G85" s="145" t="s">
        <v>59</v>
      </c>
      <c r="H85" s="146" t="s">
        <v>291</v>
      </c>
      <c r="I85" s="147">
        <v>42919</v>
      </c>
      <c r="J85" s="147">
        <v>42923</v>
      </c>
      <c r="K85" s="142" t="s">
        <v>32</v>
      </c>
      <c r="L85" s="148">
        <v>7231.26</v>
      </c>
      <c r="M85" s="149"/>
      <c r="N85" s="150"/>
      <c r="O85" s="151"/>
      <c r="P85" s="151"/>
      <c r="Q85" s="151">
        <v>49</v>
      </c>
      <c r="R85" s="151">
        <f>SUM(O85:Q85)</f>
        <v>49</v>
      </c>
      <c r="S85" s="142">
        <v>20</v>
      </c>
      <c r="T85" s="145" t="s">
        <v>113</v>
      </c>
    </row>
    <row r="86" spans="1:20" ht="22.5" hidden="1" customHeight="1" x14ac:dyDescent="0.25">
      <c r="A86" s="152" t="s">
        <v>2509</v>
      </c>
      <c r="B86" s="142">
        <v>2017</v>
      </c>
      <c r="C86" s="142" t="s">
        <v>20</v>
      </c>
      <c r="D86" s="142" t="s">
        <v>292</v>
      </c>
      <c r="E86" s="143" t="s">
        <v>293</v>
      </c>
      <c r="F86" s="144" t="s">
        <v>51</v>
      </c>
      <c r="G86" s="145" t="s">
        <v>59</v>
      </c>
      <c r="H86" s="146" t="s">
        <v>294</v>
      </c>
      <c r="I86" s="147">
        <v>42940</v>
      </c>
      <c r="J86" s="147">
        <v>42944</v>
      </c>
      <c r="K86" s="142" t="s">
        <v>32</v>
      </c>
      <c r="L86" s="148">
        <v>6008.6</v>
      </c>
      <c r="M86" s="149"/>
      <c r="N86" s="150"/>
      <c r="O86" s="151"/>
      <c r="P86" s="151">
        <v>34</v>
      </c>
      <c r="Q86" s="151"/>
      <c r="R86" s="151">
        <f>SUM(O86:Q86)</f>
        <v>34</v>
      </c>
      <c r="S86" s="142">
        <v>20</v>
      </c>
      <c r="T86" s="145" t="s">
        <v>61</v>
      </c>
    </row>
    <row r="87" spans="1:20" ht="22.5" hidden="1" customHeight="1" x14ac:dyDescent="0.25">
      <c r="A87" s="152" t="s">
        <v>2510</v>
      </c>
      <c r="B87" s="142">
        <v>2017</v>
      </c>
      <c r="C87" s="142" t="s">
        <v>20</v>
      </c>
      <c r="D87" s="142" t="s">
        <v>295</v>
      </c>
      <c r="E87" s="143" t="s">
        <v>296</v>
      </c>
      <c r="F87" s="144" t="s">
        <v>22</v>
      </c>
      <c r="G87" s="145" t="s">
        <v>30</v>
      </c>
      <c r="H87" s="146" t="s">
        <v>297</v>
      </c>
      <c r="I87" s="147">
        <v>42968</v>
      </c>
      <c r="J87" s="147">
        <v>42972</v>
      </c>
      <c r="K87" s="142" t="s">
        <v>32</v>
      </c>
      <c r="L87" s="148">
        <v>7603.8</v>
      </c>
      <c r="M87" s="149"/>
      <c r="N87" s="150"/>
      <c r="O87" s="151">
        <v>19</v>
      </c>
      <c r="P87" s="151"/>
      <c r="Q87" s="151"/>
      <c r="R87" s="151">
        <f>SUM(O87:Q87)</f>
        <v>19</v>
      </c>
      <c r="S87" s="142">
        <v>20</v>
      </c>
      <c r="T87" s="153" t="s">
        <v>167</v>
      </c>
    </row>
    <row r="88" spans="1:20" ht="22.5" hidden="1" customHeight="1" x14ac:dyDescent="0.25">
      <c r="A88" s="152" t="s">
        <v>2511</v>
      </c>
      <c r="B88" s="142">
        <v>2017</v>
      </c>
      <c r="C88" s="142" t="s">
        <v>20</v>
      </c>
      <c r="D88" s="142" t="s">
        <v>298</v>
      </c>
      <c r="E88" s="143" t="s">
        <v>299</v>
      </c>
      <c r="F88" s="144" t="s">
        <v>51</v>
      </c>
      <c r="G88" s="145" t="s">
        <v>59</v>
      </c>
      <c r="H88" s="146" t="s">
        <v>300</v>
      </c>
      <c r="I88" s="147">
        <v>42976</v>
      </c>
      <c r="J88" s="147">
        <v>42977</v>
      </c>
      <c r="K88" s="142" t="s">
        <v>25</v>
      </c>
      <c r="L88" s="148">
        <v>40881.51</v>
      </c>
      <c r="M88" s="149"/>
      <c r="N88" s="150"/>
      <c r="O88" s="151">
        <v>100</v>
      </c>
      <c r="P88" s="151">
        <v>212</v>
      </c>
      <c r="Q88" s="151">
        <v>0</v>
      </c>
      <c r="R88" s="151">
        <f>SUM(O88:Q88)</f>
        <v>312</v>
      </c>
      <c r="S88" s="142">
        <v>8</v>
      </c>
      <c r="T88" s="145" t="s">
        <v>301</v>
      </c>
    </row>
    <row r="89" spans="1:20" ht="22.5" hidden="1" customHeight="1" x14ac:dyDescent="0.25">
      <c r="A89" s="152" t="s">
        <v>2512</v>
      </c>
      <c r="B89" s="142">
        <v>2017</v>
      </c>
      <c r="C89" s="142" t="s">
        <v>20</v>
      </c>
      <c r="D89" s="142" t="s">
        <v>302</v>
      </c>
      <c r="E89" s="143" t="s">
        <v>303</v>
      </c>
      <c r="F89" s="144" t="s">
        <v>51</v>
      </c>
      <c r="G89" s="145" t="s">
        <v>59</v>
      </c>
      <c r="H89" s="146" t="s">
        <v>304</v>
      </c>
      <c r="I89" s="147">
        <v>42989</v>
      </c>
      <c r="J89" s="147">
        <v>42993</v>
      </c>
      <c r="K89" s="142" t="s">
        <v>32</v>
      </c>
      <c r="L89" s="148">
        <v>7452.02</v>
      </c>
      <c r="M89" s="149"/>
      <c r="N89" s="150"/>
      <c r="O89" s="151"/>
      <c r="P89" s="151">
        <v>57</v>
      </c>
      <c r="Q89" s="151"/>
      <c r="R89" s="151">
        <f>SUM(O89:Q89)</f>
        <v>57</v>
      </c>
      <c r="S89" s="142">
        <v>20</v>
      </c>
      <c r="T89" s="145" t="s">
        <v>92</v>
      </c>
    </row>
    <row r="90" spans="1:20" ht="22.5" hidden="1" customHeight="1" x14ac:dyDescent="0.25">
      <c r="A90" s="152" t="s">
        <v>2513</v>
      </c>
      <c r="B90" s="142">
        <v>2017</v>
      </c>
      <c r="C90" s="142" t="s">
        <v>20</v>
      </c>
      <c r="D90" s="142" t="s">
        <v>305</v>
      </c>
      <c r="E90" s="143" t="s">
        <v>306</v>
      </c>
      <c r="F90" s="144" t="s">
        <v>51</v>
      </c>
      <c r="G90" s="145" t="s">
        <v>59</v>
      </c>
      <c r="H90" s="146" t="s">
        <v>307</v>
      </c>
      <c r="I90" s="147">
        <v>43003</v>
      </c>
      <c r="J90" s="147">
        <v>43007</v>
      </c>
      <c r="K90" s="142" t="s">
        <v>32</v>
      </c>
      <c r="L90" s="148">
        <v>7510.44</v>
      </c>
      <c r="M90" s="149"/>
      <c r="N90" s="150"/>
      <c r="O90" s="151"/>
      <c r="P90" s="151">
        <v>50</v>
      </c>
      <c r="Q90" s="151"/>
      <c r="R90" s="151">
        <f>SUM(O90:Q90)</f>
        <v>50</v>
      </c>
      <c r="S90" s="142">
        <v>20</v>
      </c>
      <c r="T90" s="145" t="s">
        <v>92</v>
      </c>
    </row>
    <row r="91" spans="1:20" ht="22.5" hidden="1" customHeight="1" x14ac:dyDescent="0.25">
      <c r="A91" s="152" t="s">
        <v>2514</v>
      </c>
      <c r="B91" s="142">
        <v>2017</v>
      </c>
      <c r="C91" s="142" t="s">
        <v>20</v>
      </c>
      <c r="D91" s="142" t="s">
        <v>308</v>
      </c>
      <c r="E91" s="143" t="s">
        <v>309</v>
      </c>
      <c r="F91" s="144" t="s">
        <v>22</v>
      </c>
      <c r="G91" s="145" t="s">
        <v>56</v>
      </c>
      <c r="H91" s="146" t="s">
        <v>310</v>
      </c>
      <c r="I91" s="147">
        <v>43025</v>
      </c>
      <c r="J91" s="147">
        <v>43026</v>
      </c>
      <c r="K91" s="142" t="s">
        <v>25</v>
      </c>
      <c r="L91" s="148">
        <v>19780</v>
      </c>
      <c r="M91" s="149"/>
      <c r="N91" s="150"/>
      <c r="O91" s="151">
        <v>18</v>
      </c>
      <c r="P91" s="151"/>
      <c r="Q91" s="151"/>
      <c r="R91" s="151">
        <f>SUM(O91:Q91)</f>
        <v>18</v>
      </c>
      <c r="S91" s="142">
        <v>20</v>
      </c>
      <c r="T91" s="145" t="s">
        <v>57</v>
      </c>
    </row>
    <row r="92" spans="1:20" ht="22.5" hidden="1" customHeight="1" x14ac:dyDescent="0.25">
      <c r="A92" s="152" t="s">
        <v>2515</v>
      </c>
      <c r="B92" s="142">
        <v>2017</v>
      </c>
      <c r="C92" s="142" t="s">
        <v>20</v>
      </c>
      <c r="D92" s="142" t="s">
        <v>311</v>
      </c>
      <c r="E92" s="143" t="s">
        <v>312</v>
      </c>
      <c r="F92" s="144" t="s">
        <v>22</v>
      </c>
      <c r="G92" s="145" t="s">
        <v>34</v>
      </c>
      <c r="H92" s="146" t="s">
        <v>313</v>
      </c>
      <c r="I92" s="147">
        <v>43031</v>
      </c>
      <c r="J92" s="147">
        <v>43035</v>
      </c>
      <c r="K92" s="142" t="s">
        <v>32</v>
      </c>
      <c r="L92" s="148">
        <v>7452.02</v>
      </c>
      <c r="M92" s="149"/>
      <c r="N92" s="150"/>
      <c r="O92" s="151">
        <v>18</v>
      </c>
      <c r="P92" s="151"/>
      <c r="Q92" s="151"/>
      <c r="R92" s="151">
        <f>SUM(O92:Q92)</f>
        <v>18</v>
      </c>
      <c r="S92" s="142">
        <v>20</v>
      </c>
      <c r="T92" s="145" t="s">
        <v>314</v>
      </c>
    </row>
    <row r="93" spans="1:20" ht="22.5" hidden="1" customHeight="1" x14ac:dyDescent="0.25">
      <c r="A93" s="152" t="s">
        <v>2516</v>
      </c>
      <c r="B93" s="142">
        <v>2017</v>
      </c>
      <c r="C93" s="142" t="s">
        <v>20</v>
      </c>
      <c r="D93" s="142" t="s">
        <v>315</v>
      </c>
      <c r="E93" s="143" t="s">
        <v>316</v>
      </c>
      <c r="F93" s="144" t="s">
        <v>51</v>
      </c>
      <c r="G93" s="145" t="s">
        <v>59</v>
      </c>
      <c r="H93" s="146" t="s">
        <v>313</v>
      </c>
      <c r="I93" s="147">
        <v>43031</v>
      </c>
      <c r="J93" s="147">
        <v>43035</v>
      </c>
      <c r="K93" s="142" t="s">
        <v>174</v>
      </c>
      <c r="L93" s="148">
        <v>10272.4</v>
      </c>
      <c r="M93" s="149"/>
      <c r="N93" s="150"/>
      <c r="O93" s="151"/>
      <c r="P93" s="151">
        <v>40</v>
      </c>
      <c r="Q93" s="151"/>
      <c r="R93" s="151">
        <f>SUM(O93:Q93)</f>
        <v>40</v>
      </c>
      <c r="S93" s="142">
        <v>20</v>
      </c>
      <c r="T93" s="145" t="s">
        <v>317</v>
      </c>
    </row>
    <row r="94" spans="1:20" ht="22.5" hidden="1" customHeight="1" x14ac:dyDescent="0.25">
      <c r="A94" s="152" t="s">
        <v>2517</v>
      </c>
      <c r="B94" s="142">
        <v>2017</v>
      </c>
      <c r="C94" s="142" t="s">
        <v>20</v>
      </c>
      <c r="D94" s="142" t="s">
        <v>318</v>
      </c>
      <c r="E94" s="143" t="s">
        <v>319</v>
      </c>
      <c r="F94" s="144" t="s">
        <v>51</v>
      </c>
      <c r="G94" s="145" t="s">
        <v>59</v>
      </c>
      <c r="H94" s="146" t="s">
        <v>320</v>
      </c>
      <c r="I94" s="147">
        <v>43045</v>
      </c>
      <c r="J94" s="147">
        <v>43048</v>
      </c>
      <c r="K94" s="142" t="s">
        <v>32</v>
      </c>
      <c r="L94" s="148">
        <v>5961.61</v>
      </c>
      <c r="M94" s="149"/>
      <c r="N94" s="150"/>
      <c r="O94" s="151"/>
      <c r="P94" s="151">
        <v>37</v>
      </c>
      <c r="Q94" s="151"/>
      <c r="R94" s="151">
        <f>SUM(O94:Q94)</f>
        <v>37</v>
      </c>
      <c r="S94" s="142">
        <v>16</v>
      </c>
      <c r="T94" s="145" t="s">
        <v>321</v>
      </c>
    </row>
    <row r="95" spans="1:20" ht="22.5" hidden="1" customHeight="1" x14ac:dyDescent="0.25">
      <c r="A95" s="152" t="s">
        <v>2518</v>
      </c>
      <c r="B95" s="142">
        <v>2018</v>
      </c>
      <c r="C95" s="142" t="s">
        <v>20</v>
      </c>
      <c r="D95" s="142" t="s">
        <v>322</v>
      </c>
      <c r="E95" s="143" t="s">
        <v>145</v>
      </c>
      <c r="F95" s="144" t="s">
        <v>66</v>
      </c>
      <c r="G95" s="145" t="s">
        <v>59</v>
      </c>
      <c r="H95" s="146" t="s">
        <v>323</v>
      </c>
      <c r="I95" s="147">
        <v>43179</v>
      </c>
      <c r="J95" s="147">
        <v>43180</v>
      </c>
      <c r="K95" s="142" t="s">
        <v>32</v>
      </c>
      <c r="L95" s="148">
        <v>5647.92</v>
      </c>
      <c r="M95" s="149"/>
      <c r="N95" s="150"/>
      <c r="O95" s="151"/>
      <c r="P95" s="151"/>
      <c r="Q95" s="151">
        <v>96</v>
      </c>
      <c r="R95" s="151">
        <f>SUM(O95:Q95)</f>
        <v>96</v>
      </c>
      <c r="S95" s="142">
        <v>20</v>
      </c>
      <c r="T95" s="153" t="s">
        <v>324</v>
      </c>
    </row>
    <row r="96" spans="1:20" ht="22.5" hidden="1" customHeight="1" x14ac:dyDescent="0.25">
      <c r="A96" s="152" t="s">
        <v>2519</v>
      </c>
      <c r="B96" s="142">
        <v>2018</v>
      </c>
      <c r="C96" s="142" t="s">
        <v>20</v>
      </c>
      <c r="D96" s="142" t="s">
        <v>325</v>
      </c>
      <c r="E96" s="143" t="s">
        <v>326</v>
      </c>
      <c r="F96" s="144" t="s">
        <v>22</v>
      </c>
      <c r="G96" s="145" t="s">
        <v>30</v>
      </c>
      <c r="H96" s="146" t="s">
        <v>327</v>
      </c>
      <c r="I96" s="147">
        <v>43192</v>
      </c>
      <c r="J96" s="147">
        <v>43196</v>
      </c>
      <c r="K96" s="142" t="s">
        <v>32</v>
      </c>
      <c r="L96" s="148">
        <v>13018.48</v>
      </c>
      <c r="M96" s="149"/>
      <c r="N96" s="150"/>
      <c r="O96" s="151">
        <v>19</v>
      </c>
      <c r="P96" s="151"/>
      <c r="Q96" s="151"/>
      <c r="R96" s="151">
        <f>SUM(O96:Q96)</f>
        <v>19</v>
      </c>
      <c r="S96" s="142">
        <v>20</v>
      </c>
      <c r="T96" s="145" t="s">
        <v>88</v>
      </c>
    </row>
    <row r="97" spans="1:20" ht="22.5" hidden="1" customHeight="1" x14ac:dyDescent="0.25">
      <c r="A97" s="152" t="s">
        <v>2520</v>
      </c>
      <c r="B97" s="142">
        <v>2018</v>
      </c>
      <c r="C97" s="142" t="s">
        <v>20</v>
      </c>
      <c r="D97" s="142" t="s">
        <v>328</v>
      </c>
      <c r="E97" s="143" t="s">
        <v>329</v>
      </c>
      <c r="F97" s="144" t="s">
        <v>51</v>
      </c>
      <c r="G97" s="145" t="s">
        <v>59</v>
      </c>
      <c r="H97" s="146" t="s">
        <v>330</v>
      </c>
      <c r="I97" s="147">
        <v>43199</v>
      </c>
      <c r="J97" s="147">
        <v>43203</v>
      </c>
      <c r="K97" s="142" t="s">
        <v>32</v>
      </c>
      <c r="L97" s="148">
        <v>7310.2</v>
      </c>
      <c r="M97" s="149"/>
      <c r="N97" s="150"/>
      <c r="O97" s="151"/>
      <c r="P97" s="151">
        <v>65</v>
      </c>
      <c r="Q97" s="151"/>
      <c r="R97" s="151">
        <f>SUM(O97:Q97)</f>
        <v>65</v>
      </c>
      <c r="S97" s="142">
        <v>20</v>
      </c>
      <c r="T97" s="145" t="s">
        <v>92</v>
      </c>
    </row>
    <row r="98" spans="1:20" ht="22.5" hidden="1" customHeight="1" x14ac:dyDescent="0.25">
      <c r="A98" s="152" t="s">
        <v>2521</v>
      </c>
      <c r="B98" s="142">
        <v>2018</v>
      </c>
      <c r="C98" s="142" t="s">
        <v>20</v>
      </c>
      <c r="D98" s="142" t="s">
        <v>331</v>
      </c>
      <c r="E98" s="143" t="s">
        <v>332</v>
      </c>
      <c r="F98" s="144" t="s">
        <v>22</v>
      </c>
      <c r="G98" s="145" t="s">
        <v>67</v>
      </c>
      <c r="H98" s="146" t="s">
        <v>68</v>
      </c>
      <c r="I98" s="147">
        <v>43225</v>
      </c>
      <c r="J98" s="147">
        <v>43225</v>
      </c>
      <c r="K98" s="142" t="s">
        <v>25</v>
      </c>
      <c r="L98" s="148">
        <v>0</v>
      </c>
      <c r="M98" s="149"/>
      <c r="N98" s="150"/>
      <c r="O98" s="151">
        <v>19</v>
      </c>
      <c r="P98" s="151"/>
      <c r="Q98" s="151"/>
      <c r="R98" s="151">
        <f>SUM(O98:Q98)</f>
        <v>19</v>
      </c>
      <c r="S98" s="142">
        <v>8</v>
      </c>
      <c r="T98" s="145" t="s">
        <v>88</v>
      </c>
    </row>
    <row r="99" spans="1:20" ht="22.5" hidden="1" customHeight="1" x14ac:dyDescent="0.25">
      <c r="A99" s="152" t="s">
        <v>2522</v>
      </c>
      <c r="B99" s="142">
        <v>2018</v>
      </c>
      <c r="C99" s="142" t="s">
        <v>20</v>
      </c>
      <c r="D99" s="142" t="s">
        <v>333</v>
      </c>
      <c r="E99" s="143" t="s">
        <v>334</v>
      </c>
      <c r="F99" s="144" t="s">
        <v>22</v>
      </c>
      <c r="G99" s="145" t="s">
        <v>157</v>
      </c>
      <c r="H99" s="146" t="s">
        <v>335</v>
      </c>
      <c r="I99" s="147">
        <v>43227</v>
      </c>
      <c r="J99" s="147">
        <v>43231</v>
      </c>
      <c r="K99" s="142" t="s">
        <v>25</v>
      </c>
      <c r="L99" s="148">
        <v>7690</v>
      </c>
      <c r="M99" s="149"/>
      <c r="N99" s="150"/>
      <c r="O99" s="151">
        <v>19</v>
      </c>
      <c r="P99" s="151"/>
      <c r="Q99" s="151"/>
      <c r="R99" s="151">
        <f>SUM(O99:Q99)</f>
        <v>19</v>
      </c>
      <c r="S99" s="142">
        <v>16</v>
      </c>
      <c r="T99" s="145" t="s">
        <v>216</v>
      </c>
    </row>
    <row r="100" spans="1:20" ht="22.5" hidden="1" customHeight="1" x14ac:dyDescent="0.25">
      <c r="A100" s="152" t="s">
        <v>2523</v>
      </c>
      <c r="B100" s="142">
        <v>2018</v>
      </c>
      <c r="C100" s="142" t="s">
        <v>20</v>
      </c>
      <c r="D100" s="142" t="s">
        <v>336</v>
      </c>
      <c r="E100" s="143" t="s">
        <v>337</v>
      </c>
      <c r="F100" s="144" t="s">
        <v>22</v>
      </c>
      <c r="G100" s="145" t="s">
        <v>30</v>
      </c>
      <c r="H100" s="146" t="s">
        <v>338</v>
      </c>
      <c r="I100" s="147">
        <v>43234</v>
      </c>
      <c r="J100" s="147">
        <v>43238</v>
      </c>
      <c r="K100" s="142" t="s">
        <v>32</v>
      </c>
      <c r="L100" s="148">
        <v>7510.44</v>
      </c>
      <c r="M100" s="149"/>
      <c r="N100" s="150"/>
      <c r="O100" s="151">
        <v>20</v>
      </c>
      <c r="P100" s="151"/>
      <c r="Q100" s="151"/>
      <c r="R100" s="151">
        <f>SUM(O100:Q100)</f>
        <v>20</v>
      </c>
      <c r="S100" s="142">
        <v>20</v>
      </c>
      <c r="T100" s="145" t="s">
        <v>88</v>
      </c>
    </row>
    <row r="101" spans="1:20" ht="22.5" hidden="1" customHeight="1" x14ac:dyDescent="0.25">
      <c r="A101" s="152" t="s">
        <v>2524</v>
      </c>
      <c r="B101" s="142">
        <v>2018</v>
      </c>
      <c r="C101" s="142" t="s">
        <v>20</v>
      </c>
      <c r="D101" s="142" t="s">
        <v>339</v>
      </c>
      <c r="E101" s="143" t="s">
        <v>340</v>
      </c>
      <c r="F101" s="144" t="s">
        <v>51</v>
      </c>
      <c r="G101" s="145" t="s">
        <v>59</v>
      </c>
      <c r="H101" s="146" t="s">
        <v>341</v>
      </c>
      <c r="I101" s="147">
        <v>43255</v>
      </c>
      <c r="J101" s="147">
        <v>43259</v>
      </c>
      <c r="K101" s="142" t="s">
        <v>174</v>
      </c>
      <c r="L101" s="148">
        <v>6612.08</v>
      </c>
      <c r="M101" s="149"/>
      <c r="N101" s="150"/>
      <c r="O101" s="151"/>
      <c r="P101" s="151">
        <v>63</v>
      </c>
      <c r="Q101" s="151"/>
      <c r="R101" s="151">
        <f>SUM(O101:Q101)</f>
        <v>63</v>
      </c>
      <c r="S101" s="142">
        <v>20</v>
      </c>
      <c r="T101" s="145" t="s">
        <v>342</v>
      </c>
    </row>
    <row r="102" spans="1:20" ht="22.5" hidden="1" customHeight="1" x14ac:dyDescent="0.25">
      <c r="A102" s="152" t="s">
        <v>2525</v>
      </c>
      <c r="B102" s="142">
        <v>2018</v>
      </c>
      <c r="C102" s="142" t="s">
        <v>20</v>
      </c>
      <c r="D102" s="142" t="s">
        <v>325</v>
      </c>
      <c r="E102" s="143" t="s">
        <v>343</v>
      </c>
      <c r="F102" s="154" t="s">
        <v>22</v>
      </c>
      <c r="G102" s="145" t="s">
        <v>30</v>
      </c>
      <c r="H102" s="146" t="s">
        <v>341</v>
      </c>
      <c r="I102" s="147">
        <v>43255</v>
      </c>
      <c r="J102" s="147">
        <v>43259</v>
      </c>
      <c r="K102" s="142" t="s">
        <v>32</v>
      </c>
      <c r="L102" s="148">
        <v>6509.24</v>
      </c>
      <c r="M102" s="149"/>
      <c r="N102" s="150"/>
      <c r="O102" s="151">
        <v>18</v>
      </c>
      <c r="P102" s="151"/>
      <c r="Q102" s="151"/>
      <c r="R102" s="151">
        <f>SUM(O102:Q102)</f>
        <v>18</v>
      </c>
      <c r="S102" s="142">
        <v>20</v>
      </c>
      <c r="T102" s="145" t="s">
        <v>150</v>
      </c>
    </row>
    <row r="103" spans="1:20" ht="22.5" hidden="1" customHeight="1" x14ac:dyDescent="0.25">
      <c r="A103" s="152" t="s">
        <v>2526</v>
      </c>
      <c r="B103" s="142">
        <v>2018</v>
      </c>
      <c r="C103" s="142" t="s">
        <v>20</v>
      </c>
      <c r="D103" s="142" t="s">
        <v>344</v>
      </c>
      <c r="E103" s="143" t="s">
        <v>345</v>
      </c>
      <c r="F103" s="144" t="s">
        <v>22</v>
      </c>
      <c r="G103" s="145" t="s">
        <v>34</v>
      </c>
      <c r="H103" s="146" t="s">
        <v>346</v>
      </c>
      <c r="I103" s="147">
        <v>43262</v>
      </c>
      <c r="J103" s="147">
        <v>43266</v>
      </c>
      <c r="K103" s="142" t="s">
        <v>25</v>
      </c>
      <c r="L103" s="148">
        <v>20000</v>
      </c>
      <c r="M103" s="149"/>
      <c r="N103" s="150"/>
      <c r="O103" s="151">
        <v>31</v>
      </c>
      <c r="P103" s="151"/>
      <c r="Q103" s="151"/>
      <c r="R103" s="151">
        <f>SUM(O103:Q103)</f>
        <v>31</v>
      </c>
      <c r="S103" s="142">
        <v>20</v>
      </c>
      <c r="T103" s="145" t="s">
        <v>347</v>
      </c>
    </row>
    <row r="104" spans="1:20" ht="22.5" hidden="1" customHeight="1" x14ac:dyDescent="0.25">
      <c r="A104" s="152" t="s">
        <v>2527</v>
      </c>
      <c r="B104" s="142">
        <v>2018</v>
      </c>
      <c r="C104" s="142" t="s">
        <v>20</v>
      </c>
      <c r="D104" s="142" t="s">
        <v>348</v>
      </c>
      <c r="E104" s="143" t="s">
        <v>349</v>
      </c>
      <c r="F104" s="144" t="s">
        <v>51</v>
      </c>
      <c r="G104" s="145" t="s">
        <v>59</v>
      </c>
      <c r="H104" s="146" t="s">
        <v>350</v>
      </c>
      <c r="I104" s="147">
        <v>43269</v>
      </c>
      <c r="J104" s="147">
        <v>43273</v>
      </c>
      <c r="K104" s="142" t="s">
        <v>32</v>
      </c>
      <c r="L104" s="148">
        <v>7310.2</v>
      </c>
      <c r="M104" s="149"/>
      <c r="N104" s="150"/>
      <c r="O104" s="151"/>
      <c r="P104" s="151">
        <v>59</v>
      </c>
      <c r="Q104" s="151"/>
      <c r="R104" s="151">
        <f>SUM(O104:Q104)</f>
        <v>59</v>
      </c>
      <c r="S104" s="142">
        <v>20</v>
      </c>
      <c r="T104" s="145" t="s">
        <v>212</v>
      </c>
    </row>
    <row r="105" spans="1:20" ht="22.5" hidden="1" customHeight="1" x14ac:dyDescent="0.25">
      <c r="A105" s="152" t="s">
        <v>2528</v>
      </c>
      <c r="B105" s="142">
        <v>2018</v>
      </c>
      <c r="C105" s="142" t="s">
        <v>20</v>
      </c>
      <c r="D105" s="142" t="s">
        <v>351</v>
      </c>
      <c r="E105" s="143" t="s">
        <v>352</v>
      </c>
      <c r="F105" s="144" t="s">
        <v>22</v>
      </c>
      <c r="G105" s="145" t="s">
        <v>353</v>
      </c>
      <c r="H105" s="146" t="s">
        <v>354</v>
      </c>
      <c r="I105" s="147">
        <v>43272</v>
      </c>
      <c r="J105" s="147">
        <v>43277</v>
      </c>
      <c r="K105" s="142" t="s">
        <v>25</v>
      </c>
      <c r="L105" s="148">
        <v>17625</v>
      </c>
      <c r="M105" s="149"/>
      <c r="N105" s="150"/>
      <c r="O105" s="151">
        <v>25</v>
      </c>
      <c r="P105" s="151"/>
      <c r="Q105" s="151"/>
      <c r="R105" s="151">
        <f>SUM(O105:Q105)</f>
        <v>25</v>
      </c>
      <c r="S105" s="142">
        <v>24</v>
      </c>
      <c r="T105" s="145" t="s">
        <v>355</v>
      </c>
    </row>
    <row r="106" spans="1:20" ht="22.5" hidden="1" customHeight="1" x14ac:dyDescent="0.25">
      <c r="A106" s="152" t="s">
        <v>2529</v>
      </c>
      <c r="B106" s="142">
        <v>2018</v>
      </c>
      <c r="C106" s="142" t="s">
        <v>20</v>
      </c>
      <c r="D106" s="142" t="s">
        <v>356</v>
      </c>
      <c r="E106" s="143" t="s">
        <v>357</v>
      </c>
      <c r="F106" s="144" t="s">
        <v>51</v>
      </c>
      <c r="G106" s="145" t="s">
        <v>59</v>
      </c>
      <c r="H106" s="146" t="s">
        <v>358</v>
      </c>
      <c r="I106" s="147">
        <v>43297</v>
      </c>
      <c r="J106" s="147">
        <v>43301</v>
      </c>
      <c r="K106" s="142" t="s">
        <v>32</v>
      </c>
      <c r="L106" s="148">
        <v>7510.44</v>
      </c>
      <c r="M106" s="149"/>
      <c r="N106" s="150"/>
      <c r="O106" s="151"/>
      <c r="P106" s="151">
        <v>34</v>
      </c>
      <c r="Q106" s="151"/>
      <c r="R106" s="151">
        <f>SUM(O106:Q106)</f>
        <v>34</v>
      </c>
      <c r="S106" s="142">
        <v>20</v>
      </c>
      <c r="T106" s="145" t="s">
        <v>359</v>
      </c>
    </row>
    <row r="107" spans="1:20" ht="22.5" hidden="1" customHeight="1" x14ac:dyDescent="0.25">
      <c r="A107" s="152" t="s">
        <v>2530</v>
      </c>
      <c r="B107" s="142">
        <v>2018</v>
      </c>
      <c r="C107" s="142" t="s">
        <v>20</v>
      </c>
      <c r="D107" s="142" t="s">
        <v>333</v>
      </c>
      <c r="E107" s="143" t="s">
        <v>360</v>
      </c>
      <c r="F107" s="144" t="s">
        <v>22</v>
      </c>
      <c r="G107" s="145" t="s">
        <v>157</v>
      </c>
      <c r="H107" s="146" t="s">
        <v>361</v>
      </c>
      <c r="I107" s="147">
        <v>43325</v>
      </c>
      <c r="J107" s="147">
        <v>43329</v>
      </c>
      <c r="K107" s="142" t="s">
        <v>25</v>
      </c>
      <c r="L107" s="148">
        <v>7690</v>
      </c>
      <c r="M107" s="149"/>
      <c r="N107" s="150"/>
      <c r="O107" s="151">
        <v>19</v>
      </c>
      <c r="P107" s="151"/>
      <c r="Q107" s="151"/>
      <c r="R107" s="151">
        <f>SUM(O107:Q107)</f>
        <v>19</v>
      </c>
      <c r="S107" s="142">
        <v>16</v>
      </c>
      <c r="T107" s="145" t="s">
        <v>216</v>
      </c>
    </row>
    <row r="108" spans="1:20" ht="22.5" hidden="1" customHeight="1" x14ac:dyDescent="0.25">
      <c r="A108" s="152" t="s">
        <v>2531</v>
      </c>
      <c r="B108" s="142">
        <v>2018</v>
      </c>
      <c r="C108" s="142" t="s">
        <v>20</v>
      </c>
      <c r="D108" s="142" t="s">
        <v>362</v>
      </c>
      <c r="E108" s="143" t="s">
        <v>363</v>
      </c>
      <c r="F108" s="144" t="s">
        <v>22</v>
      </c>
      <c r="G108" s="145" t="s">
        <v>59</v>
      </c>
      <c r="H108" s="146" t="s">
        <v>364</v>
      </c>
      <c r="I108" s="147">
        <v>43333</v>
      </c>
      <c r="J108" s="147">
        <v>43334</v>
      </c>
      <c r="K108" s="142" t="s">
        <v>25</v>
      </c>
      <c r="L108" s="148">
        <v>25096.14</v>
      </c>
      <c r="M108" s="149"/>
      <c r="N108" s="150"/>
      <c r="O108" s="151">
        <v>79</v>
      </c>
      <c r="P108" s="151">
        <v>274</v>
      </c>
      <c r="Q108" s="151">
        <v>0</v>
      </c>
      <c r="R108" s="151">
        <f>SUM(O108:Q108)</f>
        <v>353</v>
      </c>
      <c r="S108" s="142">
        <v>8</v>
      </c>
      <c r="T108" s="145" t="s">
        <v>365</v>
      </c>
    </row>
    <row r="109" spans="1:20" ht="22.5" hidden="1" customHeight="1" x14ac:dyDescent="0.25">
      <c r="A109" s="152" t="s">
        <v>2532</v>
      </c>
      <c r="B109" s="142">
        <v>2018</v>
      </c>
      <c r="C109" s="142" t="s">
        <v>20</v>
      </c>
      <c r="D109" s="142" t="s">
        <v>344</v>
      </c>
      <c r="E109" s="143" t="s">
        <v>366</v>
      </c>
      <c r="F109" s="144" t="s">
        <v>22</v>
      </c>
      <c r="G109" s="145" t="s">
        <v>34</v>
      </c>
      <c r="H109" s="146" t="s">
        <v>367</v>
      </c>
      <c r="I109" s="147">
        <v>43339</v>
      </c>
      <c r="J109" s="147">
        <v>43343</v>
      </c>
      <c r="K109" s="142" t="s">
        <v>25</v>
      </c>
      <c r="L109" s="148">
        <v>20000</v>
      </c>
      <c r="M109" s="149"/>
      <c r="N109" s="150"/>
      <c r="O109" s="151">
        <v>28</v>
      </c>
      <c r="P109" s="151"/>
      <c r="Q109" s="151"/>
      <c r="R109" s="151">
        <f>SUM(O109:Q109)</f>
        <v>28</v>
      </c>
      <c r="S109" s="142">
        <v>20</v>
      </c>
      <c r="T109" s="145" t="s">
        <v>347</v>
      </c>
    </row>
    <row r="110" spans="1:20" ht="22.5" hidden="1" customHeight="1" x14ac:dyDescent="0.25">
      <c r="A110" s="152" t="s">
        <v>2533</v>
      </c>
      <c r="B110" s="142">
        <v>2018</v>
      </c>
      <c r="C110" s="142" t="s">
        <v>20</v>
      </c>
      <c r="D110" s="142" t="s">
        <v>368</v>
      </c>
      <c r="E110" s="143" t="s">
        <v>369</v>
      </c>
      <c r="F110" s="144" t="s">
        <v>22</v>
      </c>
      <c r="G110" s="145" t="s">
        <v>353</v>
      </c>
      <c r="H110" s="146" t="s">
        <v>370</v>
      </c>
      <c r="I110" s="147">
        <v>43343</v>
      </c>
      <c r="J110" s="147">
        <v>43343</v>
      </c>
      <c r="K110" s="142" t="s">
        <v>25</v>
      </c>
      <c r="L110" s="148">
        <v>43000</v>
      </c>
      <c r="M110" s="149"/>
      <c r="N110" s="150"/>
      <c r="O110" s="151">
        <v>215</v>
      </c>
      <c r="P110" s="151"/>
      <c r="Q110" s="151"/>
      <c r="R110" s="151">
        <f>SUM(O110:Q110)</f>
        <v>215</v>
      </c>
      <c r="S110" s="142">
        <v>2</v>
      </c>
      <c r="T110" s="145" t="s">
        <v>371</v>
      </c>
    </row>
    <row r="111" spans="1:20" ht="22.5" hidden="1" customHeight="1" x14ac:dyDescent="0.25">
      <c r="A111" s="152" t="s">
        <v>2534</v>
      </c>
      <c r="B111" s="142">
        <v>2018</v>
      </c>
      <c r="C111" s="142" t="s">
        <v>20</v>
      </c>
      <c r="D111" s="142" t="s">
        <v>372</v>
      </c>
      <c r="E111" s="143" t="s">
        <v>373</v>
      </c>
      <c r="F111" s="144" t="s">
        <v>22</v>
      </c>
      <c r="G111" s="145" t="s">
        <v>353</v>
      </c>
      <c r="H111" s="146" t="s">
        <v>374</v>
      </c>
      <c r="I111" s="147">
        <v>43369</v>
      </c>
      <c r="J111" s="147">
        <v>43424</v>
      </c>
      <c r="K111" s="142" t="s">
        <v>25</v>
      </c>
      <c r="L111" s="148">
        <v>31960</v>
      </c>
      <c r="M111" s="149"/>
      <c r="N111" s="150"/>
      <c r="O111" s="151">
        <v>55</v>
      </c>
      <c r="P111" s="151"/>
      <c r="Q111" s="151"/>
      <c r="R111" s="151">
        <f>SUM(O111:Q111)</f>
        <v>55</v>
      </c>
      <c r="S111" s="142">
        <v>47</v>
      </c>
      <c r="T111" s="145" t="s">
        <v>375</v>
      </c>
    </row>
    <row r="112" spans="1:20" ht="22.5" hidden="1" customHeight="1" x14ac:dyDescent="0.25">
      <c r="A112" s="152" t="s">
        <v>2535</v>
      </c>
      <c r="B112" s="142">
        <v>2018</v>
      </c>
      <c r="C112" s="142" t="s">
        <v>20</v>
      </c>
      <c r="D112" s="142" t="s">
        <v>376</v>
      </c>
      <c r="E112" s="143" t="s">
        <v>377</v>
      </c>
      <c r="F112" s="144" t="s">
        <v>22</v>
      </c>
      <c r="G112" s="145" t="s">
        <v>353</v>
      </c>
      <c r="H112" s="146" t="s">
        <v>378</v>
      </c>
      <c r="I112" s="147">
        <v>43397</v>
      </c>
      <c r="J112" s="147">
        <v>43397</v>
      </c>
      <c r="K112" s="142" t="s">
        <v>25</v>
      </c>
      <c r="L112" s="148">
        <v>2419.23</v>
      </c>
      <c r="M112" s="149"/>
      <c r="N112" s="150"/>
      <c r="O112" s="151">
        <v>11</v>
      </c>
      <c r="P112" s="151"/>
      <c r="Q112" s="151"/>
      <c r="R112" s="151">
        <f>SUM(O112:Q112)</f>
        <v>11</v>
      </c>
      <c r="S112" s="142">
        <v>3.5</v>
      </c>
      <c r="T112" s="145" t="s">
        <v>379</v>
      </c>
    </row>
    <row r="113" spans="1:20" ht="22.5" hidden="1" customHeight="1" x14ac:dyDescent="0.25">
      <c r="A113" s="152" t="s">
        <v>2536</v>
      </c>
      <c r="B113" s="142">
        <v>2018</v>
      </c>
      <c r="C113" s="142" t="s">
        <v>20</v>
      </c>
      <c r="D113" s="142" t="s">
        <v>380</v>
      </c>
      <c r="E113" s="143" t="s">
        <v>381</v>
      </c>
      <c r="F113" s="144" t="s">
        <v>22</v>
      </c>
      <c r="G113" s="145" t="s">
        <v>34</v>
      </c>
      <c r="H113" s="146" t="s">
        <v>382</v>
      </c>
      <c r="I113" s="147">
        <v>43423</v>
      </c>
      <c r="J113" s="147">
        <v>43425</v>
      </c>
      <c r="K113" s="142" t="s">
        <v>32</v>
      </c>
      <c r="L113" s="148">
        <v>2585.36</v>
      </c>
      <c r="M113" s="149"/>
      <c r="N113" s="150"/>
      <c r="O113" s="151">
        <v>26</v>
      </c>
      <c r="P113" s="151"/>
      <c r="Q113" s="151"/>
      <c r="R113" s="151">
        <f>SUM(O113:Q113)</f>
        <v>26</v>
      </c>
      <c r="S113" s="142">
        <v>14</v>
      </c>
      <c r="T113" s="145" t="s">
        <v>383</v>
      </c>
    </row>
    <row r="114" spans="1:20" ht="22.5" hidden="1" customHeight="1" x14ac:dyDescent="0.25">
      <c r="A114" s="152" t="s">
        <v>2537</v>
      </c>
      <c r="B114" s="142">
        <v>2018</v>
      </c>
      <c r="C114" s="142" t="s">
        <v>20</v>
      </c>
      <c r="D114" s="142" t="s">
        <v>376</v>
      </c>
      <c r="E114" s="143" t="s">
        <v>384</v>
      </c>
      <c r="F114" s="144" t="s">
        <v>22</v>
      </c>
      <c r="G114" s="145" t="s">
        <v>353</v>
      </c>
      <c r="H114" s="146" t="s">
        <v>385</v>
      </c>
      <c r="I114" s="147">
        <v>43431</v>
      </c>
      <c r="J114" s="147">
        <v>43431</v>
      </c>
      <c r="K114" s="142" t="s">
        <v>25</v>
      </c>
      <c r="L114" s="148">
        <v>1760.48</v>
      </c>
      <c r="M114" s="149"/>
      <c r="N114" s="150"/>
      <c r="O114" s="151">
        <v>8</v>
      </c>
      <c r="P114" s="151"/>
      <c r="Q114" s="151"/>
      <c r="R114" s="151">
        <f>SUM(O114:Q114)</f>
        <v>8</v>
      </c>
      <c r="S114" s="142">
        <v>3.5</v>
      </c>
      <c r="T114" s="145" t="s">
        <v>386</v>
      </c>
    </row>
    <row r="115" spans="1:20" ht="22.5" hidden="1" customHeight="1" x14ac:dyDescent="0.25">
      <c r="A115" s="152" t="s">
        <v>2538</v>
      </c>
      <c r="B115" s="142">
        <v>2018</v>
      </c>
      <c r="C115" s="142" t="s">
        <v>20</v>
      </c>
      <c r="D115" s="142" t="s">
        <v>387</v>
      </c>
      <c r="E115" s="143" t="s">
        <v>388</v>
      </c>
      <c r="F115" s="144" t="s">
        <v>22</v>
      </c>
      <c r="G115" s="145" t="s">
        <v>34</v>
      </c>
      <c r="H115" s="146" t="s">
        <v>389</v>
      </c>
      <c r="I115" s="147">
        <v>43437</v>
      </c>
      <c r="J115" s="147">
        <v>43437</v>
      </c>
      <c r="K115" s="142" t="s">
        <v>25</v>
      </c>
      <c r="L115" s="148">
        <v>3000</v>
      </c>
      <c r="M115" s="149"/>
      <c r="N115" s="150"/>
      <c r="O115" s="151">
        <v>38</v>
      </c>
      <c r="P115" s="151">
        <v>0</v>
      </c>
      <c r="Q115" s="151">
        <v>0</v>
      </c>
      <c r="R115" s="151">
        <f>SUM(O115:Q115)</f>
        <v>38</v>
      </c>
      <c r="S115" s="142">
        <v>4</v>
      </c>
      <c r="T115" s="145" t="s">
        <v>390</v>
      </c>
    </row>
    <row r="116" spans="1:20" ht="22.5" hidden="1" customHeight="1" x14ac:dyDescent="0.25">
      <c r="A116" s="152" t="s">
        <v>2539</v>
      </c>
      <c r="B116" s="142">
        <v>2019</v>
      </c>
      <c r="C116" s="142" t="s">
        <v>20</v>
      </c>
      <c r="D116" s="142" t="s">
        <v>391</v>
      </c>
      <c r="E116" s="143" t="s">
        <v>392</v>
      </c>
      <c r="F116" s="144" t="s">
        <v>22</v>
      </c>
      <c r="G116" s="145" t="s">
        <v>283</v>
      </c>
      <c r="H116" s="146" t="s">
        <v>393</v>
      </c>
      <c r="I116" s="147">
        <v>43542</v>
      </c>
      <c r="J116" s="147">
        <v>43717</v>
      </c>
      <c r="K116" s="142" t="s">
        <v>32</v>
      </c>
      <c r="L116" s="148">
        <v>6624.6</v>
      </c>
      <c r="M116" s="149">
        <v>4.5999999999999996</v>
      </c>
      <c r="N116" s="150">
        <v>20</v>
      </c>
      <c r="O116" s="151">
        <v>18</v>
      </c>
      <c r="P116" s="151">
        <v>0</v>
      </c>
      <c r="Q116" s="151"/>
      <c r="R116" s="151">
        <f>SUM(O116:Q116)</f>
        <v>18</v>
      </c>
      <c r="S116" s="142">
        <v>20</v>
      </c>
      <c r="T116" s="145" t="s">
        <v>394</v>
      </c>
    </row>
    <row r="117" spans="1:20" ht="22.5" hidden="1" customHeight="1" x14ac:dyDescent="0.25">
      <c r="A117" s="152" t="s">
        <v>2540</v>
      </c>
      <c r="B117" s="142">
        <v>2019</v>
      </c>
      <c r="C117" s="142" t="s">
        <v>20</v>
      </c>
      <c r="D117" s="142" t="s">
        <v>395</v>
      </c>
      <c r="E117" s="143" t="s">
        <v>396</v>
      </c>
      <c r="F117" s="144" t="s">
        <v>51</v>
      </c>
      <c r="G117" s="145" t="s">
        <v>59</v>
      </c>
      <c r="H117" s="146" t="s">
        <v>397</v>
      </c>
      <c r="I117" s="147">
        <v>43546</v>
      </c>
      <c r="J117" s="147">
        <v>43571</v>
      </c>
      <c r="K117" s="142" t="s">
        <v>25</v>
      </c>
      <c r="L117" s="148">
        <v>48000</v>
      </c>
      <c r="M117" s="149">
        <v>0</v>
      </c>
      <c r="N117" s="150">
        <v>60</v>
      </c>
      <c r="O117" s="151">
        <v>35</v>
      </c>
      <c r="P117" s="151">
        <v>10</v>
      </c>
      <c r="Q117" s="151"/>
      <c r="R117" s="151">
        <f>SUM(O117:Q117)</f>
        <v>45</v>
      </c>
      <c r="S117" s="142">
        <v>18</v>
      </c>
      <c r="T117" s="145" t="s">
        <v>398</v>
      </c>
    </row>
    <row r="118" spans="1:20" ht="22.5" hidden="1" customHeight="1" x14ac:dyDescent="0.25">
      <c r="A118" s="152" t="s">
        <v>2541</v>
      </c>
      <c r="B118" s="142">
        <v>2019</v>
      </c>
      <c r="C118" s="142" t="s">
        <v>20</v>
      </c>
      <c r="D118" s="142" t="s">
        <v>399</v>
      </c>
      <c r="E118" s="143" t="s">
        <v>400</v>
      </c>
      <c r="F118" s="144" t="s">
        <v>22</v>
      </c>
      <c r="G118" s="145" t="s">
        <v>283</v>
      </c>
      <c r="H118" s="146" t="s">
        <v>401</v>
      </c>
      <c r="I118" s="147">
        <v>43549</v>
      </c>
      <c r="J118" s="147">
        <v>43728</v>
      </c>
      <c r="K118" s="142" t="s">
        <v>32</v>
      </c>
      <c r="L118" s="148">
        <v>7886.16</v>
      </c>
      <c r="M118" s="149">
        <v>4.5999999999999996</v>
      </c>
      <c r="N118" s="150">
        <v>47</v>
      </c>
      <c r="O118" s="151">
        <v>45</v>
      </c>
      <c r="P118" s="151">
        <v>0</v>
      </c>
      <c r="Q118" s="151"/>
      <c r="R118" s="151">
        <f>SUM(O118:Q118)</f>
        <v>45</v>
      </c>
      <c r="S118" s="142">
        <v>20</v>
      </c>
      <c r="T118" s="145" t="s">
        <v>402</v>
      </c>
    </row>
    <row r="119" spans="1:20" ht="22.5" hidden="1" customHeight="1" x14ac:dyDescent="0.25">
      <c r="A119" s="152" t="s">
        <v>2542</v>
      </c>
      <c r="B119" s="142">
        <v>2019</v>
      </c>
      <c r="C119" s="142" t="s">
        <v>20</v>
      </c>
      <c r="D119" s="142" t="s">
        <v>403</v>
      </c>
      <c r="E119" s="143" t="s">
        <v>404</v>
      </c>
      <c r="F119" s="144" t="s">
        <v>22</v>
      </c>
      <c r="G119" s="145" t="s">
        <v>23</v>
      </c>
      <c r="H119" s="146" t="s">
        <v>405</v>
      </c>
      <c r="I119" s="147">
        <v>43577</v>
      </c>
      <c r="J119" s="147">
        <v>43585</v>
      </c>
      <c r="K119" s="142" t="s">
        <v>32</v>
      </c>
      <c r="L119" s="148">
        <v>0</v>
      </c>
      <c r="M119" s="149">
        <v>4.5</v>
      </c>
      <c r="N119" s="150">
        <v>60</v>
      </c>
      <c r="O119" s="151">
        <v>44</v>
      </c>
      <c r="P119" s="151">
        <v>0</v>
      </c>
      <c r="Q119" s="151"/>
      <c r="R119" s="151">
        <f>SUM(O119:Q119)</f>
        <v>44</v>
      </c>
      <c r="S119" s="142">
        <v>12</v>
      </c>
      <c r="T119" s="145" t="s">
        <v>406</v>
      </c>
    </row>
    <row r="120" spans="1:20" ht="22.5" hidden="1" customHeight="1" x14ac:dyDescent="0.25">
      <c r="A120" s="152" t="s">
        <v>2543</v>
      </c>
      <c r="B120" s="142">
        <v>2019</v>
      </c>
      <c r="C120" s="142" t="s">
        <v>20</v>
      </c>
      <c r="D120" s="142" t="s">
        <v>407</v>
      </c>
      <c r="E120" s="143" t="s">
        <v>408</v>
      </c>
      <c r="F120" s="144" t="s">
        <v>51</v>
      </c>
      <c r="G120" s="145" t="s">
        <v>59</v>
      </c>
      <c r="H120" s="146" t="s">
        <v>409</v>
      </c>
      <c r="I120" s="147">
        <v>43578</v>
      </c>
      <c r="J120" s="147">
        <v>43578</v>
      </c>
      <c r="K120" s="142" t="s">
        <v>32</v>
      </c>
      <c r="L120" s="148">
        <v>1386.78</v>
      </c>
      <c r="M120" s="149">
        <v>0</v>
      </c>
      <c r="N120" s="150">
        <v>60</v>
      </c>
      <c r="O120" s="151">
        <v>0</v>
      </c>
      <c r="P120" s="151">
        <v>50</v>
      </c>
      <c r="Q120" s="151"/>
      <c r="R120" s="151">
        <f>SUM(O120:Q120)</f>
        <v>50</v>
      </c>
      <c r="S120" s="142">
        <v>4</v>
      </c>
      <c r="T120" s="145" t="s">
        <v>410</v>
      </c>
    </row>
    <row r="121" spans="1:20" ht="22.5" hidden="1" customHeight="1" x14ac:dyDescent="0.25">
      <c r="A121" s="152" t="s">
        <v>2544</v>
      </c>
      <c r="B121" s="142">
        <v>2019</v>
      </c>
      <c r="C121" s="142" t="s">
        <v>20</v>
      </c>
      <c r="D121" s="142" t="s">
        <v>403</v>
      </c>
      <c r="E121" s="143" t="s">
        <v>411</v>
      </c>
      <c r="F121" s="144" t="s">
        <v>22</v>
      </c>
      <c r="G121" s="145" t="s">
        <v>23</v>
      </c>
      <c r="H121" s="146" t="s">
        <v>412</v>
      </c>
      <c r="I121" s="147">
        <v>43598</v>
      </c>
      <c r="J121" s="147">
        <v>43602</v>
      </c>
      <c r="K121" s="142" t="s">
        <v>32</v>
      </c>
      <c r="L121" s="148">
        <v>4831.82</v>
      </c>
      <c r="M121" s="149">
        <v>4.5</v>
      </c>
      <c r="N121" s="150">
        <v>60</v>
      </c>
      <c r="O121" s="151">
        <v>41</v>
      </c>
      <c r="P121" s="151">
        <v>0</v>
      </c>
      <c r="Q121" s="151"/>
      <c r="R121" s="151">
        <f>SUM(O121:Q121)</f>
        <v>41</v>
      </c>
      <c r="S121" s="142">
        <v>12</v>
      </c>
      <c r="T121" s="145" t="s">
        <v>413</v>
      </c>
    </row>
    <row r="122" spans="1:20" ht="22.5" hidden="1" customHeight="1" x14ac:dyDescent="0.25">
      <c r="A122" s="152" t="s">
        <v>2545</v>
      </c>
      <c r="B122" s="142">
        <v>2019</v>
      </c>
      <c r="C122" s="142" t="s">
        <v>20</v>
      </c>
      <c r="D122" s="142" t="s">
        <v>407</v>
      </c>
      <c r="E122" s="143" t="s">
        <v>414</v>
      </c>
      <c r="F122" s="144" t="s">
        <v>51</v>
      </c>
      <c r="G122" s="145" t="s">
        <v>59</v>
      </c>
      <c r="H122" s="146" t="s">
        <v>415</v>
      </c>
      <c r="I122" s="147">
        <v>43605</v>
      </c>
      <c r="J122" s="147">
        <v>43605</v>
      </c>
      <c r="K122" s="142" t="s">
        <v>32</v>
      </c>
      <c r="L122" s="148">
        <v>1386.78</v>
      </c>
      <c r="M122" s="149">
        <v>0</v>
      </c>
      <c r="N122" s="150">
        <v>60</v>
      </c>
      <c r="O122" s="151">
        <v>0</v>
      </c>
      <c r="P122" s="151">
        <v>44</v>
      </c>
      <c r="Q122" s="151"/>
      <c r="R122" s="151">
        <f>SUM(O122:Q122)</f>
        <v>44</v>
      </c>
      <c r="S122" s="142">
        <v>4</v>
      </c>
      <c r="T122" s="145" t="s">
        <v>410</v>
      </c>
    </row>
    <row r="123" spans="1:20" ht="22.5" hidden="1" customHeight="1" x14ac:dyDescent="0.25">
      <c r="A123" s="152" t="s">
        <v>2546</v>
      </c>
      <c r="B123" s="142">
        <v>2019</v>
      </c>
      <c r="C123" s="142" t="s">
        <v>20</v>
      </c>
      <c r="D123" s="142" t="s">
        <v>407</v>
      </c>
      <c r="E123" s="143" t="s">
        <v>416</v>
      </c>
      <c r="F123" s="144" t="s">
        <v>51</v>
      </c>
      <c r="G123" s="145" t="s">
        <v>59</v>
      </c>
      <c r="H123" s="146" t="s">
        <v>417</v>
      </c>
      <c r="I123" s="147">
        <v>43606</v>
      </c>
      <c r="J123" s="147">
        <v>43606</v>
      </c>
      <c r="K123" s="142" t="s">
        <v>32</v>
      </c>
      <c r="L123" s="148">
        <v>1386.78</v>
      </c>
      <c r="M123" s="149">
        <v>0</v>
      </c>
      <c r="N123" s="150">
        <v>60</v>
      </c>
      <c r="O123" s="151">
        <v>0</v>
      </c>
      <c r="P123" s="151">
        <v>40</v>
      </c>
      <c r="Q123" s="151"/>
      <c r="R123" s="151">
        <f>SUM(O123:Q123)</f>
        <v>40</v>
      </c>
      <c r="S123" s="142">
        <v>4</v>
      </c>
      <c r="T123" s="145" t="s">
        <v>410</v>
      </c>
    </row>
    <row r="124" spans="1:20" ht="22.5" hidden="1" customHeight="1" x14ac:dyDescent="0.25">
      <c r="A124" s="152" t="s">
        <v>2547</v>
      </c>
      <c r="B124" s="142">
        <v>2019</v>
      </c>
      <c r="C124" s="142" t="s">
        <v>20</v>
      </c>
      <c r="D124" s="142" t="s">
        <v>418</v>
      </c>
      <c r="E124" s="143" t="s">
        <v>419</v>
      </c>
      <c r="F124" s="144" t="s">
        <v>22</v>
      </c>
      <c r="G124" s="145" t="s">
        <v>23</v>
      </c>
      <c r="H124" s="146" t="s">
        <v>420</v>
      </c>
      <c r="I124" s="147">
        <v>43606</v>
      </c>
      <c r="J124" s="147">
        <v>43608</v>
      </c>
      <c r="K124" s="142" t="s">
        <v>32</v>
      </c>
      <c r="L124" s="148">
        <v>3433.24</v>
      </c>
      <c r="M124" s="149">
        <v>4.7</v>
      </c>
      <c r="N124" s="150">
        <v>20</v>
      </c>
      <c r="O124" s="151">
        <v>12</v>
      </c>
      <c r="P124" s="151">
        <v>0</v>
      </c>
      <c r="Q124" s="151"/>
      <c r="R124" s="151">
        <f>SUM(O124:Q124)</f>
        <v>12</v>
      </c>
      <c r="S124" s="142">
        <v>8</v>
      </c>
      <c r="T124" s="145" t="s">
        <v>421</v>
      </c>
    </row>
    <row r="125" spans="1:20" ht="22.5" hidden="1" customHeight="1" x14ac:dyDescent="0.25">
      <c r="A125" s="152" t="s">
        <v>2548</v>
      </c>
      <c r="B125" s="142">
        <v>2019</v>
      </c>
      <c r="C125" s="142" t="s">
        <v>20</v>
      </c>
      <c r="D125" s="142" t="s">
        <v>422</v>
      </c>
      <c r="E125" s="143" t="s">
        <v>423</v>
      </c>
      <c r="F125" s="144" t="s">
        <v>22</v>
      </c>
      <c r="G125" s="145" t="s">
        <v>56</v>
      </c>
      <c r="H125" s="146" t="s">
        <v>424</v>
      </c>
      <c r="I125" s="147">
        <v>43607</v>
      </c>
      <c r="J125" s="147">
        <v>43614</v>
      </c>
      <c r="K125" s="142" t="s">
        <v>32</v>
      </c>
      <c r="L125" s="148">
        <v>5384.88</v>
      </c>
      <c r="M125" s="149">
        <v>4.5</v>
      </c>
      <c r="N125" s="150">
        <v>20</v>
      </c>
      <c r="O125" s="151">
        <v>19</v>
      </c>
      <c r="P125" s="151">
        <v>0</v>
      </c>
      <c r="Q125" s="151"/>
      <c r="R125" s="151">
        <f>SUM(O125:Q125)</f>
        <v>19</v>
      </c>
      <c r="S125" s="142">
        <v>12</v>
      </c>
      <c r="T125" s="145" t="s">
        <v>425</v>
      </c>
    </row>
    <row r="126" spans="1:20" ht="22.5" hidden="1" customHeight="1" x14ac:dyDescent="0.25">
      <c r="A126" s="152" t="s">
        <v>2549</v>
      </c>
      <c r="B126" s="142">
        <v>2019</v>
      </c>
      <c r="C126" s="142" t="s">
        <v>20</v>
      </c>
      <c r="D126" s="142" t="s">
        <v>426</v>
      </c>
      <c r="E126" s="143" t="s">
        <v>427</v>
      </c>
      <c r="F126" s="144" t="s">
        <v>22</v>
      </c>
      <c r="G126" s="145" t="s">
        <v>30</v>
      </c>
      <c r="H126" s="146" t="s">
        <v>428</v>
      </c>
      <c r="I126" s="147">
        <v>43612</v>
      </c>
      <c r="J126" s="147">
        <v>43619</v>
      </c>
      <c r="K126" s="142" t="s">
        <v>32</v>
      </c>
      <c r="L126" s="148">
        <v>2875.02</v>
      </c>
      <c r="M126" s="149">
        <v>4.4000000000000004</v>
      </c>
      <c r="N126" s="150">
        <v>20</v>
      </c>
      <c r="O126" s="151">
        <v>14</v>
      </c>
      <c r="P126" s="151">
        <v>0</v>
      </c>
      <c r="Q126" s="151"/>
      <c r="R126" s="151">
        <f>SUM(O126:Q126)</f>
        <v>14</v>
      </c>
      <c r="S126" s="142">
        <v>12</v>
      </c>
      <c r="T126" s="145" t="s">
        <v>429</v>
      </c>
    </row>
    <row r="127" spans="1:20" ht="22.5" hidden="1" customHeight="1" x14ac:dyDescent="0.25">
      <c r="A127" s="152" t="s">
        <v>2550</v>
      </c>
      <c r="B127" s="142">
        <v>2019</v>
      </c>
      <c r="C127" s="142" t="s">
        <v>20</v>
      </c>
      <c r="D127" s="142" t="s">
        <v>422</v>
      </c>
      <c r="E127" s="143" t="s">
        <v>430</v>
      </c>
      <c r="F127" s="144" t="s">
        <v>22</v>
      </c>
      <c r="G127" s="145" t="s">
        <v>56</v>
      </c>
      <c r="H127" s="146" t="s">
        <v>431</v>
      </c>
      <c r="I127" s="147">
        <v>43622</v>
      </c>
      <c r="J127" s="147">
        <v>43626</v>
      </c>
      <c r="K127" s="142" t="s">
        <v>32</v>
      </c>
      <c r="L127" s="148">
        <v>5236.26</v>
      </c>
      <c r="M127" s="149">
        <v>5</v>
      </c>
      <c r="N127" s="150">
        <v>20</v>
      </c>
      <c r="O127" s="151">
        <v>19</v>
      </c>
      <c r="P127" s="151">
        <v>0</v>
      </c>
      <c r="Q127" s="151"/>
      <c r="R127" s="151">
        <f>SUM(O127:Q127)</f>
        <v>19</v>
      </c>
      <c r="S127" s="142">
        <v>12</v>
      </c>
      <c r="T127" s="145" t="s">
        <v>425</v>
      </c>
    </row>
    <row r="128" spans="1:20" ht="22.5" hidden="1" customHeight="1" x14ac:dyDescent="0.25">
      <c r="A128" s="152" t="s">
        <v>2551</v>
      </c>
      <c r="B128" s="142">
        <v>2019</v>
      </c>
      <c r="C128" s="142" t="s">
        <v>20</v>
      </c>
      <c r="D128" s="142" t="s">
        <v>418</v>
      </c>
      <c r="E128" s="143" t="s">
        <v>432</v>
      </c>
      <c r="F128" s="144" t="s">
        <v>22</v>
      </c>
      <c r="G128" s="145" t="s">
        <v>23</v>
      </c>
      <c r="H128" s="146" t="s">
        <v>433</v>
      </c>
      <c r="I128" s="147">
        <v>43633</v>
      </c>
      <c r="J128" s="147">
        <v>43635</v>
      </c>
      <c r="K128" s="142" t="s">
        <v>32</v>
      </c>
      <c r="L128" s="148">
        <v>3280.6</v>
      </c>
      <c r="M128" s="149">
        <v>4.7</v>
      </c>
      <c r="N128" s="150">
        <v>20</v>
      </c>
      <c r="O128" s="151">
        <v>9</v>
      </c>
      <c r="P128" s="151">
        <v>0</v>
      </c>
      <c r="Q128" s="151"/>
      <c r="R128" s="151">
        <f>SUM(O128:Q128)</f>
        <v>9</v>
      </c>
      <c r="S128" s="142">
        <v>8</v>
      </c>
      <c r="T128" s="145" t="s">
        <v>421</v>
      </c>
    </row>
    <row r="129" spans="1:20" ht="22.5" hidden="1" customHeight="1" x14ac:dyDescent="0.25">
      <c r="A129" s="152" t="s">
        <v>2552</v>
      </c>
      <c r="B129" s="142">
        <v>2019</v>
      </c>
      <c r="C129" s="142" t="s">
        <v>20</v>
      </c>
      <c r="D129" s="142" t="s">
        <v>407</v>
      </c>
      <c r="E129" s="143" t="s">
        <v>434</v>
      </c>
      <c r="F129" s="144" t="s">
        <v>51</v>
      </c>
      <c r="G129" s="145" t="s">
        <v>59</v>
      </c>
      <c r="H129" s="146" t="s">
        <v>435</v>
      </c>
      <c r="I129" s="147">
        <v>43634</v>
      </c>
      <c r="J129" s="147">
        <v>43634</v>
      </c>
      <c r="K129" s="142" t="s">
        <v>32</v>
      </c>
      <c r="L129" s="148">
        <v>1386.78</v>
      </c>
      <c r="M129" s="149">
        <v>0</v>
      </c>
      <c r="N129" s="150">
        <v>60</v>
      </c>
      <c r="O129" s="151">
        <v>0</v>
      </c>
      <c r="P129" s="151">
        <v>45</v>
      </c>
      <c r="Q129" s="151"/>
      <c r="R129" s="151">
        <f>SUM(O129:Q129)</f>
        <v>45</v>
      </c>
      <c r="S129" s="142">
        <v>4</v>
      </c>
      <c r="T129" s="145" t="s">
        <v>410</v>
      </c>
    </row>
    <row r="130" spans="1:20" ht="22.5" hidden="1" customHeight="1" x14ac:dyDescent="0.25">
      <c r="A130" s="152" t="s">
        <v>2553</v>
      </c>
      <c r="B130" s="142">
        <v>2019</v>
      </c>
      <c r="C130" s="142" t="s">
        <v>20</v>
      </c>
      <c r="D130" s="142" t="s">
        <v>422</v>
      </c>
      <c r="E130" s="143" t="s">
        <v>436</v>
      </c>
      <c r="F130" s="144" t="s">
        <v>51</v>
      </c>
      <c r="G130" s="145" t="s">
        <v>56</v>
      </c>
      <c r="H130" s="146" t="s">
        <v>437</v>
      </c>
      <c r="I130" s="147">
        <v>43643</v>
      </c>
      <c r="J130" s="147">
        <v>43651</v>
      </c>
      <c r="K130" s="142" t="s">
        <v>32</v>
      </c>
      <c r="L130" s="148">
        <v>5236.26</v>
      </c>
      <c r="M130" s="149">
        <v>4.5999999999999996</v>
      </c>
      <c r="N130" s="150">
        <v>30</v>
      </c>
      <c r="O130" s="151">
        <v>0</v>
      </c>
      <c r="P130" s="151">
        <v>25</v>
      </c>
      <c r="Q130" s="151"/>
      <c r="R130" s="151">
        <f>SUM(O130:Q130)</f>
        <v>25</v>
      </c>
      <c r="S130" s="142">
        <v>12</v>
      </c>
      <c r="T130" s="145" t="s">
        <v>425</v>
      </c>
    </row>
    <row r="131" spans="1:20" ht="22.5" hidden="1" customHeight="1" x14ac:dyDescent="0.25">
      <c r="A131" s="152" t="s">
        <v>2554</v>
      </c>
      <c r="B131" s="142">
        <v>2019</v>
      </c>
      <c r="C131" s="142" t="s">
        <v>20</v>
      </c>
      <c r="D131" s="142" t="s">
        <v>438</v>
      </c>
      <c r="E131" s="143" t="s">
        <v>439</v>
      </c>
      <c r="F131" s="144" t="s">
        <v>22</v>
      </c>
      <c r="G131" s="145" t="s">
        <v>23</v>
      </c>
      <c r="H131" s="146" t="s">
        <v>440</v>
      </c>
      <c r="I131" s="147">
        <v>43647</v>
      </c>
      <c r="J131" s="147">
        <v>43654</v>
      </c>
      <c r="K131" s="142" t="s">
        <v>32</v>
      </c>
      <c r="L131" s="148">
        <v>4731.7</v>
      </c>
      <c r="M131" s="149">
        <v>4.3</v>
      </c>
      <c r="N131" s="150">
        <v>20</v>
      </c>
      <c r="O131" s="151">
        <v>15</v>
      </c>
      <c r="P131" s="151">
        <v>0</v>
      </c>
      <c r="Q131" s="151"/>
      <c r="R131" s="151">
        <f>SUM(O131:Q131)</f>
        <v>15</v>
      </c>
      <c r="S131" s="142">
        <v>12</v>
      </c>
      <c r="T131" s="145" t="s">
        <v>441</v>
      </c>
    </row>
    <row r="132" spans="1:20" ht="22.5" hidden="1" customHeight="1" x14ac:dyDescent="0.25">
      <c r="A132" s="152" t="s">
        <v>2555</v>
      </c>
      <c r="B132" s="142">
        <v>2019</v>
      </c>
      <c r="C132" s="142" t="s">
        <v>20</v>
      </c>
      <c r="D132" s="142" t="s">
        <v>442</v>
      </c>
      <c r="E132" s="143" t="s">
        <v>443</v>
      </c>
      <c r="F132" s="144" t="s">
        <v>51</v>
      </c>
      <c r="G132" s="145" t="s">
        <v>56</v>
      </c>
      <c r="H132" s="146" t="s">
        <v>444</v>
      </c>
      <c r="I132" s="147">
        <v>43654</v>
      </c>
      <c r="J132" s="147">
        <v>43657</v>
      </c>
      <c r="K132" s="142" t="s">
        <v>32</v>
      </c>
      <c r="L132" s="148">
        <v>6140.72</v>
      </c>
      <c r="M132" s="149">
        <v>4.5999999999999996</v>
      </c>
      <c r="N132" s="150">
        <v>40</v>
      </c>
      <c r="O132" s="151">
        <v>0</v>
      </c>
      <c r="P132" s="151">
        <v>26</v>
      </c>
      <c r="Q132" s="151"/>
      <c r="R132" s="151">
        <f>SUM(O132:Q132)</f>
        <v>26</v>
      </c>
      <c r="S132" s="142">
        <v>16</v>
      </c>
      <c r="T132" s="145" t="s">
        <v>359</v>
      </c>
    </row>
    <row r="133" spans="1:20" ht="22.5" hidden="1" customHeight="1" x14ac:dyDescent="0.25">
      <c r="A133" s="152" t="s">
        <v>2556</v>
      </c>
      <c r="B133" s="142">
        <v>2019</v>
      </c>
      <c r="C133" s="142" t="s">
        <v>20</v>
      </c>
      <c r="D133" s="142" t="s">
        <v>445</v>
      </c>
      <c r="E133" s="143" t="s">
        <v>446</v>
      </c>
      <c r="F133" s="144" t="s">
        <v>22</v>
      </c>
      <c r="G133" s="145" t="s">
        <v>23</v>
      </c>
      <c r="H133" s="146" t="s">
        <v>447</v>
      </c>
      <c r="I133" s="147">
        <v>43658</v>
      </c>
      <c r="J133" s="147">
        <v>43661</v>
      </c>
      <c r="K133" s="142" t="s">
        <v>32</v>
      </c>
      <c r="L133" s="148">
        <v>3260.66</v>
      </c>
      <c r="M133" s="149">
        <v>4.5999999999999996</v>
      </c>
      <c r="N133" s="150">
        <v>20</v>
      </c>
      <c r="O133" s="151">
        <v>16</v>
      </c>
      <c r="P133" s="151">
        <v>0</v>
      </c>
      <c r="Q133" s="151"/>
      <c r="R133" s="151">
        <f>SUM(O133:Q133)</f>
        <v>16</v>
      </c>
      <c r="S133" s="142">
        <v>8</v>
      </c>
      <c r="T133" s="145" t="s">
        <v>448</v>
      </c>
    </row>
    <row r="134" spans="1:20" ht="22.5" hidden="1" customHeight="1" x14ac:dyDescent="0.25">
      <c r="A134" s="152" t="s">
        <v>2557</v>
      </c>
      <c r="B134" s="142">
        <v>2019</v>
      </c>
      <c r="C134" s="142" t="s">
        <v>20</v>
      </c>
      <c r="D134" s="142" t="s">
        <v>445</v>
      </c>
      <c r="E134" s="143" t="s">
        <v>449</v>
      </c>
      <c r="F134" s="144" t="s">
        <v>22</v>
      </c>
      <c r="G134" s="145" t="s">
        <v>23</v>
      </c>
      <c r="H134" s="146" t="s">
        <v>450</v>
      </c>
      <c r="I134" s="147">
        <v>43678</v>
      </c>
      <c r="J134" s="147">
        <v>43683</v>
      </c>
      <c r="K134" s="142" t="s">
        <v>32</v>
      </c>
      <c r="L134" s="148">
        <v>3260.66</v>
      </c>
      <c r="M134" s="149">
        <v>4.8</v>
      </c>
      <c r="N134" s="150">
        <v>20</v>
      </c>
      <c r="O134" s="151">
        <v>15</v>
      </c>
      <c r="P134" s="151">
        <v>0</v>
      </c>
      <c r="Q134" s="151"/>
      <c r="R134" s="151">
        <f>SUM(O134:Q134)</f>
        <v>15</v>
      </c>
      <c r="S134" s="142">
        <v>8</v>
      </c>
      <c r="T134" s="145" t="s">
        <v>451</v>
      </c>
    </row>
    <row r="135" spans="1:20" ht="22.5" hidden="1" customHeight="1" x14ac:dyDescent="0.25">
      <c r="A135" s="152" t="s">
        <v>2558</v>
      </c>
      <c r="B135" s="142">
        <v>2019</v>
      </c>
      <c r="C135" s="142" t="s">
        <v>20</v>
      </c>
      <c r="D135" s="142" t="s">
        <v>438</v>
      </c>
      <c r="E135" s="143" t="s">
        <v>452</v>
      </c>
      <c r="F135" s="144" t="s">
        <v>22</v>
      </c>
      <c r="G135" s="145" t="s">
        <v>23</v>
      </c>
      <c r="H135" s="146" t="s">
        <v>453</v>
      </c>
      <c r="I135" s="147">
        <v>43690</v>
      </c>
      <c r="J135" s="147">
        <v>43697</v>
      </c>
      <c r="K135" s="142" t="s">
        <v>32</v>
      </c>
      <c r="L135" s="148">
        <v>4605.54</v>
      </c>
      <c r="M135" s="149">
        <v>4.4000000000000004</v>
      </c>
      <c r="N135" s="150">
        <v>20</v>
      </c>
      <c r="O135" s="151">
        <v>14</v>
      </c>
      <c r="P135" s="151">
        <v>0</v>
      </c>
      <c r="Q135" s="151"/>
      <c r="R135" s="151">
        <f>SUM(O135:Q135)</f>
        <v>14</v>
      </c>
      <c r="S135" s="142">
        <v>12</v>
      </c>
      <c r="T135" s="145" t="s">
        <v>441</v>
      </c>
    </row>
    <row r="136" spans="1:20" ht="22.5" hidden="1" customHeight="1" x14ac:dyDescent="0.25">
      <c r="A136" s="152" t="s">
        <v>2559</v>
      </c>
      <c r="B136" s="142">
        <v>2019</v>
      </c>
      <c r="C136" s="142" t="s">
        <v>20</v>
      </c>
      <c r="D136" s="142" t="s">
        <v>454</v>
      </c>
      <c r="E136" s="143" t="s">
        <v>455</v>
      </c>
      <c r="F136" s="144" t="s">
        <v>51</v>
      </c>
      <c r="G136" s="145" t="s">
        <v>59</v>
      </c>
      <c r="H136" s="146" t="s">
        <v>456</v>
      </c>
      <c r="I136" s="147">
        <v>43696</v>
      </c>
      <c r="J136" s="147">
        <v>43698</v>
      </c>
      <c r="K136" s="142" t="s">
        <v>32</v>
      </c>
      <c r="L136" s="148">
        <v>0</v>
      </c>
      <c r="M136" s="149">
        <v>4.5</v>
      </c>
      <c r="N136" s="150">
        <v>450</v>
      </c>
      <c r="O136" s="151">
        <v>46</v>
      </c>
      <c r="P136" s="151">
        <v>136</v>
      </c>
      <c r="Q136" s="151"/>
      <c r="R136" s="151">
        <f>SUM(O136:Q136)</f>
        <v>182</v>
      </c>
      <c r="S136" s="142">
        <v>8</v>
      </c>
      <c r="T136" s="145" t="s">
        <v>457</v>
      </c>
    </row>
    <row r="137" spans="1:20" ht="22.5" hidden="1" customHeight="1" x14ac:dyDescent="0.25">
      <c r="A137" s="152" t="s">
        <v>2560</v>
      </c>
      <c r="B137" s="142">
        <v>2019</v>
      </c>
      <c r="C137" s="142" t="s">
        <v>20</v>
      </c>
      <c r="D137" s="142" t="s">
        <v>442</v>
      </c>
      <c r="E137" s="143" t="s">
        <v>458</v>
      </c>
      <c r="F137" s="144" t="s">
        <v>51</v>
      </c>
      <c r="G137" s="145" t="s">
        <v>56</v>
      </c>
      <c r="H137" s="146" t="s">
        <v>459</v>
      </c>
      <c r="I137" s="147">
        <v>43703</v>
      </c>
      <c r="J137" s="147">
        <v>43706</v>
      </c>
      <c r="K137" s="142" t="s">
        <v>32</v>
      </c>
      <c r="L137" s="148">
        <v>5299.68</v>
      </c>
      <c r="M137" s="149">
        <v>4.5999999999999996</v>
      </c>
      <c r="N137" s="150">
        <v>40</v>
      </c>
      <c r="O137" s="151">
        <v>0</v>
      </c>
      <c r="P137" s="151">
        <v>34</v>
      </c>
      <c r="Q137" s="151"/>
      <c r="R137" s="151">
        <f>SUM(O137:Q137)</f>
        <v>34</v>
      </c>
      <c r="S137" s="142">
        <v>16</v>
      </c>
      <c r="T137" s="145" t="s">
        <v>359</v>
      </c>
    </row>
    <row r="138" spans="1:20" ht="22.5" hidden="1" customHeight="1" x14ac:dyDescent="0.25">
      <c r="A138" s="152" t="s">
        <v>2561</v>
      </c>
      <c r="B138" s="142">
        <v>2019</v>
      </c>
      <c r="C138" s="142" t="s">
        <v>20</v>
      </c>
      <c r="D138" s="142" t="s">
        <v>460</v>
      </c>
      <c r="E138" s="143" t="s">
        <v>461</v>
      </c>
      <c r="F138" s="144" t="s">
        <v>22</v>
      </c>
      <c r="G138" s="145" t="s">
        <v>157</v>
      </c>
      <c r="H138" s="146" t="s">
        <v>462</v>
      </c>
      <c r="I138" s="147">
        <v>43703</v>
      </c>
      <c r="J138" s="147">
        <v>43737</v>
      </c>
      <c r="K138" s="142" t="s">
        <v>25</v>
      </c>
      <c r="L138" s="148">
        <v>7980</v>
      </c>
      <c r="M138" s="149">
        <v>4.7</v>
      </c>
      <c r="N138" s="150">
        <v>20</v>
      </c>
      <c r="O138" s="151">
        <v>17</v>
      </c>
      <c r="P138" s="151">
        <v>0</v>
      </c>
      <c r="Q138" s="151">
        <v>0</v>
      </c>
      <c r="R138" s="151">
        <f>SUM(O138:Q138)</f>
        <v>17</v>
      </c>
      <c r="S138" s="142">
        <v>16</v>
      </c>
      <c r="T138" s="145" t="s">
        <v>463</v>
      </c>
    </row>
    <row r="139" spans="1:20" ht="22.5" hidden="1" customHeight="1" x14ac:dyDescent="0.25">
      <c r="A139" s="152" t="s">
        <v>2562</v>
      </c>
      <c r="B139" s="142">
        <v>2019</v>
      </c>
      <c r="C139" s="142" t="s">
        <v>20</v>
      </c>
      <c r="D139" s="142" t="s">
        <v>391</v>
      </c>
      <c r="E139" s="143" t="s">
        <v>464</v>
      </c>
      <c r="F139" s="144" t="s">
        <v>22</v>
      </c>
      <c r="G139" s="145" t="s">
        <v>283</v>
      </c>
      <c r="H139" s="146" t="s">
        <v>465</v>
      </c>
      <c r="I139" s="147">
        <v>43710</v>
      </c>
      <c r="J139" s="147">
        <v>43717</v>
      </c>
      <c r="K139" s="142" t="s">
        <v>32</v>
      </c>
      <c r="L139" s="148">
        <v>6624.6</v>
      </c>
      <c r="M139" s="149">
        <v>4.7</v>
      </c>
      <c r="N139" s="150">
        <v>21</v>
      </c>
      <c r="O139" s="151">
        <v>20</v>
      </c>
      <c r="P139" s="151">
        <v>0</v>
      </c>
      <c r="Q139" s="151"/>
      <c r="R139" s="151">
        <f>SUM(O139:Q139)</f>
        <v>20</v>
      </c>
      <c r="S139" s="142">
        <v>20</v>
      </c>
      <c r="T139" s="145" t="s">
        <v>394</v>
      </c>
    </row>
    <row r="140" spans="1:20" ht="22.5" hidden="1" customHeight="1" x14ac:dyDescent="0.25">
      <c r="A140" s="152" t="s">
        <v>2563</v>
      </c>
      <c r="B140" s="142">
        <v>2019</v>
      </c>
      <c r="C140" s="142" t="s">
        <v>20</v>
      </c>
      <c r="D140" s="142" t="s">
        <v>399</v>
      </c>
      <c r="E140" s="143" t="s">
        <v>466</v>
      </c>
      <c r="F140" s="144" t="s">
        <v>22</v>
      </c>
      <c r="G140" s="145" t="s">
        <v>283</v>
      </c>
      <c r="H140" s="146" t="s">
        <v>467</v>
      </c>
      <c r="I140" s="147">
        <v>43719</v>
      </c>
      <c r="J140" s="147">
        <v>43728</v>
      </c>
      <c r="K140" s="142" t="s">
        <v>32</v>
      </c>
      <c r="L140" s="148">
        <v>7675.9</v>
      </c>
      <c r="M140" s="149">
        <v>4.5</v>
      </c>
      <c r="N140" s="150">
        <v>41</v>
      </c>
      <c r="O140" s="151">
        <v>40</v>
      </c>
      <c r="P140" s="151">
        <v>0</v>
      </c>
      <c r="Q140" s="151"/>
      <c r="R140" s="151">
        <f>SUM(O140:Q140)</f>
        <v>40</v>
      </c>
      <c r="S140" s="142">
        <v>20</v>
      </c>
      <c r="T140" s="145" t="s">
        <v>468</v>
      </c>
    </row>
    <row r="141" spans="1:20" ht="22.5" hidden="1" customHeight="1" x14ac:dyDescent="0.25">
      <c r="A141" s="152" t="s">
        <v>2564</v>
      </c>
      <c r="B141" s="142">
        <v>2019</v>
      </c>
      <c r="C141" s="142" t="s">
        <v>20</v>
      </c>
      <c r="D141" s="142" t="s">
        <v>469</v>
      </c>
      <c r="E141" s="143" t="s">
        <v>470</v>
      </c>
      <c r="F141" s="144" t="s">
        <v>22</v>
      </c>
      <c r="G141" s="145" t="s">
        <v>157</v>
      </c>
      <c r="H141" s="146" t="s">
        <v>471</v>
      </c>
      <c r="I141" s="147">
        <v>43719</v>
      </c>
      <c r="J141" s="147">
        <v>43747</v>
      </c>
      <c r="K141" s="142" t="s">
        <v>32</v>
      </c>
      <c r="L141" s="148">
        <v>4731.7</v>
      </c>
      <c r="M141" s="149">
        <v>4.5999999999999996</v>
      </c>
      <c r="N141" s="150">
        <v>15</v>
      </c>
      <c r="O141" s="151">
        <v>12</v>
      </c>
      <c r="P141" s="151">
        <v>0</v>
      </c>
      <c r="Q141" s="151">
        <v>0</v>
      </c>
      <c r="R141" s="151">
        <f>SUM(O141:Q141)</f>
        <v>12</v>
      </c>
      <c r="S141" s="142">
        <v>12</v>
      </c>
      <c r="T141" s="145" t="s">
        <v>472</v>
      </c>
    </row>
    <row r="142" spans="1:20" ht="22.5" hidden="1" customHeight="1" x14ac:dyDescent="0.25">
      <c r="A142" s="152" t="s">
        <v>2565</v>
      </c>
      <c r="B142" s="142">
        <v>2019</v>
      </c>
      <c r="C142" s="142" t="s">
        <v>20</v>
      </c>
      <c r="D142" s="142" t="s">
        <v>473</v>
      </c>
      <c r="E142" s="143" t="s">
        <v>474</v>
      </c>
      <c r="F142" s="144" t="s">
        <v>22</v>
      </c>
      <c r="G142" s="145" t="s">
        <v>67</v>
      </c>
      <c r="H142" s="146" t="s">
        <v>475</v>
      </c>
      <c r="I142" s="147">
        <v>43724</v>
      </c>
      <c r="J142" s="147">
        <v>43728</v>
      </c>
      <c r="K142" s="142" t="s">
        <v>25</v>
      </c>
      <c r="L142" s="148">
        <v>6065.18</v>
      </c>
      <c r="M142" s="149">
        <v>4.5999999999999996</v>
      </c>
      <c r="N142" s="150">
        <v>31</v>
      </c>
      <c r="O142" s="151">
        <v>12</v>
      </c>
      <c r="P142" s="151">
        <v>0</v>
      </c>
      <c r="Q142" s="151"/>
      <c r="R142" s="151">
        <f>SUM(O142:Q142)</f>
        <v>12</v>
      </c>
      <c r="S142" s="142">
        <v>16</v>
      </c>
      <c r="T142" s="145" t="s">
        <v>476</v>
      </c>
    </row>
    <row r="143" spans="1:20" ht="22.5" hidden="1" customHeight="1" x14ac:dyDescent="0.25">
      <c r="A143" s="152" t="s">
        <v>2566</v>
      </c>
      <c r="B143" s="142">
        <v>2019</v>
      </c>
      <c r="C143" s="142" t="s">
        <v>20</v>
      </c>
      <c r="D143" s="142" t="s">
        <v>422</v>
      </c>
      <c r="E143" s="143" t="s">
        <v>477</v>
      </c>
      <c r="F143" s="144" t="s">
        <v>22</v>
      </c>
      <c r="G143" s="145" t="s">
        <v>56</v>
      </c>
      <c r="H143" s="146" t="s">
        <v>478</v>
      </c>
      <c r="I143" s="147">
        <v>43726</v>
      </c>
      <c r="J143" s="147">
        <v>43731</v>
      </c>
      <c r="K143" s="142" t="s">
        <v>32</v>
      </c>
      <c r="L143" s="148">
        <v>5236.26</v>
      </c>
      <c r="M143" s="149">
        <v>4.5</v>
      </c>
      <c r="N143" s="150">
        <v>20</v>
      </c>
      <c r="O143" s="151">
        <v>19</v>
      </c>
      <c r="P143" s="151">
        <v>0</v>
      </c>
      <c r="Q143" s="151"/>
      <c r="R143" s="151">
        <f>SUM(O143:Q143)</f>
        <v>19</v>
      </c>
      <c r="S143" s="142">
        <v>12</v>
      </c>
      <c r="T143" s="145" t="s">
        <v>425</v>
      </c>
    </row>
    <row r="144" spans="1:20" ht="22.5" hidden="1" customHeight="1" x14ac:dyDescent="0.25">
      <c r="A144" s="152" t="s">
        <v>2567</v>
      </c>
      <c r="B144" s="142">
        <v>2019</v>
      </c>
      <c r="C144" s="142" t="s">
        <v>20</v>
      </c>
      <c r="D144" s="142" t="s">
        <v>479</v>
      </c>
      <c r="E144" s="143" t="s">
        <v>480</v>
      </c>
      <c r="F144" s="144" t="s">
        <v>22</v>
      </c>
      <c r="G144" s="145" t="s">
        <v>56</v>
      </c>
      <c r="H144" s="146" t="s">
        <v>481</v>
      </c>
      <c r="I144" s="147">
        <v>43731</v>
      </c>
      <c r="J144" s="147">
        <v>43735</v>
      </c>
      <c r="K144" s="142" t="s">
        <v>32</v>
      </c>
      <c r="L144" s="148">
        <v>8727.1</v>
      </c>
      <c r="M144" s="149">
        <v>4.5999999999999996</v>
      </c>
      <c r="N144" s="150">
        <v>15</v>
      </c>
      <c r="O144" s="151">
        <v>12</v>
      </c>
      <c r="P144" s="151">
        <v>0</v>
      </c>
      <c r="Q144" s="151"/>
      <c r="R144" s="151">
        <f>SUM(O144:Q144)</f>
        <v>12</v>
      </c>
      <c r="S144" s="142">
        <v>20</v>
      </c>
      <c r="T144" s="145" t="s">
        <v>61</v>
      </c>
    </row>
    <row r="145" spans="1:20" ht="22.5" hidden="1" customHeight="1" x14ac:dyDescent="0.25">
      <c r="A145" s="152" t="s">
        <v>2568</v>
      </c>
      <c r="B145" s="142">
        <v>2019</v>
      </c>
      <c r="C145" s="142" t="s">
        <v>20</v>
      </c>
      <c r="D145" s="142" t="s">
        <v>482</v>
      </c>
      <c r="E145" s="143" t="s">
        <v>483</v>
      </c>
      <c r="F145" s="144" t="s">
        <v>22</v>
      </c>
      <c r="G145" s="145" t="s">
        <v>157</v>
      </c>
      <c r="H145" s="146" t="s">
        <v>484</v>
      </c>
      <c r="I145" s="147">
        <v>43739</v>
      </c>
      <c r="J145" s="147">
        <v>43741</v>
      </c>
      <c r="K145" s="142" t="s">
        <v>25</v>
      </c>
      <c r="L145" s="148">
        <v>9240.5</v>
      </c>
      <c r="M145" s="149">
        <v>4.5999999999999996</v>
      </c>
      <c r="N145" s="142">
        <v>35</v>
      </c>
      <c r="O145" s="151">
        <v>31</v>
      </c>
      <c r="P145" s="151">
        <v>0</v>
      </c>
      <c r="Q145" s="151">
        <v>0</v>
      </c>
      <c r="R145" s="151">
        <f>SUM(O145:Q145)</f>
        <v>31</v>
      </c>
      <c r="S145" s="142">
        <v>12</v>
      </c>
      <c r="T145" s="145" t="s">
        <v>485</v>
      </c>
    </row>
    <row r="146" spans="1:20" ht="22.5" hidden="1" customHeight="1" x14ac:dyDescent="0.25">
      <c r="A146" s="152" t="s">
        <v>2569</v>
      </c>
      <c r="B146" s="142">
        <v>2019</v>
      </c>
      <c r="C146" s="142" t="s">
        <v>20</v>
      </c>
      <c r="D146" s="142" t="s">
        <v>442</v>
      </c>
      <c r="E146" s="143" t="s">
        <v>486</v>
      </c>
      <c r="F146" s="144" t="s">
        <v>51</v>
      </c>
      <c r="G146" s="145" t="s">
        <v>56</v>
      </c>
      <c r="H146" s="146" t="s">
        <v>487</v>
      </c>
      <c r="I146" s="147">
        <v>43745</v>
      </c>
      <c r="J146" s="147">
        <v>43748</v>
      </c>
      <c r="K146" s="142" t="s">
        <v>32</v>
      </c>
      <c r="L146" s="148">
        <v>5299.68</v>
      </c>
      <c r="M146" s="149">
        <v>4.7</v>
      </c>
      <c r="N146" s="150">
        <v>40</v>
      </c>
      <c r="O146" s="151">
        <v>0</v>
      </c>
      <c r="P146" s="151">
        <v>27</v>
      </c>
      <c r="Q146" s="151"/>
      <c r="R146" s="151">
        <f>SUM(O146:Q146)</f>
        <v>27</v>
      </c>
      <c r="S146" s="142">
        <v>16</v>
      </c>
      <c r="T146" s="145" t="s">
        <v>359</v>
      </c>
    </row>
    <row r="147" spans="1:20" ht="22.5" hidden="1" customHeight="1" x14ac:dyDescent="0.25">
      <c r="A147" s="152" t="s">
        <v>2570</v>
      </c>
      <c r="B147" s="142">
        <v>2019</v>
      </c>
      <c r="C147" s="142" t="s">
        <v>20</v>
      </c>
      <c r="D147" s="142"/>
      <c r="E147" s="143" t="s">
        <v>488</v>
      </c>
      <c r="F147" s="144" t="s">
        <v>22</v>
      </c>
      <c r="G147" s="145" t="s">
        <v>56</v>
      </c>
      <c r="H147" s="146" t="s">
        <v>489</v>
      </c>
      <c r="I147" s="147">
        <v>43749</v>
      </c>
      <c r="J147" s="147">
        <v>43749</v>
      </c>
      <c r="K147" s="142" t="s">
        <v>25</v>
      </c>
      <c r="L147" s="148">
        <v>0</v>
      </c>
      <c r="M147" s="149">
        <v>0</v>
      </c>
      <c r="N147" s="150">
        <v>60</v>
      </c>
      <c r="O147" s="151">
        <v>54</v>
      </c>
      <c r="P147" s="151">
        <v>0</v>
      </c>
      <c r="Q147" s="151">
        <v>0</v>
      </c>
      <c r="R147" s="151">
        <f>SUM(O147:Q147)</f>
        <v>54</v>
      </c>
      <c r="S147" s="142">
        <v>1.5</v>
      </c>
      <c r="T147" s="145" t="s">
        <v>490</v>
      </c>
    </row>
    <row r="148" spans="1:20" ht="22.5" hidden="1" customHeight="1" x14ac:dyDescent="0.25">
      <c r="A148" s="152" t="s">
        <v>2571</v>
      </c>
      <c r="B148" s="142">
        <v>2019</v>
      </c>
      <c r="C148" s="142" t="s">
        <v>20</v>
      </c>
      <c r="D148" s="142" t="s">
        <v>491</v>
      </c>
      <c r="E148" s="143" t="s">
        <v>492</v>
      </c>
      <c r="F148" s="144" t="s">
        <v>22</v>
      </c>
      <c r="G148" s="145" t="s">
        <v>30</v>
      </c>
      <c r="H148" s="146" t="s">
        <v>493</v>
      </c>
      <c r="I148" s="147">
        <v>43752</v>
      </c>
      <c r="J148" s="147">
        <v>43756</v>
      </c>
      <c r="K148" s="142" t="s">
        <v>32</v>
      </c>
      <c r="L148" s="148">
        <v>0</v>
      </c>
      <c r="M148" s="149">
        <v>4.33</v>
      </c>
      <c r="N148" s="150">
        <v>20</v>
      </c>
      <c r="O148" s="151">
        <v>9</v>
      </c>
      <c r="P148" s="151">
        <v>0</v>
      </c>
      <c r="Q148" s="151"/>
      <c r="R148" s="151">
        <f>SUM(O148:Q148)</f>
        <v>9</v>
      </c>
      <c r="S148" s="142">
        <v>12</v>
      </c>
      <c r="T148" s="145" t="s">
        <v>494</v>
      </c>
    </row>
    <row r="149" spans="1:20" ht="22.5" hidden="1" customHeight="1" x14ac:dyDescent="0.25">
      <c r="A149" s="152" t="s">
        <v>2572</v>
      </c>
      <c r="B149" s="142">
        <v>2019</v>
      </c>
      <c r="C149" s="142" t="s">
        <v>20</v>
      </c>
      <c r="D149" s="142" t="s">
        <v>407</v>
      </c>
      <c r="E149" s="143" t="s">
        <v>495</v>
      </c>
      <c r="F149" s="144" t="s">
        <v>51</v>
      </c>
      <c r="G149" s="145" t="s">
        <v>59</v>
      </c>
      <c r="H149" s="146" t="s">
        <v>496</v>
      </c>
      <c r="I149" s="147">
        <v>43767</v>
      </c>
      <c r="J149" s="147">
        <v>43767</v>
      </c>
      <c r="K149" s="142" t="s">
        <v>32</v>
      </c>
      <c r="L149" s="148">
        <v>1386.78</v>
      </c>
      <c r="M149" s="149">
        <v>4.4000000000000004</v>
      </c>
      <c r="N149" s="150">
        <v>60</v>
      </c>
      <c r="O149" s="151">
        <v>0</v>
      </c>
      <c r="P149" s="151">
        <v>38</v>
      </c>
      <c r="Q149" s="151"/>
      <c r="R149" s="151">
        <f>SUM(O149:Q149)</f>
        <v>38</v>
      </c>
      <c r="S149" s="142">
        <v>4</v>
      </c>
      <c r="T149" s="145" t="s">
        <v>497</v>
      </c>
    </row>
    <row r="150" spans="1:20" ht="22.5" hidden="1" customHeight="1" x14ac:dyDescent="0.25">
      <c r="A150" s="152" t="s">
        <v>2573</v>
      </c>
      <c r="B150" s="142">
        <v>2019</v>
      </c>
      <c r="C150" s="142" t="s">
        <v>20</v>
      </c>
      <c r="D150" s="142" t="s">
        <v>407</v>
      </c>
      <c r="E150" s="143" t="s">
        <v>498</v>
      </c>
      <c r="F150" s="144" t="s">
        <v>51</v>
      </c>
      <c r="G150" s="145" t="s">
        <v>59</v>
      </c>
      <c r="H150" s="146" t="s">
        <v>499</v>
      </c>
      <c r="I150" s="147">
        <v>43774</v>
      </c>
      <c r="J150" s="147">
        <v>43774</v>
      </c>
      <c r="K150" s="142" t="s">
        <v>32</v>
      </c>
      <c r="L150" s="148">
        <v>1386.78</v>
      </c>
      <c r="M150" s="149">
        <v>3.88</v>
      </c>
      <c r="N150" s="150">
        <v>60</v>
      </c>
      <c r="O150" s="151">
        <v>0</v>
      </c>
      <c r="P150" s="151">
        <v>62</v>
      </c>
      <c r="Q150" s="151"/>
      <c r="R150" s="151">
        <f>SUM(O150:Q150)</f>
        <v>62</v>
      </c>
      <c r="S150" s="142">
        <v>4</v>
      </c>
      <c r="T150" s="145" t="s">
        <v>497</v>
      </c>
    </row>
    <row r="151" spans="1:20" ht="22.5" hidden="1" customHeight="1" x14ac:dyDescent="0.25">
      <c r="A151" s="152" t="s">
        <v>2574</v>
      </c>
      <c r="B151" s="142">
        <v>2019</v>
      </c>
      <c r="C151" s="142" t="s">
        <v>20</v>
      </c>
      <c r="D151" s="142" t="s">
        <v>438</v>
      </c>
      <c r="E151" s="143" t="s">
        <v>500</v>
      </c>
      <c r="F151" s="144" t="s">
        <v>51</v>
      </c>
      <c r="G151" s="145" t="s">
        <v>23</v>
      </c>
      <c r="H151" s="146" t="s">
        <v>501</v>
      </c>
      <c r="I151" s="147">
        <v>43774</v>
      </c>
      <c r="J151" s="147">
        <v>43788</v>
      </c>
      <c r="K151" s="142" t="s">
        <v>32</v>
      </c>
      <c r="L151" s="148">
        <v>6140.72</v>
      </c>
      <c r="M151" s="149">
        <v>3.8</v>
      </c>
      <c r="N151" s="150">
        <v>20</v>
      </c>
      <c r="O151" s="151">
        <v>0</v>
      </c>
      <c r="P151" s="151">
        <v>13</v>
      </c>
      <c r="Q151" s="151"/>
      <c r="R151" s="151">
        <f>SUM(O151:Q151)</f>
        <v>13</v>
      </c>
      <c r="S151" s="142">
        <v>16</v>
      </c>
      <c r="T151" s="145" t="s">
        <v>441</v>
      </c>
    </row>
    <row r="152" spans="1:20" ht="22.5" hidden="1" customHeight="1" x14ac:dyDescent="0.25">
      <c r="A152" s="152" t="s">
        <v>2575</v>
      </c>
      <c r="B152" s="142">
        <v>2019</v>
      </c>
      <c r="C152" s="142" t="s">
        <v>20</v>
      </c>
      <c r="D152" s="142" t="s">
        <v>491</v>
      </c>
      <c r="E152" s="143" t="s">
        <v>502</v>
      </c>
      <c r="F152" s="144" t="s">
        <v>22</v>
      </c>
      <c r="G152" s="145" t="s">
        <v>30</v>
      </c>
      <c r="H152" s="146" t="s">
        <v>503</v>
      </c>
      <c r="I152" s="147">
        <v>43787</v>
      </c>
      <c r="J152" s="147">
        <v>43791</v>
      </c>
      <c r="K152" s="142" t="s">
        <v>32</v>
      </c>
      <c r="L152" s="148">
        <v>0</v>
      </c>
      <c r="M152" s="149">
        <v>4.3</v>
      </c>
      <c r="N152" s="150">
        <v>20</v>
      </c>
      <c r="O152" s="151">
        <v>8</v>
      </c>
      <c r="P152" s="151">
        <v>0</v>
      </c>
      <c r="Q152" s="151"/>
      <c r="R152" s="151">
        <f>SUM(O152:Q152)</f>
        <v>8</v>
      </c>
      <c r="S152" s="142">
        <v>12</v>
      </c>
      <c r="T152" s="145" t="s">
        <v>494</v>
      </c>
    </row>
    <row r="153" spans="1:20" ht="22.5" hidden="1" customHeight="1" x14ac:dyDescent="0.25">
      <c r="A153" s="152" t="s">
        <v>2576</v>
      </c>
      <c r="B153" s="142">
        <v>2019</v>
      </c>
      <c r="C153" s="142" t="s">
        <v>20</v>
      </c>
      <c r="D153" s="142" t="s">
        <v>504</v>
      </c>
      <c r="E153" s="143" t="s">
        <v>505</v>
      </c>
      <c r="F153" s="144" t="s">
        <v>22</v>
      </c>
      <c r="G153" s="145" t="s">
        <v>56</v>
      </c>
      <c r="H153" s="146" t="s">
        <v>506</v>
      </c>
      <c r="I153" s="147">
        <v>43788</v>
      </c>
      <c r="J153" s="147">
        <v>43798</v>
      </c>
      <c r="K153" s="142" t="s">
        <v>32</v>
      </c>
      <c r="L153" s="148">
        <v>7493.04</v>
      </c>
      <c r="M153" s="149">
        <v>4.7699999999999996</v>
      </c>
      <c r="N153" s="150">
        <v>30</v>
      </c>
      <c r="O153" s="151">
        <v>20</v>
      </c>
      <c r="P153" s="151">
        <v>0</v>
      </c>
      <c r="Q153" s="151"/>
      <c r="R153" s="151">
        <f>SUM(O153:Q153)</f>
        <v>20</v>
      </c>
      <c r="S153" s="142">
        <v>20</v>
      </c>
      <c r="T153" s="145" t="s">
        <v>507</v>
      </c>
    </row>
    <row r="154" spans="1:20" ht="22.5" hidden="1" customHeight="1" x14ac:dyDescent="0.25">
      <c r="A154" s="152" t="s">
        <v>2577</v>
      </c>
      <c r="B154" s="142">
        <v>2019</v>
      </c>
      <c r="C154" s="142" t="s">
        <v>20</v>
      </c>
      <c r="D154" s="142" t="s">
        <v>508</v>
      </c>
      <c r="E154" s="143" t="s">
        <v>509</v>
      </c>
      <c r="F154" s="144" t="s">
        <v>22</v>
      </c>
      <c r="G154" s="145" t="s">
        <v>157</v>
      </c>
      <c r="H154" s="146" t="s">
        <v>510</v>
      </c>
      <c r="I154" s="147">
        <v>43795</v>
      </c>
      <c r="J154" s="147">
        <v>43795</v>
      </c>
      <c r="K154" s="142" t="s">
        <v>32</v>
      </c>
      <c r="L154" s="148">
        <v>0</v>
      </c>
      <c r="M154" s="149">
        <v>5</v>
      </c>
      <c r="N154" s="150">
        <v>90</v>
      </c>
      <c r="O154" s="151">
        <v>74</v>
      </c>
      <c r="P154" s="151">
        <v>0</v>
      </c>
      <c r="Q154" s="151">
        <v>0</v>
      </c>
      <c r="R154" s="151">
        <f>SUM(O154:Q154)</f>
        <v>74</v>
      </c>
      <c r="S154" s="142">
        <v>1.5</v>
      </c>
      <c r="T154" s="145" t="s">
        <v>511</v>
      </c>
    </row>
    <row r="155" spans="1:20" ht="22.5" hidden="1" customHeight="1" x14ac:dyDescent="0.25">
      <c r="A155" s="152" t="s">
        <v>2578</v>
      </c>
      <c r="B155" s="142">
        <v>2019</v>
      </c>
      <c r="C155" s="142" t="s">
        <v>20</v>
      </c>
      <c r="D155" s="142" t="s">
        <v>504</v>
      </c>
      <c r="E155" s="143" t="s">
        <v>512</v>
      </c>
      <c r="F155" s="144" t="s">
        <v>22</v>
      </c>
      <c r="G155" s="145" t="s">
        <v>56</v>
      </c>
      <c r="H155" s="146" t="s">
        <v>513</v>
      </c>
      <c r="I155" s="147">
        <v>43801</v>
      </c>
      <c r="J155" s="147">
        <v>43811</v>
      </c>
      <c r="K155" s="142" t="s">
        <v>32</v>
      </c>
      <c r="L155" s="148">
        <v>7493.04</v>
      </c>
      <c r="M155" s="149">
        <v>4.4000000000000004</v>
      </c>
      <c r="N155" s="150">
        <v>30</v>
      </c>
      <c r="O155" s="151">
        <v>24</v>
      </c>
      <c r="P155" s="151">
        <v>0</v>
      </c>
      <c r="Q155" s="151"/>
      <c r="R155" s="151">
        <f>SUM(O155:Q155)</f>
        <v>24</v>
      </c>
      <c r="S155" s="142">
        <v>20</v>
      </c>
      <c r="T155" s="145" t="s">
        <v>507</v>
      </c>
    </row>
    <row r="156" spans="1:20" ht="22.5" hidden="1" customHeight="1" x14ac:dyDescent="0.25">
      <c r="A156" s="152" t="s">
        <v>2579</v>
      </c>
      <c r="B156" s="142">
        <v>2020</v>
      </c>
      <c r="C156" s="142" t="s">
        <v>20</v>
      </c>
      <c r="D156" s="142" t="s">
        <v>514</v>
      </c>
      <c r="E156" s="143" t="s">
        <v>515</v>
      </c>
      <c r="F156" s="144" t="s">
        <v>22</v>
      </c>
      <c r="G156" s="145" t="s">
        <v>34</v>
      </c>
      <c r="H156" s="146" t="s">
        <v>516</v>
      </c>
      <c r="I156" s="147">
        <v>43854</v>
      </c>
      <c r="J156" s="147">
        <v>43854</v>
      </c>
      <c r="K156" s="142" t="s">
        <v>25</v>
      </c>
      <c r="L156" s="148">
        <v>0</v>
      </c>
      <c r="M156" s="149">
        <v>5</v>
      </c>
      <c r="N156" s="150">
        <v>20</v>
      </c>
      <c r="O156" s="151">
        <v>21</v>
      </c>
      <c r="P156" s="151">
        <v>0</v>
      </c>
      <c r="Q156" s="151">
        <v>0</v>
      </c>
      <c r="R156" s="151">
        <f>SUM(O156:Q156)</f>
        <v>21</v>
      </c>
      <c r="S156" s="142">
        <v>2</v>
      </c>
      <c r="T156" s="145" t="s">
        <v>517</v>
      </c>
    </row>
    <row r="157" spans="1:20" ht="22.5" hidden="1" customHeight="1" x14ac:dyDescent="0.25">
      <c r="A157" s="152" t="s">
        <v>2580</v>
      </c>
      <c r="B157" s="142">
        <v>2020</v>
      </c>
      <c r="C157" s="142" t="s">
        <v>20</v>
      </c>
      <c r="D157" s="142" t="s">
        <v>518</v>
      </c>
      <c r="E157" s="143" t="s">
        <v>519</v>
      </c>
      <c r="F157" s="144" t="s">
        <v>22</v>
      </c>
      <c r="G157" s="145" t="s">
        <v>30</v>
      </c>
      <c r="H157" s="146" t="s">
        <v>520</v>
      </c>
      <c r="I157" s="147">
        <v>43857</v>
      </c>
      <c r="J157" s="147">
        <v>43861</v>
      </c>
      <c r="K157" s="142" t="s">
        <v>25</v>
      </c>
      <c r="L157" s="148">
        <v>2470.54</v>
      </c>
      <c r="M157" s="149">
        <v>4.7300000000000004</v>
      </c>
      <c r="N157" s="150">
        <v>20</v>
      </c>
      <c r="O157" s="151">
        <v>21</v>
      </c>
      <c r="P157" s="151">
        <v>0</v>
      </c>
      <c r="Q157" s="151">
        <v>0</v>
      </c>
      <c r="R157" s="151">
        <f>SUM(O157:Q157)</f>
        <v>21</v>
      </c>
      <c r="S157" s="142">
        <v>20</v>
      </c>
      <c r="T157" s="145" t="s">
        <v>521</v>
      </c>
    </row>
    <row r="158" spans="1:20" ht="22.5" hidden="1" customHeight="1" x14ac:dyDescent="0.25">
      <c r="A158" s="152" t="s">
        <v>2581</v>
      </c>
      <c r="B158" s="142">
        <v>2020</v>
      </c>
      <c r="C158" s="142" t="s">
        <v>20</v>
      </c>
      <c r="D158" s="142" t="s">
        <v>522</v>
      </c>
      <c r="E158" s="143" t="s">
        <v>523</v>
      </c>
      <c r="F158" s="144" t="s">
        <v>22</v>
      </c>
      <c r="G158" s="145" t="s">
        <v>34</v>
      </c>
      <c r="H158" s="146" t="s">
        <v>524</v>
      </c>
      <c r="I158" s="147">
        <v>43859</v>
      </c>
      <c r="J158" s="147">
        <v>43859</v>
      </c>
      <c r="K158" s="142" t="s">
        <v>25</v>
      </c>
      <c r="L158" s="148">
        <v>0</v>
      </c>
      <c r="M158" s="149">
        <v>4.8499999999999996</v>
      </c>
      <c r="N158" s="150">
        <v>30</v>
      </c>
      <c r="O158" s="151">
        <v>13</v>
      </c>
      <c r="P158" s="151">
        <v>0</v>
      </c>
      <c r="Q158" s="151">
        <v>0</v>
      </c>
      <c r="R158" s="151">
        <f>SUM(O158:Q158)</f>
        <v>13</v>
      </c>
      <c r="S158" s="142">
        <v>2</v>
      </c>
      <c r="T158" s="145" t="s">
        <v>525</v>
      </c>
    </row>
    <row r="159" spans="1:20" ht="22.5" hidden="1" customHeight="1" x14ac:dyDescent="0.25">
      <c r="A159" s="152" t="s">
        <v>2582</v>
      </c>
      <c r="B159" s="142">
        <v>2020</v>
      </c>
      <c r="C159" s="142" t="s">
        <v>20</v>
      </c>
      <c r="D159" s="142" t="s">
        <v>526</v>
      </c>
      <c r="E159" s="143" t="s">
        <v>527</v>
      </c>
      <c r="F159" s="144" t="s">
        <v>22</v>
      </c>
      <c r="G159" s="145" t="s">
        <v>23</v>
      </c>
      <c r="H159" s="146" t="s">
        <v>528</v>
      </c>
      <c r="I159" s="147">
        <v>43894</v>
      </c>
      <c r="J159" s="147">
        <v>43895</v>
      </c>
      <c r="K159" s="142" t="s">
        <v>32</v>
      </c>
      <c r="L159" s="148">
        <v>0</v>
      </c>
      <c r="M159" s="149">
        <v>4.32</v>
      </c>
      <c r="N159" s="150">
        <v>100</v>
      </c>
      <c r="O159" s="151">
        <v>39</v>
      </c>
      <c r="P159" s="151">
        <v>0</v>
      </c>
      <c r="Q159" s="151">
        <v>78</v>
      </c>
      <c r="R159" s="151">
        <f>SUM(O159:Q159)</f>
        <v>117</v>
      </c>
      <c r="S159" s="142">
        <v>14</v>
      </c>
      <c r="T159" s="145" t="s">
        <v>365</v>
      </c>
    </row>
    <row r="160" spans="1:20" ht="22.5" hidden="1" customHeight="1" x14ac:dyDescent="0.25">
      <c r="A160" s="152" t="s">
        <v>2583</v>
      </c>
      <c r="B160" s="142">
        <v>2020</v>
      </c>
      <c r="C160" s="142" t="s">
        <v>20</v>
      </c>
      <c r="D160" s="142" t="s">
        <v>518</v>
      </c>
      <c r="E160" s="143" t="s">
        <v>529</v>
      </c>
      <c r="F160" s="144" t="s">
        <v>22</v>
      </c>
      <c r="G160" s="145" t="s">
        <v>30</v>
      </c>
      <c r="H160" s="146" t="s">
        <v>530</v>
      </c>
      <c r="I160" s="147">
        <v>43899</v>
      </c>
      <c r="J160" s="147">
        <v>43951</v>
      </c>
      <c r="K160" s="142" t="s">
        <v>25</v>
      </c>
      <c r="L160" s="148">
        <v>1780.95</v>
      </c>
      <c r="M160" s="149">
        <v>4.2</v>
      </c>
      <c r="N160" s="150">
        <v>20</v>
      </c>
      <c r="O160" s="151">
        <v>20</v>
      </c>
      <c r="P160" s="151">
        <v>0</v>
      </c>
      <c r="Q160" s="151">
        <v>0</v>
      </c>
      <c r="R160" s="151">
        <f>SUM(O160:Q160)</f>
        <v>20</v>
      </c>
      <c r="S160" s="142">
        <v>20</v>
      </c>
      <c r="T160" s="145" t="s">
        <v>521</v>
      </c>
    </row>
    <row r="161" spans="1:20" ht="22.5" hidden="1" customHeight="1" x14ac:dyDescent="0.25">
      <c r="A161" s="152" t="s">
        <v>2584</v>
      </c>
      <c r="B161" s="142">
        <v>2020</v>
      </c>
      <c r="C161" s="142" t="s">
        <v>20</v>
      </c>
      <c r="D161" s="142" t="s">
        <v>531</v>
      </c>
      <c r="E161" s="143" t="s">
        <v>532</v>
      </c>
      <c r="F161" s="144" t="s">
        <v>22</v>
      </c>
      <c r="G161" s="145" t="s">
        <v>56</v>
      </c>
      <c r="H161" s="146" t="s">
        <v>533</v>
      </c>
      <c r="I161" s="147">
        <v>43927</v>
      </c>
      <c r="J161" s="147">
        <v>43943</v>
      </c>
      <c r="K161" s="142" t="s">
        <v>32</v>
      </c>
      <c r="L161" s="148">
        <f>4731.54+5384.88</f>
        <v>10116.42</v>
      </c>
      <c r="M161" s="149">
        <v>4.49</v>
      </c>
      <c r="N161" s="150">
        <v>20</v>
      </c>
      <c r="O161" s="151">
        <v>22</v>
      </c>
      <c r="P161" s="151">
        <v>0</v>
      </c>
      <c r="Q161" s="151">
        <v>0</v>
      </c>
      <c r="R161" s="151">
        <f>SUM(O161:Q161)</f>
        <v>22</v>
      </c>
      <c r="S161" s="142">
        <v>24</v>
      </c>
      <c r="T161" s="145" t="s">
        <v>534</v>
      </c>
    </row>
    <row r="162" spans="1:20" ht="22.5" hidden="1" customHeight="1" x14ac:dyDescent="0.25">
      <c r="A162" s="152" t="s">
        <v>2585</v>
      </c>
      <c r="B162" s="142">
        <v>2020</v>
      </c>
      <c r="C162" s="142" t="s">
        <v>20</v>
      </c>
      <c r="D162" s="142" t="s">
        <v>535</v>
      </c>
      <c r="E162" s="143" t="s">
        <v>536</v>
      </c>
      <c r="F162" s="144" t="s">
        <v>22</v>
      </c>
      <c r="G162" s="145" t="s">
        <v>30</v>
      </c>
      <c r="H162" s="146" t="s">
        <v>537</v>
      </c>
      <c r="I162" s="147">
        <v>43941</v>
      </c>
      <c r="J162" s="147">
        <v>43945</v>
      </c>
      <c r="K162" s="142" t="s">
        <v>32</v>
      </c>
      <c r="L162" s="148">
        <v>5384.88</v>
      </c>
      <c r="M162" s="149">
        <v>4.1100000000000003</v>
      </c>
      <c r="N162" s="150">
        <v>20</v>
      </c>
      <c r="O162" s="151">
        <v>21</v>
      </c>
      <c r="P162" s="151">
        <v>0</v>
      </c>
      <c r="Q162" s="151">
        <v>0</v>
      </c>
      <c r="R162" s="151">
        <f>SUM(O162:Q162)</f>
        <v>21</v>
      </c>
      <c r="S162" s="142">
        <v>12</v>
      </c>
      <c r="T162" s="153" t="s">
        <v>167</v>
      </c>
    </row>
    <row r="163" spans="1:20" ht="22.5" hidden="1" customHeight="1" x14ac:dyDescent="0.25">
      <c r="A163" s="152" t="s">
        <v>2586</v>
      </c>
      <c r="B163" s="142">
        <v>2020</v>
      </c>
      <c r="C163" s="142" t="s">
        <v>20</v>
      </c>
      <c r="D163" s="142" t="s">
        <v>538</v>
      </c>
      <c r="E163" s="143" t="s">
        <v>539</v>
      </c>
      <c r="F163" s="144" t="s">
        <v>22</v>
      </c>
      <c r="G163" s="145" t="s">
        <v>157</v>
      </c>
      <c r="H163" s="146" t="s">
        <v>540</v>
      </c>
      <c r="I163" s="147">
        <v>43966</v>
      </c>
      <c r="J163" s="147">
        <v>43966</v>
      </c>
      <c r="K163" s="142" t="s">
        <v>32</v>
      </c>
      <c r="L163" s="148">
        <v>591.44000000000005</v>
      </c>
      <c r="M163" s="149">
        <v>5</v>
      </c>
      <c r="N163" s="150">
        <v>59</v>
      </c>
      <c r="O163" s="151">
        <v>59</v>
      </c>
      <c r="P163" s="151">
        <v>0</v>
      </c>
      <c r="Q163" s="151">
        <v>0</v>
      </c>
      <c r="R163" s="151">
        <f>SUM(O163:Q163)</f>
        <v>59</v>
      </c>
      <c r="S163" s="142">
        <v>1.5</v>
      </c>
      <c r="T163" s="145" t="s">
        <v>472</v>
      </c>
    </row>
    <row r="164" spans="1:20" ht="22.5" hidden="1" customHeight="1" x14ac:dyDescent="0.25">
      <c r="A164" s="152" t="s">
        <v>2587</v>
      </c>
      <c r="B164" s="142">
        <v>2020</v>
      </c>
      <c r="C164" s="142" t="s">
        <v>20</v>
      </c>
      <c r="D164" s="142" t="s">
        <v>541</v>
      </c>
      <c r="E164" s="143" t="s">
        <v>542</v>
      </c>
      <c r="F164" s="144" t="s">
        <v>22</v>
      </c>
      <c r="G164" s="145" t="s">
        <v>30</v>
      </c>
      <c r="H164" s="146" t="s">
        <v>543</v>
      </c>
      <c r="I164" s="147">
        <v>43969</v>
      </c>
      <c r="J164" s="147">
        <v>43977</v>
      </c>
      <c r="K164" s="142" t="s">
        <v>25</v>
      </c>
      <c r="L164" s="148">
        <v>2125.29</v>
      </c>
      <c r="M164" s="149">
        <v>4.8</v>
      </c>
      <c r="N164" s="150">
        <v>20</v>
      </c>
      <c r="O164" s="151">
        <v>24</v>
      </c>
      <c r="P164" s="151">
        <v>0</v>
      </c>
      <c r="Q164" s="151">
        <v>0</v>
      </c>
      <c r="R164" s="151">
        <f>SUM(O164:Q164)</f>
        <v>24</v>
      </c>
      <c r="S164" s="142">
        <v>20</v>
      </c>
      <c r="T164" s="145" t="s">
        <v>521</v>
      </c>
    </row>
    <row r="165" spans="1:20" ht="22.5" hidden="1" customHeight="1" x14ac:dyDescent="0.25">
      <c r="A165" s="152" t="s">
        <v>2588</v>
      </c>
      <c r="B165" s="142">
        <v>2020</v>
      </c>
      <c r="C165" s="142" t="s">
        <v>20</v>
      </c>
      <c r="D165" s="142" t="s">
        <v>538</v>
      </c>
      <c r="E165" s="143" t="s">
        <v>544</v>
      </c>
      <c r="F165" s="144" t="s">
        <v>22</v>
      </c>
      <c r="G165" s="145" t="s">
        <v>157</v>
      </c>
      <c r="H165" s="146" t="s">
        <v>545</v>
      </c>
      <c r="I165" s="147">
        <v>43980</v>
      </c>
      <c r="J165" s="147">
        <v>43980</v>
      </c>
      <c r="K165" s="142" t="s">
        <v>32</v>
      </c>
      <c r="L165" s="148">
        <v>591.44000000000005</v>
      </c>
      <c r="M165" s="149">
        <v>5</v>
      </c>
      <c r="N165" s="150">
        <v>41</v>
      </c>
      <c r="O165" s="151">
        <v>41</v>
      </c>
      <c r="P165" s="151">
        <v>0</v>
      </c>
      <c r="Q165" s="151">
        <v>0</v>
      </c>
      <c r="R165" s="151">
        <f>SUM(O165:Q165)</f>
        <v>41</v>
      </c>
      <c r="S165" s="142">
        <v>1.5</v>
      </c>
      <c r="T165" s="145" t="s">
        <v>546</v>
      </c>
    </row>
    <row r="166" spans="1:20" ht="22.5" hidden="1" customHeight="1" x14ac:dyDescent="0.25">
      <c r="A166" s="152" t="s">
        <v>2589</v>
      </c>
      <c r="B166" s="142">
        <v>2020</v>
      </c>
      <c r="C166" s="142" t="s">
        <v>20</v>
      </c>
      <c r="D166" s="142" t="s">
        <v>514</v>
      </c>
      <c r="E166" s="143" t="s">
        <v>547</v>
      </c>
      <c r="F166" s="144" t="s">
        <v>22</v>
      </c>
      <c r="G166" s="145" t="s">
        <v>353</v>
      </c>
      <c r="H166" s="146" t="s">
        <v>548</v>
      </c>
      <c r="I166" s="147">
        <v>43987</v>
      </c>
      <c r="J166" s="147">
        <v>43987</v>
      </c>
      <c r="K166" s="142" t="s">
        <v>25</v>
      </c>
      <c r="L166" s="148">
        <v>0</v>
      </c>
      <c r="M166" s="149">
        <v>5</v>
      </c>
      <c r="N166" s="150">
        <v>35</v>
      </c>
      <c r="O166" s="151">
        <v>35</v>
      </c>
      <c r="P166" s="151">
        <v>0</v>
      </c>
      <c r="Q166" s="151">
        <v>0</v>
      </c>
      <c r="R166" s="151">
        <f>SUM(O166:Q166)</f>
        <v>35</v>
      </c>
      <c r="S166" s="142">
        <v>1.5</v>
      </c>
      <c r="T166" s="145" t="s">
        <v>517</v>
      </c>
    </row>
    <row r="167" spans="1:20" ht="22.5" hidden="1" customHeight="1" x14ac:dyDescent="0.25">
      <c r="A167" s="152" t="s">
        <v>2590</v>
      </c>
      <c r="B167" s="142">
        <v>2020</v>
      </c>
      <c r="C167" s="142" t="s">
        <v>20</v>
      </c>
      <c r="D167" s="142" t="s">
        <v>549</v>
      </c>
      <c r="E167" s="143" t="s">
        <v>550</v>
      </c>
      <c r="F167" s="144" t="s">
        <v>22</v>
      </c>
      <c r="G167" s="145" t="s">
        <v>23</v>
      </c>
      <c r="H167" s="146" t="s">
        <v>551</v>
      </c>
      <c r="I167" s="147">
        <v>43990</v>
      </c>
      <c r="J167" s="147">
        <v>43994</v>
      </c>
      <c r="K167" s="142" t="s">
        <v>32</v>
      </c>
      <c r="L167" s="148">
        <v>6308.72</v>
      </c>
      <c r="M167" s="149">
        <v>4.6500000000000004</v>
      </c>
      <c r="N167" s="150">
        <v>20</v>
      </c>
      <c r="O167" s="151">
        <v>15</v>
      </c>
      <c r="P167" s="151">
        <v>0</v>
      </c>
      <c r="Q167" s="151">
        <v>0</v>
      </c>
      <c r="R167" s="151">
        <f>SUM(O167:Q167)</f>
        <v>15</v>
      </c>
      <c r="S167" s="142">
        <v>16</v>
      </c>
      <c r="T167" s="145" t="s">
        <v>441</v>
      </c>
    </row>
    <row r="168" spans="1:20" ht="22.5" hidden="1" customHeight="1" x14ac:dyDescent="0.25">
      <c r="A168" s="152" t="s">
        <v>2591</v>
      </c>
      <c r="B168" s="142">
        <v>2020</v>
      </c>
      <c r="C168" s="142" t="s">
        <v>20</v>
      </c>
      <c r="D168" s="142" t="s">
        <v>552</v>
      </c>
      <c r="E168" s="143" t="s">
        <v>553</v>
      </c>
      <c r="F168" s="144" t="s">
        <v>22</v>
      </c>
      <c r="G168" s="145" t="s">
        <v>30</v>
      </c>
      <c r="H168" s="146" t="s">
        <v>554</v>
      </c>
      <c r="I168" s="147">
        <v>43997</v>
      </c>
      <c r="J168" s="147">
        <v>44006</v>
      </c>
      <c r="K168" s="142" t="s">
        <v>32</v>
      </c>
      <c r="L168" s="148">
        <v>7179.84</v>
      </c>
      <c r="M168" s="149">
        <v>3.82</v>
      </c>
      <c r="N168" s="150">
        <v>20</v>
      </c>
      <c r="O168" s="151">
        <v>23</v>
      </c>
      <c r="P168" s="151">
        <v>0</v>
      </c>
      <c r="Q168" s="151">
        <v>0</v>
      </c>
      <c r="R168" s="151">
        <f>SUM(O168:Q168)</f>
        <v>23</v>
      </c>
      <c r="S168" s="142">
        <v>16</v>
      </c>
      <c r="T168" s="153" t="s">
        <v>167</v>
      </c>
    </row>
    <row r="169" spans="1:20" ht="22.5" hidden="1" customHeight="1" x14ac:dyDescent="0.25">
      <c r="A169" s="152" t="s">
        <v>2592</v>
      </c>
      <c r="B169" s="142">
        <v>2020</v>
      </c>
      <c r="C169" s="142" t="s">
        <v>20</v>
      </c>
      <c r="D169" s="142" t="s">
        <v>555</v>
      </c>
      <c r="E169" s="143" t="s">
        <v>556</v>
      </c>
      <c r="F169" s="144" t="s">
        <v>22</v>
      </c>
      <c r="G169" s="145" t="s">
        <v>56</v>
      </c>
      <c r="H169" s="146" t="s">
        <v>557</v>
      </c>
      <c r="I169" s="147">
        <v>43998</v>
      </c>
      <c r="J169" s="147">
        <v>43998</v>
      </c>
      <c r="K169" s="142" t="s">
        <v>25</v>
      </c>
      <c r="L169" s="148">
        <v>0</v>
      </c>
      <c r="M169" s="149">
        <v>4.8</v>
      </c>
      <c r="N169" s="150">
        <v>36</v>
      </c>
      <c r="O169" s="151">
        <v>36</v>
      </c>
      <c r="P169" s="151">
        <v>0</v>
      </c>
      <c r="Q169" s="151">
        <v>0</v>
      </c>
      <c r="R169" s="151">
        <f>SUM(O169:Q169)</f>
        <v>36</v>
      </c>
      <c r="S169" s="142">
        <v>1.5</v>
      </c>
      <c r="T169" s="145" t="s">
        <v>558</v>
      </c>
    </row>
    <row r="170" spans="1:20" ht="22.5" hidden="1" customHeight="1" x14ac:dyDescent="0.25">
      <c r="A170" s="152" t="s">
        <v>2593</v>
      </c>
      <c r="B170" s="142">
        <v>2020</v>
      </c>
      <c r="C170" s="142" t="s">
        <v>20</v>
      </c>
      <c r="D170" s="142" t="s">
        <v>555</v>
      </c>
      <c r="E170" s="143" t="s">
        <v>559</v>
      </c>
      <c r="F170" s="144" t="s">
        <v>22</v>
      </c>
      <c r="G170" s="145" t="s">
        <v>56</v>
      </c>
      <c r="H170" s="146" t="s">
        <v>560</v>
      </c>
      <c r="I170" s="147">
        <v>44012</v>
      </c>
      <c r="J170" s="147">
        <v>44012</v>
      </c>
      <c r="K170" s="142" t="s">
        <v>25</v>
      </c>
      <c r="L170" s="148">
        <v>0</v>
      </c>
      <c r="M170" s="149">
        <v>4.8600000000000003</v>
      </c>
      <c r="N170" s="150">
        <v>42</v>
      </c>
      <c r="O170" s="155">
        <v>84</v>
      </c>
      <c r="P170" s="151">
        <v>0</v>
      </c>
      <c r="Q170" s="151">
        <v>0</v>
      </c>
      <c r="R170" s="151">
        <f>SUM(O170:Q170)</f>
        <v>84</v>
      </c>
      <c r="S170" s="142">
        <v>1.5</v>
      </c>
      <c r="T170" s="145" t="s">
        <v>558</v>
      </c>
    </row>
    <row r="171" spans="1:20" ht="22.5" hidden="1" customHeight="1" x14ac:dyDescent="0.25">
      <c r="A171" s="152" t="s">
        <v>2594</v>
      </c>
      <c r="B171" s="142">
        <v>2020</v>
      </c>
      <c r="C171" s="142" t="s">
        <v>20</v>
      </c>
      <c r="D171" s="142" t="s">
        <v>555</v>
      </c>
      <c r="E171" s="143" t="s">
        <v>561</v>
      </c>
      <c r="F171" s="144" t="s">
        <v>22</v>
      </c>
      <c r="G171" s="145" t="s">
        <v>56</v>
      </c>
      <c r="H171" s="146" t="s">
        <v>562</v>
      </c>
      <c r="I171" s="147">
        <v>44019</v>
      </c>
      <c r="J171" s="147">
        <v>44019</v>
      </c>
      <c r="K171" s="142" t="s">
        <v>25</v>
      </c>
      <c r="L171" s="148">
        <v>0</v>
      </c>
      <c r="M171" s="149">
        <v>4.76</v>
      </c>
      <c r="N171" s="150">
        <v>40</v>
      </c>
      <c r="O171" s="151">
        <v>40</v>
      </c>
      <c r="P171" s="151">
        <v>0</v>
      </c>
      <c r="Q171" s="151">
        <v>0</v>
      </c>
      <c r="R171" s="151">
        <f>SUM(O171:Q171)</f>
        <v>40</v>
      </c>
      <c r="S171" s="142">
        <v>1.5</v>
      </c>
      <c r="T171" s="145" t="s">
        <v>563</v>
      </c>
    </row>
    <row r="172" spans="1:20" ht="22.5" hidden="1" customHeight="1" x14ac:dyDescent="0.25">
      <c r="A172" s="152" t="s">
        <v>2595</v>
      </c>
      <c r="B172" s="142">
        <v>2020</v>
      </c>
      <c r="C172" s="142" t="s">
        <v>20</v>
      </c>
      <c r="D172" s="142" t="s">
        <v>555</v>
      </c>
      <c r="E172" s="143" t="s">
        <v>564</v>
      </c>
      <c r="F172" s="144" t="s">
        <v>22</v>
      </c>
      <c r="G172" s="145" t="s">
        <v>56</v>
      </c>
      <c r="H172" s="146" t="s">
        <v>565</v>
      </c>
      <c r="I172" s="147">
        <v>44047</v>
      </c>
      <c r="J172" s="147">
        <v>44047</v>
      </c>
      <c r="K172" s="142" t="s">
        <v>25</v>
      </c>
      <c r="L172" s="148">
        <v>0</v>
      </c>
      <c r="M172" s="149">
        <v>4.5</v>
      </c>
      <c r="N172" s="150">
        <v>40</v>
      </c>
      <c r="O172" s="151">
        <v>40</v>
      </c>
      <c r="P172" s="151">
        <v>0</v>
      </c>
      <c r="Q172" s="151">
        <v>0</v>
      </c>
      <c r="R172" s="151">
        <f>SUM(O172:Q172)</f>
        <v>40</v>
      </c>
      <c r="S172" s="142">
        <v>1.5</v>
      </c>
      <c r="T172" s="145" t="s">
        <v>566</v>
      </c>
    </row>
    <row r="173" spans="1:20" ht="22.5" hidden="1" customHeight="1" x14ac:dyDescent="0.25">
      <c r="A173" s="152" t="s">
        <v>2596</v>
      </c>
      <c r="B173" s="142">
        <v>2020</v>
      </c>
      <c r="C173" s="142" t="s">
        <v>20</v>
      </c>
      <c r="D173" s="142" t="s">
        <v>555</v>
      </c>
      <c r="E173" s="143" t="s">
        <v>567</v>
      </c>
      <c r="F173" s="144" t="s">
        <v>22</v>
      </c>
      <c r="G173" s="145" t="s">
        <v>56</v>
      </c>
      <c r="H173" s="146" t="s">
        <v>568</v>
      </c>
      <c r="I173" s="147">
        <v>44054</v>
      </c>
      <c r="J173" s="147">
        <v>44054</v>
      </c>
      <c r="K173" s="142" t="s">
        <v>25</v>
      </c>
      <c r="L173" s="148">
        <v>0</v>
      </c>
      <c r="M173" s="149">
        <v>4.9000000000000004</v>
      </c>
      <c r="N173" s="150">
        <v>44</v>
      </c>
      <c r="O173" s="151">
        <v>44</v>
      </c>
      <c r="P173" s="151">
        <v>0</v>
      </c>
      <c r="Q173" s="151">
        <v>0</v>
      </c>
      <c r="R173" s="151">
        <f>SUM(O173:Q173)</f>
        <v>44</v>
      </c>
      <c r="S173" s="142">
        <v>1.5</v>
      </c>
      <c r="T173" s="145" t="s">
        <v>569</v>
      </c>
    </row>
    <row r="174" spans="1:20" ht="22.5" hidden="1" customHeight="1" x14ac:dyDescent="0.25">
      <c r="A174" s="152" t="s">
        <v>2597</v>
      </c>
      <c r="B174" s="142">
        <v>2020</v>
      </c>
      <c r="C174" s="142" t="s">
        <v>20</v>
      </c>
      <c r="D174" s="142" t="s">
        <v>570</v>
      </c>
      <c r="E174" s="143" t="s">
        <v>571</v>
      </c>
      <c r="F174" s="144" t="s">
        <v>22</v>
      </c>
      <c r="G174" s="145" t="s">
        <v>56</v>
      </c>
      <c r="H174" s="146" t="s">
        <v>572</v>
      </c>
      <c r="I174" s="147">
        <v>44063</v>
      </c>
      <c r="J174" s="147">
        <v>44078</v>
      </c>
      <c r="K174" s="142" t="s">
        <v>25</v>
      </c>
      <c r="L174" s="148">
        <v>18000</v>
      </c>
      <c r="M174" s="149">
        <v>4.1500000000000004</v>
      </c>
      <c r="N174" s="150">
        <v>30</v>
      </c>
      <c r="O174" s="151">
        <v>31</v>
      </c>
      <c r="P174" s="151">
        <v>0</v>
      </c>
      <c r="Q174" s="151">
        <v>0</v>
      </c>
      <c r="R174" s="151">
        <f>SUM(O174:Q174)</f>
        <v>31</v>
      </c>
      <c r="S174" s="142">
        <v>24</v>
      </c>
      <c r="T174" s="145" t="s">
        <v>573</v>
      </c>
    </row>
    <row r="175" spans="1:20" ht="22.5" hidden="1" customHeight="1" x14ac:dyDescent="0.25">
      <c r="A175" s="152" t="s">
        <v>2598</v>
      </c>
      <c r="B175" s="142">
        <v>2020</v>
      </c>
      <c r="C175" s="142" t="s">
        <v>20</v>
      </c>
      <c r="D175" s="142" t="s">
        <v>574</v>
      </c>
      <c r="E175" s="143" t="s">
        <v>575</v>
      </c>
      <c r="F175" s="144" t="s">
        <v>22</v>
      </c>
      <c r="G175" s="145" t="s">
        <v>34</v>
      </c>
      <c r="H175" s="146" t="s">
        <v>576</v>
      </c>
      <c r="I175" s="147">
        <v>44102</v>
      </c>
      <c r="J175" s="147">
        <v>44112</v>
      </c>
      <c r="K175" s="142" t="s">
        <v>32</v>
      </c>
      <c r="L175" s="148">
        <v>6500</v>
      </c>
      <c r="M175" s="149">
        <v>4.68</v>
      </c>
      <c r="N175" s="150">
        <v>20</v>
      </c>
      <c r="O175" s="151">
        <v>29</v>
      </c>
      <c r="P175" s="151">
        <v>0</v>
      </c>
      <c r="Q175" s="151">
        <v>0</v>
      </c>
      <c r="R175" s="151">
        <f>SUM(O175:Q175)</f>
        <v>29</v>
      </c>
      <c r="S175" s="142">
        <v>15</v>
      </c>
      <c r="T175" s="145" t="s">
        <v>61</v>
      </c>
    </row>
    <row r="176" spans="1:20" ht="22.5" hidden="1" customHeight="1" x14ac:dyDescent="0.25">
      <c r="A176" s="152" t="s">
        <v>2599</v>
      </c>
      <c r="B176" s="142">
        <v>2020</v>
      </c>
      <c r="C176" s="142" t="s">
        <v>20</v>
      </c>
      <c r="D176" s="142" t="s">
        <v>577</v>
      </c>
      <c r="E176" s="143" t="s">
        <v>578</v>
      </c>
      <c r="F176" s="144" t="s">
        <v>66</v>
      </c>
      <c r="G176" s="145" t="s">
        <v>56</v>
      </c>
      <c r="H176" s="146" t="s">
        <v>579</v>
      </c>
      <c r="I176" s="147">
        <v>44158</v>
      </c>
      <c r="J176" s="147">
        <v>44162</v>
      </c>
      <c r="K176" s="142" t="s">
        <v>25</v>
      </c>
      <c r="L176" s="148">
        <v>0</v>
      </c>
      <c r="M176" s="149">
        <v>4.9000000000000004</v>
      </c>
      <c r="N176" s="150">
        <v>100</v>
      </c>
      <c r="O176" s="151">
        <v>22</v>
      </c>
      <c r="P176" s="151">
        <v>0</v>
      </c>
      <c r="Q176" s="151">
        <v>97</v>
      </c>
      <c r="R176" s="151">
        <f>SUM(O176:Q176)</f>
        <v>119</v>
      </c>
      <c r="S176" s="142">
        <v>10</v>
      </c>
      <c r="T176" s="145" t="s">
        <v>365</v>
      </c>
    </row>
    <row r="177" spans="1:20" ht="22.5" hidden="1" customHeight="1" x14ac:dyDescent="0.25">
      <c r="A177" s="152" t="s">
        <v>2600</v>
      </c>
      <c r="B177" s="142">
        <v>2021</v>
      </c>
      <c r="C177" s="142" t="s">
        <v>20</v>
      </c>
      <c r="D177" s="142" t="s">
        <v>580</v>
      </c>
      <c r="E177" s="143" t="s">
        <v>581</v>
      </c>
      <c r="F177" s="144" t="s">
        <v>178</v>
      </c>
      <c r="G177" s="145" t="s">
        <v>23</v>
      </c>
      <c r="H177" s="146" t="s">
        <v>582</v>
      </c>
      <c r="I177" s="147">
        <v>44229</v>
      </c>
      <c r="J177" s="147">
        <v>44229</v>
      </c>
      <c r="K177" s="142" t="s">
        <v>32</v>
      </c>
      <c r="L177" s="148">
        <f>1577.18/4</f>
        <v>394.29500000000002</v>
      </c>
      <c r="M177" s="149">
        <v>4.9000000000000004</v>
      </c>
      <c r="N177" s="150">
        <v>122</v>
      </c>
      <c r="O177" s="151">
        <v>55</v>
      </c>
      <c r="P177" s="151">
        <v>67</v>
      </c>
      <c r="Q177" s="151">
        <v>0</v>
      </c>
      <c r="R177" s="151">
        <f>SUM(O177:Q177)</f>
        <v>122</v>
      </c>
      <c r="S177" s="142">
        <v>1</v>
      </c>
      <c r="T177" s="145" t="s">
        <v>583</v>
      </c>
    </row>
    <row r="178" spans="1:20" ht="22.5" hidden="1" customHeight="1" x14ac:dyDescent="0.25">
      <c r="A178" s="152" t="s">
        <v>2601</v>
      </c>
      <c r="B178" s="142">
        <v>2021</v>
      </c>
      <c r="C178" s="142" t="s">
        <v>20</v>
      </c>
      <c r="D178" s="142" t="s">
        <v>580</v>
      </c>
      <c r="E178" s="143" t="s">
        <v>584</v>
      </c>
      <c r="F178" s="144" t="s">
        <v>178</v>
      </c>
      <c r="G178" s="145" t="s">
        <v>23</v>
      </c>
      <c r="H178" s="146" t="s">
        <v>585</v>
      </c>
      <c r="I178" s="147">
        <v>44236</v>
      </c>
      <c r="J178" s="147">
        <v>44236</v>
      </c>
      <c r="K178" s="142" t="s">
        <v>32</v>
      </c>
      <c r="L178" s="148">
        <f>1577.18/4</f>
        <v>394.29500000000002</v>
      </c>
      <c r="M178" s="149">
        <v>4.9000000000000004</v>
      </c>
      <c r="N178" s="150">
        <v>116</v>
      </c>
      <c r="O178" s="151">
        <v>54</v>
      </c>
      <c r="P178" s="151">
        <v>62</v>
      </c>
      <c r="Q178" s="151">
        <v>0</v>
      </c>
      <c r="R178" s="151">
        <f>SUM(O178:Q178)</f>
        <v>116</v>
      </c>
      <c r="S178" s="142">
        <v>1</v>
      </c>
      <c r="T178" s="145" t="s">
        <v>583</v>
      </c>
    </row>
    <row r="179" spans="1:20" ht="22.5" hidden="1" customHeight="1" x14ac:dyDescent="0.25">
      <c r="A179" s="152" t="s">
        <v>2602</v>
      </c>
      <c r="B179" s="142">
        <v>2021</v>
      </c>
      <c r="C179" s="142" t="s">
        <v>20</v>
      </c>
      <c r="D179" s="142" t="s">
        <v>580</v>
      </c>
      <c r="E179" s="143" t="s">
        <v>586</v>
      </c>
      <c r="F179" s="144" t="s">
        <v>178</v>
      </c>
      <c r="G179" s="145" t="s">
        <v>23</v>
      </c>
      <c r="H179" s="146" t="s">
        <v>587</v>
      </c>
      <c r="I179" s="147">
        <v>44250</v>
      </c>
      <c r="J179" s="147">
        <v>44250</v>
      </c>
      <c r="K179" s="142" t="s">
        <v>32</v>
      </c>
      <c r="L179" s="148">
        <f>1577.18/4</f>
        <v>394.29500000000002</v>
      </c>
      <c r="M179" s="149">
        <v>4.9000000000000004</v>
      </c>
      <c r="N179" s="150">
        <v>83</v>
      </c>
      <c r="O179" s="151">
        <v>48</v>
      </c>
      <c r="P179" s="151">
        <v>35</v>
      </c>
      <c r="Q179" s="151">
        <v>0</v>
      </c>
      <c r="R179" s="151">
        <f>SUM(O179:Q179)</f>
        <v>83</v>
      </c>
      <c r="S179" s="142">
        <v>1</v>
      </c>
      <c r="T179" s="145" t="s">
        <v>588</v>
      </c>
    </row>
    <row r="180" spans="1:20" ht="22.5" hidden="1" customHeight="1" x14ac:dyDescent="0.25">
      <c r="A180" s="152" t="s">
        <v>2603</v>
      </c>
      <c r="B180" s="142">
        <v>2021</v>
      </c>
      <c r="C180" s="142" t="s">
        <v>20</v>
      </c>
      <c r="D180" s="142" t="s">
        <v>580</v>
      </c>
      <c r="E180" s="143" t="s">
        <v>589</v>
      </c>
      <c r="F180" s="144" t="s">
        <v>178</v>
      </c>
      <c r="G180" s="145" t="s">
        <v>23</v>
      </c>
      <c r="H180" s="146" t="s">
        <v>590</v>
      </c>
      <c r="I180" s="147">
        <v>44257</v>
      </c>
      <c r="J180" s="147">
        <v>44257</v>
      </c>
      <c r="K180" s="142" t="s">
        <v>32</v>
      </c>
      <c r="L180" s="148">
        <v>1577.18</v>
      </c>
      <c r="M180" s="149">
        <v>4.7</v>
      </c>
      <c r="N180" s="150">
        <v>69</v>
      </c>
      <c r="O180" s="151">
        <v>47</v>
      </c>
      <c r="P180" s="151">
        <v>22</v>
      </c>
      <c r="Q180" s="151">
        <v>0</v>
      </c>
      <c r="R180" s="151">
        <f>SUM(O180:Q180)</f>
        <v>69</v>
      </c>
      <c r="S180" s="142">
        <v>1</v>
      </c>
      <c r="T180" s="145" t="s">
        <v>583</v>
      </c>
    </row>
    <row r="181" spans="1:20" ht="22.5" hidden="1" customHeight="1" x14ac:dyDescent="0.25">
      <c r="A181" s="152" t="s">
        <v>2604</v>
      </c>
      <c r="B181" s="142">
        <v>2021</v>
      </c>
      <c r="C181" s="142" t="s">
        <v>20</v>
      </c>
      <c r="D181" s="142" t="s">
        <v>591</v>
      </c>
      <c r="E181" s="143" t="s">
        <v>592</v>
      </c>
      <c r="F181" s="144" t="s">
        <v>22</v>
      </c>
      <c r="G181" s="145" t="s">
        <v>56</v>
      </c>
      <c r="H181" s="146" t="s">
        <v>593</v>
      </c>
      <c r="I181" s="147">
        <v>44259</v>
      </c>
      <c r="J181" s="147">
        <v>44260</v>
      </c>
      <c r="K181" s="142" t="s">
        <v>32</v>
      </c>
      <c r="L181" s="148">
        <v>813.65</v>
      </c>
      <c r="M181" s="149">
        <v>4.9000000000000004</v>
      </c>
      <c r="N181" s="150">
        <v>48</v>
      </c>
      <c r="O181" s="151">
        <v>48</v>
      </c>
      <c r="P181" s="151">
        <v>0</v>
      </c>
      <c r="Q181" s="151">
        <v>0</v>
      </c>
      <c r="R181" s="151">
        <f>SUM(O181:Q181)</f>
        <v>48</v>
      </c>
      <c r="S181" s="142">
        <v>2.5</v>
      </c>
      <c r="T181" s="145" t="s">
        <v>594</v>
      </c>
    </row>
    <row r="182" spans="1:20" ht="22.5" hidden="1" customHeight="1" x14ac:dyDescent="0.25">
      <c r="A182" s="152" t="s">
        <v>2605</v>
      </c>
      <c r="B182" s="142">
        <v>2021</v>
      </c>
      <c r="C182" s="142" t="s">
        <v>20</v>
      </c>
      <c r="D182" s="142" t="s">
        <v>514</v>
      </c>
      <c r="E182" s="143" t="s">
        <v>595</v>
      </c>
      <c r="F182" s="144" t="s">
        <v>22</v>
      </c>
      <c r="G182" s="145" t="s">
        <v>30</v>
      </c>
      <c r="H182" s="146" t="s">
        <v>596</v>
      </c>
      <c r="I182" s="147">
        <v>44265</v>
      </c>
      <c r="J182" s="147">
        <v>44265</v>
      </c>
      <c r="K182" s="142" t="s">
        <v>25</v>
      </c>
      <c r="L182" s="148">
        <v>0</v>
      </c>
      <c r="M182" s="149">
        <v>4.9000000000000004</v>
      </c>
      <c r="N182" s="150">
        <v>19</v>
      </c>
      <c r="O182" s="151">
        <v>19</v>
      </c>
      <c r="P182" s="151">
        <v>0</v>
      </c>
      <c r="Q182" s="151">
        <v>0</v>
      </c>
      <c r="R182" s="151">
        <f>SUM(O182:Q182)</f>
        <v>19</v>
      </c>
      <c r="S182" s="142">
        <v>1.5</v>
      </c>
      <c r="T182" s="153" t="s">
        <v>597</v>
      </c>
    </row>
    <row r="183" spans="1:20" ht="22.5" hidden="1" customHeight="1" x14ac:dyDescent="0.25">
      <c r="A183" s="152" t="s">
        <v>2606</v>
      </c>
      <c r="B183" s="142">
        <v>2021</v>
      </c>
      <c r="C183" s="142" t="s">
        <v>20</v>
      </c>
      <c r="D183" s="142" t="s">
        <v>598</v>
      </c>
      <c r="E183" s="143" t="s">
        <v>599</v>
      </c>
      <c r="F183" s="144" t="s">
        <v>66</v>
      </c>
      <c r="G183" s="145" t="s">
        <v>59</v>
      </c>
      <c r="H183" s="146" t="s">
        <v>600</v>
      </c>
      <c r="I183" s="147">
        <v>44280</v>
      </c>
      <c r="J183" s="147">
        <v>44280</v>
      </c>
      <c r="K183" s="142" t="s">
        <v>32</v>
      </c>
      <c r="L183" s="148">
        <v>600</v>
      </c>
      <c r="M183" s="149">
        <v>5</v>
      </c>
      <c r="N183" s="150">
        <v>73</v>
      </c>
      <c r="O183" s="151">
        <v>0</v>
      </c>
      <c r="P183" s="151">
        <v>0</v>
      </c>
      <c r="Q183" s="151">
        <v>73</v>
      </c>
      <c r="R183" s="151">
        <f>SUM(O183:Q183)</f>
        <v>73</v>
      </c>
      <c r="S183" s="142">
        <v>1.5</v>
      </c>
      <c r="T183" s="145" t="s">
        <v>76</v>
      </c>
    </row>
    <row r="184" spans="1:20" ht="22.5" hidden="1" customHeight="1" x14ac:dyDescent="0.25">
      <c r="A184" s="152" t="s">
        <v>2607</v>
      </c>
      <c r="B184" s="142">
        <v>2021</v>
      </c>
      <c r="C184" s="142" t="s">
        <v>20</v>
      </c>
      <c r="D184" s="142" t="s">
        <v>601</v>
      </c>
      <c r="E184" s="143" t="s">
        <v>602</v>
      </c>
      <c r="F184" s="144" t="s">
        <v>22</v>
      </c>
      <c r="G184" s="145" t="s">
        <v>353</v>
      </c>
      <c r="H184" s="146" t="s">
        <v>603</v>
      </c>
      <c r="I184" s="147">
        <v>44285</v>
      </c>
      <c r="J184" s="147">
        <v>44286</v>
      </c>
      <c r="K184" s="142" t="s">
        <v>32</v>
      </c>
      <c r="L184" s="148">
        <v>0</v>
      </c>
      <c r="M184" s="149">
        <v>4.5999999999999996</v>
      </c>
      <c r="N184" s="150">
        <v>94</v>
      </c>
      <c r="O184" s="151">
        <v>94</v>
      </c>
      <c r="P184" s="151">
        <v>0</v>
      </c>
      <c r="Q184" s="151">
        <v>0</v>
      </c>
      <c r="R184" s="151">
        <f>SUM(O184:Q184)</f>
        <v>94</v>
      </c>
      <c r="S184" s="142">
        <v>1</v>
      </c>
      <c r="T184" s="145" t="s">
        <v>604</v>
      </c>
    </row>
    <row r="185" spans="1:20" ht="22.5" hidden="1" customHeight="1" x14ac:dyDescent="0.25">
      <c r="A185" s="152" t="s">
        <v>2608</v>
      </c>
      <c r="B185" s="142">
        <v>2021</v>
      </c>
      <c r="C185" s="142" t="s">
        <v>20</v>
      </c>
      <c r="D185" s="142" t="s">
        <v>605</v>
      </c>
      <c r="E185" s="143" t="s">
        <v>282</v>
      </c>
      <c r="F185" s="144" t="s">
        <v>22</v>
      </c>
      <c r="G185" s="145" t="s">
        <v>283</v>
      </c>
      <c r="H185" s="146" t="s">
        <v>606</v>
      </c>
      <c r="I185" s="147">
        <v>44298</v>
      </c>
      <c r="J185" s="147">
        <v>44308</v>
      </c>
      <c r="K185" s="142" t="s">
        <v>32</v>
      </c>
      <c r="L185" s="148">
        <v>7885.9</v>
      </c>
      <c r="M185" s="149">
        <v>4.3</v>
      </c>
      <c r="N185" s="150">
        <v>42</v>
      </c>
      <c r="O185" s="151">
        <v>42</v>
      </c>
      <c r="P185" s="151">
        <v>0</v>
      </c>
      <c r="Q185" s="151">
        <v>0</v>
      </c>
      <c r="R185" s="151">
        <f>SUM(O185:Q185)</f>
        <v>42</v>
      </c>
      <c r="S185" s="142">
        <v>20</v>
      </c>
      <c r="T185" s="145" t="s">
        <v>607</v>
      </c>
    </row>
    <row r="186" spans="1:20" ht="22.5" hidden="1" customHeight="1" x14ac:dyDescent="0.25">
      <c r="A186" s="152" t="s">
        <v>2609</v>
      </c>
      <c r="B186" s="142">
        <v>2021</v>
      </c>
      <c r="C186" s="142" t="s">
        <v>20</v>
      </c>
      <c r="D186" s="142" t="s">
        <v>608</v>
      </c>
      <c r="E186" s="143" t="s">
        <v>609</v>
      </c>
      <c r="F186" s="144" t="s">
        <v>22</v>
      </c>
      <c r="G186" s="145" t="s">
        <v>157</v>
      </c>
      <c r="H186" s="146" t="s">
        <v>610</v>
      </c>
      <c r="I186" s="147">
        <v>44298</v>
      </c>
      <c r="J186" s="147">
        <v>44302</v>
      </c>
      <c r="K186" s="142" t="s">
        <v>25</v>
      </c>
      <c r="L186" s="148">
        <v>5980</v>
      </c>
      <c r="M186" s="149">
        <v>4.5999999999999996</v>
      </c>
      <c r="N186" s="150">
        <v>30</v>
      </c>
      <c r="O186" s="151">
        <v>32</v>
      </c>
      <c r="P186" s="151">
        <v>0</v>
      </c>
      <c r="Q186" s="151">
        <v>0</v>
      </c>
      <c r="R186" s="151">
        <f>SUM(O186:Q186)</f>
        <v>32</v>
      </c>
      <c r="S186" s="142">
        <v>15</v>
      </c>
      <c r="T186" s="145" t="s">
        <v>611</v>
      </c>
    </row>
    <row r="187" spans="1:20" ht="22.5" hidden="1" customHeight="1" x14ac:dyDescent="0.25">
      <c r="A187" s="152" t="s">
        <v>2610</v>
      </c>
      <c r="B187" s="142">
        <v>2021</v>
      </c>
      <c r="C187" s="142" t="s">
        <v>20</v>
      </c>
      <c r="D187" s="142" t="s">
        <v>612</v>
      </c>
      <c r="E187" s="143" t="s">
        <v>613</v>
      </c>
      <c r="F187" s="144" t="s">
        <v>22</v>
      </c>
      <c r="G187" s="145" t="s">
        <v>56</v>
      </c>
      <c r="H187" s="146" t="s">
        <v>614</v>
      </c>
      <c r="I187" s="147">
        <v>44312</v>
      </c>
      <c r="J187" s="147">
        <v>44316</v>
      </c>
      <c r="K187" s="142" t="s">
        <v>32</v>
      </c>
      <c r="L187" s="148">
        <v>5384.72</v>
      </c>
      <c r="M187" s="149">
        <v>4.5999999999999996</v>
      </c>
      <c r="N187" s="150">
        <v>20</v>
      </c>
      <c r="O187" s="151">
        <v>12</v>
      </c>
      <c r="P187" s="151">
        <v>10</v>
      </c>
      <c r="Q187" s="151">
        <v>0</v>
      </c>
      <c r="R187" s="151">
        <f>SUM(O187:Q187)</f>
        <v>22</v>
      </c>
      <c r="S187" s="142">
        <v>12</v>
      </c>
      <c r="T187" s="145" t="s">
        <v>425</v>
      </c>
    </row>
    <row r="188" spans="1:20" ht="22.5" hidden="1" customHeight="1" x14ac:dyDescent="0.25">
      <c r="A188" s="152" t="s">
        <v>2611</v>
      </c>
      <c r="B188" s="142">
        <v>2021</v>
      </c>
      <c r="C188" s="142" t="s">
        <v>20</v>
      </c>
      <c r="D188" s="142" t="s">
        <v>615</v>
      </c>
      <c r="E188" s="143" t="s">
        <v>616</v>
      </c>
      <c r="F188" s="144" t="s">
        <v>51</v>
      </c>
      <c r="G188" s="145" t="s">
        <v>59</v>
      </c>
      <c r="H188" s="146" t="s">
        <v>617</v>
      </c>
      <c r="I188" s="147">
        <v>44313</v>
      </c>
      <c r="J188" s="147">
        <v>44322</v>
      </c>
      <c r="K188" s="142" t="s">
        <v>32</v>
      </c>
      <c r="L188" s="148">
        <f>435.64+3285.26</f>
        <v>3720.9</v>
      </c>
      <c r="M188" s="149">
        <v>4.5</v>
      </c>
      <c r="N188" s="150">
        <v>590</v>
      </c>
      <c r="O188" s="151">
        <v>0</v>
      </c>
      <c r="P188" s="151">
        <v>590</v>
      </c>
      <c r="Q188" s="151">
        <v>0</v>
      </c>
      <c r="R188" s="151">
        <f>SUM(O188:Q188)</f>
        <v>590</v>
      </c>
      <c r="S188" s="142">
        <v>20</v>
      </c>
      <c r="T188" s="145" t="s">
        <v>618</v>
      </c>
    </row>
    <row r="189" spans="1:20" ht="22.5" hidden="1" customHeight="1" x14ac:dyDescent="0.25">
      <c r="A189" s="152" t="s">
        <v>2612</v>
      </c>
      <c r="B189" s="142">
        <v>2021</v>
      </c>
      <c r="C189" s="142" t="s">
        <v>20</v>
      </c>
      <c r="D189" s="142" t="s">
        <v>619</v>
      </c>
      <c r="E189" s="143" t="s">
        <v>505</v>
      </c>
      <c r="F189" s="144" t="s">
        <v>22</v>
      </c>
      <c r="G189" s="145" t="s">
        <v>56</v>
      </c>
      <c r="H189" s="146" t="s">
        <v>620</v>
      </c>
      <c r="I189" s="147">
        <v>44319</v>
      </c>
      <c r="J189" s="147">
        <v>44344</v>
      </c>
      <c r="K189" s="142" t="s">
        <v>32</v>
      </c>
      <c r="L189" s="148">
        <f>394*20</f>
        <v>7880</v>
      </c>
      <c r="M189" s="149">
        <v>4.7</v>
      </c>
      <c r="N189" s="150">
        <v>40</v>
      </c>
      <c r="O189" s="151">
        <v>41</v>
      </c>
      <c r="P189" s="151">
        <v>0</v>
      </c>
      <c r="Q189" s="151">
        <v>0</v>
      </c>
      <c r="R189" s="151">
        <f>SUM(O189:Q189)</f>
        <v>41</v>
      </c>
      <c r="S189" s="142">
        <v>20</v>
      </c>
      <c r="T189" s="145" t="s">
        <v>621</v>
      </c>
    </row>
    <row r="190" spans="1:20" ht="22.5" hidden="1" customHeight="1" x14ac:dyDescent="0.25">
      <c r="A190" s="152" t="s">
        <v>2613</v>
      </c>
      <c r="B190" s="142">
        <v>2021</v>
      </c>
      <c r="C190" s="142" t="s">
        <v>20</v>
      </c>
      <c r="D190" s="142" t="s">
        <v>622</v>
      </c>
      <c r="E190" s="143" t="s">
        <v>623</v>
      </c>
      <c r="F190" s="144" t="s">
        <v>22</v>
      </c>
      <c r="G190" s="145" t="s">
        <v>353</v>
      </c>
      <c r="H190" s="156">
        <v>44382</v>
      </c>
      <c r="I190" s="147">
        <v>44323</v>
      </c>
      <c r="J190" s="147">
        <v>44323</v>
      </c>
      <c r="K190" s="142" t="s">
        <v>25</v>
      </c>
      <c r="L190" s="148">
        <v>0</v>
      </c>
      <c r="M190" s="149">
        <v>4.5999999999999996</v>
      </c>
      <c r="N190" s="150">
        <v>80</v>
      </c>
      <c r="O190" s="151">
        <v>80</v>
      </c>
      <c r="P190" s="151">
        <v>0</v>
      </c>
      <c r="Q190" s="151">
        <v>0</v>
      </c>
      <c r="R190" s="151">
        <f>SUM(O190:Q190)</f>
        <v>80</v>
      </c>
      <c r="S190" s="142">
        <v>1.5</v>
      </c>
      <c r="T190" s="145" t="s">
        <v>624</v>
      </c>
    </row>
    <row r="191" spans="1:20" ht="22.5" hidden="1" customHeight="1" x14ac:dyDescent="0.25">
      <c r="A191" s="152" t="s">
        <v>2614</v>
      </c>
      <c r="B191" s="142">
        <v>2021</v>
      </c>
      <c r="C191" s="142" t="s">
        <v>20</v>
      </c>
      <c r="D191" s="142" t="s">
        <v>625</v>
      </c>
      <c r="E191" s="143" t="s">
        <v>626</v>
      </c>
      <c r="F191" s="144" t="s">
        <v>66</v>
      </c>
      <c r="G191" s="145" t="s">
        <v>59</v>
      </c>
      <c r="H191" s="146" t="s">
        <v>627</v>
      </c>
      <c r="I191" s="147">
        <v>44325</v>
      </c>
      <c r="J191" s="147">
        <v>44325</v>
      </c>
      <c r="K191" s="142" t="s">
        <v>32</v>
      </c>
      <c r="L191" s="148">
        <f>11040</f>
        <v>11040</v>
      </c>
      <c r="M191" s="149">
        <v>5</v>
      </c>
      <c r="N191" s="150">
        <v>36</v>
      </c>
      <c r="O191" s="151">
        <v>0</v>
      </c>
      <c r="P191" s="151">
        <v>0</v>
      </c>
      <c r="Q191" s="151">
        <v>36</v>
      </c>
      <c r="R191" s="151">
        <f>SUM(O191:Q191)</f>
        <v>36</v>
      </c>
      <c r="S191" s="142">
        <v>2</v>
      </c>
      <c r="T191" s="145" t="s">
        <v>628</v>
      </c>
    </row>
    <row r="192" spans="1:20" ht="22.5" hidden="1" customHeight="1" x14ac:dyDescent="0.25">
      <c r="A192" s="152" t="s">
        <v>2615</v>
      </c>
      <c r="B192" s="142">
        <v>2021</v>
      </c>
      <c r="C192" s="142" t="s">
        <v>20</v>
      </c>
      <c r="D192" s="142" t="s">
        <v>629</v>
      </c>
      <c r="E192" s="143" t="s">
        <v>630</v>
      </c>
      <c r="F192" s="144" t="s">
        <v>22</v>
      </c>
      <c r="G192" s="145" t="s">
        <v>34</v>
      </c>
      <c r="H192" s="146" t="s">
        <v>631</v>
      </c>
      <c r="I192" s="147">
        <v>44326</v>
      </c>
      <c r="J192" s="147">
        <v>44330</v>
      </c>
      <c r="K192" s="142" t="s">
        <v>25</v>
      </c>
      <c r="L192" s="148">
        <v>19800</v>
      </c>
      <c r="M192" s="149">
        <v>4.5999999999999996</v>
      </c>
      <c r="N192" s="150">
        <v>80</v>
      </c>
      <c r="O192" s="151">
        <v>70</v>
      </c>
      <c r="P192" s="151">
        <v>0</v>
      </c>
      <c r="Q192" s="151">
        <v>0</v>
      </c>
      <c r="R192" s="151">
        <f>SUM(O192:Q192)</f>
        <v>70</v>
      </c>
      <c r="S192" s="142">
        <v>8</v>
      </c>
      <c r="T192" s="145" t="s">
        <v>632</v>
      </c>
    </row>
    <row r="193" spans="1:20" ht="22.5" hidden="1" customHeight="1" x14ac:dyDescent="0.25">
      <c r="A193" s="152" t="s">
        <v>2616</v>
      </c>
      <c r="B193" s="142">
        <v>2021</v>
      </c>
      <c r="C193" s="142" t="s">
        <v>20</v>
      </c>
      <c r="D193" s="142" t="s">
        <v>633</v>
      </c>
      <c r="E193" s="143" t="s">
        <v>634</v>
      </c>
      <c r="F193" s="144" t="s">
        <v>22</v>
      </c>
      <c r="G193" s="145" t="s">
        <v>157</v>
      </c>
      <c r="H193" s="146" t="s">
        <v>635</v>
      </c>
      <c r="I193" s="147">
        <v>44327</v>
      </c>
      <c r="J193" s="147">
        <v>44336</v>
      </c>
      <c r="K193" s="142" t="s">
        <v>25</v>
      </c>
      <c r="L193" s="148">
        <v>5980</v>
      </c>
      <c r="M193" s="149">
        <v>4.8</v>
      </c>
      <c r="N193" s="150">
        <v>30</v>
      </c>
      <c r="O193" s="151">
        <v>21</v>
      </c>
      <c r="P193" s="151">
        <v>0</v>
      </c>
      <c r="Q193" s="151">
        <v>0</v>
      </c>
      <c r="R193" s="151">
        <f>SUM(O193:Q193)</f>
        <v>21</v>
      </c>
      <c r="S193" s="142">
        <v>15</v>
      </c>
      <c r="T193" s="145" t="s">
        <v>636</v>
      </c>
    </row>
    <row r="194" spans="1:20" ht="22.5" hidden="1" customHeight="1" x14ac:dyDescent="0.25">
      <c r="A194" s="152" t="s">
        <v>2617</v>
      </c>
      <c r="B194" s="142">
        <v>2021</v>
      </c>
      <c r="C194" s="142" t="s">
        <v>20</v>
      </c>
      <c r="D194" s="142" t="s">
        <v>622</v>
      </c>
      <c r="E194" s="143" t="s">
        <v>637</v>
      </c>
      <c r="F194" s="144" t="s">
        <v>22</v>
      </c>
      <c r="G194" s="145" t="s">
        <v>34</v>
      </c>
      <c r="H194" s="146" t="s">
        <v>638</v>
      </c>
      <c r="I194" s="147">
        <v>44330</v>
      </c>
      <c r="J194" s="147">
        <v>44337</v>
      </c>
      <c r="K194" s="142" t="s">
        <v>25</v>
      </c>
      <c r="L194" s="148">
        <v>5800</v>
      </c>
      <c r="M194" s="149">
        <v>4.5</v>
      </c>
      <c r="N194" s="150">
        <v>24</v>
      </c>
      <c r="O194" s="151">
        <v>20</v>
      </c>
      <c r="P194" s="151">
        <v>0</v>
      </c>
      <c r="Q194" s="151">
        <v>0</v>
      </c>
      <c r="R194" s="151">
        <f>SUM(O194:Q194)</f>
        <v>20</v>
      </c>
      <c r="S194" s="142">
        <v>14</v>
      </c>
      <c r="T194" s="145" t="s">
        <v>624</v>
      </c>
    </row>
    <row r="195" spans="1:20" ht="22.5" hidden="1" customHeight="1" x14ac:dyDescent="0.25">
      <c r="A195" s="152" t="s">
        <v>2618</v>
      </c>
      <c r="B195" s="142">
        <v>2021</v>
      </c>
      <c r="C195" s="142" t="s">
        <v>20</v>
      </c>
      <c r="D195" s="142" t="s">
        <v>619</v>
      </c>
      <c r="E195" s="143" t="s">
        <v>512</v>
      </c>
      <c r="F195" s="144" t="s">
        <v>22</v>
      </c>
      <c r="G195" s="145" t="s">
        <v>56</v>
      </c>
      <c r="H195" s="146" t="s">
        <v>639</v>
      </c>
      <c r="I195" s="147">
        <v>44340</v>
      </c>
      <c r="J195" s="147">
        <v>44344</v>
      </c>
      <c r="K195" s="142" t="s">
        <v>32</v>
      </c>
      <c r="L195" s="148">
        <v>5914.42</v>
      </c>
      <c r="M195" s="149">
        <v>4.7</v>
      </c>
      <c r="N195" s="150">
        <v>20</v>
      </c>
      <c r="O195" s="151">
        <v>28</v>
      </c>
      <c r="P195" s="151">
        <v>0</v>
      </c>
      <c r="Q195" s="151">
        <v>0</v>
      </c>
      <c r="R195" s="151">
        <f>SUM(O195:Q195)</f>
        <v>28</v>
      </c>
      <c r="S195" s="142">
        <v>20</v>
      </c>
      <c r="T195" s="145" t="s">
        <v>621</v>
      </c>
    </row>
    <row r="196" spans="1:20" ht="22.5" hidden="1" customHeight="1" x14ac:dyDescent="0.25">
      <c r="A196" s="152" t="s">
        <v>2619</v>
      </c>
      <c r="B196" s="142">
        <v>2021</v>
      </c>
      <c r="C196" s="142" t="s">
        <v>20</v>
      </c>
      <c r="D196" s="142" t="s">
        <v>640</v>
      </c>
      <c r="E196" s="143" t="s">
        <v>532</v>
      </c>
      <c r="F196" s="144" t="s">
        <v>22</v>
      </c>
      <c r="G196" s="145" t="s">
        <v>56</v>
      </c>
      <c r="H196" s="146" t="s">
        <v>641</v>
      </c>
      <c r="I196" s="147">
        <v>44341</v>
      </c>
      <c r="J196" s="147">
        <v>44357</v>
      </c>
      <c r="K196" s="142" t="s">
        <v>32</v>
      </c>
      <c r="L196" s="148">
        <v>10116.42</v>
      </c>
      <c r="M196" s="149">
        <v>4.5999999999999996</v>
      </c>
      <c r="N196" s="150">
        <v>20</v>
      </c>
      <c r="O196" s="151">
        <v>19</v>
      </c>
      <c r="P196" s="151">
        <v>6</v>
      </c>
      <c r="Q196" s="151">
        <v>0</v>
      </c>
      <c r="R196" s="151">
        <f>SUM(O196:Q196)</f>
        <v>25</v>
      </c>
      <c r="S196" s="142">
        <v>24</v>
      </c>
      <c r="T196" s="145" t="s">
        <v>642</v>
      </c>
    </row>
    <row r="197" spans="1:20" ht="22.5" hidden="1" customHeight="1" x14ac:dyDescent="0.25">
      <c r="A197" s="152" t="s">
        <v>2620</v>
      </c>
      <c r="B197" s="142">
        <v>2021</v>
      </c>
      <c r="C197" s="142" t="s">
        <v>20</v>
      </c>
      <c r="D197" s="142" t="s">
        <v>643</v>
      </c>
      <c r="E197" s="143" t="s">
        <v>644</v>
      </c>
      <c r="F197" s="144" t="s">
        <v>22</v>
      </c>
      <c r="G197" s="145" t="s">
        <v>34</v>
      </c>
      <c r="H197" s="146" t="s">
        <v>645</v>
      </c>
      <c r="I197" s="147">
        <v>44347</v>
      </c>
      <c r="J197" s="147">
        <v>44375</v>
      </c>
      <c r="K197" s="142" t="s">
        <v>25</v>
      </c>
      <c r="L197" s="148">
        <v>35700</v>
      </c>
      <c r="M197" s="149">
        <v>5</v>
      </c>
      <c r="N197" s="150">
        <v>15</v>
      </c>
      <c r="O197" s="151">
        <v>14</v>
      </c>
      <c r="P197" s="151">
        <v>0</v>
      </c>
      <c r="Q197" s="151">
        <v>0</v>
      </c>
      <c r="R197" s="151">
        <f>SUM(O197:Q197)</f>
        <v>14</v>
      </c>
      <c r="S197" s="142">
        <v>12</v>
      </c>
      <c r="T197" s="145" t="s">
        <v>646</v>
      </c>
    </row>
    <row r="198" spans="1:20" ht="22.5" hidden="1" customHeight="1" x14ac:dyDescent="0.25">
      <c r="A198" s="152" t="s">
        <v>2621</v>
      </c>
      <c r="B198" s="142">
        <v>2021</v>
      </c>
      <c r="C198" s="142" t="s">
        <v>20</v>
      </c>
      <c r="D198" s="142" t="s">
        <v>647</v>
      </c>
      <c r="E198" s="143" t="s">
        <v>648</v>
      </c>
      <c r="F198" s="144" t="s">
        <v>22</v>
      </c>
      <c r="G198" s="145" t="s">
        <v>23</v>
      </c>
      <c r="H198" s="156">
        <v>44233</v>
      </c>
      <c r="I198" s="147">
        <v>44349</v>
      </c>
      <c r="J198" s="147">
        <v>44349</v>
      </c>
      <c r="K198" s="142" t="s">
        <v>32</v>
      </c>
      <c r="L198" s="148">
        <v>390</v>
      </c>
      <c r="M198" s="149">
        <v>5</v>
      </c>
      <c r="N198" s="150">
        <v>46</v>
      </c>
      <c r="O198" s="151">
        <v>46</v>
      </c>
      <c r="P198" s="151">
        <v>0</v>
      </c>
      <c r="Q198" s="151">
        <v>0</v>
      </c>
      <c r="R198" s="151">
        <f>SUM(O198:Q198)</f>
        <v>46</v>
      </c>
      <c r="S198" s="142">
        <v>2</v>
      </c>
      <c r="T198" s="145" t="s">
        <v>451</v>
      </c>
    </row>
    <row r="199" spans="1:20" ht="22.5" hidden="1" customHeight="1" x14ac:dyDescent="0.25">
      <c r="A199" s="152" t="s">
        <v>2622</v>
      </c>
      <c r="B199" s="142">
        <v>2021</v>
      </c>
      <c r="C199" s="142" t="s">
        <v>20</v>
      </c>
      <c r="D199" s="142" t="s">
        <v>649</v>
      </c>
      <c r="E199" s="143" t="s">
        <v>650</v>
      </c>
      <c r="F199" s="144" t="s">
        <v>22</v>
      </c>
      <c r="G199" s="145" t="s">
        <v>157</v>
      </c>
      <c r="H199" s="146" t="s">
        <v>651</v>
      </c>
      <c r="I199" s="147">
        <v>44358</v>
      </c>
      <c r="J199" s="147">
        <v>44358</v>
      </c>
      <c r="K199" s="142" t="s">
        <v>32</v>
      </c>
      <c r="L199" s="157">
        <v>0</v>
      </c>
      <c r="M199" s="149">
        <v>5</v>
      </c>
      <c r="N199" s="150">
        <v>98</v>
      </c>
      <c r="O199" s="151">
        <v>98</v>
      </c>
      <c r="P199" s="151">
        <v>0</v>
      </c>
      <c r="Q199" s="151">
        <v>0</v>
      </c>
      <c r="R199" s="151">
        <f>SUM(O199:Q199)</f>
        <v>98</v>
      </c>
      <c r="S199" s="142">
        <v>2</v>
      </c>
      <c r="T199" s="145" t="s">
        <v>652</v>
      </c>
    </row>
    <row r="200" spans="1:20" ht="22.5" hidden="1" customHeight="1" x14ac:dyDescent="0.25">
      <c r="A200" s="152" t="s">
        <v>2623</v>
      </c>
      <c r="B200" s="142">
        <v>2021</v>
      </c>
      <c r="C200" s="142" t="s">
        <v>20</v>
      </c>
      <c r="D200" s="142" t="s">
        <v>653</v>
      </c>
      <c r="E200" s="143" t="s">
        <v>654</v>
      </c>
      <c r="F200" s="144" t="s">
        <v>66</v>
      </c>
      <c r="G200" s="145" t="s">
        <v>59</v>
      </c>
      <c r="H200" s="146" t="s">
        <v>655</v>
      </c>
      <c r="I200" s="147">
        <v>44361</v>
      </c>
      <c r="J200" s="147">
        <v>44365</v>
      </c>
      <c r="K200" s="142" t="s">
        <v>32</v>
      </c>
      <c r="L200" s="148">
        <v>5384.88</v>
      </c>
      <c r="M200" s="149">
        <v>4.8</v>
      </c>
      <c r="N200" s="150">
        <v>40</v>
      </c>
      <c r="O200" s="151">
        <v>6</v>
      </c>
      <c r="P200" s="151">
        <v>0</v>
      </c>
      <c r="Q200" s="151">
        <v>44</v>
      </c>
      <c r="R200" s="151">
        <f>SUM(O200:Q200)</f>
        <v>50</v>
      </c>
      <c r="S200" s="142">
        <v>9</v>
      </c>
      <c r="T200" s="145" t="s">
        <v>656</v>
      </c>
    </row>
    <row r="201" spans="1:20" ht="22.5" hidden="1" customHeight="1" x14ac:dyDescent="0.25">
      <c r="A201" s="152" t="s">
        <v>2624</v>
      </c>
      <c r="B201" s="142">
        <v>2021</v>
      </c>
      <c r="C201" s="142" t="s">
        <v>20</v>
      </c>
      <c r="D201" s="142" t="s">
        <v>608</v>
      </c>
      <c r="E201" s="143" t="s">
        <v>657</v>
      </c>
      <c r="F201" s="144" t="s">
        <v>22</v>
      </c>
      <c r="G201" s="145" t="s">
        <v>157</v>
      </c>
      <c r="H201" s="146" t="s">
        <v>658</v>
      </c>
      <c r="I201" s="147">
        <v>44361</v>
      </c>
      <c r="J201" s="147">
        <v>44365</v>
      </c>
      <c r="K201" s="142" t="s">
        <v>25</v>
      </c>
      <c r="L201" s="148">
        <v>5980</v>
      </c>
      <c r="M201" s="149">
        <v>4.8</v>
      </c>
      <c r="N201" s="150">
        <v>30</v>
      </c>
      <c r="O201" s="151">
        <v>17</v>
      </c>
      <c r="P201" s="151">
        <v>0</v>
      </c>
      <c r="Q201" s="151">
        <v>0</v>
      </c>
      <c r="R201" s="151">
        <f>SUM(O201:Q201)</f>
        <v>17</v>
      </c>
      <c r="S201" s="142">
        <v>15</v>
      </c>
      <c r="T201" s="145" t="s">
        <v>611</v>
      </c>
    </row>
    <row r="202" spans="1:20" ht="22.5" hidden="1" customHeight="1" x14ac:dyDescent="0.25">
      <c r="A202" s="152" t="s">
        <v>2625</v>
      </c>
      <c r="B202" s="142">
        <v>2021</v>
      </c>
      <c r="C202" s="142" t="s">
        <v>20</v>
      </c>
      <c r="D202" s="142" t="s">
        <v>659</v>
      </c>
      <c r="E202" s="143" t="s">
        <v>660</v>
      </c>
      <c r="F202" s="144" t="s">
        <v>22</v>
      </c>
      <c r="G202" s="145" t="s">
        <v>34</v>
      </c>
      <c r="H202" s="146" t="s">
        <v>661</v>
      </c>
      <c r="I202" s="147">
        <v>44385</v>
      </c>
      <c r="J202" s="147">
        <v>44396</v>
      </c>
      <c r="K202" s="142" t="s">
        <v>25</v>
      </c>
      <c r="L202" s="157">
        <v>37800</v>
      </c>
      <c r="M202" s="149">
        <v>4.5999999999999996</v>
      </c>
      <c r="N202" s="150">
        <v>80</v>
      </c>
      <c r="O202" s="151">
        <v>43</v>
      </c>
      <c r="P202" s="151">
        <v>10</v>
      </c>
      <c r="Q202" s="151">
        <v>0</v>
      </c>
      <c r="R202" s="151">
        <f>SUM(O202:Q202)</f>
        <v>53</v>
      </c>
      <c r="S202" s="142">
        <v>8</v>
      </c>
      <c r="T202" s="145" t="s">
        <v>662</v>
      </c>
    </row>
    <row r="203" spans="1:20" ht="22.5" hidden="1" customHeight="1" x14ac:dyDescent="0.25">
      <c r="A203" s="152" t="s">
        <v>2626</v>
      </c>
      <c r="B203" s="142">
        <v>2021</v>
      </c>
      <c r="C203" s="142" t="s">
        <v>20</v>
      </c>
      <c r="D203" s="142" t="s">
        <v>633</v>
      </c>
      <c r="E203" s="143" t="s">
        <v>663</v>
      </c>
      <c r="F203" s="144" t="s">
        <v>22</v>
      </c>
      <c r="G203" s="145" t="s">
        <v>157</v>
      </c>
      <c r="H203" s="146" t="s">
        <v>664</v>
      </c>
      <c r="I203" s="147">
        <v>44389</v>
      </c>
      <c r="J203" s="147">
        <v>44393</v>
      </c>
      <c r="K203" s="142" t="s">
        <v>25</v>
      </c>
      <c r="L203" s="148">
        <v>5980</v>
      </c>
      <c r="M203" s="149">
        <v>4.5999999999999996</v>
      </c>
      <c r="N203" s="150">
        <v>30</v>
      </c>
      <c r="O203" s="151">
        <v>16</v>
      </c>
      <c r="P203" s="151">
        <v>0</v>
      </c>
      <c r="Q203" s="151">
        <v>0</v>
      </c>
      <c r="R203" s="151">
        <f>SUM(O203:Q203)</f>
        <v>16</v>
      </c>
      <c r="S203" s="142">
        <v>15</v>
      </c>
      <c r="T203" s="145" t="s">
        <v>636</v>
      </c>
    </row>
    <row r="204" spans="1:20" ht="22.5" hidden="1" customHeight="1" x14ac:dyDescent="0.25">
      <c r="A204" s="152" t="s">
        <v>2627</v>
      </c>
      <c r="B204" s="142">
        <v>2021</v>
      </c>
      <c r="C204" s="142" t="s">
        <v>20</v>
      </c>
      <c r="D204" s="142" t="s">
        <v>665</v>
      </c>
      <c r="E204" s="143" t="s">
        <v>666</v>
      </c>
      <c r="F204" s="144" t="s">
        <v>66</v>
      </c>
      <c r="G204" s="145" t="s">
        <v>59</v>
      </c>
      <c r="H204" s="146" t="s">
        <v>667</v>
      </c>
      <c r="I204" s="147">
        <v>44397</v>
      </c>
      <c r="J204" s="147">
        <v>44399</v>
      </c>
      <c r="K204" s="142" t="s">
        <v>25</v>
      </c>
      <c r="L204" s="148">
        <v>4750</v>
      </c>
      <c r="M204" s="149">
        <v>4.5999999999999996</v>
      </c>
      <c r="N204" s="150">
        <v>40</v>
      </c>
      <c r="O204" s="151">
        <v>0</v>
      </c>
      <c r="P204" s="151">
        <v>0</v>
      </c>
      <c r="Q204" s="151">
        <v>59</v>
      </c>
      <c r="R204" s="151">
        <f>SUM(O204:Q204)</f>
        <v>59</v>
      </c>
      <c r="S204" s="142">
        <v>12</v>
      </c>
      <c r="T204" s="145" t="s">
        <v>261</v>
      </c>
    </row>
    <row r="205" spans="1:20" ht="22.5" hidden="1" customHeight="1" x14ac:dyDescent="0.25">
      <c r="A205" s="152" t="s">
        <v>2628</v>
      </c>
      <c r="B205" s="142">
        <v>2021</v>
      </c>
      <c r="C205" s="142" t="s">
        <v>20</v>
      </c>
      <c r="D205" s="142" t="s">
        <v>649</v>
      </c>
      <c r="E205" s="143" t="s">
        <v>668</v>
      </c>
      <c r="F205" s="144" t="s">
        <v>22</v>
      </c>
      <c r="G205" s="145" t="s">
        <v>157</v>
      </c>
      <c r="H205" s="146" t="s">
        <v>669</v>
      </c>
      <c r="I205" s="147">
        <v>44400</v>
      </c>
      <c r="J205" s="147">
        <v>44400</v>
      </c>
      <c r="K205" s="142" t="s">
        <v>32</v>
      </c>
      <c r="L205" s="148">
        <v>0</v>
      </c>
      <c r="M205" s="149">
        <v>5</v>
      </c>
      <c r="N205" s="150">
        <v>76</v>
      </c>
      <c r="O205" s="151">
        <v>76</v>
      </c>
      <c r="P205" s="151">
        <v>0</v>
      </c>
      <c r="Q205" s="151">
        <v>0</v>
      </c>
      <c r="R205" s="151">
        <f>SUM(O205:Q205)</f>
        <v>76</v>
      </c>
      <c r="S205" s="142">
        <v>2</v>
      </c>
      <c r="T205" s="145" t="s">
        <v>652</v>
      </c>
    </row>
    <row r="206" spans="1:20" ht="22.5" hidden="1" customHeight="1" x14ac:dyDescent="0.25">
      <c r="A206" s="152" t="s">
        <v>2629</v>
      </c>
      <c r="B206" s="142">
        <v>2021</v>
      </c>
      <c r="C206" s="142" t="s">
        <v>20</v>
      </c>
      <c r="D206" s="142" t="s">
        <v>670</v>
      </c>
      <c r="E206" s="143" t="s">
        <v>671</v>
      </c>
      <c r="F206" s="144" t="s">
        <v>22</v>
      </c>
      <c r="G206" s="145" t="s">
        <v>23</v>
      </c>
      <c r="H206" s="156" t="s">
        <v>672</v>
      </c>
      <c r="I206" s="147">
        <v>44407</v>
      </c>
      <c r="J206" s="147">
        <v>44407</v>
      </c>
      <c r="K206" s="142" t="s">
        <v>32</v>
      </c>
      <c r="L206" s="148">
        <v>897.48</v>
      </c>
      <c r="M206" s="149">
        <v>5</v>
      </c>
      <c r="N206" s="150">
        <v>33</v>
      </c>
      <c r="O206" s="151">
        <v>33</v>
      </c>
      <c r="P206" s="151">
        <v>0</v>
      </c>
      <c r="Q206" s="151">
        <v>0</v>
      </c>
      <c r="R206" s="151">
        <f>SUM(O206:Q206)</f>
        <v>33</v>
      </c>
      <c r="S206" s="142">
        <v>2</v>
      </c>
      <c r="T206" s="153" t="s">
        <v>167</v>
      </c>
    </row>
    <row r="207" spans="1:20" ht="22.5" hidden="1" customHeight="1" x14ac:dyDescent="0.25">
      <c r="A207" s="152" t="s">
        <v>2630</v>
      </c>
      <c r="B207" s="142">
        <v>2021</v>
      </c>
      <c r="C207" s="142" t="s">
        <v>20</v>
      </c>
      <c r="D207" s="142" t="s">
        <v>673</v>
      </c>
      <c r="E207" s="143" t="s">
        <v>674</v>
      </c>
      <c r="F207" s="144" t="s">
        <v>22</v>
      </c>
      <c r="G207" s="145" t="s">
        <v>34</v>
      </c>
      <c r="H207" s="146" t="s">
        <v>675</v>
      </c>
      <c r="I207" s="147">
        <v>44413</v>
      </c>
      <c r="J207" s="147">
        <v>44414</v>
      </c>
      <c r="K207" s="142" t="s">
        <v>25</v>
      </c>
      <c r="L207" s="148">
        <v>19800</v>
      </c>
      <c r="M207" s="149">
        <v>4.5</v>
      </c>
      <c r="N207" s="150">
        <v>80</v>
      </c>
      <c r="O207" s="151">
        <v>16</v>
      </c>
      <c r="P207" s="151">
        <v>42</v>
      </c>
      <c r="Q207" s="151">
        <v>0</v>
      </c>
      <c r="R207" s="151">
        <f>SUM(O207:Q207)</f>
        <v>58</v>
      </c>
      <c r="S207" s="142">
        <v>8</v>
      </c>
      <c r="T207" s="145" t="s">
        <v>676</v>
      </c>
    </row>
    <row r="208" spans="1:20" ht="22.5" hidden="1" customHeight="1" x14ac:dyDescent="0.25">
      <c r="A208" s="152" t="s">
        <v>2631</v>
      </c>
      <c r="B208" s="142">
        <v>2021</v>
      </c>
      <c r="C208" s="142" t="s">
        <v>20</v>
      </c>
      <c r="D208" s="142" t="s">
        <v>653</v>
      </c>
      <c r="E208" s="143" t="s">
        <v>677</v>
      </c>
      <c r="F208" s="144" t="s">
        <v>66</v>
      </c>
      <c r="G208" s="145" t="s">
        <v>59</v>
      </c>
      <c r="H208" s="146" t="s">
        <v>678</v>
      </c>
      <c r="I208" s="147">
        <v>44417</v>
      </c>
      <c r="J208" s="147">
        <v>44421</v>
      </c>
      <c r="K208" s="142" t="s">
        <v>32</v>
      </c>
      <c r="L208" s="148">
        <v>5384.88</v>
      </c>
      <c r="M208" s="149">
        <v>4.5999999999999996</v>
      </c>
      <c r="N208" s="150">
        <v>40</v>
      </c>
      <c r="O208" s="151">
        <v>2</v>
      </c>
      <c r="P208" s="151">
        <v>21</v>
      </c>
      <c r="Q208" s="151">
        <v>37</v>
      </c>
      <c r="R208" s="151">
        <f>SUM(O208:Q208)</f>
        <v>60</v>
      </c>
      <c r="S208" s="142">
        <v>9</v>
      </c>
      <c r="T208" s="145" t="s">
        <v>656</v>
      </c>
    </row>
    <row r="209" spans="1:20" ht="22.5" hidden="1" customHeight="1" x14ac:dyDescent="0.25">
      <c r="A209" s="152" t="s">
        <v>2632</v>
      </c>
      <c r="B209" s="142">
        <v>2021</v>
      </c>
      <c r="C209" s="142" t="s">
        <v>20</v>
      </c>
      <c r="D209" s="142" t="s">
        <v>679</v>
      </c>
      <c r="E209" s="143" t="s">
        <v>680</v>
      </c>
      <c r="F209" s="144" t="s">
        <v>22</v>
      </c>
      <c r="G209" s="145" t="s">
        <v>30</v>
      </c>
      <c r="H209" s="146" t="s">
        <v>681</v>
      </c>
      <c r="I209" s="147">
        <v>44417</v>
      </c>
      <c r="J209" s="147">
        <v>44421</v>
      </c>
      <c r="K209" s="142" t="s">
        <v>25</v>
      </c>
      <c r="L209" s="148">
        <v>2125.79</v>
      </c>
      <c r="M209" s="149">
        <v>4.7</v>
      </c>
      <c r="N209" s="150">
        <v>20</v>
      </c>
      <c r="O209" s="151">
        <v>13</v>
      </c>
      <c r="P209" s="151">
        <v>0</v>
      </c>
      <c r="Q209" s="151">
        <v>0</v>
      </c>
      <c r="R209" s="151">
        <f>SUM(O209:Q209)</f>
        <v>13</v>
      </c>
      <c r="S209" s="142">
        <v>20</v>
      </c>
      <c r="T209" s="145" t="s">
        <v>521</v>
      </c>
    </row>
    <row r="210" spans="1:20" ht="22.5" hidden="1" customHeight="1" x14ac:dyDescent="0.25">
      <c r="A210" s="152" t="s">
        <v>2633</v>
      </c>
      <c r="B210" s="142">
        <v>2021</v>
      </c>
      <c r="C210" s="142" t="s">
        <v>20</v>
      </c>
      <c r="D210" s="142" t="s">
        <v>682</v>
      </c>
      <c r="E210" s="143" t="s">
        <v>683</v>
      </c>
      <c r="F210" s="144" t="s">
        <v>22</v>
      </c>
      <c r="G210" s="145" t="s">
        <v>30</v>
      </c>
      <c r="H210" s="146" t="s">
        <v>684</v>
      </c>
      <c r="I210" s="147">
        <v>44421</v>
      </c>
      <c r="J210" s="147">
        <v>44442</v>
      </c>
      <c r="K210" s="142" t="s">
        <v>25</v>
      </c>
      <c r="L210" s="148">
        <v>0</v>
      </c>
      <c r="M210" s="149">
        <v>3.5</v>
      </c>
      <c r="N210" s="150">
        <v>40</v>
      </c>
      <c r="O210" s="151">
        <v>14</v>
      </c>
      <c r="P210" s="151">
        <v>0</v>
      </c>
      <c r="Q210" s="151">
        <v>0</v>
      </c>
      <c r="R210" s="151">
        <f>SUM(O210:Q210)</f>
        <v>14</v>
      </c>
      <c r="S210" s="142">
        <v>8</v>
      </c>
      <c r="T210" s="145" t="s">
        <v>685</v>
      </c>
    </row>
    <row r="211" spans="1:20" ht="22.5" hidden="1" customHeight="1" x14ac:dyDescent="0.25">
      <c r="A211" s="152" t="s">
        <v>2634</v>
      </c>
      <c r="B211" s="142">
        <v>2021</v>
      </c>
      <c r="C211" s="142" t="s">
        <v>20</v>
      </c>
      <c r="D211" s="142" t="s">
        <v>686</v>
      </c>
      <c r="E211" s="143" t="s">
        <v>687</v>
      </c>
      <c r="F211" s="144" t="s">
        <v>51</v>
      </c>
      <c r="G211" s="145" t="s">
        <v>59</v>
      </c>
      <c r="H211" s="146" t="s">
        <v>688</v>
      </c>
      <c r="I211" s="147">
        <v>44424</v>
      </c>
      <c r="J211" s="147">
        <v>44427</v>
      </c>
      <c r="K211" s="142" t="s">
        <v>32</v>
      </c>
      <c r="L211" s="148">
        <v>9210.7800000000007</v>
      </c>
      <c r="M211" s="149">
        <v>4.5</v>
      </c>
      <c r="N211" s="150">
        <v>40</v>
      </c>
      <c r="O211" s="151">
        <v>1</v>
      </c>
      <c r="P211" s="151">
        <v>52</v>
      </c>
      <c r="Q211" s="151">
        <v>0</v>
      </c>
      <c r="R211" s="151">
        <f>SUM(O211:Q211)</f>
        <v>53</v>
      </c>
      <c r="S211" s="142">
        <v>16</v>
      </c>
      <c r="T211" s="145" t="s">
        <v>321</v>
      </c>
    </row>
    <row r="212" spans="1:20" ht="22.5" hidden="1" customHeight="1" x14ac:dyDescent="0.25">
      <c r="A212" s="152" t="s">
        <v>2635</v>
      </c>
      <c r="B212" s="142">
        <v>2021</v>
      </c>
      <c r="C212" s="142" t="s">
        <v>20</v>
      </c>
      <c r="D212" s="142" t="s">
        <v>689</v>
      </c>
      <c r="E212" s="143" t="s">
        <v>690</v>
      </c>
      <c r="F212" s="144" t="s">
        <v>22</v>
      </c>
      <c r="G212" s="145" t="s">
        <v>34</v>
      </c>
      <c r="H212" s="146" t="s">
        <v>691</v>
      </c>
      <c r="I212" s="147">
        <v>44431</v>
      </c>
      <c r="J212" s="147">
        <v>44431</v>
      </c>
      <c r="K212" s="142" t="s">
        <v>25</v>
      </c>
      <c r="L212" s="148">
        <v>0</v>
      </c>
      <c r="M212" s="149">
        <v>4.8</v>
      </c>
      <c r="N212" s="150">
        <v>105</v>
      </c>
      <c r="O212" s="151">
        <v>105</v>
      </c>
      <c r="P212" s="151">
        <v>0</v>
      </c>
      <c r="Q212" s="151">
        <v>0</v>
      </c>
      <c r="R212" s="151">
        <f>SUM(O212:Q212)</f>
        <v>105</v>
      </c>
      <c r="S212" s="142">
        <v>1.5</v>
      </c>
      <c r="T212" s="145" t="s">
        <v>692</v>
      </c>
    </row>
    <row r="213" spans="1:20" ht="22.5" hidden="1" customHeight="1" x14ac:dyDescent="0.25">
      <c r="A213" s="152" t="s">
        <v>2636</v>
      </c>
      <c r="B213" s="142">
        <v>2021</v>
      </c>
      <c r="C213" s="142" t="s">
        <v>20</v>
      </c>
      <c r="D213" s="142" t="s">
        <v>693</v>
      </c>
      <c r="E213" s="143" t="s">
        <v>694</v>
      </c>
      <c r="F213" s="144" t="s">
        <v>51</v>
      </c>
      <c r="G213" s="145" t="s">
        <v>59</v>
      </c>
      <c r="H213" s="146" t="s">
        <v>695</v>
      </c>
      <c r="I213" s="147">
        <v>44438</v>
      </c>
      <c r="J213" s="147">
        <v>44439</v>
      </c>
      <c r="K213" s="142" t="s">
        <v>25</v>
      </c>
      <c r="L213" s="148">
        <v>0</v>
      </c>
      <c r="M213" s="149">
        <v>5</v>
      </c>
      <c r="N213" s="150">
        <v>635</v>
      </c>
      <c r="O213" s="151">
        <v>57</v>
      </c>
      <c r="P213" s="151">
        <v>431</v>
      </c>
      <c r="Q213" s="151">
        <v>147</v>
      </c>
      <c r="R213" s="151">
        <f>SUM(O213:Q213)</f>
        <v>635</v>
      </c>
      <c r="S213" s="142">
        <v>4</v>
      </c>
      <c r="T213" s="145" t="s">
        <v>696</v>
      </c>
    </row>
    <row r="214" spans="1:20" ht="22.5" hidden="1" customHeight="1" x14ac:dyDescent="0.25">
      <c r="A214" s="152" t="s">
        <v>2637</v>
      </c>
      <c r="B214" s="142">
        <v>2021</v>
      </c>
      <c r="C214" s="142" t="s">
        <v>20</v>
      </c>
      <c r="D214" s="142" t="s">
        <v>697</v>
      </c>
      <c r="E214" s="143" t="s">
        <v>698</v>
      </c>
      <c r="F214" s="144" t="s">
        <v>51</v>
      </c>
      <c r="G214" s="145" t="s">
        <v>59</v>
      </c>
      <c r="H214" s="146" t="s">
        <v>699</v>
      </c>
      <c r="I214" s="147">
        <v>44440</v>
      </c>
      <c r="J214" s="147">
        <v>44440</v>
      </c>
      <c r="K214" s="142" t="s">
        <v>32</v>
      </c>
      <c r="L214" s="148">
        <v>1800</v>
      </c>
      <c r="M214" s="149">
        <v>5</v>
      </c>
      <c r="N214" s="150">
        <v>30</v>
      </c>
      <c r="O214" s="151">
        <v>6</v>
      </c>
      <c r="P214" s="151">
        <v>28</v>
      </c>
      <c r="Q214" s="151">
        <v>0</v>
      </c>
      <c r="R214" s="151">
        <f>SUM(O214:Q214)</f>
        <v>34</v>
      </c>
      <c r="S214" s="142">
        <v>2</v>
      </c>
      <c r="T214" s="145" t="s">
        <v>700</v>
      </c>
    </row>
    <row r="215" spans="1:20" ht="22.5" hidden="1" customHeight="1" x14ac:dyDescent="0.25">
      <c r="A215" s="152" t="s">
        <v>2638</v>
      </c>
      <c r="B215" s="142">
        <v>2021</v>
      </c>
      <c r="C215" s="142" t="s">
        <v>20</v>
      </c>
      <c r="D215" s="142" t="s">
        <v>701</v>
      </c>
      <c r="E215" s="143" t="s">
        <v>702</v>
      </c>
      <c r="F215" s="144" t="s">
        <v>51</v>
      </c>
      <c r="G215" s="145" t="s">
        <v>59</v>
      </c>
      <c r="H215" s="146" t="s">
        <v>699</v>
      </c>
      <c r="I215" s="147">
        <v>44440</v>
      </c>
      <c r="J215" s="147">
        <v>44440</v>
      </c>
      <c r="K215" s="142" t="s">
        <v>32</v>
      </c>
      <c r="L215" s="148">
        <v>1577.18</v>
      </c>
      <c r="M215" s="149">
        <v>5</v>
      </c>
      <c r="N215" s="150">
        <v>32</v>
      </c>
      <c r="O215" s="151">
        <v>5</v>
      </c>
      <c r="P215" s="151">
        <v>27</v>
      </c>
      <c r="Q215" s="151">
        <v>0</v>
      </c>
      <c r="R215" s="151">
        <f>SUM(O215:Q215)</f>
        <v>32</v>
      </c>
      <c r="S215" s="142">
        <v>4</v>
      </c>
      <c r="T215" s="145" t="s">
        <v>703</v>
      </c>
    </row>
    <row r="216" spans="1:20" ht="22.5" hidden="1" customHeight="1" x14ac:dyDescent="0.25">
      <c r="A216" s="152" t="s">
        <v>2639</v>
      </c>
      <c r="B216" s="142">
        <v>2021</v>
      </c>
      <c r="C216" s="142" t="s">
        <v>20</v>
      </c>
      <c r="D216" s="142" t="s">
        <v>704</v>
      </c>
      <c r="E216" s="143" t="s">
        <v>705</v>
      </c>
      <c r="F216" s="144" t="s">
        <v>22</v>
      </c>
      <c r="G216" s="145" t="s">
        <v>283</v>
      </c>
      <c r="H216" s="146" t="s">
        <v>706</v>
      </c>
      <c r="I216" s="147">
        <v>44449</v>
      </c>
      <c r="J216" s="147">
        <v>44453</v>
      </c>
      <c r="K216" s="142" t="s">
        <v>32</v>
      </c>
      <c r="L216" s="148">
        <v>9000</v>
      </c>
      <c r="M216" s="149">
        <v>4.5999999999999996</v>
      </c>
      <c r="N216" s="150">
        <v>10</v>
      </c>
      <c r="O216" s="151">
        <v>10</v>
      </c>
      <c r="P216" s="151">
        <v>0</v>
      </c>
      <c r="Q216" s="151">
        <v>0</v>
      </c>
      <c r="R216" s="151">
        <f>SUM(O216:Q216)</f>
        <v>10</v>
      </c>
      <c r="S216" s="142">
        <v>10.5</v>
      </c>
      <c r="T216" s="145" t="s">
        <v>707</v>
      </c>
    </row>
    <row r="217" spans="1:20" ht="22.5" hidden="1" customHeight="1" x14ac:dyDescent="0.25">
      <c r="A217" s="152" t="s">
        <v>2640</v>
      </c>
      <c r="B217" s="142">
        <v>2021</v>
      </c>
      <c r="C217" s="142" t="s">
        <v>20</v>
      </c>
      <c r="D217" s="142" t="s">
        <v>679</v>
      </c>
      <c r="E217" s="143" t="s">
        <v>708</v>
      </c>
      <c r="F217" s="144" t="s">
        <v>22</v>
      </c>
      <c r="G217" s="145" t="s">
        <v>30</v>
      </c>
      <c r="H217" s="146" t="s">
        <v>709</v>
      </c>
      <c r="I217" s="147">
        <v>44459</v>
      </c>
      <c r="J217" s="147">
        <v>44463</v>
      </c>
      <c r="K217" s="142" t="s">
        <v>25</v>
      </c>
      <c r="L217" s="148">
        <v>2125.79</v>
      </c>
      <c r="M217" s="149">
        <v>4.5</v>
      </c>
      <c r="N217" s="150">
        <v>20</v>
      </c>
      <c r="O217" s="151">
        <v>16</v>
      </c>
      <c r="P217" s="151">
        <v>0</v>
      </c>
      <c r="Q217" s="151">
        <v>0</v>
      </c>
      <c r="R217" s="151">
        <f>SUM(O217:Q217)</f>
        <v>16</v>
      </c>
      <c r="S217" s="142">
        <v>20</v>
      </c>
      <c r="T217" s="145" t="s">
        <v>521</v>
      </c>
    </row>
    <row r="218" spans="1:20" ht="22.5" hidden="1" customHeight="1" x14ac:dyDescent="0.25">
      <c r="A218" s="152" t="s">
        <v>2641</v>
      </c>
      <c r="B218" s="142">
        <v>2021</v>
      </c>
      <c r="C218" s="142" t="s">
        <v>20</v>
      </c>
      <c r="D218" s="142" t="s">
        <v>710</v>
      </c>
      <c r="E218" s="143" t="s">
        <v>711</v>
      </c>
      <c r="F218" s="144" t="s">
        <v>22</v>
      </c>
      <c r="G218" s="145" t="s">
        <v>353</v>
      </c>
      <c r="H218" s="146" t="s">
        <v>712</v>
      </c>
      <c r="I218" s="147">
        <v>44460</v>
      </c>
      <c r="J218" s="147">
        <v>44473</v>
      </c>
      <c r="K218" s="142" t="s">
        <v>25</v>
      </c>
      <c r="L218" s="148">
        <v>6960</v>
      </c>
      <c r="M218" s="149">
        <v>4.5</v>
      </c>
      <c r="N218" s="150">
        <v>50</v>
      </c>
      <c r="O218" s="151">
        <v>20</v>
      </c>
      <c r="P218" s="151">
        <v>0</v>
      </c>
      <c r="Q218" s="151">
        <v>0</v>
      </c>
      <c r="R218" s="151">
        <f>SUM(O218:Q218)</f>
        <v>20</v>
      </c>
      <c r="S218" s="142">
        <v>8</v>
      </c>
      <c r="T218" s="145" t="s">
        <v>713</v>
      </c>
    </row>
    <row r="219" spans="1:20" ht="22.5" hidden="1" customHeight="1" x14ac:dyDescent="0.25">
      <c r="A219" s="152" t="s">
        <v>2642</v>
      </c>
      <c r="B219" s="142">
        <v>2021</v>
      </c>
      <c r="C219" s="142" t="s">
        <v>20</v>
      </c>
      <c r="D219" s="142" t="s">
        <v>714</v>
      </c>
      <c r="E219" s="143" t="s">
        <v>715</v>
      </c>
      <c r="F219" s="144" t="s">
        <v>66</v>
      </c>
      <c r="G219" s="145" t="s">
        <v>59</v>
      </c>
      <c r="H219" s="146" t="s">
        <v>716</v>
      </c>
      <c r="I219" s="147">
        <v>44461</v>
      </c>
      <c r="J219" s="147">
        <v>44461</v>
      </c>
      <c r="K219" s="142" t="s">
        <v>32</v>
      </c>
      <c r="L219" s="148">
        <f>788.59/2</f>
        <v>394.29500000000002</v>
      </c>
      <c r="M219" s="149">
        <v>5</v>
      </c>
      <c r="N219" s="150">
        <v>59</v>
      </c>
      <c r="O219" s="151">
        <v>0</v>
      </c>
      <c r="P219" s="151">
        <v>0</v>
      </c>
      <c r="Q219" s="151">
        <v>59</v>
      </c>
      <c r="R219" s="151">
        <f>SUM(O219:Q219)</f>
        <v>59</v>
      </c>
      <c r="S219" s="142">
        <v>1</v>
      </c>
      <c r="T219" s="145" t="s">
        <v>717</v>
      </c>
    </row>
    <row r="220" spans="1:20" ht="22.5" hidden="1" customHeight="1" x14ac:dyDescent="0.25">
      <c r="A220" s="152" t="s">
        <v>2643</v>
      </c>
      <c r="B220" s="142">
        <v>2021</v>
      </c>
      <c r="C220" s="142" t="s">
        <v>20</v>
      </c>
      <c r="D220" s="142" t="s">
        <v>649</v>
      </c>
      <c r="E220" s="143" t="s">
        <v>718</v>
      </c>
      <c r="F220" s="144" t="s">
        <v>22</v>
      </c>
      <c r="G220" s="145" t="s">
        <v>157</v>
      </c>
      <c r="H220" s="146" t="s">
        <v>719</v>
      </c>
      <c r="I220" s="147">
        <v>44463</v>
      </c>
      <c r="J220" s="147">
        <v>44463</v>
      </c>
      <c r="K220" s="142" t="s">
        <v>32</v>
      </c>
      <c r="L220" s="148">
        <v>0</v>
      </c>
      <c r="M220" s="149">
        <v>5</v>
      </c>
      <c r="N220" s="142">
        <v>70</v>
      </c>
      <c r="O220" s="151">
        <v>70</v>
      </c>
      <c r="P220" s="151">
        <v>0</v>
      </c>
      <c r="Q220" s="151">
        <v>0</v>
      </c>
      <c r="R220" s="151">
        <f>SUM(O220:Q220)</f>
        <v>70</v>
      </c>
      <c r="S220" s="142">
        <v>2</v>
      </c>
      <c r="T220" s="145" t="s">
        <v>652</v>
      </c>
    </row>
    <row r="221" spans="1:20" ht="22.5" hidden="1" customHeight="1" x14ac:dyDescent="0.25">
      <c r="A221" s="152" t="s">
        <v>2644</v>
      </c>
      <c r="B221" s="142">
        <v>2021</v>
      </c>
      <c r="C221" s="142" t="s">
        <v>20</v>
      </c>
      <c r="D221" s="142" t="s">
        <v>714</v>
      </c>
      <c r="E221" s="143" t="s">
        <v>720</v>
      </c>
      <c r="F221" s="144" t="s">
        <v>66</v>
      </c>
      <c r="G221" s="145" t="s">
        <v>59</v>
      </c>
      <c r="H221" s="146" t="s">
        <v>721</v>
      </c>
      <c r="I221" s="147">
        <v>44473</v>
      </c>
      <c r="J221" s="147">
        <v>44473</v>
      </c>
      <c r="K221" s="142" t="s">
        <v>32</v>
      </c>
      <c r="L221" s="148">
        <v>394.29</v>
      </c>
      <c r="M221" s="149">
        <v>5</v>
      </c>
      <c r="N221" s="150">
        <v>30</v>
      </c>
      <c r="O221" s="151">
        <v>0</v>
      </c>
      <c r="P221" s="151">
        <v>0</v>
      </c>
      <c r="Q221" s="151">
        <v>30</v>
      </c>
      <c r="R221" s="151">
        <f>SUM(O221:Q221)</f>
        <v>30</v>
      </c>
      <c r="S221" s="142">
        <v>1</v>
      </c>
      <c r="T221" s="145" t="s">
        <v>717</v>
      </c>
    </row>
    <row r="222" spans="1:20" ht="22.5" hidden="1" customHeight="1" x14ac:dyDescent="0.25">
      <c r="A222" s="152" t="s">
        <v>2645</v>
      </c>
      <c r="B222" s="142">
        <v>2021</v>
      </c>
      <c r="C222" s="142" t="s">
        <v>20</v>
      </c>
      <c r="D222" s="142" t="s">
        <v>722</v>
      </c>
      <c r="E222" s="143" t="s">
        <v>723</v>
      </c>
      <c r="F222" s="144" t="s">
        <v>22</v>
      </c>
      <c r="G222" s="145" t="s">
        <v>34</v>
      </c>
      <c r="H222" s="146" t="s">
        <v>724</v>
      </c>
      <c r="I222" s="147">
        <v>44483</v>
      </c>
      <c r="J222" s="147">
        <v>44483</v>
      </c>
      <c r="K222" s="142" t="s">
        <v>25</v>
      </c>
      <c r="L222" s="148">
        <v>0</v>
      </c>
      <c r="M222" s="149">
        <v>5</v>
      </c>
      <c r="N222" s="150">
        <v>14</v>
      </c>
      <c r="O222" s="151">
        <v>14</v>
      </c>
      <c r="P222" s="151">
        <v>0</v>
      </c>
      <c r="Q222" s="151">
        <v>0</v>
      </c>
      <c r="R222" s="151">
        <f>SUM(O222:Q222)</f>
        <v>14</v>
      </c>
      <c r="S222" s="142">
        <v>2</v>
      </c>
      <c r="T222" s="145" t="s">
        <v>725</v>
      </c>
    </row>
    <row r="223" spans="1:20" ht="22.5" hidden="1" customHeight="1" x14ac:dyDescent="0.25">
      <c r="A223" s="152" t="s">
        <v>2646</v>
      </c>
      <c r="B223" s="142">
        <v>2021</v>
      </c>
      <c r="C223" s="142" t="s">
        <v>20</v>
      </c>
      <c r="D223" s="142" t="s">
        <v>726</v>
      </c>
      <c r="E223" s="143" t="s">
        <v>727</v>
      </c>
      <c r="F223" s="144" t="s">
        <v>178</v>
      </c>
      <c r="G223" s="145" t="s">
        <v>59</v>
      </c>
      <c r="H223" s="146" t="s">
        <v>728</v>
      </c>
      <c r="I223" s="147">
        <v>44487</v>
      </c>
      <c r="J223" s="147">
        <v>44491</v>
      </c>
      <c r="K223" s="142" t="s">
        <v>32</v>
      </c>
      <c r="L223" s="148">
        <v>10000</v>
      </c>
      <c r="M223" s="149">
        <v>4.5</v>
      </c>
      <c r="N223" s="150">
        <v>20</v>
      </c>
      <c r="O223" s="151">
        <v>4</v>
      </c>
      <c r="P223" s="151">
        <v>24</v>
      </c>
      <c r="Q223" s="151">
        <v>1</v>
      </c>
      <c r="R223" s="151">
        <f>SUM(O223:Q223)</f>
        <v>29</v>
      </c>
      <c r="S223" s="142">
        <v>12</v>
      </c>
      <c r="T223" s="145" t="s">
        <v>729</v>
      </c>
    </row>
    <row r="224" spans="1:20" ht="22.5" hidden="1" customHeight="1" x14ac:dyDescent="0.25">
      <c r="A224" s="152" t="s">
        <v>2647</v>
      </c>
      <c r="B224" s="142">
        <v>2021</v>
      </c>
      <c r="C224" s="142" t="s">
        <v>20</v>
      </c>
      <c r="D224" s="142" t="s">
        <v>730</v>
      </c>
      <c r="E224" s="143" t="s">
        <v>731</v>
      </c>
      <c r="F224" s="144" t="s">
        <v>22</v>
      </c>
      <c r="G224" s="145" t="s">
        <v>157</v>
      </c>
      <c r="H224" s="146" t="s">
        <v>732</v>
      </c>
      <c r="I224" s="147">
        <v>44491</v>
      </c>
      <c r="J224" s="147">
        <v>44491</v>
      </c>
      <c r="K224" s="142" t="s">
        <v>25</v>
      </c>
      <c r="L224" s="148">
        <v>0</v>
      </c>
      <c r="M224" s="149">
        <v>5</v>
      </c>
      <c r="N224" s="150">
        <v>37</v>
      </c>
      <c r="O224" s="151">
        <v>37</v>
      </c>
      <c r="P224" s="151">
        <v>0</v>
      </c>
      <c r="Q224" s="151">
        <v>0</v>
      </c>
      <c r="R224" s="151">
        <f>SUM(O224:Q224)</f>
        <v>37</v>
      </c>
      <c r="S224" s="142">
        <v>2</v>
      </c>
      <c r="T224" s="145" t="s">
        <v>733</v>
      </c>
    </row>
    <row r="225" spans="1:20" ht="22.5" hidden="1" customHeight="1" x14ac:dyDescent="0.25">
      <c r="A225" s="152" t="s">
        <v>2648</v>
      </c>
      <c r="B225" s="142">
        <v>2021</v>
      </c>
      <c r="C225" s="142" t="s">
        <v>20</v>
      </c>
      <c r="D225" s="142" t="s">
        <v>734</v>
      </c>
      <c r="E225" s="143" t="s">
        <v>735</v>
      </c>
      <c r="F225" s="144" t="s">
        <v>51</v>
      </c>
      <c r="G225" s="145" t="s">
        <v>59</v>
      </c>
      <c r="H225" s="146" t="s">
        <v>736</v>
      </c>
      <c r="I225" s="147">
        <v>44503</v>
      </c>
      <c r="J225" s="147">
        <v>44512</v>
      </c>
      <c r="K225" s="142" t="s">
        <v>32</v>
      </c>
      <c r="L225" s="148">
        <v>8539.24</v>
      </c>
      <c r="M225" s="149">
        <v>4</v>
      </c>
      <c r="N225" s="150">
        <v>20</v>
      </c>
      <c r="O225" s="151">
        <v>0</v>
      </c>
      <c r="P225" s="151">
        <v>24</v>
      </c>
      <c r="Q225" s="151">
        <v>0</v>
      </c>
      <c r="R225" s="151">
        <f>SUM(O225:Q225)</f>
        <v>24</v>
      </c>
      <c r="S225" s="142">
        <v>24</v>
      </c>
      <c r="T225" s="145" t="s">
        <v>737</v>
      </c>
    </row>
    <row r="226" spans="1:20" ht="22.5" hidden="1" customHeight="1" x14ac:dyDescent="0.25">
      <c r="A226" s="152" t="s">
        <v>2649</v>
      </c>
      <c r="B226" s="142">
        <v>2021</v>
      </c>
      <c r="C226" s="142" t="s">
        <v>20</v>
      </c>
      <c r="D226" s="142" t="s">
        <v>738</v>
      </c>
      <c r="E226" s="143" t="s">
        <v>739</v>
      </c>
      <c r="F226" s="144" t="s">
        <v>22</v>
      </c>
      <c r="G226" s="145" t="s">
        <v>353</v>
      </c>
      <c r="H226" s="146" t="s">
        <v>740</v>
      </c>
      <c r="I226" s="147">
        <v>44505</v>
      </c>
      <c r="J226" s="147">
        <v>44505</v>
      </c>
      <c r="K226" s="142" t="s">
        <v>25</v>
      </c>
      <c r="L226" s="148">
        <v>0</v>
      </c>
      <c r="M226" s="149">
        <v>5</v>
      </c>
      <c r="N226" s="150">
        <v>32</v>
      </c>
      <c r="O226" s="151">
        <v>32</v>
      </c>
      <c r="P226" s="151">
        <v>0</v>
      </c>
      <c r="Q226" s="151">
        <v>0</v>
      </c>
      <c r="R226" s="151">
        <f>SUM(O226:Q226)</f>
        <v>32</v>
      </c>
      <c r="S226" s="142">
        <v>1.5</v>
      </c>
      <c r="T226" s="145" t="s">
        <v>741</v>
      </c>
    </row>
    <row r="227" spans="1:20" ht="22.5" hidden="1" customHeight="1" x14ac:dyDescent="0.25">
      <c r="A227" s="152" t="s">
        <v>2650</v>
      </c>
      <c r="B227" s="142">
        <v>2021</v>
      </c>
      <c r="C227" s="142" t="s">
        <v>20</v>
      </c>
      <c r="D227" s="142" t="s">
        <v>722</v>
      </c>
      <c r="E227" s="143" t="s">
        <v>742</v>
      </c>
      <c r="F227" s="144" t="s">
        <v>22</v>
      </c>
      <c r="G227" s="145" t="s">
        <v>34</v>
      </c>
      <c r="H227" s="146" t="s">
        <v>743</v>
      </c>
      <c r="I227" s="147">
        <v>44508</v>
      </c>
      <c r="J227" s="147">
        <v>44508</v>
      </c>
      <c r="K227" s="142" t="s">
        <v>25</v>
      </c>
      <c r="L227" s="148">
        <v>0</v>
      </c>
      <c r="M227" s="149">
        <v>5</v>
      </c>
      <c r="N227" s="150">
        <v>14</v>
      </c>
      <c r="O227" s="151">
        <v>14</v>
      </c>
      <c r="P227" s="151">
        <v>0</v>
      </c>
      <c r="Q227" s="151">
        <v>0</v>
      </c>
      <c r="R227" s="151">
        <f>SUM(O227:Q227)</f>
        <v>14</v>
      </c>
      <c r="S227" s="142">
        <v>1</v>
      </c>
      <c r="T227" s="145" t="s">
        <v>744</v>
      </c>
    </row>
    <row r="228" spans="1:20" ht="22.5" hidden="1" customHeight="1" x14ac:dyDescent="0.25">
      <c r="A228" s="152" t="s">
        <v>2651</v>
      </c>
      <c r="B228" s="142">
        <v>2021</v>
      </c>
      <c r="C228" s="142" t="s">
        <v>20</v>
      </c>
      <c r="D228" s="142" t="s">
        <v>738</v>
      </c>
      <c r="E228" s="143" t="s">
        <v>745</v>
      </c>
      <c r="F228" s="144" t="s">
        <v>22</v>
      </c>
      <c r="G228" s="145" t="s">
        <v>353</v>
      </c>
      <c r="H228" s="146" t="s">
        <v>746</v>
      </c>
      <c r="I228" s="147">
        <v>44516</v>
      </c>
      <c r="J228" s="147">
        <v>44525</v>
      </c>
      <c r="K228" s="142" t="s">
        <v>25</v>
      </c>
      <c r="L228" s="148">
        <v>9000</v>
      </c>
      <c r="M228" s="149">
        <v>4.2</v>
      </c>
      <c r="N228" s="150">
        <v>30</v>
      </c>
      <c r="O228" s="151">
        <v>31</v>
      </c>
      <c r="P228" s="151">
        <v>0</v>
      </c>
      <c r="Q228" s="151">
        <v>0</v>
      </c>
      <c r="R228" s="151">
        <f>SUM(O228:Q228)</f>
        <v>31</v>
      </c>
      <c r="S228" s="142">
        <v>10</v>
      </c>
      <c r="T228" s="145" t="s">
        <v>741</v>
      </c>
    </row>
    <row r="229" spans="1:20" ht="22.5" hidden="1" customHeight="1" x14ac:dyDescent="0.25">
      <c r="A229" s="152" t="s">
        <v>2652</v>
      </c>
      <c r="B229" s="142">
        <v>2021</v>
      </c>
      <c r="C229" s="142" t="s">
        <v>20</v>
      </c>
      <c r="D229" s="142" t="s">
        <v>747</v>
      </c>
      <c r="E229" s="143" t="s">
        <v>748</v>
      </c>
      <c r="F229" s="144" t="s">
        <v>51</v>
      </c>
      <c r="G229" s="145" t="s">
        <v>59</v>
      </c>
      <c r="H229" s="146" t="s">
        <v>749</v>
      </c>
      <c r="I229" s="147">
        <v>44518</v>
      </c>
      <c r="J229" s="147">
        <v>44518</v>
      </c>
      <c r="K229" s="142" t="s">
        <v>32</v>
      </c>
      <c r="L229" s="148">
        <v>1794.9</v>
      </c>
      <c r="M229" s="149">
        <v>4.5</v>
      </c>
      <c r="N229" s="150">
        <v>30</v>
      </c>
      <c r="O229" s="151">
        <v>4</v>
      </c>
      <c r="P229" s="151">
        <v>26</v>
      </c>
      <c r="Q229" s="151">
        <v>0</v>
      </c>
      <c r="R229" s="151">
        <f>SUM(O229:Q229)</f>
        <v>30</v>
      </c>
      <c r="S229" s="142">
        <v>4</v>
      </c>
      <c r="T229" s="145" t="s">
        <v>425</v>
      </c>
    </row>
    <row r="230" spans="1:20" ht="22.5" hidden="1" customHeight="1" x14ac:dyDescent="0.25">
      <c r="A230" s="152" t="s">
        <v>2653</v>
      </c>
      <c r="B230" s="142">
        <v>2021</v>
      </c>
      <c r="C230" s="142" t="s">
        <v>20</v>
      </c>
      <c r="D230" s="142" t="s">
        <v>686</v>
      </c>
      <c r="E230" s="143" t="s">
        <v>750</v>
      </c>
      <c r="F230" s="144" t="s">
        <v>51</v>
      </c>
      <c r="G230" s="145" t="s">
        <v>59</v>
      </c>
      <c r="H230" s="146" t="s">
        <v>751</v>
      </c>
      <c r="I230" s="147">
        <v>44522</v>
      </c>
      <c r="J230" s="147">
        <v>44525</v>
      </c>
      <c r="K230" s="142" t="s">
        <v>32</v>
      </c>
      <c r="L230" s="148">
        <v>9210.7800000000007</v>
      </c>
      <c r="M230" s="149">
        <v>4.4800000000000004</v>
      </c>
      <c r="N230" s="150">
        <v>40</v>
      </c>
      <c r="O230" s="151">
        <v>2</v>
      </c>
      <c r="P230" s="151">
        <v>45</v>
      </c>
      <c r="Q230" s="151">
        <v>5</v>
      </c>
      <c r="R230" s="151">
        <f>SUM(O230:Q230)</f>
        <v>52</v>
      </c>
      <c r="S230" s="142">
        <v>16</v>
      </c>
      <c r="T230" s="145" t="s">
        <v>321</v>
      </c>
    </row>
    <row r="231" spans="1:20" ht="22.5" hidden="1" customHeight="1" x14ac:dyDescent="0.25">
      <c r="A231" s="152" t="s">
        <v>2654</v>
      </c>
      <c r="B231" s="142">
        <v>2021</v>
      </c>
      <c r="C231" s="142" t="s">
        <v>20</v>
      </c>
      <c r="D231" s="142" t="s">
        <v>649</v>
      </c>
      <c r="E231" s="143" t="s">
        <v>752</v>
      </c>
      <c r="F231" s="144" t="s">
        <v>22</v>
      </c>
      <c r="G231" s="145" t="s">
        <v>157</v>
      </c>
      <c r="H231" s="146" t="s">
        <v>753</v>
      </c>
      <c r="I231" s="147">
        <v>44540</v>
      </c>
      <c r="J231" s="147">
        <v>44540</v>
      </c>
      <c r="K231" s="142" t="s">
        <v>32</v>
      </c>
      <c r="L231" s="148">
        <v>0</v>
      </c>
      <c r="M231" s="149">
        <v>5</v>
      </c>
      <c r="N231" s="150">
        <v>89</v>
      </c>
      <c r="O231" s="151">
        <v>89</v>
      </c>
      <c r="P231" s="151">
        <v>0</v>
      </c>
      <c r="Q231" s="151">
        <v>0</v>
      </c>
      <c r="R231" s="151">
        <f>SUM(O231:Q231)</f>
        <v>89</v>
      </c>
      <c r="S231" s="142">
        <v>2</v>
      </c>
      <c r="T231" s="145" t="s">
        <v>652</v>
      </c>
    </row>
    <row r="232" spans="1:20" ht="22.5" hidden="1" customHeight="1" x14ac:dyDescent="0.25">
      <c r="A232" s="152" t="s">
        <v>2655</v>
      </c>
      <c r="B232" s="142">
        <v>2022</v>
      </c>
      <c r="C232" s="142" t="s">
        <v>20</v>
      </c>
      <c r="D232" s="142" t="s">
        <v>754</v>
      </c>
      <c r="E232" s="143" t="s">
        <v>755</v>
      </c>
      <c r="F232" s="144" t="s">
        <v>22</v>
      </c>
      <c r="G232" s="145" t="s">
        <v>34</v>
      </c>
      <c r="H232" s="146" t="s">
        <v>756</v>
      </c>
      <c r="I232" s="147">
        <v>44592</v>
      </c>
      <c r="J232" s="147">
        <v>44594</v>
      </c>
      <c r="K232" s="142" t="s">
        <v>25</v>
      </c>
      <c r="L232" s="148">
        <v>0</v>
      </c>
      <c r="M232" s="149">
        <v>4.9000000000000004</v>
      </c>
      <c r="N232" s="150">
        <v>15</v>
      </c>
      <c r="O232" s="151">
        <v>13</v>
      </c>
      <c r="P232" s="151">
        <v>0</v>
      </c>
      <c r="Q232" s="151">
        <v>0</v>
      </c>
      <c r="R232" s="151">
        <f>SUM(O232:Q232)</f>
        <v>13</v>
      </c>
      <c r="S232" s="142">
        <v>24</v>
      </c>
      <c r="T232" s="145" t="s">
        <v>757</v>
      </c>
    </row>
    <row r="233" spans="1:20" ht="22.5" hidden="1" customHeight="1" x14ac:dyDescent="0.25">
      <c r="A233" s="152" t="s">
        <v>2656</v>
      </c>
      <c r="B233" s="142">
        <v>2022</v>
      </c>
      <c r="C233" s="142" t="s">
        <v>20</v>
      </c>
      <c r="D233" s="142" t="s">
        <v>758</v>
      </c>
      <c r="E233" s="143" t="s">
        <v>759</v>
      </c>
      <c r="F233" s="144" t="s">
        <v>22</v>
      </c>
      <c r="G233" s="145" t="s">
        <v>23</v>
      </c>
      <c r="H233" s="146" t="s">
        <v>760</v>
      </c>
      <c r="I233" s="147">
        <v>44600</v>
      </c>
      <c r="J233" s="147">
        <v>44600</v>
      </c>
      <c r="K233" s="142" t="s">
        <v>32</v>
      </c>
      <c r="L233" s="148">
        <v>500</v>
      </c>
      <c r="M233" s="149">
        <v>5</v>
      </c>
      <c r="N233" s="150">
        <v>38</v>
      </c>
      <c r="O233" s="151">
        <v>38</v>
      </c>
      <c r="P233" s="151">
        <v>0</v>
      </c>
      <c r="Q233" s="151">
        <v>0</v>
      </c>
      <c r="R233" s="151">
        <f>SUM(O233:Q233)</f>
        <v>38</v>
      </c>
      <c r="S233" s="142">
        <v>2</v>
      </c>
      <c r="T233" s="145" t="s">
        <v>451</v>
      </c>
    </row>
    <row r="234" spans="1:20" ht="22.5" hidden="1" customHeight="1" x14ac:dyDescent="0.25">
      <c r="A234" s="152" t="s">
        <v>2657</v>
      </c>
      <c r="B234" s="142">
        <v>2022</v>
      </c>
      <c r="C234" s="142" t="s">
        <v>20</v>
      </c>
      <c r="D234" s="142" t="s">
        <v>761</v>
      </c>
      <c r="E234" s="143" t="s">
        <v>762</v>
      </c>
      <c r="F234" s="144" t="s">
        <v>22</v>
      </c>
      <c r="G234" s="145" t="s">
        <v>157</v>
      </c>
      <c r="H234" s="146" t="s">
        <v>763</v>
      </c>
      <c r="I234" s="147">
        <v>44609</v>
      </c>
      <c r="J234" s="147">
        <v>44609</v>
      </c>
      <c r="K234" s="142" t="s">
        <v>25</v>
      </c>
      <c r="L234" s="148">
        <v>0</v>
      </c>
      <c r="M234" s="149">
        <v>5</v>
      </c>
      <c r="N234" s="150">
        <v>44</v>
      </c>
      <c r="O234" s="151">
        <v>44</v>
      </c>
      <c r="P234" s="151">
        <v>0</v>
      </c>
      <c r="Q234" s="151">
        <v>0</v>
      </c>
      <c r="R234" s="151">
        <f>SUM(O234:Q234)</f>
        <v>44</v>
      </c>
      <c r="S234" s="142">
        <v>2</v>
      </c>
      <c r="T234" s="145" t="s">
        <v>764</v>
      </c>
    </row>
    <row r="235" spans="1:20" ht="22.5" hidden="1" customHeight="1" x14ac:dyDescent="0.25">
      <c r="A235" s="152" t="s">
        <v>2658</v>
      </c>
      <c r="B235" s="142">
        <v>2022</v>
      </c>
      <c r="C235" s="142" t="s">
        <v>20</v>
      </c>
      <c r="D235" s="142" t="s">
        <v>765</v>
      </c>
      <c r="E235" s="143" t="s">
        <v>748</v>
      </c>
      <c r="F235" s="144" t="s">
        <v>51</v>
      </c>
      <c r="G235" s="145" t="s">
        <v>59</v>
      </c>
      <c r="H235" s="146" t="s">
        <v>766</v>
      </c>
      <c r="I235" s="147">
        <v>44614</v>
      </c>
      <c r="J235" s="147">
        <v>44614</v>
      </c>
      <c r="K235" s="142" t="s">
        <v>32</v>
      </c>
      <c r="L235" s="148">
        <v>1794.9</v>
      </c>
      <c r="M235" s="149">
        <v>4.34</v>
      </c>
      <c r="N235" s="150">
        <v>30</v>
      </c>
      <c r="O235" s="151">
        <v>6</v>
      </c>
      <c r="P235" s="151">
        <v>15</v>
      </c>
      <c r="Q235" s="151">
        <v>0</v>
      </c>
      <c r="R235" s="151">
        <f>SUM(O235:Q235)</f>
        <v>21</v>
      </c>
      <c r="S235" s="142">
        <v>4</v>
      </c>
      <c r="T235" s="145" t="s">
        <v>425</v>
      </c>
    </row>
    <row r="236" spans="1:20" ht="22.5" hidden="1" customHeight="1" x14ac:dyDescent="0.25">
      <c r="A236" s="152" t="s">
        <v>2659</v>
      </c>
      <c r="B236" s="142">
        <v>2022</v>
      </c>
      <c r="C236" s="142" t="s">
        <v>20</v>
      </c>
      <c r="D236" s="142" t="s">
        <v>767</v>
      </c>
      <c r="E236" s="143" t="s">
        <v>768</v>
      </c>
      <c r="F236" s="144" t="s">
        <v>66</v>
      </c>
      <c r="G236" s="145" t="s">
        <v>59</v>
      </c>
      <c r="H236" s="146" t="s">
        <v>769</v>
      </c>
      <c r="I236" s="147">
        <v>44615</v>
      </c>
      <c r="J236" s="147">
        <v>44615</v>
      </c>
      <c r="K236" s="142" t="s">
        <v>25</v>
      </c>
      <c r="L236" s="148">
        <v>0</v>
      </c>
      <c r="M236" s="149">
        <v>5</v>
      </c>
      <c r="N236" s="150">
        <v>45</v>
      </c>
      <c r="O236" s="151">
        <v>0</v>
      </c>
      <c r="P236" s="151">
        <v>45</v>
      </c>
      <c r="Q236" s="151">
        <v>0</v>
      </c>
      <c r="R236" s="151">
        <f>SUM(O236:Q236)</f>
        <v>45</v>
      </c>
      <c r="S236" s="142">
        <v>2</v>
      </c>
      <c r="T236" s="145" t="s">
        <v>770</v>
      </c>
    </row>
    <row r="237" spans="1:20" ht="22.5" hidden="1" customHeight="1" x14ac:dyDescent="0.25">
      <c r="A237" s="152" t="s">
        <v>2660</v>
      </c>
      <c r="B237" s="142">
        <v>2022</v>
      </c>
      <c r="C237" s="142" t="s">
        <v>20</v>
      </c>
      <c r="D237" s="142" t="s">
        <v>649</v>
      </c>
      <c r="E237" s="143" t="s">
        <v>771</v>
      </c>
      <c r="F237" s="144" t="s">
        <v>22</v>
      </c>
      <c r="G237" s="145" t="s">
        <v>157</v>
      </c>
      <c r="H237" s="146" t="s">
        <v>772</v>
      </c>
      <c r="I237" s="147">
        <v>44631</v>
      </c>
      <c r="J237" s="147">
        <v>44631</v>
      </c>
      <c r="K237" s="142" t="s">
        <v>32</v>
      </c>
      <c r="L237" s="148">
        <v>0</v>
      </c>
      <c r="M237" s="149">
        <v>5</v>
      </c>
      <c r="N237" s="142">
        <v>70</v>
      </c>
      <c r="O237" s="151">
        <v>70</v>
      </c>
      <c r="P237" s="151">
        <v>0</v>
      </c>
      <c r="Q237" s="151">
        <v>0</v>
      </c>
      <c r="R237" s="151">
        <f>SUM(O237:Q237)</f>
        <v>70</v>
      </c>
      <c r="S237" s="142">
        <v>2</v>
      </c>
      <c r="T237" s="145" t="s">
        <v>546</v>
      </c>
    </row>
    <row r="238" spans="1:20" ht="22.5" hidden="1" customHeight="1" x14ac:dyDescent="0.25">
      <c r="A238" s="152" t="s">
        <v>2661</v>
      </c>
      <c r="B238" s="142">
        <v>2022</v>
      </c>
      <c r="C238" s="142" t="s">
        <v>20</v>
      </c>
      <c r="D238" s="142" t="s">
        <v>773</v>
      </c>
      <c r="E238" s="143" t="s">
        <v>774</v>
      </c>
      <c r="F238" s="144" t="s">
        <v>22</v>
      </c>
      <c r="G238" s="145" t="s">
        <v>34</v>
      </c>
      <c r="H238" s="146" t="s">
        <v>775</v>
      </c>
      <c r="I238" s="147">
        <v>44633</v>
      </c>
      <c r="J238" s="147">
        <v>44645</v>
      </c>
      <c r="K238" s="142" t="s">
        <v>25</v>
      </c>
      <c r="L238" s="148">
        <v>10500</v>
      </c>
      <c r="M238" s="149">
        <v>4.3</v>
      </c>
      <c r="N238" s="150">
        <v>15</v>
      </c>
      <c r="O238" s="151">
        <v>15</v>
      </c>
      <c r="P238" s="151">
        <v>0</v>
      </c>
      <c r="Q238" s="151">
        <v>0</v>
      </c>
      <c r="R238" s="151">
        <f>SUM(O238:Q238)</f>
        <v>15</v>
      </c>
      <c r="S238" s="142">
        <v>20</v>
      </c>
      <c r="T238" s="145" t="s">
        <v>776</v>
      </c>
    </row>
    <row r="239" spans="1:20" ht="22.5" hidden="1" customHeight="1" x14ac:dyDescent="0.25">
      <c r="A239" s="152" t="s">
        <v>2662</v>
      </c>
      <c r="B239" s="142">
        <v>2022</v>
      </c>
      <c r="C239" s="142" t="s">
        <v>20</v>
      </c>
      <c r="D239" s="142" t="s">
        <v>777</v>
      </c>
      <c r="E239" s="143" t="s">
        <v>778</v>
      </c>
      <c r="F239" s="144" t="s">
        <v>66</v>
      </c>
      <c r="G239" s="145" t="s">
        <v>59</v>
      </c>
      <c r="H239" s="146" t="s">
        <v>779</v>
      </c>
      <c r="I239" s="147">
        <v>44642</v>
      </c>
      <c r="J239" s="147">
        <v>44642</v>
      </c>
      <c r="K239" s="142" t="s">
        <v>25</v>
      </c>
      <c r="L239" s="148">
        <v>0</v>
      </c>
      <c r="M239" s="149">
        <v>5</v>
      </c>
      <c r="N239" s="142">
        <v>51</v>
      </c>
      <c r="O239" s="151">
        <v>0</v>
      </c>
      <c r="P239" s="151">
        <v>0</v>
      </c>
      <c r="Q239" s="151">
        <v>51</v>
      </c>
      <c r="R239" s="151">
        <f>SUM(O239:Q239)</f>
        <v>51</v>
      </c>
      <c r="S239" s="142">
        <v>2</v>
      </c>
      <c r="T239" s="145" t="s">
        <v>780</v>
      </c>
    </row>
    <row r="240" spans="1:20" ht="22.5" hidden="1" customHeight="1" x14ac:dyDescent="0.25">
      <c r="A240" s="152" t="s">
        <v>2663</v>
      </c>
      <c r="B240" s="142">
        <v>2022</v>
      </c>
      <c r="C240" s="142" t="s">
        <v>20</v>
      </c>
      <c r="D240" s="142" t="s">
        <v>781</v>
      </c>
      <c r="E240" s="143" t="s">
        <v>782</v>
      </c>
      <c r="F240" s="144" t="s">
        <v>66</v>
      </c>
      <c r="G240" s="145" t="s">
        <v>59</v>
      </c>
      <c r="H240" s="146" t="s">
        <v>783</v>
      </c>
      <c r="I240" s="147">
        <v>44655</v>
      </c>
      <c r="J240" s="147">
        <v>44655</v>
      </c>
      <c r="K240" s="142" t="s">
        <v>32</v>
      </c>
      <c r="L240" s="148">
        <f>1172.25/2</f>
        <v>586.125</v>
      </c>
      <c r="M240" s="149">
        <v>4.9000000000000004</v>
      </c>
      <c r="N240" s="142">
        <v>31</v>
      </c>
      <c r="O240" s="151">
        <v>0</v>
      </c>
      <c r="P240" s="151">
        <v>0</v>
      </c>
      <c r="Q240" s="151">
        <v>31</v>
      </c>
      <c r="R240" s="151">
        <f>SUM(O240:Q240)</f>
        <v>31</v>
      </c>
      <c r="S240" s="142">
        <v>1</v>
      </c>
      <c r="T240" s="145" t="s">
        <v>784</v>
      </c>
    </row>
    <row r="241" spans="1:20" ht="22.5" hidden="1" customHeight="1" x14ac:dyDescent="0.25">
      <c r="A241" s="152" t="s">
        <v>2664</v>
      </c>
      <c r="B241" s="142">
        <v>2022</v>
      </c>
      <c r="C241" s="142" t="s">
        <v>20</v>
      </c>
      <c r="D241" s="142" t="s">
        <v>785</v>
      </c>
      <c r="E241" s="143" t="s">
        <v>786</v>
      </c>
      <c r="F241" s="144" t="s">
        <v>22</v>
      </c>
      <c r="G241" s="145" t="s">
        <v>34</v>
      </c>
      <c r="H241" s="146" t="s">
        <v>787</v>
      </c>
      <c r="I241" s="147">
        <v>44655</v>
      </c>
      <c r="J241" s="147">
        <v>44664</v>
      </c>
      <c r="K241" s="142" t="s">
        <v>25</v>
      </c>
      <c r="L241" s="148">
        <v>39460</v>
      </c>
      <c r="M241" s="149">
        <v>4.4000000000000004</v>
      </c>
      <c r="N241" s="150">
        <v>150</v>
      </c>
      <c r="O241" s="151">
        <v>40</v>
      </c>
      <c r="P241" s="151">
        <v>100</v>
      </c>
      <c r="Q241" s="151">
        <v>0</v>
      </c>
      <c r="R241" s="151">
        <f>SUM(O241:Q241)</f>
        <v>140</v>
      </c>
      <c r="S241" s="142">
        <v>20</v>
      </c>
      <c r="T241" s="145" t="s">
        <v>788</v>
      </c>
    </row>
    <row r="242" spans="1:20" ht="22.5" hidden="1" customHeight="1" x14ac:dyDescent="0.25">
      <c r="A242" s="152" t="s">
        <v>2665</v>
      </c>
      <c r="B242" s="142">
        <v>2022</v>
      </c>
      <c r="C242" s="142" t="s">
        <v>20</v>
      </c>
      <c r="D242" s="142" t="s">
        <v>789</v>
      </c>
      <c r="E242" s="143" t="s">
        <v>790</v>
      </c>
      <c r="F242" s="144" t="s">
        <v>22</v>
      </c>
      <c r="G242" s="145" t="s">
        <v>157</v>
      </c>
      <c r="H242" s="146" t="s">
        <v>791</v>
      </c>
      <c r="I242" s="147">
        <v>44676</v>
      </c>
      <c r="J242" s="147">
        <v>44686</v>
      </c>
      <c r="K242" s="142" t="s">
        <v>25</v>
      </c>
      <c r="L242" s="148">
        <v>8400</v>
      </c>
      <c r="M242" s="149">
        <v>5</v>
      </c>
      <c r="N242" s="150">
        <v>30</v>
      </c>
      <c r="O242" s="151">
        <v>15</v>
      </c>
      <c r="P242" s="151">
        <v>0</v>
      </c>
      <c r="Q242" s="151">
        <v>0</v>
      </c>
      <c r="R242" s="151">
        <f>SUM(O242:Q242)</f>
        <v>15</v>
      </c>
      <c r="S242" s="142">
        <v>21</v>
      </c>
      <c r="T242" s="145" t="s">
        <v>636</v>
      </c>
    </row>
    <row r="243" spans="1:20" ht="22.5" hidden="1" customHeight="1" x14ac:dyDescent="0.25">
      <c r="A243" s="152" t="s">
        <v>2666</v>
      </c>
      <c r="B243" s="142">
        <v>2022</v>
      </c>
      <c r="C243" s="142" t="s">
        <v>20</v>
      </c>
      <c r="D243" s="142" t="s">
        <v>792</v>
      </c>
      <c r="E243" s="143" t="s">
        <v>793</v>
      </c>
      <c r="F243" s="144" t="s">
        <v>22</v>
      </c>
      <c r="G243" s="145" t="s">
        <v>157</v>
      </c>
      <c r="H243" s="146" t="s">
        <v>794</v>
      </c>
      <c r="I243" s="147">
        <v>44691</v>
      </c>
      <c r="J243" s="147">
        <v>44700</v>
      </c>
      <c r="K243" s="142" t="s">
        <v>25</v>
      </c>
      <c r="L243" s="148">
        <v>10000</v>
      </c>
      <c r="M243" s="149">
        <v>4.4000000000000004</v>
      </c>
      <c r="N243" s="150">
        <v>50</v>
      </c>
      <c r="O243" s="151">
        <v>18</v>
      </c>
      <c r="P243" s="151">
        <v>0</v>
      </c>
      <c r="Q243" s="151">
        <v>0</v>
      </c>
      <c r="R243" s="151">
        <f>SUM(O243:Q243)</f>
        <v>18</v>
      </c>
      <c r="S243" s="142">
        <v>12</v>
      </c>
      <c r="T243" s="145" t="s">
        <v>713</v>
      </c>
    </row>
    <row r="244" spans="1:20" ht="22.5" hidden="1" customHeight="1" x14ac:dyDescent="0.25">
      <c r="A244" s="152" t="s">
        <v>2667</v>
      </c>
      <c r="B244" s="142">
        <v>2022</v>
      </c>
      <c r="C244" s="142" t="s">
        <v>20</v>
      </c>
      <c r="D244" s="142" t="s">
        <v>649</v>
      </c>
      <c r="E244" s="143" t="s">
        <v>771</v>
      </c>
      <c r="F244" s="144" t="s">
        <v>22</v>
      </c>
      <c r="G244" s="145" t="s">
        <v>157</v>
      </c>
      <c r="H244" s="146" t="s">
        <v>795</v>
      </c>
      <c r="I244" s="147">
        <v>44694</v>
      </c>
      <c r="J244" s="147">
        <v>44694</v>
      </c>
      <c r="K244" s="142" t="s">
        <v>32</v>
      </c>
      <c r="L244" s="148">
        <v>0</v>
      </c>
      <c r="M244" s="149">
        <v>5</v>
      </c>
      <c r="N244" s="142">
        <v>55</v>
      </c>
      <c r="O244" s="151">
        <v>55</v>
      </c>
      <c r="P244" s="151">
        <v>0</v>
      </c>
      <c r="Q244" s="151">
        <v>0</v>
      </c>
      <c r="R244" s="151">
        <f>SUM(O244:Q244)</f>
        <v>55</v>
      </c>
      <c r="S244" s="142">
        <v>2</v>
      </c>
      <c r="T244" s="145" t="s">
        <v>546</v>
      </c>
    </row>
    <row r="245" spans="1:20" ht="22.5" hidden="1" customHeight="1" x14ac:dyDescent="0.25">
      <c r="A245" s="152" t="s">
        <v>2668</v>
      </c>
      <c r="B245" s="142">
        <v>2022</v>
      </c>
      <c r="C245" s="142" t="s">
        <v>20</v>
      </c>
      <c r="D245" s="142" t="s">
        <v>781</v>
      </c>
      <c r="E245" s="143" t="s">
        <v>796</v>
      </c>
      <c r="F245" s="144" t="s">
        <v>66</v>
      </c>
      <c r="G245" s="145" t="s">
        <v>59</v>
      </c>
      <c r="H245" s="146" t="s">
        <v>797</v>
      </c>
      <c r="I245" s="147">
        <v>44697</v>
      </c>
      <c r="J245" s="147">
        <v>44697</v>
      </c>
      <c r="K245" s="142" t="s">
        <v>32</v>
      </c>
      <c r="L245" s="148">
        <v>586.13</v>
      </c>
      <c r="M245" s="149">
        <v>5</v>
      </c>
      <c r="N245" s="150">
        <v>120</v>
      </c>
      <c r="O245" s="151">
        <v>0</v>
      </c>
      <c r="P245" s="151">
        <v>0</v>
      </c>
      <c r="Q245" s="151">
        <v>120</v>
      </c>
      <c r="R245" s="151">
        <f>SUM(O245:Q245)</f>
        <v>120</v>
      </c>
      <c r="S245" s="142">
        <v>1</v>
      </c>
      <c r="T245" s="145" t="s">
        <v>798</v>
      </c>
    </row>
    <row r="246" spans="1:20" ht="22.5" hidden="1" customHeight="1" x14ac:dyDescent="0.25">
      <c r="A246" s="152" t="s">
        <v>2669</v>
      </c>
      <c r="B246" s="142">
        <v>2022</v>
      </c>
      <c r="C246" s="142" t="s">
        <v>20</v>
      </c>
      <c r="D246" s="142" t="s">
        <v>799</v>
      </c>
      <c r="E246" s="143" t="s">
        <v>735</v>
      </c>
      <c r="F246" s="144" t="s">
        <v>66</v>
      </c>
      <c r="G246" s="145" t="s">
        <v>59</v>
      </c>
      <c r="H246" s="146" t="s">
        <v>800</v>
      </c>
      <c r="I246" s="147">
        <v>44697</v>
      </c>
      <c r="J246" s="147">
        <v>44713</v>
      </c>
      <c r="K246" s="142" t="s">
        <v>32</v>
      </c>
      <c r="L246" s="148">
        <v>10976.07</v>
      </c>
      <c r="M246" s="149">
        <v>4.5999999999999996</v>
      </c>
      <c r="N246" s="150">
        <v>34</v>
      </c>
      <c r="O246" s="151">
        <v>12</v>
      </c>
      <c r="P246" s="151">
        <v>0</v>
      </c>
      <c r="Q246" s="151">
        <v>22</v>
      </c>
      <c r="R246" s="151">
        <f>SUM(O246:Q246)</f>
        <v>34</v>
      </c>
      <c r="S246" s="142">
        <v>24</v>
      </c>
      <c r="T246" s="145" t="s">
        <v>801</v>
      </c>
    </row>
    <row r="247" spans="1:20" ht="22.5" hidden="1" customHeight="1" x14ac:dyDescent="0.25">
      <c r="A247" s="152" t="s">
        <v>2670</v>
      </c>
      <c r="B247" s="142">
        <v>2022</v>
      </c>
      <c r="C247" s="142" t="s">
        <v>20</v>
      </c>
      <c r="D247" s="142" t="s">
        <v>802</v>
      </c>
      <c r="E247" s="143" t="s">
        <v>803</v>
      </c>
      <c r="F247" s="144" t="s">
        <v>51</v>
      </c>
      <c r="G247" s="145" t="s">
        <v>59</v>
      </c>
      <c r="H247" s="146" t="s">
        <v>804</v>
      </c>
      <c r="I247" s="147">
        <v>44698</v>
      </c>
      <c r="J247" s="147">
        <v>44698</v>
      </c>
      <c r="K247" s="142" t="s">
        <v>32</v>
      </c>
      <c r="L247" s="148">
        <v>1794.9</v>
      </c>
      <c r="M247" s="149">
        <v>4.5</v>
      </c>
      <c r="N247" s="150">
        <v>30</v>
      </c>
      <c r="O247" s="151">
        <v>0</v>
      </c>
      <c r="P247" s="151">
        <v>37</v>
      </c>
      <c r="Q247" s="151">
        <v>0</v>
      </c>
      <c r="R247" s="151">
        <f>SUM(O247:Q247)</f>
        <v>37</v>
      </c>
      <c r="S247" s="142">
        <v>4</v>
      </c>
      <c r="T247" s="145" t="s">
        <v>425</v>
      </c>
    </row>
    <row r="248" spans="1:20" ht="22.5" hidden="1" customHeight="1" x14ac:dyDescent="0.25">
      <c r="A248" s="152" t="s">
        <v>2671</v>
      </c>
      <c r="B248" s="142">
        <v>2022</v>
      </c>
      <c r="C248" s="142" t="s">
        <v>20</v>
      </c>
      <c r="D248" s="142" t="s">
        <v>805</v>
      </c>
      <c r="E248" s="143" t="s">
        <v>806</v>
      </c>
      <c r="F248" s="144" t="s">
        <v>51</v>
      </c>
      <c r="G248" s="145" t="s">
        <v>59</v>
      </c>
      <c r="H248" s="146" t="s">
        <v>807</v>
      </c>
      <c r="I248" s="147">
        <v>44700</v>
      </c>
      <c r="J248" s="147">
        <v>44700</v>
      </c>
      <c r="K248" s="142" t="s">
        <v>32</v>
      </c>
      <c r="L248" s="148">
        <v>0</v>
      </c>
      <c r="M248" s="149">
        <v>5</v>
      </c>
      <c r="N248" s="150">
        <v>6</v>
      </c>
      <c r="O248" s="151">
        <v>0</v>
      </c>
      <c r="P248" s="151">
        <v>6</v>
      </c>
      <c r="Q248" s="151">
        <v>0</v>
      </c>
      <c r="R248" s="151">
        <f>SUM(O248:Q248)</f>
        <v>6</v>
      </c>
      <c r="S248" s="142">
        <v>2</v>
      </c>
      <c r="T248" s="145" t="s">
        <v>808</v>
      </c>
    </row>
    <row r="249" spans="1:20" ht="22.5" hidden="1" customHeight="1" x14ac:dyDescent="0.25">
      <c r="A249" s="152" t="s">
        <v>2672</v>
      </c>
      <c r="B249" s="142">
        <v>2022</v>
      </c>
      <c r="C249" s="142" t="s">
        <v>20</v>
      </c>
      <c r="D249" s="142" t="s">
        <v>809</v>
      </c>
      <c r="E249" s="143" t="s">
        <v>810</v>
      </c>
      <c r="F249" s="144" t="s">
        <v>22</v>
      </c>
      <c r="G249" s="145" t="s">
        <v>157</v>
      </c>
      <c r="H249" s="146" t="s">
        <v>811</v>
      </c>
      <c r="I249" s="147">
        <v>44707</v>
      </c>
      <c r="J249" s="147">
        <v>44721</v>
      </c>
      <c r="K249" s="142" t="s">
        <v>25</v>
      </c>
      <c r="L249" s="148">
        <v>6200</v>
      </c>
      <c r="M249" s="149">
        <v>4.5999999999999996</v>
      </c>
      <c r="N249" s="150">
        <v>30</v>
      </c>
      <c r="O249" s="151">
        <v>25</v>
      </c>
      <c r="P249" s="151">
        <v>0</v>
      </c>
      <c r="Q249" s="151">
        <v>0</v>
      </c>
      <c r="R249" s="151">
        <f>SUM(O249:Q249)</f>
        <v>25</v>
      </c>
      <c r="S249" s="142">
        <v>8</v>
      </c>
      <c r="T249" s="145" t="s">
        <v>812</v>
      </c>
    </row>
    <row r="250" spans="1:20" ht="22.5" hidden="1" customHeight="1" x14ac:dyDescent="0.25">
      <c r="A250" s="152" t="s">
        <v>2673</v>
      </c>
      <c r="B250" s="142">
        <v>2022</v>
      </c>
      <c r="C250" s="142" t="s">
        <v>20</v>
      </c>
      <c r="D250" s="142" t="s">
        <v>813</v>
      </c>
      <c r="E250" s="143" t="s">
        <v>814</v>
      </c>
      <c r="F250" s="144" t="s">
        <v>22</v>
      </c>
      <c r="G250" s="145" t="s">
        <v>283</v>
      </c>
      <c r="H250" s="146" t="s">
        <v>815</v>
      </c>
      <c r="I250" s="147">
        <v>44708</v>
      </c>
      <c r="J250" s="147">
        <v>44714</v>
      </c>
      <c r="K250" s="142" t="s">
        <v>32</v>
      </c>
      <c r="L250" s="148">
        <v>0</v>
      </c>
      <c r="M250" s="149">
        <v>5</v>
      </c>
      <c r="N250" s="150">
        <v>26</v>
      </c>
      <c r="O250" s="151">
        <v>26</v>
      </c>
      <c r="P250" s="151">
        <v>0</v>
      </c>
      <c r="Q250" s="151">
        <v>0</v>
      </c>
      <c r="R250" s="151">
        <f>SUM(O250:Q250)</f>
        <v>26</v>
      </c>
      <c r="S250" s="142">
        <v>20</v>
      </c>
      <c r="T250" s="145" t="s">
        <v>816</v>
      </c>
    </row>
    <row r="251" spans="1:20" ht="22.5" hidden="1" customHeight="1" x14ac:dyDescent="0.25">
      <c r="A251" s="152" t="s">
        <v>2674</v>
      </c>
      <c r="B251" s="142">
        <v>2022</v>
      </c>
      <c r="C251" s="142" t="s">
        <v>20</v>
      </c>
      <c r="D251" s="142" t="s">
        <v>817</v>
      </c>
      <c r="E251" s="143" t="s">
        <v>818</v>
      </c>
      <c r="F251" s="144" t="s">
        <v>66</v>
      </c>
      <c r="G251" s="145" t="s">
        <v>59</v>
      </c>
      <c r="H251" s="146" t="s">
        <v>819</v>
      </c>
      <c r="I251" s="147">
        <v>44712</v>
      </c>
      <c r="J251" s="147">
        <v>44712</v>
      </c>
      <c r="K251" s="142" t="s">
        <v>32</v>
      </c>
      <c r="L251" s="148">
        <v>987.21</v>
      </c>
      <c r="M251" s="149">
        <v>4.7</v>
      </c>
      <c r="N251" s="150">
        <v>56</v>
      </c>
      <c r="O251" s="151">
        <v>0</v>
      </c>
      <c r="P251" s="151">
        <v>0</v>
      </c>
      <c r="Q251" s="151">
        <v>56</v>
      </c>
      <c r="R251" s="151">
        <f>SUM(O251:Q251)</f>
        <v>56</v>
      </c>
      <c r="S251" s="142">
        <v>2</v>
      </c>
      <c r="T251" s="145" t="s">
        <v>425</v>
      </c>
    </row>
    <row r="252" spans="1:20" ht="22.5" hidden="1" customHeight="1" x14ac:dyDescent="0.25">
      <c r="A252" s="152" t="s">
        <v>2675</v>
      </c>
      <c r="B252" s="142">
        <v>2022</v>
      </c>
      <c r="C252" s="142" t="s">
        <v>20</v>
      </c>
      <c r="D252" s="142" t="s">
        <v>820</v>
      </c>
      <c r="E252" s="143" t="s">
        <v>821</v>
      </c>
      <c r="F252" s="144" t="s">
        <v>22</v>
      </c>
      <c r="G252" s="145" t="s">
        <v>283</v>
      </c>
      <c r="H252" s="146" t="s">
        <v>822</v>
      </c>
      <c r="I252" s="147">
        <v>44715</v>
      </c>
      <c r="J252" s="147">
        <v>44715</v>
      </c>
      <c r="K252" s="142" t="s">
        <v>32</v>
      </c>
      <c r="L252" s="148">
        <f>740.4+867.47</f>
        <v>1607.87</v>
      </c>
      <c r="M252" s="149">
        <v>4.5999999999999996</v>
      </c>
      <c r="N252" s="150">
        <v>26</v>
      </c>
      <c r="O252" s="151">
        <v>26</v>
      </c>
      <c r="P252" s="151">
        <v>0</v>
      </c>
      <c r="Q252" s="151">
        <v>0</v>
      </c>
      <c r="R252" s="151">
        <f>SUM(O252:Q252)</f>
        <v>26</v>
      </c>
      <c r="S252" s="142">
        <v>4.5</v>
      </c>
      <c r="T252" s="145" t="s">
        <v>823</v>
      </c>
    </row>
    <row r="253" spans="1:20" ht="22.5" hidden="1" customHeight="1" x14ac:dyDescent="0.25">
      <c r="A253" s="152" t="s">
        <v>2676</v>
      </c>
      <c r="B253" s="142">
        <v>2022</v>
      </c>
      <c r="C253" s="142" t="s">
        <v>20</v>
      </c>
      <c r="D253" s="142" t="s">
        <v>824</v>
      </c>
      <c r="E253" s="143" t="s">
        <v>825</v>
      </c>
      <c r="F253" s="144" t="s">
        <v>22</v>
      </c>
      <c r="G253" s="145" t="s">
        <v>23</v>
      </c>
      <c r="H253" s="146" t="s">
        <v>826</v>
      </c>
      <c r="I253" s="147">
        <v>44718</v>
      </c>
      <c r="J253" s="147">
        <v>44718</v>
      </c>
      <c r="K253" s="142" t="s">
        <v>32</v>
      </c>
      <c r="L253" s="148">
        <v>440.15</v>
      </c>
      <c r="M253" s="149">
        <v>5</v>
      </c>
      <c r="N253" s="150">
        <v>0</v>
      </c>
      <c r="O253" s="151">
        <v>26</v>
      </c>
      <c r="P253" s="151">
        <v>0</v>
      </c>
      <c r="Q253" s="151">
        <v>0</v>
      </c>
      <c r="R253" s="151">
        <f>SUM(O253:Q253)</f>
        <v>26</v>
      </c>
      <c r="S253" s="142">
        <v>1</v>
      </c>
      <c r="T253" s="145" t="s">
        <v>451</v>
      </c>
    </row>
    <row r="254" spans="1:20" ht="22.5" hidden="1" customHeight="1" x14ac:dyDescent="0.25">
      <c r="A254" s="152" t="s">
        <v>2677</v>
      </c>
      <c r="B254" s="142">
        <v>2022</v>
      </c>
      <c r="C254" s="142" t="s">
        <v>20</v>
      </c>
      <c r="D254" s="142" t="s">
        <v>827</v>
      </c>
      <c r="E254" s="143" t="s">
        <v>828</v>
      </c>
      <c r="F254" s="144" t="s">
        <v>22</v>
      </c>
      <c r="G254" s="145" t="s">
        <v>34</v>
      </c>
      <c r="H254" s="146" t="s">
        <v>829</v>
      </c>
      <c r="I254" s="147">
        <v>44733</v>
      </c>
      <c r="J254" s="147">
        <v>44825</v>
      </c>
      <c r="K254" s="142" t="s">
        <v>25</v>
      </c>
      <c r="L254" s="148">
        <v>39600</v>
      </c>
      <c r="M254" s="149">
        <v>5</v>
      </c>
      <c r="N254" s="150">
        <v>20</v>
      </c>
      <c r="O254" s="151">
        <v>11</v>
      </c>
      <c r="P254" s="151">
        <v>0</v>
      </c>
      <c r="Q254" s="151">
        <v>0</v>
      </c>
      <c r="R254" s="151">
        <f>SUM(O254:Q254)</f>
        <v>11</v>
      </c>
      <c r="S254" s="142">
        <v>66</v>
      </c>
      <c r="T254" s="145" t="s">
        <v>830</v>
      </c>
    </row>
    <row r="255" spans="1:20" ht="22.5" hidden="1" customHeight="1" x14ac:dyDescent="0.25">
      <c r="A255" s="152" t="s">
        <v>2678</v>
      </c>
      <c r="B255" s="142">
        <v>2022</v>
      </c>
      <c r="C255" s="142" t="s">
        <v>20</v>
      </c>
      <c r="D255" s="142" t="s">
        <v>831</v>
      </c>
      <c r="E255" s="143" t="s">
        <v>832</v>
      </c>
      <c r="F255" s="144" t="s">
        <v>22</v>
      </c>
      <c r="G255" s="145" t="s">
        <v>34</v>
      </c>
      <c r="H255" s="146" t="s">
        <v>627</v>
      </c>
      <c r="I255" s="147">
        <v>44741</v>
      </c>
      <c r="J255" s="147"/>
      <c r="K255" s="142" t="s">
        <v>25</v>
      </c>
      <c r="L255" s="148">
        <v>0</v>
      </c>
      <c r="M255" s="149">
        <v>5</v>
      </c>
      <c r="N255" s="150">
        <v>14</v>
      </c>
      <c r="O255" s="151">
        <v>14</v>
      </c>
      <c r="P255" s="151">
        <v>0</v>
      </c>
      <c r="Q255" s="151">
        <v>0</v>
      </c>
      <c r="R255" s="151">
        <f>SUM(O255:Q255)</f>
        <v>14</v>
      </c>
      <c r="S255" s="142">
        <v>7</v>
      </c>
      <c r="T255" s="145" t="s">
        <v>833</v>
      </c>
    </row>
    <row r="256" spans="1:20" ht="22.5" hidden="1" customHeight="1" x14ac:dyDescent="0.25">
      <c r="A256" s="152" t="s">
        <v>2679</v>
      </c>
      <c r="B256" s="142">
        <v>2022</v>
      </c>
      <c r="C256" s="142" t="s">
        <v>20</v>
      </c>
      <c r="D256" s="142" t="s">
        <v>834</v>
      </c>
      <c r="E256" s="143" t="s">
        <v>835</v>
      </c>
      <c r="F256" s="144" t="s">
        <v>66</v>
      </c>
      <c r="G256" s="145" t="s">
        <v>59</v>
      </c>
      <c r="H256" s="146" t="s">
        <v>836</v>
      </c>
      <c r="I256" s="147">
        <v>44753</v>
      </c>
      <c r="J256" s="147">
        <v>44757</v>
      </c>
      <c r="K256" s="142" t="s">
        <v>32</v>
      </c>
      <c r="L256" s="148">
        <v>5182.8900000000003</v>
      </c>
      <c r="M256" s="149">
        <v>4.5</v>
      </c>
      <c r="N256" s="150">
        <v>40</v>
      </c>
      <c r="O256" s="151">
        <v>0</v>
      </c>
      <c r="P256" s="151">
        <v>0</v>
      </c>
      <c r="Q256" s="151">
        <v>49</v>
      </c>
      <c r="R256" s="151">
        <f>SUM(O256:Q256)</f>
        <v>49</v>
      </c>
      <c r="S256" s="142">
        <v>10.5</v>
      </c>
      <c r="T256" s="145" t="s">
        <v>656</v>
      </c>
    </row>
    <row r="257" spans="1:20" ht="22.5" hidden="1" customHeight="1" x14ac:dyDescent="0.25">
      <c r="A257" s="152" t="s">
        <v>2680</v>
      </c>
      <c r="B257" s="142">
        <v>2022</v>
      </c>
      <c r="C257" s="142" t="s">
        <v>20</v>
      </c>
      <c r="D257" s="142" t="s">
        <v>837</v>
      </c>
      <c r="E257" s="143" t="s">
        <v>838</v>
      </c>
      <c r="F257" s="144" t="s">
        <v>22</v>
      </c>
      <c r="G257" s="145" t="s">
        <v>23</v>
      </c>
      <c r="H257" s="146" t="s">
        <v>839</v>
      </c>
      <c r="I257" s="147">
        <v>44762</v>
      </c>
      <c r="J257" s="147">
        <v>44764</v>
      </c>
      <c r="K257" s="142" t="s">
        <v>32</v>
      </c>
      <c r="L257" s="148">
        <v>2602.4</v>
      </c>
      <c r="M257" s="149">
        <v>4.5999999999999996</v>
      </c>
      <c r="N257" s="150">
        <v>20</v>
      </c>
      <c r="O257" s="151">
        <v>27</v>
      </c>
      <c r="P257" s="151">
        <v>0</v>
      </c>
      <c r="Q257" s="151">
        <v>0</v>
      </c>
      <c r="R257" s="151">
        <f>SUM(O257:Q257)</f>
        <v>27</v>
      </c>
      <c r="S257" s="142">
        <v>6</v>
      </c>
      <c r="T257" s="145" t="s">
        <v>840</v>
      </c>
    </row>
    <row r="258" spans="1:20" ht="22.5" hidden="1" customHeight="1" x14ac:dyDescent="0.25">
      <c r="A258" s="152" t="s">
        <v>2681</v>
      </c>
      <c r="B258" s="142">
        <v>2022</v>
      </c>
      <c r="C258" s="142" t="s">
        <v>20</v>
      </c>
      <c r="D258" s="142" t="s">
        <v>841</v>
      </c>
      <c r="E258" s="143" t="s">
        <v>842</v>
      </c>
      <c r="F258" s="144" t="s">
        <v>22</v>
      </c>
      <c r="G258" s="145" t="s">
        <v>30</v>
      </c>
      <c r="H258" s="146" t="s">
        <v>843</v>
      </c>
      <c r="I258" s="147">
        <v>44771</v>
      </c>
      <c r="J258" s="147">
        <v>44771</v>
      </c>
      <c r="K258" s="142" t="s">
        <v>25</v>
      </c>
      <c r="L258" s="148">
        <v>0</v>
      </c>
      <c r="M258" s="149">
        <v>5</v>
      </c>
      <c r="N258" s="150">
        <v>20</v>
      </c>
      <c r="O258" s="151">
        <v>13</v>
      </c>
      <c r="P258" s="151">
        <v>2</v>
      </c>
      <c r="Q258" s="151">
        <v>7</v>
      </c>
      <c r="R258" s="151">
        <f>SUM(O258:Q258)</f>
        <v>22</v>
      </c>
      <c r="S258" s="142">
        <v>2</v>
      </c>
      <c r="T258" s="145" t="s">
        <v>685</v>
      </c>
    </row>
    <row r="259" spans="1:20" ht="22.5" hidden="1" customHeight="1" x14ac:dyDescent="0.25">
      <c r="A259" s="152" t="s">
        <v>2682</v>
      </c>
      <c r="B259" s="142">
        <v>2022</v>
      </c>
      <c r="C259" s="142" t="s">
        <v>20</v>
      </c>
      <c r="D259" s="142" t="s">
        <v>844</v>
      </c>
      <c r="E259" s="143" t="s">
        <v>845</v>
      </c>
      <c r="F259" s="144" t="s">
        <v>22</v>
      </c>
      <c r="G259" s="145" t="s">
        <v>23</v>
      </c>
      <c r="H259" s="146" t="s">
        <v>846</v>
      </c>
      <c r="I259" s="147">
        <v>44775</v>
      </c>
      <c r="J259" s="147">
        <v>44777</v>
      </c>
      <c r="K259" s="142" t="s">
        <v>32</v>
      </c>
      <c r="L259" s="148">
        <v>4000</v>
      </c>
      <c r="M259" s="149">
        <v>4.9400000000000004</v>
      </c>
      <c r="N259" s="150">
        <v>20</v>
      </c>
      <c r="O259" s="151">
        <v>18</v>
      </c>
      <c r="P259" s="151">
        <v>0</v>
      </c>
      <c r="Q259" s="151">
        <v>0</v>
      </c>
      <c r="R259" s="151">
        <f>SUM(O259:Q259)</f>
        <v>18</v>
      </c>
      <c r="S259" s="142">
        <v>6</v>
      </c>
      <c r="T259" s="145" t="s">
        <v>847</v>
      </c>
    </row>
    <row r="260" spans="1:20" ht="22.5" hidden="1" customHeight="1" x14ac:dyDescent="0.25">
      <c r="A260" s="152" t="s">
        <v>2683</v>
      </c>
      <c r="B260" s="142">
        <v>2022</v>
      </c>
      <c r="C260" s="142" t="s">
        <v>20</v>
      </c>
      <c r="D260" s="142" t="s">
        <v>848</v>
      </c>
      <c r="E260" s="143" t="s">
        <v>849</v>
      </c>
      <c r="F260" s="144" t="s">
        <v>66</v>
      </c>
      <c r="G260" s="145" t="s">
        <v>59</v>
      </c>
      <c r="H260" s="146" t="s">
        <v>850</v>
      </c>
      <c r="I260" s="147">
        <v>44778</v>
      </c>
      <c r="J260" s="147">
        <v>44778</v>
      </c>
      <c r="K260" s="142" t="s">
        <v>25</v>
      </c>
      <c r="L260" s="148">
        <v>0</v>
      </c>
      <c r="M260" s="149">
        <v>5</v>
      </c>
      <c r="N260" s="150">
        <v>0</v>
      </c>
      <c r="O260" s="151">
        <v>0</v>
      </c>
      <c r="P260" s="151">
        <v>0</v>
      </c>
      <c r="Q260" s="151">
        <v>31</v>
      </c>
      <c r="R260" s="151">
        <f>SUM(O260:Q260)</f>
        <v>31</v>
      </c>
      <c r="S260" s="142">
        <v>2</v>
      </c>
      <c r="T260" s="145" t="s">
        <v>851</v>
      </c>
    </row>
    <row r="261" spans="1:20" ht="22.5" hidden="1" customHeight="1" x14ac:dyDescent="0.25">
      <c r="A261" s="152" t="s">
        <v>2684</v>
      </c>
      <c r="B261" s="142">
        <v>2022</v>
      </c>
      <c r="C261" s="142" t="s">
        <v>20</v>
      </c>
      <c r="D261" s="142" t="s">
        <v>852</v>
      </c>
      <c r="E261" s="143" t="s">
        <v>853</v>
      </c>
      <c r="F261" s="144" t="s">
        <v>22</v>
      </c>
      <c r="G261" s="145" t="s">
        <v>56</v>
      </c>
      <c r="H261" s="146" t="s">
        <v>854</v>
      </c>
      <c r="I261" s="147">
        <v>44781</v>
      </c>
      <c r="J261" s="147">
        <v>44785</v>
      </c>
      <c r="K261" s="142" t="s">
        <v>25</v>
      </c>
      <c r="L261" s="148">
        <v>11500</v>
      </c>
      <c r="M261" s="149">
        <v>4.7</v>
      </c>
      <c r="N261" s="150">
        <v>30</v>
      </c>
      <c r="O261" s="151">
        <v>18</v>
      </c>
      <c r="P261" s="151">
        <v>7</v>
      </c>
      <c r="Q261" s="151">
        <v>0</v>
      </c>
      <c r="R261" s="151">
        <f>SUM(O261:Q261)</f>
        <v>25</v>
      </c>
      <c r="S261" s="142">
        <v>20</v>
      </c>
      <c r="T261" s="145" t="s">
        <v>558</v>
      </c>
    </row>
    <row r="262" spans="1:20" ht="22.5" hidden="1" customHeight="1" x14ac:dyDescent="0.25">
      <c r="A262" s="152" t="s">
        <v>2685</v>
      </c>
      <c r="B262" s="142">
        <v>2022</v>
      </c>
      <c r="C262" s="142" t="s">
        <v>20</v>
      </c>
      <c r="D262" s="142" t="s">
        <v>855</v>
      </c>
      <c r="E262" s="143" t="s">
        <v>519</v>
      </c>
      <c r="F262" s="144" t="s">
        <v>22</v>
      </c>
      <c r="G262" s="145" t="s">
        <v>30</v>
      </c>
      <c r="H262" s="158">
        <v>44903.333333333299</v>
      </c>
      <c r="I262" s="147">
        <v>44781</v>
      </c>
      <c r="J262" s="147">
        <v>44785</v>
      </c>
      <c r="K262" s="142" t="s">
        <v>25</v>
      </c>
      <c r="L262" s="148">
        <v>4000</v>
      </c>
      <c r="M262" s="149">
        <v>4.7</v>
      </c>
      <c r="N262" s="150">
        <v>20</v>
      </c>
      <c r="O262" s="151">
        <v>9</v>
      </c>
      <c r="P262" s="151">
        <v>0</v>
      </c>
      <c r="Q262" s="151">
        <v>0</v>
      </c>
      <c r="R262" s="151">
        <f>SUM(O262:Q262)</f>
        <v>9</v>
      </c>
      <c r="S262" s="142">
        <v>20</v>
      </c>
      <c r="T262" s="145" t="s">
        <v>521</v>
      </c>
    </row>
    <row r="263" spans="1:20" ht="22.5" hidden="1" customHeight="1" x14ac:dyDescent="0.25">
      <c r="A263" s="152" t="s">
        <v>2686</v>
      </c>
      <c r="B263" s="142">
        <v>2022</v>
      </c>
      <c r="C263" s="142" t="s">
        <v>20</v>
      </c>
      <c r="D263" s="142" t="s">
        <v>844</v>
      </c>
      <c r="E263" s="143" t="s">
        <v>856</v>
      </c>
      <c r="F263" s="144" t="s">
        <v>22</v>
      </c>
      <c r="G263" s="145" t="s">
        <v>23</v>
      </c>
      <c r="H263" s="146" t="s">
        <v>857</v>
      </c>
      <c r="I263" s="147">
        <v>44789</v>
      </c>
      <c r="J263" s="147">
        <v>44791</v>
      </c>
      <c r="K263" s="142" t="s">
        <v>32</v>
      </c>
      <c r="L263" s="148">
        <v>4000</v>
      </c>
      <c r="M263" s="149">
        <v>4.9000000000000004</v>
      </c>
      <c r="N263" s="150">
        <v>20</v>
      </c>
      <c r="O263" s="151">
        <v>8</v>
      </c>
      <c r="P263" s="151">
        <v>0</v>
      </c>
      <c r="Q263" s="151">
        <v>0</v>
      </c>
      <c r="R263" s="151">
        <f>SUM(O263:Q263)</f>
        <v>8</v>
      </c>
      <c r="S263" s="142">
        <v>6</v>
      </c>
      <c r="T263" s="145" t="s">
        <v>858</v>
      </c>
    </row>
    <row r="264" spans="1:20" ht="22.5" hidden="1" customHeight="1" x14ac:dyDescent="0.25">
      <c r="A264" s="152" t="s">
        <v>2687</v>
      </c>
      <c r="B264" s="142">
        <v>2022</v>
      </c>
      <c r="C264" s="142" t="s">
        <v>20</v>
      </c>
      <c r="D264" s="142" t="s">
        <v>859</v>
      </c>
      <c r="E264" s="143" t="s">
        <v>860</v>
      </c>
      <c r="F264" s="144" t="s">
        <v>66</v>
      </c>
      <c r="G264" s="145" t="s">
        <v>59</v>
      </c>
      <c r="H264" s="146" t="s">
        <v>861</v>
      </c>
      <c r="I264" s="147">
        <v>44795</v>
      </c>
      <c r="J264" s="147">
        <v>44795</v>
      </c>
      <c r="K264" s="142" t="s">
        <v>32</v>
      </c>
      <c r="L264" s="148">
        <v>800</v>
      </c>
      <c r="M264" s="149">
        <v>5</v>
      </c>
      <c r="N264" s="150">
        <v>0</v>
      </c>
      <c r="O264" s="151">
        <v>0</v>
      </c>
      <c r="P264" s="151">
        <v>0</v>
      </c>
      <c r="Q264" s="151">
        <v>29</v>
      </c>
      <c r="R264" s="151">
        <f>SUM(O264:Q264)</f>
        <v>29</v>
      </c>
      <c r="S264" s="142">
        <v>1</v>
      </c>
      <c r="T264" s="145" t="s">
        <v>784</v>
      </c>
    </row>
    <row r="265" spans="1:20" ht="22.5" hidden="1" customHeight="1" x14ac:dyDescent="0.25">
      <c r="A265" s="152" t="s">
        <v>2688</v>
      </c>
      <c r="B265" s="142">
        <v>2022</v>
      </c>
      <c r="C265" s="142" t="s">
        <v>20</v>
      </c>
      <c r="D265" s="142" t="s">
        <v>862</v>
      </c>
      <c r="E265" s="143" t="s">
        <v>863</v>
      </c>
      <c r="F265" s="144" t="s">
        <v>66</v>
      </c>
      <c r="G265" s="145" t="s">
        <v>59</v>
      </c>
      <c r="H265" s="146" t="s">
        <v>864</v>
      </c>
      <c r="I265" s="147">
        <v>44799</v>
      </c>
      <c r="J265" s="147">
        <v>44799</v>
      </c>
      <c r="K265" s="142" t="s">
        <v>25</v>
      </c>
      <c r="L265" s="148">
        <v>0</v>
      </c>
      <c r="M265" s="149">
        <v>5</v>
      </c>
      <c r="N265" s="150">
        <v>24</v>
      </c>
      <c r="O265" s="151">
        <v>3</v>
      </c>
      <c r="P265" s="151">
        <v>0</v>
      </c>
      <c r="Q265" s="151">
        <v>21</v>
      </c>
      <c r="R265" s="151">
        <f>SUM(O265:Q265)</f>
        <v>24</v>
      </c>
      <c r="S265" s="142">
        <v>4</v>
      </c>
      <c r="T265" s="145" t="s">
        <v>365</v>
      </c>
    </row>
    <row r="266" spans="1:20" ht="22.5" hidden="1" customHeight="1" x14ac:dyDescent="0.25">
      <c r="A266" s="152" t="s">
        <v>2689</v>
      </c>
      <c r="B266" s="142">
        <v>2022</v>
      </c>
      <c r="C266" s="142" t="s">
        <v>20</v>
      </c>
      <c r="D266" s="142" t="s">
        <v>865</v>
      </c>
      <c r="E266" s="143" t="s">
        <v>866</v>
      </c>
      <c r="F266" s="144" t="s">
        <v>22</v>
      </c>
      <c r="G266" s="145" t="s">
        <v>34</v>
      </c>
      <c r="H266" s="146" t="s">
        <v>867</v>
      </c>
      <c r="I266" s="147">
        <v>44806</v>
      </c>
      <c r="J266" s="147">
        <v>44806</v>
      </c>
      <c r="K266" s="142" t="s">
        <v>32</v>
      </c>
      <c r="L266" s="148">
        <v>0</v>
      </c>
      <c r="M266" s="149">
        <v>5</v>
      </c>
      <c r="N266" s="150">
        <v>0</v>
      </c>
      <c r="O266" s="151">
        <v>66</v>
      </c>
      <c r="P266" s="151">
        <v>0</v>
      </c>
      <c r="Q266" s="151">
        <v>0</v>
      </c>
      <c r="R266" s="151">
        <f>SUM(O266:Q266)</f>
        <v>66</v>
      </c>
      <c r="S266" s="142">
        <v>1.5</v>
      </c>
      <c r="T266" s="153" t="s">
        <v>167</v>
      </c>
    </row>
    <row r="267" spans="1:20" ht="22.5" hidden="1" customHeight="1" x14ac:dyDescent="0.25">
      <c r="A267" s="152" t="s">
        <v>2690</v>
      </c>
      <c r="B267" s="142">
        <v>2022</v>
      </c>
      <c r="C267" s="142" t="s">
        <v>20</v>
      </c>
      <c r="D267" s="142" t="s">
        <v>868</v>
      </c>
      <c r="E267" s="143" t="s">
        <v>869</v>
      </c>
      <c r="F267" s="144" t="s">
        <v>66</v>
      </c>
      <c r="G267" s="145" t="s">
        <v>59</v>
      </c>
      <c r="H267" s="146" t="s">
        <v>870</v>
      </c>
      <c r="I267" s="147">
        <v>44813</v>
      </c>
      <c r="J267" s="147">
        <v>44813</v>
      </c>
      <c r="K267" s="142" t="s">
        <v>32</v>
      </c>
      <c r="L267" s="148">
        <v>1000</v>
      </c>
      <c r="M267" s="149">
        <v>5</v>
      </c>
      <c r="N267" s="150">
        <v>20</v>
      </c>
      <c r="O267" s="151">
        <v>0</v>
      </c>
      <c r="P267" s="151">
        <v>0</v>
      </c>
      <c r="Q267" s="151">
        <v>20</v>
      </c>
      <c r="R267" s="151">
        <f>SUM(O267:Q267)</f>
        <v>20</v>
      </c>
      <c r="S267" s="142">
        <v>3</v>
      </c>
      <c r="T267" s="145" t="s">
        <v>798</v>
      </c>
    </row>
    <row r="268" spans="1:20" ht="22.5" hidden="1" customHeight="1" x14ac:dyDescent="0.25">
      <c r="A268" s="152" t="s">
        <v>2691</v>
      </c>
      <c r="B268" s="142">
        <v>2022</v>
      </c>
      <c r="C268" s="142" t="s">
        <v>20</v>
      </c>
      <c r="D268" s="142" t="s">
        <v>871</v>
      </c>
      <c r="E268" s="143" t="s">
        <v>529</v>
      </c>
      <c r="F268" s="144" t="s">
        <v>22</v>
      </c>
      <c r="G268" s="145" t="s">
        <v>30</v>
      </c>
      <c r="H268" s="146" t="s">
        <v>872</v>
      </c>
      <c r="I268" s="147">
        <v>44816</v>
      </c>
      <c r="J268" s="147">
        <v>44820</v>
      </c>
      <c r="K268" s="142" t="s">
        <v>25</v>
      </c>
      <c r="L268" s="148">
        <v>2000</v>
      </c>
      <c r="M268" s="149">
        <v>5</v>
      </c>
      <c r="N268" s="150">
        <v>20</v>
      </c>
      <c r="O268" s="151">
        <v>13</v>
      </c>
      <c r="P268" s="151">
        <v>0</v>
      </c>
      <c r="Q268" s="151">
        <v>0</v>
      </c>
      <c r="R268" s="151">
        <f>SUM(O268:Q268)</f>
        <v>13</v>
      </c>
      <c r="S268" s="142">
        <v>20</v>
      </c>
      <c r="T268" s="145" t="s">
        <v>521</v>
      </c>
    </row>
    <row r="269" spans="1:20" ht="22.5" hidden="1" customHeight="1" x14ac:dyDescent="0.25">
      <c r="A269" s="152" t="s">
        <v>2692</v>
      </c>
      <c r="B269" s="142">
        <v>2022</v>
      </c>
      <c r="C269" s="142" t="s">
        <v>20</v>
      </c>
      <c r="D269" s="142" t="s">
        <v>873</v>
      </c>
      <c r="E269" s="143" t="s">
        <v>874</v>
      </c>
      <c r="F269" s="144" t="s">
        <v>22</v>
      </c>
      <c r="G269" s="145" t="s">
        <v>157</v>
      </c>
      <c r="H269" s="146" t="s">
        <v>875</v>
      </c>
      <c r="I269" s="147">
        <v>44817</v>
      </c>
      <c r="J269" s="147">
        <v>44826</v>
      </c>
      <c r="K269" s="142" t="s">
        <v>25</v>
      </c>
      <c r="L269" s="148">
        <v>6200</v>
      </c>
      <c r="M269" s="149">
        <v>4.7</v>
      </c>
      <c r="N269" s="150">
        <v>30</v>
      </c>
      <c r="O269" s="151">
        <v>15</v>
      </c>
      <c r="P269" s="151">
        <v>0</v>
      </c>
      <c r="Q269" s="151">
        <v>0</v>
      </c>
      <c r="R269" s="151">
        <f>SUM(O269:Q269)</f>
        <v>15</v>
      </c>
      <c r="S269" s="142">
        <v>8</v>
      </c>
      <c r="T269" s="145" t="s">
        <v>812</v>
      </c>
    </row>
    <row r="270" spans="1:20" ht="22.5" hidden="1" customHeight="1" x14ac:dyDescent="0.25">
      <c r="A270" s="152" t="s">
        <v>2693</v>
      </c>
      <c r="B270" s="142">
        <v>2022</v>
      </c>
      <c r="C270" s="142" t="s">
        <v>20</v>
      </c>
      <c r="D270" s="142" t="s">
        <v>876</v>
      </c>
      <c r="E270" s="143" t="s">
        <v>877</v>
      </c>
      <c r="F270" s="144" t="s">
        <v>22</v>
      </c>
      <c r="G270" s="145" t="s">
        <v>353</v>
      </c>
      <c r="H270" s="146" t="s">
        <v>878</v>
      </c>
      <c r="I270" s="147">
        <v>44817</v>
      </c>
      <c r="J270" s="147">
        <v>44909</v>
      </c>
      <c r="K270" s="142" t="s">
        <v>25</v>
      </c>
      <c r="L270" s="148">
        <v>40000</v>
      </c>
      <c r="M270" s="149">
        <v>5</v>
      </c>
      <c r="N270" s="150">
        <v>20</v>
      </c>
      <c r="O270" s="151">
        <v>5</v>
      </c>
      <c r="P270" s="151">
        <v>0</v>
      </c>
      <c r="Q270" s="151">
        <v>0</v>
      </c>
      <c r="R270" s="151">
        <f>SUM(O270:Q270)</f>
        <v>5</v>
      </c>
      <c r="S270" s="142">
        <v>30</v>
      </c>
      <c r="T270" s="145" t="s">
        <v>741</v>
      </c>
    </row>
    <row r="271" spans="1:20" ht="22.5" hidden="1" customHeight="1" x14ac:dyDescent="0.25">
      <c r="A271" s="152" t="s">
        <v>2694</v>
      </c>
      <c r="B271" s="142">
        <v>2022</v>
      </c>
      <c r="C271" s="142" t="s">
        <v>20</v>
      </c>
      <c r="D271" s="142" t="s">
        <v>879</v>
      </c>
      <c r="E271" s="143" t="s">
        <v>880</v>
      </c>
      <c r="F271" s="144" t="s">
        <v>22</v>
      </c>
      <c r="G271" s="145" t="s">
        <v>23</v>
      </c>
      <c r="H271" s="146" t="s">
        <v>881</v>
      </c>
      <c r="I271" s="147">
        <v>44823</v>
      </c>
      <c r="J271" s="147">
        <v>44831</v>
      </c>
      <c r="K271" s="142" t="s">
        <v>32</v>
      </c>
      <c r="L271" s="148">
        <v>5000</v>
      </c>
      <c r="M271" s="149">
        <v>5</v>
      </c>
      <c r="N271" s="150">
        <v>20</v>
      </c>
      <c r="O271" s="151">
        <v>18</v>
      </c>
      <c r="P271" s="151">
        <v>0</v>
      </c>
      <c r="Q271" s="151">
        <v>0</v>
      </c>
      <c r="R271" s="151">
        <f>SUM(O271:Q271)</f>
        <v>18</v>
      </c>
      <c r="S271" s="142">
        <v>12</v>
      </c>
      <c r="T271" s="145" t="s">
        <v>421</v>
      </c>
    </row>
    <row r="272" spans="1:20" ht="22.5" hidden="1" customHeight="1" x14ac:dyDescent="0.25">
      <c r="A272" s="152" t="s">
        <v>2695</v>
      </c>
      <c r="B272" s="142">
        <v>2022</v>
      </c>
      <c r="C272" s="142" t="s">
        <v>20</v>
      </c>
      <c r="D272" s="142" t="s">
        <v>879</v>
      </c>
      <c r="E272" s="143" t="s">
        <v>882</v>
      </c>
      <c r="F272" s="144" t="s">
        <v>22</v>
      </c>
      <c r="G272" s="145" t="s">
        <v>23</v>
      </c>
      <c r="H272" s="146" t="s">
        <v>883</v>
      </c>
      <c r="I272" s="147">
        <v>44823</v>
      </c>
      <c r="J272" s="147">
        <v>44833</v>
      </c>
      <c r="K272" s="142" t="s">
        <v>32</v>
      </c>
      <c r="L272" s="148">
        <v>5000</v>
      </c>
      <c r="M272" s="149">
        <v>5</v>
      </c>
      <c r="N272" s="150">
        <v>20</v>
      </c>
      <c r="O272" s="151">
        <v>8</v>
      </c>
      <c r="P272" s="151">
        <v>0</v>
      </c>
      <c r="Q272" s="151">
        <v>0</v>
      </c>
      <c r="R272" s="151">
        <f>SUM(O272:Q272)</f>
        <v>8</v>
      </c>
      <c r="S272" s="142">
        <v>12</v>
      </c>
      <c r="T272" s="145" t="s">
        <v>421</v>
      </c>
    </row>
    <row r="273" spans="1:20" ht="22.5" hidden="1" customHeight="1" x14ac:dyDescent="0.25">
      <c r="A273" s="152" t="s">
        <v>2696</v>
      </c>
      <c r="B273" s="142">
        <v>2022</v>
      </c>
      <c r="C273" s="142" t="s">
        <v>20</v>
      </c>
      <c r="D273" s="142" t="s">
        <v>884</v>
      </c>
      <c r="E273" s="143" t="s">
        <v>885</v>
      </c>
      <c r="F273" s="144" t="s">
        <v>178</v>
      </c>
      <c r="G273" s="145" t="s">
        <v>59</v>
      </c>
      <c r="H273" s="146" t="s">
        <v>886</v>
      </c>
      <c r="I273" s="147">
        <v>44830</v>
      </c>
      <c r="J273" s="147">
        <v>44833</v>
      </c>
      <c r="K273" s="142" t="s">
        <v>25</v>
      </c>
      <c r="L273" s="148">
        <v>19800</v>
      </c>
      <c r="M273" s="149">
        <v>4.5999999999999996</v>
      </c>
      <c r="N273" s="150">
        <v>80</v>
      </c>
      <c r="O273" s="151">
        <v>3</v>
      </c>
      <c r="P273" s="151">
        <v>80</v>
      </c>
      <c r="Q273" s="151">
        <v>0</v>
      </c>
      <c r="R273" s="151">
        <f>SUM(O273:Q273)</f>
        <v>83</v>
      </c>
      <c r="S273" s="142">
        <v>16</v>
      </c>
      <c r="T273" s="145" t="s">
        <v>887</v>
      </c>
    </row>
    <row r="274" spans="1:20" ht="22.5" hidden="1" customHeight="1" x14ac:dyDescent="0.25">
      <c r="A274" s="152" t="s">
        <v>2697</v>
      </c>
      <c r="B274" s="142">
        <v>2022</v>
      </c>
      <c r="C274" s="142" t="s">
        <v>20</v>
      </c>
      <c r="D274" s="142" t="s">
        <v>888</v>
      </c>
      <c r="E274" s="143" t="s">
        <v>889</v>
      </c>
      <c r="F274" s="144" t="s">
        <v>22</v>
      </c>
      <c r="G274" s="145" t="s">
        <v>157</v>
      </c>
      <c r="H274" s="146" t="s">
        <v>890</v>
      </c>
      <c r="I274" s="147">
        <v>44834</v>
      </c>
      <c r="J274" s="147">
        <v>44834</v>
      </c>
      <c r="K274" s="142" t="s">
        <v>25</v>
      </c>
      <c r="L274" s="148">
        <v>0</v>
      </c>
      <c r="M274" s="149">
        <v>5</v>
      </c>
      <c r="N274" s="150">
        <v>0</v>
      </c>
      <c r="O274" s="151">
        <v>24</v>
      </c>
      <c r="P274" s="151">
        <v>0</v>
      </c>
      <c r="Q274" s="151">
        <v>0</v>
      </c>
      <c r="R274" s="151">
        <f>SUM(O274:Q274)</f>
        <v>24</v>
      </c>
      <c r="S274" s="142">
        <v>2</v>
      </c>
      <c r="T274" s="145" t="s">
        <v>891</v>
      </c>
    </row>
    <row r="275" spans="1:20" ht="22.5" hidden="1" customHeight="1" x14ac:dyDescent="0.25">
      <c r="A275" s="152" t="s">
        <v>2698</v>
      </c>
      <c r="B275" s="142">
        <v>2022</v>
      </c>
      <c r="C275" s="142" t="s">
        <v>20</v>
      </c>
      <c r="D275" s="142" t="s">
        <v>892</v>
      </c>
      <c r="E275" s="143" t="s">
        <v>553</v>
      </c>
      <c r="F275" s="144" t="s">
        <v>22</v>
      </c>
      <c r="G275" s="145" t="s">
        <v>30</v>
      </c>
      <c r="H275" s="146" t="s">
        <v>893</v>
      </c>
      <c r="I275" s="147">
        <v>44837</v>
      </c>
      <c r="J275" s="147">
        <v>44841</v>
      </c>
      <c r="K275" s="142" t="s">
        <v>25</v>
      </c>
      <c r="L275" s="148">
        <v>2000</v>
      </c>
      <c r="M275" s="149">
        <v>4.2</v>
      </c>
      <c r="N275" s="150">
        <v>20</v>
      </c>
      <c r="O275" s="151">
        <v>20</v>
      </c>
      <c r="P275" s="151">
        <v>0</v>
      </c>
      <c r="Q275" s="151">
        <v>0</v>
      </c>
      <c r="R275" s="151">
        <f>SUM(O275:Q275)</f>
        <v>20</v>
      </c>
      <c r="S275" s="142">
        <v>20</v>
      </c>
      <c r="T275" s="145" t="s">
        <v>521</v>
      </c>
    </row>
    <row r="276" spans="1:20" ht="22.5" hidden="1" customHeight="1" x14ac:dyDescent="0.25">
      <c r="A276" s="152" t="s">
        <v>2699</v>
      </c>
      <c r="B276" s="142">
        <v>2022</v>
      </c>
      <c r="C276" s="142" t="s">
        <v>20</v>
      </c>
      <c r="D276" s="142" t="s">
        <v>894</v>
      </c>
      <c r="E276" s="143" t="s">
        <v>895</v>
      </c>
      <c r="F276" s="144" t="s">
        <v>66</v>
      </c>
      <c r="G276" s="145" t="s">
        <v>59</v>
      </c>
      <c r="H276" s="146" t="s">
        <v>896</v>
      </c>
      <c r="I276" s="147">
        <v>44837</v>
      </c>
      <c r="J276" s="147">
        <v>44841</v>
      </c>
      <c r="K276" s="142" t="s">
        <v>25</v>
      </c>
      <c r="L276" s="148">
        <v>4800</v>
      </c>
      <c r="M276" s="149">
        <v>4.8</v>
      </c>
      <c r="N276" s="150">
        <v>30</v>
      </c>
      <c r="O276" s="151">
        <v>0</v>
      </c>
      <c r="P276" s="151">
        <v>0</v>
      </c>
      <c r="Q276" s="151">
        <v>39</v>
      </c>
      <c r="R276" s="151">
        <f>SUM(O276:Q276)</f>
        <v>39</v>
      </c>
      <c r="S276" s="142">
        <v>12</v>
      </c>
      <c r="T276" s="145" t="s">
        <v>897</v>
      </c>
    </row>
    <row r="277" spans="1:20" ht="22.5" hidden="1" customHeight="1" x14ac:dyDescent="0.25">
      <c r="A277" s="152" t="s">
        <v>2700</v>
      </c>
      <c r="B277" s="142">
        <v>2022</v>
      </c>
      <c r="C277" s="142" t="s">
        <v>20</v>
      </c>
      <c r="D277" s="142" t="s">
        <v>898</v>
      </c>
      <c r="E277" s="143" t="s">
        <v>899</v>
      </c>
      <c r="F277" s="144" t="s">
        <v>22</v>
      </c>
      <c r="G277" s="145" t="s">
        <v>157</v>
      </c>
      <c r="H277" s="146" t="s">
        <v>900</v>
      </c>
      <c r="I277" s="147">
        <v>44841</v>
      </c>
      <c r="J277" s="147">
        <v>44841</v>
      </c>
      <c r="K277" s="142" t="s">
        <v>25</v>
      </c>
      <c r="L277" s="148">
        <v>4000</v>
      </c>
      <c r="M277" s="149">
        <v>5</v>
      </c>
      <c r="N277" s="150">
        <v>0</v>
      </c>
      <c r="O277" s="151">
        <v>39</v>
      </c>
      <c r="P277" s="151">
        <v>0</v>
      </c>
      <c r="Q277" s="151">
        <v>0</v>
      </c>
      <c r="R277" s="151">
        <f>SUM(O277:Q277)</f>
        <v>39</v>
      </c>
      <c r="S277" s="142">
        <v>1</v>
      </c>
      <c r="T277" s="145" t="s">
        <v>901</v>
      </c>
    </row>
    <row r="278" spans="1:20" ht="22.5" hidden="1" customHeight="1" x14ac:dyDescent="0.25">
      <c r="A278" s="152" t="s">
        <v>2701</v>
      </c>
      <c r="B278" s="142">
        <v>2022</v>
      </c>
      <c r="C278" s="142" t="s">
        <v>20</v>
      </c>
      <c r="D278" s="142" t="s">
        <v>902</v>
      </c>
      <c r="E278" s="143" t="s">
        <v>903</v>
      </c>
      <c r="F278" s="144" t="s">
        <v>178</v>
      </c>
      <c r="G278" s="145" t="s">
        <v>59</v>
      </c>
      <c r="H278" s="146" t="s">
        <v>904</v>
      </c>
      <c r="I278" s="147">
        <v>44844</v>
      </c>
      <c r="J278" s="147">
        <v>44845</v>
      </c>
      <c r="K278" s="142" t="s">
        <v>25</v>
      </c>
      <c r="L278" s="148">
        <v>0</v>
      </c>
      <c r="M278" s="149">
        <v>5</v>
      </c>
      <c r="N278" s="150">
        <v>0</v>
      </c>
      <c r="O278" s="151">
        <v>31</v>
      </c>
      <c r="P278" s="151">
        <v>246</v>
      </c>
      <c r="Q278" s="151">
        <v>0</v>
      </c>
      <c r="R278" s="151">
        <f>SUM(O278:Q278)</f>
        <v>277</v>
      </c>
      <c r="S278" s="142">
        <v>6</v>
      </c>
      <c r="T278" s="159" t="s">
        <v>905</v>
      </c>
    </row>
    <row r="279" spans="1:20" ht="22.5" hidden="1" customHeight="1" x14ac:dyDescent="0.25">
      <c r="A279" s="152" t="s">
        <v>2702</v>
      </c>
      <c r="B279" s="142">
        <v>2022</v>
      </c>
      <c r="C279" s="142" t="s">
        <v>20</v>
      </c>
      <c r="D279" s="142" t="s">
        <v>906</v>
      </c>
      <c r="E279" s="143" t="s">
        <v>907</v>
      </c>
      <c r="F279" s="144" t="s">
        <v>178</v>
      </c>
      <c r="G279" s="145" t="s">
        <v>59</v>
      </c>
      <c r="H279" s="146" t="s">
        <v>908</v>
      </c>
      <c r="I279" s="147">
        <v>44847</v>
      </c>
      <c r="J279" s="147">
        <v>44848</v>
      </c>
      <c r="K279" s="142" t="s">
        <v>32</v>
      </c>
      <c r="L279" s="148">
        <v>3469.88</v>
      </c>
      <c r="M279" s="149">
        <v>4.7</v>
      </c>
      <c r="N279" s="150">
        <v>40</v>
      </c>
      <c r="O279" s="151">
        <v>0</v>
      </c>
      <c r="P279" s="151">
        <v>43</v>
      </c>
      <c r="Q279" s="151">
        <v>0</v>
      </c>
      <c r="R279" s="151">
        <f>SUM(O279:Q279)</f>
        <v>43</v>
      </c>
      <c r="S279" s="142">
        <v>8</v>
      </c>
      <c r="T279" s="145" t="s">
        <v>909</v>
      </c>
    </row>
    <row r="280" spans="1:20" ht="22.5" hidden="1" customHeight="1" x14ac:dyDescent="0.25">
      <c r="A280" s="152" t="s">
        <v>2703</v>
      </c>
      <c r="B280" s="142">
        <v>2022</v>
      </c>
      <c r="C280" s="142" t="s">
        <v>20</v>
      </c>
      <c r="D280" s="142" t="s">
        <v>910</v>
      </c>
      <c r="E280" s="143" t="s">
        <v>911</v>
      </c>
      <c r="F280" s="144" t="s">
        <v>178</v>
      </c>
      <c r="G280" s="145" t="s">
        <v>59</v>
      </c>
      <c r="H280" s="146" t="s">
        <v>912</v>
      </c>
      <c r="I280" s="147">
        <v>44847</v>
      </c>
      <c r="J280" s="147">
        <v>44847</v>
      </c>
      <c r="K280" s="142" t="s">
        <v>32</v>
      </c>
      <c r="L280" s="148">
        <v>867.47</v>
      </c>
      <c r="M280" s="149">
        <v>4.5</v>
      </c>
      <c r="N280" s="150">
        <v>20</v>
      </c>
      <c r="O280" s="151">
        <v>0</v>
      </c>
      <c r="P280" s="151">
        <v>21</v>
      </c>
      <c r="Q280" s="151">
        <v>0</v>
      </c>
      <c r="R280" s="151">
        <f>SUM(O280:Q280)</f>
        <v>21</v>
      </c>
      <c r="S280" s="142">
        <v>2</v>
      </c>
      <c r="T280" s="145" t="s">
        <v>808</v>
      </c>
    </row>
    <row r="281" spans="1:20" ht="22.5" hidden="1" customHeight="1" x14ac:dyDescent="0.25">
      <c r="A281" s="152" t="s">
        <v>2704</v>
      </c>
      <c r="B281" s="142">
        <v>2022</v>
      </c>
      <c r="C281" s="142" t="s">
        <v>20</v>
      </c>
      <c r="D281" s="142" t="s">
        <v>913</v>
      </c>
      <c r="E281" s="160" t="s">
        <v>914</v>
      </c>
      <c r="F281" s="144" t="s">
        <v>22</v>
      </c>
      <c r="G281" s="145" t="s">
        <v>157</v>
      </c>
      <c r="H281" s="146" t="s">
        <v>915</v>
      </c>
      <c r="I281" s="147">
        <v>44848</v>
      </c>
      <c r="J281" s="147">
        <v>44848</v>
      </c>
      <c r="K281" s="142" t="s">
        <v>32</v>
      </c>
      <c r="L281" s="148">
        <v>0</v>
      </c>
      <c r="M281" s="149">
        <v>5</v>
      </c>
      <c r="N281" s="150">
        <v>0</v>
      </c>
      <c r="O281" s="151">
        <v>60</v>
      </c>
      <c r="P281" s="151">
        <v>0</v>
      </c>
      <c r="Q281" s="151">
        <v>84</v>
      </c>
      <c r="R281" s="151">
        <f>SUM(O281:Q281)</f>
        <v>144</v>
      </c>
      <c r="S281" s="142">
        <v>2</v>
      </c>
      <c r="T281" s="145" t="s">
        <v>67</v>
      </c>
    </row>
    <row r="282" spans="1:20" ht="22.5" hidden="1" customHeight="1" x14ac:dyDescent="0.25">
      <c r="A282" s="152" t="s">
        <v>2705</v>
      </c>
      <c r="B282" s="142">
        <v>2022</v>
      </c>
      <c r="C282" s="142" t="s">
        <v>20</v>
      </c>
      <c r="D282" s="142" t="s">
        <v>876</v>
      </c>
      <c r="E282" s="143" t="s">
        <v>916</v>
      </c>
      <c r="F282" s="144" t="s">
        <v>22</v>
      </c>
      <c r="G282" s="145" t="s">
        <v>353</v>
      </c>
      <c r="H282" s="146" t="s">
        <v>917</v>
      </c>
      <c r="I282" s="147">
        <v>44851</v>
      </c>
      <c r="J282" s="147">
        <v>44876</v>
      </c>
      <c r="K282" s="142" t="s">
        <v>25</v>
      </c>
      <c r="L282" s="148">
        <v>27000</v>
      </c>
      <c r="M282" s="149">
        <v>4.5999999999999996</v>
      </c>
      <c r="N282" s="150">
        <v>20</v>
      </c>
      <c r="O282" s="151">
        <v>19</v>
      </c>
      <c r="P282" s="151">
        <v>0</v>
      </c>
      <c r="Q282" s="151">
        <v>0</v>
      </c>
      <c r="R282" s="151">
        <f>SUM(O282:Q282)</f>
        <v>19</v>
      </c>
      <c r="S282" s="142">
        <v>30</v>
      </c>
      <c r="T282" s="145" t="s">
        <v>741</v>
      </c>
    </row>
    <row r="283" spans="1:20" ht="22.5" hidden="1" customHeight="1" x14ac:dyDescent="0.25">
      <c r="A283" s="152" t="s">
        <v>2706</v>
      </c>
      <c r="B283" s="142">
        <v>2022</v>
      </c>
      <c r="C283" s="142" t="s">
        <v>20</v>
      </c>
      <c r="D283" s="142" t="s">
        <v>918</v>
      </c>
      <c r="E283" s="143" t="s">
        <v>919</v>
      </c>
      <c r="F283" s="144" t="s">
        <v>66</v>
      </c>
      <c r="G283" s="145" t="s">
        <v>59</v>
      </c>
      <c r="H283" s="146" t="s">
        <v>920</v>
      </c>
      <c r="I283" s="147">
        <v>44852</v>
      </c>
      <c r="J283" s="147">
        <v>44855</v>
      </c>
      <c r="K283" s="142" t="s">
        <v>32</v>
      </c>
      <c r="L283" s="148">
        <v>8000</v>
      </c>
      <c r="M283" s="149">
        <v>4.9000000000000004</v>
      </c>
      <c r="N283" s="150">
        <v>40</v>
      </c>
      <c r="O283" s="151">
        <v>1</v>
      </c>
      <c r="P283" s="151">
        <v>0</v>
      </c>
      <c r="Q283" s="151">
        <v>64</v>
      </c>
      <c r="R283" s="151">
        <f>SUM(O283:Q283)</f>
        <v>65</v>
      </c>
      <c r="S283" s="142">
        <v>16</v>
      </c>
      <c r="T283" s="145" t="s">
        <v>324</v>
      </c>
    </row>
    <row r="284" spans="1:20" ht="22.5" hidden="1" customHeight="1" x14ac:dyDescent="0.25">
      <c r="A284" s="152" t="s">
        <v>2707</v>
      </c>
      <c r="B284" s="142">
        <v>2022</v>
      </c>
      <c r="C284" s="142" t="s">
        <v>20</v>
      </c>
      <c r="D284" s="142" t="s">
        <v>921</v>
      </c>
      <c r="E284" s="143" t="s">
        <v>922</v>
      </c>
      <c r="F284" s="144" t="s">
        <v>22</v>
      </c>
      <c r="G284" s="145" t="s">
        <v>23</v>
      </c>
      <c r="H284" s="146" t="s">
        <v>923</v>
      </c>
      <c r="I284" s="147">
        <v>44854</v>
      </c>
      <c r="J284" s="147">
        <v>44854</v>
      </c>
      <c r="K284" s="142" t="s">
        <v>32</v>
      </c>
      <c r="L284" s="148">
        <v>1799.94</v>
      </c>
      <c r="M284" s="149">
        <v>5</v>
      </c>
      <c r="N284" s="150">
        <v>0</v>
      </c>
      <c r="O284" s="151">
        <v>72</v>
      </c>
      <c r="P284" s="151">
        <v>0</v>
      </c>
      <c r="Q284" s="151">
        <v>0</v>
      </c>
      <c r="R284" s="151">
        <f>SUM(O284:Q284)</f>
        <v>72</v>
      </c>
      <c r="S284" s="142">
        <v>2</v>
      </c>
      <c r="T284" s="145" t="s">
        <v>924</v>
      </c>
    </row>
    <row r="285" spans="1:20" ht="22.5" hidden="1" customHeight="1" x14ac:dyDescent="0.25">
      <c r="A285" s="152" t="s">
        <v>2708</v>
      </c>
      <c r="B285" s="142">
        <v>2022</v>
      </c>
      <c r="C285" s="142" t="s">
        <v>20</v>
      </c>
      <c r="D285" s="142" t="s">
        <v>925</v>
      </c>
      <c r="E285" s="143" t="s">
        <v>926</v>
      </c>
      <c r="F285" s="144" t="s">
        <v>66</v>
      </c>
      <c r="G285" s="145" t="s">
        <v>59</v>
      </c>
      <c r="H285" s="146" t="s">
        <v>927</v>
      </c>
      <c r="I285" s="147">
        <v>44858</v>
      </c>
      <c r="J285" s="147">
        <v>44860</v>
      </c>
      <c r="K285" s="142" t="s">
        <v>25</v>
      </c>
      <c r="L285" s="148">
        <v>0</v>
      </c>
      <c r="M285" s="149">
        <v>5</v>
      </c>
      <c r="N285" s="150">
        <v>0</v>
      </c>
      <c r="O285" s="151">
        <v>0</v>
      </c>
      <c r="P285" s="151">
        <v>0</v>
      </c>
      <c r="Q285" s="151">
        <v>193</v>
      </c>
      <c r="R285" s="151">
        <f>SUM(O285:Q285)</f>
        <v>193</v>
      </c>
      <c r="S285" s="142">
        <v>20</v>
      </c>
      <c r="T285" s="145" t="s">
        <v>67</v>
      </c>
    </row>
    <row r="286" spans="1:20" ht="22.5" hidden="1" customHeight="1" x14ac:dyDescent="0.25">
      <c r="A286" s="152" t="s">
        <v>2709</v>
      </c>
      <c r="B286" s="142">
        <v>2022</v>
      </c>
      <c r="C286" s="142" t="s">
        <v>20</v>
      </c>
      <c r="D286" s="142" t="s">
        <v>928</v>
      </c>
      <c r="E286" s="143" t="s">
        <v>929</v>
      </c>
      <c r="F286" s="144" t="s">
        <v>22</v>
      </c>
      <c r="G286" s="145" t="s">
        <v>34</v>
      </c>
      <c r="H286" s="146" t="s">
        <v>930</v>
      </c>
      <c r="I286" s="147">
        <v>44861</v>
      </c>
      <c r="J286" s="147">
        <v>44861</v>
      </c>
      <c r="K286" s="142" t="s">
        <v>25</v>
      </c>
      <c r="L286" s="148">
        <v>0</v>
      </c>
      <c r="M286" s="149">
        <v>5</v>
      </c>
      <c r="N286" s="150">
        <v>80</v>
      </c>
      <c r="O286" s="151">
        <v>46</v>
      </c>
      <c r="P286" s="151">
        <v>0</v>
      </c>
      <c r="Q286" s="151">
        <v>0</v>
      </c>
      <c r="R286" s="151">
        <f>SUM(O286:Q286)</f>
        <v>46</v>
      </c>
      <c r="S286" s="142">
        <v>2</v>
      </c>
      <c r="T286" s="145" t="s">
        <v>931</v>
      </c>
    </row>
    <row r="287" spans="1:20" ht="22.5" hidden="1" customHeight="1" x14ac:dyDescent="0.25">
      <c r="A287" s="152" t="s">
        <v>2710</v>
      </c>
      <c r="B287" s="142">
        <v>2022</v>
      </c>
      <c r="C287" s="142" t="s">
        <v>20</v>
      </c>
      <c r="D287" s="142" t="s">
        <v>932</v>
      </c>
      <c r="E287" s="143" t="s">
        <v>933</v>
      </c>
      <c r="F287" s="144" t="s">
        <v>66</v>
      </c>
      <c r="G287" s="145" t="s">
        <v>59</v>
      </c>
      <c r="H287" s="146" t="s">
        <v>934</v>
      </c>
      <c r="I287" s="147">
        <v>44869</v>
      </c>
      <c r="J287" s="147">
        <v>44869</v>
      </c>
      <c r="K287" s="142" t="s">
        <v>32</v>
      </c>
      <c r="L287" s="148">
        <v>2000</v>
      </c>
      <c r="M287" s="149">
        <v>5</v>
      </c>
      <c r="N287" s="150">
        <v>20</v>
      </c>
      <c r="O287" s="151">
        <v>0</v>
      </c>
      <c r="P287" s="151">
        <v>0</v>
      </c>
      <c r="Q287" s="151">
        <v>20</v>
      </c>
      <c r="R287" s="151">
        <f>SUM(O287:Q287)</f>
        <v>20</v>
      </c>
      <c r="S287" s="142">
        <v>4</v>
      </c>
      <c r="T287" s="145" t="s">
        <v>798</v>
      </c>
    </row>
    <row r="288" spans="1:20" ht="22.5" hidden="1" customHeight="1" x14ac:dyDescent="0.25">
      <c r="A288" s="152" t="s">
        <v>2711</v>
      </c>
      <c r="B288" s="142">
        <v>2022</v>
      </c>
      <c r="C288" s="142" t="s">
        <v>20</v>
      </c>
      <c r="D288" s="142"/>
      <c r="E288" s="143" t="s">
        <v>935</v>
      </c>
      <c r="F288" s="144" t="s">
        <v>22</v>
      </c>
      <c r="G288" s="145" t="s">
        <v>157</v>
      </c>
      <c r="H288" s="146" t="s">
        <v>934</v>
      </c>
      <c r="I288" s="147">
        <v>44869</v>
      </c>
      <c r="J288" s="147">
        <v>44869</v>
      </c>
      <c r="K288" s="142" t="s">
        <v>25</v>
      </c>
      <c r="L288" s="148">
        <v>0</v>
      </c>
      <c r="M288" s="149">
        <v>5</v>
      </c>
      <c r="N288" s="150">
        <v>0</v>
      </c>
      <c r="O288" s="151">
        <v>23</v>
      </c>
      <c r="P288" s="151">
        <v>0</v>
      </c>
      <c r="Q288" s="151">
        <v>0</v>
      </c>
      <c r="R288" s="151">
        <f>SUM(O288:Q288)</f>
        <v>23</v>
      </c>
      <c r="S288" s="142">
        <v>2</v>
      </c>
      <c r="T288" s="145"/>
    </row>
    <row r="289" spans="1:20" ht="22.5" hidden="1" customHeight="1" x14ac:dyDescent="0.25">
      <c r="A289" s="152" t="s">
        <v>2712</v>
      </c>
      <c r="B289" s="142">
        <v>2022</v>
      </c>
      <c r="C289" s="142" t="s">
        <v>20</v>
      </c>
      <c r="D289" s="142" t="s">
        <v>936</v>
      </c>
      <c r="E289" s="143" t="s">
        <v>937</v>
      </c>
      <c r="F289" s="144" t="s">
        <v>178</v>
      </c>
      <c r="G289" s="145" t="s">
        <v>59</v>
      </c>
      <c r="H289" s="146" t="s">
        <v>938</v>
      </c>
      <c r="I289" s="147">
        <v>44872</v>
      </c>
      <c r="J289" s="147">
        <v>44881</v>
      </c>
      <c r="K289" s="142" t="s">
        <v>25</v>
      </c>
      <c r="L289" s="148">
        <v>19800</v>
      </c>
      <c r="M289" s="149">
        <v>4.7</v>
      </c>
      <c r="N289" s="150">
        <v>80</v>
      </c>
      <c r="O289" s="151">
        <v>21</v>
      </c>
      <c r="P289" s="151">
        <v>59</v>
      </c>
      <c r="Q289" s="151">
        <v>0</v>
      </c>
      <c r="R289" s="151">
        <f>SUM(O289:Q289)</f>
        <v>80</v>
      </c>
      <c r="S289" s="142">
        <v>16</v>
      </c>
      <c r="T289" s="145" t="s">
        <v>939</v>
      </c>
    </row>
    <row r="290" spans="1:20" ht="22.5" hidden="1" customHeight="1" x14ac:dyDescent="0.25">
      <c r="A290" s="152" t="s">
        <v>2713</v>
      </c>
      <c r="B290" s="142">
        <v>2022</v>
      </c>
      <c r="C290" s="142" t="s">
        <v>20</v>
      </c>
      <c r="D290" s="142" t="s">
        <v>940</v>
      </c>
      <c r="E290" s="143" t="s">
        <v>941</v>
      </c>
      <c r="F290" s="144" t="s">
        <v>22</v>
      </c>
      <c r="G290" s="145" t="s">
        <v>157</v>
      </c>
      <c r="H290" s="146" t="s">
        <v>942</v>
      </c>
      <c r="I290" s="147">
        <v>44873</v>
      </c>
      <c r="J290" s="147">
        <v>44901</v>
      </c>
      <c r="K290" s="142" t="s">
        <v>25</v>
      </c>
      <c r="L290" s="148">
        <v>10080</v>
      </c>
      <c r="M290" s="149">
        <v>4.5</v>
      </c>
      <c r="N290" s="150">
        <v>25</v>
      </c>
      <c r="O290" s="151">
        <v>21</v>
      </c>
      <c r="P290" s="151">
        <v>0</v>
      </c>
      <c r="Q290" s="151">
        <v>0</v>
      </c>
      <c r="R290" s="151">
        <f>SUM(O290:Q290)</f>
        <v>21</v>
      </c>
      <c r="S290" s="142">
        <v>21</v>
      </c>
      <c r="T290" s="145" t="s">
        <v>943</v>
      </c>
    </row>
    <row r="291" spans="1:20" ht="22.5" hidden="1" customHeight="1" x14ac:dyDescent="0.25">
      <c r="A291" s="152" t="s">
        <v>2714</v>
      </c>
      <c r="B291" s="142">
        <v>2022</v>
      </c>
      <c r="C291" s="142" t="s">
        <v>20</v>
      </c>
      <c r="D291" s="142" t="s">
        <v>944</v>
      </c>
      <c r="E291" s="143" t="s">
        <v>945</v>
      </c>
      <c r="F291" s="144" t="s">
        <v>178</v>
      </c>
      <c r="G291" s="145" t="s">
        <v>56</v>
      </c>
      <c r="H291" s="146" t="s">
        <v>946</v>
      </c>
      <c r="I291" s="147">
        <v>44873</v>
      </c>
      <c r="J291" s="147">
        <v>44883</v>
      </c>
      <c r="K291" s="142" t="s">
        <v>32</v>
      </c>
      <c r="L291" s="148">
        <v>10000</v>
      </c>
      <c r="M291" s="149">
        <v>4.5999999999999996</v>
      </c>
      <c r="N291" s="150">
        <v>40</v>
      </c>
      <c r="O291" s="151">
        <v>18</v>
      </c>
      <c r="P291" s="151">
        <v>10</v>
      </c>
      <c r="Q291" s="151">
        <v>0</v>
      </c>
      <c r="R291" s="151">
        <f>SUM(O291:Q291)</f>
        <v>28</v>
      </c>
      <c r="S291" s="142">
        <v>20</v>
      </c>
      <c r="T291" s="145" t="s">
        <v>324</v>
      </c>
    </row>
    <row r="292" spans="1:20" ht="22.5" hidden="1" customHeight="1" x14ac:dyDescent="0.25">
      <c r="A292" s="152" t="s">
        <v>2715</v>
      </c>
      <c r="B292" s="142">
        <v>2022</v>
      </c>
      <c r="C292" s="142" t="s">
        <v>20</v>
      </c>
      <c r="D292" s="142" t="s">
        <v>834</v>
      </c>
      <c r="E292" s="143" t="s">
        <v>677</v>
      </c>
      <c r="F292" s="144" t="s">
        <v>66</v>
      </c>
      <c r="G292" s="145" t="s">
        <v>59</v>
      </c>
      <c r="H292" s="146" t="s">
        <v>947</v>
      </c>
      <c r="I292" s="147">
        <v>44886</v>
      </c>
      <c r="J292" s="147">
        <v>44890</v>
      </c>
      <c r="K292" s="142" t="s">
        <v>32</v>
      </c>
      <c r="L292" s="148">
        <v>8000</v>
      </c>
      <c r="M292" s="149">
        <v>4.8</v>
      </c>
      <c r="N292" s="150">
        <v>40</v>
      </c>
      <c r="O292" s="151">
        <v>0</v>
      </c>
      <c r="P292" s="151">
        <v>0</v>
      </c>
      <c r="Q292" s="151">
        <v>35</v>
      </c>
      <c r="R292" s="151">
        <f>SUM(O292:Q292)</f>
        <v>35</v>
      </c>
      <c r="S292" s="142">
        <v>10.5</v>
      </c>
      <c r="T292" s="145" t="s">
        <v>948</v>
      </c>
    </row>
    <row r="293" spans="1:20" ht="22.5" hidden="1" customHeight="1" x14ac:dyDescent="0.25">
      <c r="A293" s="152" t="s">
        <v>2716</v>
      </c>
      <c r="B293" s="142">
        <v>2022</v>
      </c>
      <c r="C293" s="142" t="s">
        <v>20</v>
      </c>
      <c r="D293" s="142" t="s">
        <v>949</v>
      </c>
      <c r="E293" s="143" t="s">
        <v>950</v>
      </c>
      <c r="F293" s="144" t="s">
        <v>22</v>
      </c>
      <c r="G293" s="145" t="s">
        <v>56</v>
      </c>
      <c r="H293" s="146" t="s">
        <v>951</v>
      </c>
      <c r="I293" s="147">
        <v>44887</v>
      </c>
      <c r="J293" s="147">
        <v>44890</v>
      </c>
      <c r="K293" s="142" t="s">
        <v>32</v>
      </c>
      <c r="L293" s="148">
        <v>8000</v>
      </c>
      <c r="M293" s="149">
        <v>5</v>
      </c>
      <c r="N293" s="150">
        <v>20</v>
      </c>
      <c r="O293" s="151">
        <v>20</v>
      </c>
      <c r="P293" s="151">
        <v>0</v>
      </c>
      <c r="Q293" s="151">
        <v>0</v>
      </c>
      <c r="R293" s="151">
        <f>SUM(O293:Q293)</f>
        <v>20</v>
      </c>
      <c r="S293" s="142">
        <v>12</v>
      </c>
      <c r="T293" s="145" t="s">
        <v>425</v>
      </c>
    </row>
    <row r="294" spans="1:20" ht="22.5" hidden="1" customHeight="1" x14ac:dyDescent="0.25">
      <c r="A294" s="152" t="s">
        <v>2717</v>
      </c>
      <c r="B294" s="142">
        <v>2022</v>
      </c>
      <c r="C294" s="142" t="s">
        <v>20</v>
      </c>
      <c r="D294" s="142" t="s">
        <v>952</v>
      </c>
      <c r="E294" s="143" t="s">
        <v>953</v>
      </c>
      <c r="F294" s="144" t="s">
        <v>51</v>
      </c>
      <c r="G294" s="145" t="s">
        <v>59</v>
      </c>
      <c r="H294" s="146" t="s">
        <v>954</v>
      </c>
      <c r="I294" s="147">
        <v>44909</v>
      </c>
      <c r="J294" s="147">
        <v>44909</v>
      </c>
      <c r="K294" s="142" t="s">
        <v>32</v>
      </c>
      <c r="L294" s="148">
        <v>0</v>
      </c>
      <c r="M294" s="149">
        <v>5</v>
      </c>
      <c r="N294" s="150">
        <v>0</v>
      </c>
      <c r="O294" s="151">
        <v>19</v>
      </c>
      <c r="P294" s="151">
        <v>169</v>
      </c>
      <c r="Q294" s="151">
        <v>0</v>
      </c>
      <c r="R294" s="151">
        <f>SUM(O294:Q294)</f>
        <v>188</v>
      </c>
      <c r="S294" s="142">
        <v>2</v>
      </c>
      <c r="T294" s="145" t="s">
        <v>955</v>
      </c>
    </row>
    <row r="295" spans="1:20" ht="22.5" hidden="1" customHeight="1" x14ac:dyDescent="0.25">
      <c r="A295" s="152" t="s">
        <v>2718</v>
      </c>
      <c r="B295" s="142">
        <v>2023</v>
      </c>
      <c r="C295" s="142" t="s">
        <v>20</v>
      </c>
      <c r="D295" s="142" t="s">
        <v>956</v>
      </c>
      <c r="E295" s="143" t="s">
        <v>957</v>
      </c>
      <c r="F295" s="144" t="s">
        <v>22</v>
      </c>
      <c r="G295" s="145" t="s">
        <v>34</v>
      </c>
      <c r="H295" s="146" t="s">
        <v>958</v>
      </c>
      <c r="I295" s="147">
        <v>44952</v>
      </c>
      <c r="J295" s="147">
        <v>44952</v>
      </c>
      <c r="K295" s="142" t="s">
        <v>32</v>
      </c>
      <c r="L295" s="148">
        <v>0</v>
      </c>
      <c r="M295" s="149">
        <v>5</v>
      </c>
      <c r="N295" s="150">
        <v>80</v>
      </c>
      <c r="O295" s="151">
        <v>42</v>
      </c>
      <c r="P295" s="151">
        <v>0</v>
      </c>
      <c r="Q295" s="151">
        <v>0</v>
      </c>
      <c r="R295" s="151">
        <f>SUM(O295:Q295)</f>
        <v>42</v>
      </c>
      <c r="S295" s="142">
        <v>2</v>
      </c>
      <c r="T295" s="145" t="s">
        <v>959</v>
      </c>
    </row>
    <row r="296" spans="1:20" ht="22.5" hidden="1" customHeight="1" x14ac:dyDescent="0.25">
      <c r="A296" s="152" t="s">
        <v>2719</v>
      </c>
      <c r="B296" s="142">
        <v>2023</v>
      </c>
      <c r="C296" s="142" t="s">
        <v>20</v>
      </c>
      <c r="D296" s="142" t="s">
        <v>960</v>
      </c>
      <c r="E296" s="143" t="s">
        <v>961</v>
      </c>
      <c r="F296" s="144" t="s">
        <v>22</v>
      </c>
      <c r="G296" s="145" t="s">
        <v>157</v>
      </c>
      <c r="H296" s="146" t="s">
        <v>962</v>
      </c>
      <c r="I296" s="147">
        <v>44964</v>
      </c>
      <c r="J296" s="147">
        <v>45013</v>
      </c>
      <c r="K296" s="142" t="s">
        <v>25</v>
      </c>
      <c r="L296" s="148">
        <v>14300</v>
      </c>
      <c r="M296" s="149">
        <v>5</v>
      </c>
      <c r="N296" s="150">
        <v>30</v>
      </c>
      <c r="O296" s="151">
        <v>31</v>
      </c>
      <c r="P296" s="151">
        <v>0</v>
      </c>
      <c r="Q296" s="151">
        <v>0</v>
      </c>
      <c r="R296" s="151">
        <f>SUM(O296:Q296)</f>
        <v>31</v>
      </c>
      <c r="S296" s="142">
        <v>26</v>
      </c>
      <c r="T296" s="145" t="s">
        <v>963</v>
      </c>
    </row>
    <row r="297" spans="1:20" ht="22.5" hidden="1" customHeight="1" x14ac:dyDescent="0.25">
      <c r="A297" s="152" t="s">
        <v>2720</v>
      </c>
      <c r="B297" s="142">
        <v>2023</v>
      </c>
      <c r="C297" s="142" t="s">
        <v>20</v>
      </c>
      <c r="D297" s="142" t="s">
        <v>964</v>
      </c>
      <c r="E297" s="143" t="s">
        <v>965</v>
      </c>
      <c r="F297" s="144" t="s">
        <v>51</v>
      </c>
      <c r="G297" s="145" t="s">
        <v>59</v>
      </c>
      <c r="H297" s="146" t="s">
        <v>966</v>
      </c>
      <c r="I297" s="147">
        <v>44984</v>
      </c>
      <c r="J297" s="147">
        <v>44988</v>
      </c>
      <c r="K297" s="142" t="s">
        <v>32</v>
      </c>
      <c r="L297" s="148">
        <f>21417.24/2</f>
        <v>10708.62</v>
      </c>
      <c r="M297" s="149">
        <v>4.8</v>
      </c>
      <c r="N297" s="150">
        <v>20</v>
      </c>
      <c r="O297" s="151">
        <v>2</v>
      </c>
      <c r="P297" s="151">
        <v>18</v>
      </c>
      <c r="Q297" s="151">
        <v>0</v>
      </c>
      <c r="R297" s="151">
        <f>SUM(O297:Q297)</f>
        <v>20</v>
      </c>
      <c r="S297" s="142">
        <v>20</v>
      </c>
      <c r="T297" s="145" t="s">
        <v>61</v>
      </c>
    </row>
    <row r="298" spans="1:20" ht="22.5" hidden="1" customHeight="1" x14ac:dyDescent="0.25">
      <c r="A298" s="152" t="s">
        <v>2721</v>
      </c>
      <c r="B298" s="142">
        <v>2023</v>
      </c>
      <c r="C298" s="142" t="s">
        <v>20</v>
      </c>
      <c r="D298" s="142"/>
      <c r="E298" s="143" t="s">
        <v>967</v>
      </c>
      <c r="F298" s="144" t="s">
        <v>22</v>
      </c>
      <c r="G298" s="145" t="s">
        <v>157</v>
      </c>
      <c r="H298" s="146" t="s">
        <v>968</v>
      </c>
      <c r="I298" s="147">
        <v>44985</v>
      </c>
      <c r="J298" s="147">
        <v>44985</v>
      </c>
      <c r="K298" s="142" t="s">
        <v>32</v>
      </c>
      <c r="L298" s="148">
        <v>0</v>
      </c>
      <c r="M298" s="149">
        <v>5</v>
      </c>
      <c r="N298" s="150">
        <v>0</v>
      </c>
      <c r="O298" s="151">
        <v>70</v>
      </c>
      <c r="P298" s="151">
        <v>0</v>
      </c>
      <c r="Q298" s="151">
        <v>0</v>
      </c>
      <c r="R298" s="151">
        <f>SUM(O298:Q298)</f>
        <v>70</v>
      </c>
      <c r="S298" s="142">
        <v>1.5</v>
      </c>
      <c r="T298" s="145" t="s">
        <v>969</v>
      </c>
    </row>
    <row r="299" spans="1:20" ht="22.5" hidden="1" customHeight="1" x14ac:dyDescent="0.25">
      <c r="A299" s="152" t="s">
        <v>2722</v>
      </c>
      <c r="B299" s="142">
        <v>2023</v>
      </c>
      <c r="C299" s="142" t="s">
        <v>20</v>
      </c>
      <c r="D299" s="142" t="s">
        <v>970</v>
      </c>
      <c r="E299" s="143" t="s">
        <v>971</v>
      </c>
      <c r="F299" s="144" t="s">
        <v>22</v>
      </c>
      <c r="G299" s="145" t="s">
        <v>56</v>
      </c>
      <c r="H299" s="146" t="s">
        <v>968</v>
      </c>
      <c r="I299" s="147">
        <v>44985</v>
      </c>
      <c r="J299" s="147">
        <v>44985</v>
      </c>
      <c r="K299" s="142" t="s">
        <v>25</v>
      </c>
      <c r="L299" s="148">
        <v>0</v>
      </c>
      <c r="M299" s="149">
        <v>5</v>
      </c>
      <c r="N299" s="150">
        <v>70</v>
      </c>
      <c r="O299" s="151">
        <v>13</v>
      </c>
      <c r="P299" s="151">
        <v>20</v>
      </c>
      <c r="Q299" s="151">
        <v>52</v>
      </c>
      <c r="R299" s="151">
        <f>SUM(O299:Q299)</f>
        <v>85</v>
      </c>
      <c r="S299" s="142">
        <v>8</v>
      </c>
      <c r="T299" s="145" t="s">
        <v>972</v>
      </c>
    </row>
    <row r="300" spans="1:20" ht="22.5" hidden="1" customHeight="1" x14ac:dyDescent="0.25">
      <c r="A300" s="152" t="s">
        <v>2723</v>
      </c>
      <c r="B300" s="142">
        <v>2023</v>
      </c>
      <c r="C300" s="142" t="s">
        <v>20</v>
      </c>
      <c r="D300" s="142" t="s">
        <v>973</v>
      </c>
      <c r="E300" s="143" t="s">
        <v>974</v>
      </c>
      <c r="F300" s="144" t="s">
        <v>66</v>
      </c>
      <c r="G300" s="145" t="s">
        <v>59</v>
      </c>
      <c r="H300" s="146" t="s">
        <v>975</v>
      </c>
      <c r="I300" s="147">
        <v>44988</v>
      </c>
      <c r="J300" s="147">
        <v>44988</v>
      </c>
      <c r="K300" s="142" t="s">
        <v>25</v>
      </c>
      <c r="L300" s="148">
        <v>0</v>
      </c>
      <c r="M300" s="149">
        <v>5</v>
      </c>
      <c r="N300" s="150">
        <v>0</v>
      </c>
      <c r="O300" s="151">
        <v>0</v>
      </c>
      <c r="P300" s="151">
        <v>0</v>
      </c>
      <c r="Q300" s="151">
        <v>54</v>
      </c>
      <c r="R300" s="151">
        <f>SUM(O300:Q300)</f>
        <v>54</v>
      </c>
      <c r="S300" s="142">
        <v>2</v>
      </c>
      <c r="T300" s="145" t="s">
        <v>976</v>
      </c>
    </row>
    <row r="301" spans="1:20" ht="22.5" hidden="1" customHeight="1" x14ac:dyDescent="0.25">
      <c r="A301" s="152" t="s">
        <v>2724</v>
      </c>
      <c r="B301" s="142">
        <v>2023</v>
      </c>
      <c r="C301" s="142" t="s">
        <v>20</v>
      </c>
      <c r="D301" s="142" t="s">
        <v>977</v>
      </c>
      <c r="E301" s="143" t="s">
        <v>978</v>
      </c>
      <c r="F301" s="144" t="s">
        <v>66</v>
      </c>
      <c r="G301" s="145" t="s">
        <v>157</v>
      </c>
      <c r="H301" s="146" t="s">
        <v>979</v>
      </c>
      <c r="I301" s="147">
        <v>44991</v>
      </c>
      <c r="J301" s="147">
        <v>44991</v>
      </c>
      <c r="K301" s="142" t="s">
        <v>25</v>
      </c>
      <c r="L301" s="148">
        <v>0</v>
      </c>
      <c r="M301" s="149">
        <v>4.5999999999999996</v>
      </c>
      <c r="N301" s="150">
        <v>170</v>
      </c>
      <c r="O301" s="151">
        <v>23</v>
      </c>
      <c r="P301" s="151">
        <v>0</v>
      </c>
      <c r="Q301" s="151">
        <v>130</v>
      </c>
      <c r="R301" s="151">
        <f>SUM(O301:Q301)</f>
        <v>153</v>
      </c>
      <c r="S301" s="142">
        <v>2</v>
      </c>
      <c r="T301" s="145" t="s">
        <v>980</v>
      </c>
    </row>
    <row r="302" spans="1:20" ht="22.5" hidden="1" customHeight="1" x14ac:dyDescent="0.25">
      <c r="A302" s="152" t="s">
        <v>2725</v>
      </c>
      <c r="B302" s="142">
        <v>2023</v>
      </c>
      <c r="C302" s="142" t="s">
        <v>20</v>
      </c>
      <c r="D302" s="142" t="s">
        <v>981</v>
      </c>
      <c r="E302" s="143" t="s">
        <v>982</v>
      </c>
      <c r="F302" s="144" t="s">
        <v>22</v>
      </c>
      <c r="G302" s="145" t="s">
        <v>23</v>
      </c>
      <c r="H302" s="146" t="s">
        <v>983</v>
      </c>
      <c r="I302" s="147">
        <v>44992</v>
      </c>
      <c r="J302" s="147">
        <v>45001</v>
      </c>
      <c r="K302" s="142" t="s">
        <v>32</v>
      </c>
      <c r="L302" s="148">
        <v>8566.89</v>
      </c>
      <c r="M302" s="149">
        <v>4.7</v>
      </c>
      <c r="N302" s="150">
        <v>20</v>
      </c>
      <c r="O302" s="151">
        <v>19</v>
      </c>
      <c r="P302" s="151">
        <v>0</v>
      </c>
      <c r="Q302" s="151">
        <v>0</v>
      </c>
      <c r="R302" s="151">
        <f>SUM(O302:Q302)</f>
        <v>19</v>
      </c>
      <c r="S302" s="142">
        <v>16</v>
      </c>
      <c r="T302" s="145" t="s">
        <v>425</v>
      </c>
    </row>
    <row r="303" spans="1:20" ht="22.5" hidden="1" customHeight="1" x14ac:dyDescent="0.25">
      <c r="A303" s="152" t="s">
        <v>2726</v>
      </c>
      <c r="B303" s="142">
        <v>2023</v>
      </c>
      <c r="C303" s="142" t="s">
        <v>20</v>
      </c>
      <c r="D303" s="142" t="s">
        <v>984</v>
      </c>
      <c r="E303" s="143" t="s">
        <v>985</v>
      </c>
      <c r="F303" s="144" t="s">
        <v>22</v>
      </c>
      <c r="G303" s="145" t="s">
        <v>157</v>
      </c>
      <c r="H303" s="146" t="s">
        <v>986</v>
      </c>
      <c r="I303" s="147">
        <v>44992</v>
      </c>
      <c r="J303" s="147">
        <v>44992</v>
      </c>
      <c r="K303" s="142" t="s">
        <v>25</v>
      </c>
      <c r="L303" s="148">
        <v>3200</v>
      </c>
      <c r="M303" s="149">
        <v>5</v>
      </c>
      <c r="N303" s="150">
        <v>80</v>
      </c>
      <c r="O303" s="151">
        <v>20</v>
      </c>
      <c r="P303" s="151">
        <v>0</v>
      </c>
      <c r="Q303" s="151">
        <v>0</v>
      </c>
      <c r="R303" s="151">
        <f>SUM(O303:Q303)</f>
        <v>20</v>
      </c>
      <c r="S303" s="142">
        <v>2</v>
      </c>
      <c r="T303" s="145" t="s">
        <v>987</v>
      </c>
    </row>
    <row r="304" spans="1:20" ht="22.5" hidden="1" customHeight="1" x14ac:dyDescent="0.25">
      <c r="A304" s="152" t="s">
        <v>2727</v>
      </c>
      <c r="B304" s="142">
        <v>2023</v>
      </c>
      <c r="C304" s="142" t="s">
        <v>20</v>
      </c>
      <c r="D304" s="142" t="s">
        <v>977</v>
      </c>
      <c r="E304" s="143" t="s">
        <v>988</v>
      </c>
      <c r="F304" s="144" t="s">
        <v>22</v>
      </c>
      <c r="G304" s="145" t="s">
        <v>157</v>
      </c>
      <c r="H304" s="146" t="s">
        <v>989</v>
      </c>
      <c r="I304" s="147">
        <v>44994</v>
      </c>
      <c r="J304" s="147">
        <v>44994</v>
      </c>
      <c r="K304" s="142" t="s">
        <v>25</v>
      </c>
      <c r="L304" s="148">
        <v>0</v>
      </c>
      <c r="M304" s="149"/>
      <c r="N304" s="150">
        <v>80</v>
      </c>
      <c r="O304" s="151">
        <v>25</v>
      </c>
      <c r="P304" s="151"/>
      <c r="Q304" s="151"/>
      <c r="R304" s="151">
        <f>SUM(O304:Q304)</f>
        <v>25</v>
      </c>
      <c r="S304" s="142">
        <v>2</v>
      </c>
      <c r="T304" s="145" t="s">
        <v>990</v>
      </c>
    </row>
    <row r="305" spans="1:20" ht="22.5" hidden="1" customHeight="1" x14ac:dyDescent="0.25">
      <c r="A305" s="152" t="s">
        <v>2728</v>
      </c>
      <c r="B305" s="142">
        <v>2023</v>
      </c>
      <c r="C305" s="142" t="s">
        <v>20</v>
      </c>
      <c r="D305" s="142" t="s">
        <v>991</v>
      </c>
      <c r="E305" s="143" t="s">
        <v>992</v>
      </c>
      <c r="F305" s="144" t="s">
        <v>22</v>
      </c>
      <c r="G305" s="145" t="s">
        <v>157</v>
      </c>
      <c r="H305" s="146" t="s">
        <v>993</v>
      </c>
      <c r="I305" s="147">
        <v>44995</v>
      </c>
      <c r="J305" s="147">
        <v>44995</v>
      </c>
      <c r="K305" s="142" t="s">
        <v>25</v>
      </c>
      <c r="L305" s="148">
        <v>770</v>
      </c>
      <c r="M305" s="149">
        <v>5</v>
      </c>
      <c r="N305" s="150">
        <v>170</v>
      </c>
      <c r="O305" s="151">
        <v>70</v>
      </c>
      <c r="P305" s="151">
        <v>0</v>
      </c>
      <c r="Q305" s="151">
        <v>0</v>
      </c>
      <c r="R305" s="151">
        <f>SUM(O305:Q305)</f>
        <v>70</v>
      </c>
      <c r="S305" s="142">
        <v>2</v>
      </c>
      <c r="T305" s="145" t="s">
        <v>994</v>
      </c>
    </row>
    <row r="306" spans="1:20" ht="22.5" hidden="1" customHeight="1" x14ac:dyDescent="0.25">
      <c r="A306" s="152" t="s">
        <v>2729</v>
      </c>
      <c r="B306" s="142">
        <v>2023</v>
      </c>
      <c r="C306" s="142" t="s">
        <v>20</v>
      </c>
      <c r="D306" s="142" t="s">
        <v>995</v>
      </c>
      <c r="E306" s="143" t="s">
        <v>996</v>
      </c>
      <c r="F306" s="144" t="s">
        <v>22</v>
      </c>
      <c r="G306" s="145" t="s">
        <v>283</v>
      </c>
      <c r="H306" s="146" t="s">
        <v>997</v>
      </c>
      <c r="I306" s="147">
        <v>45000</v>
      </c>
      <c r="J306" s="147">
        <v>45006</v>
      </c>
      <c r="K306" s="142" t="s">
        <v>32</v>
      </c>
      <c r="L306" s="148">
        <v>0</v>
      </c>
      <c r="M306" s="149">
        <v>5</v>
      </c>
      <c r="N306" s="150">
        <v>29</v>
      </c>
      <c r="O306" s="151">
        <v>17</v>
      </c>
      <c r="P306" s="151">
        <v>0</v>
      </c>
      <c r="Q306" s="151">
        <v>0</v>
      </c>
      <c r="R306" s="151">
        <f>SUM(O306:Q306)</f>
        <v>17</v>
      </c>
      <c r="S306" s="142">
        <v>20</v>
      </c>
      <c r="T306" s="145"/>
    </row>
    <row r="307" spans="1:20" ht="22.5" hidden="1" customHeight="1" x14ac:dyDescent="0.25">
      <c r="A307" s="152" t="s">
        <v>2730</v>
      </c>
      <c r="B307" s="142">
        <v>2023</v>
      </c>
      <c r="C307" s="142" t="s">
        <v>20</v>
      </c>
      <c r="D307" s="142" t="s">
        <v>998</v>
      </c>
      <c r="E307" s="143" t="s">
        <v>999</v>
      </c>
      <c r="F307" s="144" t="s">
        <v>22</v>
      </c>
      <c r="G307" s="145" t="s">
        <v>56</v>
      </c>
      <c r="H307" s="146" t="s">
        <v>1000</v>
      </c>
      <c r="I307" s="147">
        <v>45005</v>
      </c>
      <c r="J307" s="147">
        <v>45009</v>
      </c>
      <c r="K307" s="142" t="s">
        <v>25</v>
      </c>
      <c r="L307" s="148">
        <v>14950</v>
      </c>
      <c r="M307" s="149">
        <v>4.3</v>
      </c>
      <c r="N307" s="150">
        <v>40</v>
      </c>
      <c r="O307" s="151">
        <v>18</v>
      </c>
      <c r="P307" s="151">
        <v>5</v>
      </c>
      <c r="Q307" s="151">
        <v>1</v>
      </c>
      <c r="R307" s="151">
        <f>SUM(O307:Q307)</f>
        <v>24</v>
      </c>
      <c r="S307" s="142">
        <v>20</v>
      </c>
      <c r="T307" s="145" t="s">
        <v>558</v>
      </c>
    </row>
    <row r="308" spans="1:20" ht="22.5" hidden="1" customHeight="1" x14ac:dyDescent="0.25">
      <c r="A308" s="152" t="s">
        <v>2731</v>
      </c>
      <c r="B308" s="142">
        <v>2023</v>
      </c>
      <c r="C308" s="142" t="s">
        <v>20</v>
      </c>
      <c r="D308" s="142" t="s">
        <v>1001</v>
      </c>
      <c r="E308" s="143" t="s">
        <v>821</v>
      </c>
      <c r="F308" s="144" t="s">
        <v>22</v>
      </c>
      <c r="G308" s="145" t="s">
        <v>283</v>
      </c>
      <c r="H308" s="146" t="s">
        <v>1002</v>
      </c>
      <c r="I308" s="147">
        <v>45005</v>
      </c>
      <c r="J308" s="147">
        <v>45006</v>
      </c>
      <c r="K308" s="142" t="s">
        <v>32</v>
      </c>
      <c r="L308" s="148">
        <f>947.31+803.14</f>
        <v>1750.4499999999998</v>
      </c>
      <c r="M308" s="149">
        <v>4.7</v>
      </c>
      <c r="N308" s="150">
        <v>29</v>
      </c>
      <c r="O308" s="151">
        <v>17</v>
      </c>
      <c r="P308" s="151">
        <v>0</v>
      </c>
      <c r="Q308" s="151">
        <v>0</v>
      </c>
      <c r="R308" s="151">
        <f>SUM(O308:Q308)</f>
        <v>17</v>
      </c>
      <c r="S308" s="142">
        <v>6.5</v>
      </c>
      <c r="T308" s="145" t="s">
        <v>1003</v>
      </c>
    </row>
    <row r="309" spans="1:20" ht="22.5" hidden="1" customHeight="1" x14ac:dyDescent="0.25">
      <c r="A309" s="152" t="s">
        <v>2732</v>
      </c>
      <c r="B309" s="142">
        <v>2023</v>
      </c>
      <c r="C309" s="142" t="s">
        <v>20</v>
      </c>
      <c r="D309" s="142" t="s">
        <v>1004</v>
      </c>
      <c r="E309" s="143" t="s">
        <v>1005</v>
      </c>
      <c r="F309" s="144" t="s">
        <v>22</v>
      </c>
      <c r="G309" s="145" t="s">
        <v>283</v>
      </c>
      <c r="H309" s="146" t="s">
        <v>1006</v>
      </c>
      <c r="I309" s="147">
        <v>45007</v>
      </c>
      <c r="J309" s="147">
        <v>45008</v>
      </c>
      <c r="K309" s="142" t="s">
        <v>32</v>
      </c>
      <c r="L309" s="148">
        <v>8566.89</v>
      </c>
      <c r="M309" s="149">
        <v>4.5999999999999996</v>
      </c>
      <c r="N309" s="150">
        <v>29</v>
      </c>
      <c r="O309" s="151">
        <v>17</v>
      </c>
      <c r="P309" s="151">
        <v>0</v>
      </c>
      <c r="Q309" s="151">
        <v>0</v>
      </c>
      <c r="R309" s="151">
        <f>SUM(O309:Q309)</f>
        <v>17</v>
      </c>
      <c r="S309" s="142">
        <v>16</v>
      </c>
      <c r="T309" s="145" t="s">
        <v>425</v>
      </c>
    </row>
    <row r="310" spans="1:20" ht="22.5" hidden="1" customHeight="1" x14ac:dyDescent="0.25">
      <c r="A310" s="152" t="s">
        <v>2733</v>
      </c>
      <c r="B310" s="142">
        <v>2023</v>
      </c>
      <c r="C310" s="142" t="s">
        <v>20</v>
      </c>
      <c r="D310" s="142" t="s">
        <v>1007</v>
      </c>
      <c r="E310" s="154" t="s">
        <v>1008</v>
      </c>
      <c r="F310" s="144" t="s">
        <v>66</v>
      </c>
      <c r="G310" s="145" t="s">
        <v>59</v>
      </c>
      <c r="H310" s="146" t="s">
        <v>1009</v>
      </c>
      <c r="I310" s="147">
        <v>45008</v>
      </c>
      <c r="J310" s="147">
        <v>45008</v>
      </c>
      <c r="K310" s="142" t="s">
        <v>32</v>
      </c>
      <c r="L310" s="148">
        <v>300</v>
      </c>
      <c r="M310" s="149">
        <v>5</v>
      </c>
      <c r="N310" s="150">
        <v>170</v>
      </c>
      <c r="O310" s="151">
        <v>43</v>
      </c>
      <c r="P310" s="151">
        <v>1</v>
      </c>
      <c r="Q310" s="151">
        <v>1</v>
      </c>
      <c r="R310" s="151">
        <f>SUM(O310:Q310)</f>
        <v>45</v>
      </c>
      <c r="S310" s="142">
        <v>1</v>
      </c>
      <c r="T310" s="153" t="s">
        <v>117</v>
      </c>
    </row>
    <row r="311" spans="1:20" ht="22.5" hidden="1" customHeight="1" x14ac:dyDescent="0.25">
      <c r="A311" s="152" t="s">
        <v>2734</v>
      </c>
      <c r="B311" s="142">
        <v>2023</v>
      </c>
      <c r="C311" s="142" t="s">
        <v>20</v>
      </c>
      <c r="D311" s="142" t="s">
        <v>1010</v>
      </c>
      <c r="E311" s="154" t="s">
        <v>1011</v>
      </c>
      <c r="F311" s="144" t="s">
        <v>22</v>
      </c>
      <c r="G311" s="145" t="s">
        <v>157</v>
      </c>
      <c r="H311" s="146" t="s">
        <v>1012</v>
      </c>
      <c r="I311" s="147">
        <v>45009</v>
      </c>
      <c r="J311" s="147">
        <v>45009</v>
      </c>
      <c r="K311" s="142" t="s">
        <v>25</v>
      </c>
      <c r="L311" s="148">
        <v>0</v>
      </c>
      <c r="M311" s="149">
        <v>5</v>
      </c>
      <c r="N311" s="150">
        <v>170</v>
      </c>
      <c r="O311" s="151">
        <v>26</v>
      </c>
      <c r="P311" s="151">
        <v>0</v>
      </c>
      <c r="Q311" s="151">
        <v>0</v>
      </c>
      <c r="R311" s="151">
        <f>SUM(O311:Q311)</f>
        <v>26</v>
      </c>
      <c r="S311" s="142">
        <v>2</v>
      </c>
      <c r="T311" s="145" t="s">
        <v>1013</v>
      </c>
    </row>
    <row r="312" spans="1:20" ht="22.5" hidden="1" customHeight="1" x14ac:dyDescent="0.25">
      <c r="A312" s="152" t="s">
        <v>2735</v>
      </c>
      <c r="B312" s="142">
        <v>2023</v>
      </c>
      <c r="C312" s="142" t="s">
        <v>20</v>
      </c>
      <c r="D312" s="142" t="s">
        <v>1014</v>
      </c>
      <c r="E312" s="143" t="s">
        <v>1015</v>
      </c>
      <c r="F312" s="144" t="s">
        <v>22</v>
      </c>
      <c r="G312" s="145" t="s">
        <v>56</v>
      </c>
      <c r="H312" s="146" t="s">
        <v>1012</v>
      </c>
      <c r="I312" s="147">
        <v>45009</v>
      </c>
      <c r="J312" s="147">
        <v>45009</v>
      </c>
      <c r="K312" s="142" t="s">
        <v>32</v>
      </c>
      <c r="L312" s="148">
        <f>21637.93+8527.01+1894.62</f>
        <v>32059.56</v>
      </c>
      <c r="M312" s="149">
        <v>5</v>
      </c>
      <c r="N312" s="150">
        <v>17</v>
      </c>
      <c r="O312" s="151">
        <v>17</v>
      </c>
      <c r="P312" s="151">
        <v>0</v>
      </c>
      <c r="Q312" s="151">
        <v>0</v>
      </c>
      <c r="R312" s="151">
        <f>SUM(O312:Q312)</f>
        <v>17</v>
      </c>
      <c r="S312" s="142">
        <v>75</v>
      </c>
      <c r="T312" s="159" t="s">
        <v>1016</v>
      </c>
    </row>
    <row r="313" spans="1:20" ht="22.5" hidden="1" customHeight="1" x14ac:dyDescent="0.25">
      <c r="A313" s="152" t="s">
        <v>2736</v>
      </c>
      <c r="B313" s="142">
        <v>2023</v>
      </c>
      <c r="C313" s="142" t="s">
        <v>20</v>
      </c>
      <c r="D313" s="142" t="s">
        <v>1017</v>
      </c>
      <c r="E313" s="143" t="s">
        <v>1018</v>
      </c>
      <c r="F313" s="144" t="s">
        <v>22</v>
      </c>
      <c r="G313" s="145" t="s">
        <v>30</v>
      </c>
      <c r="H313" s="146" t="s">
        <v>1012</v>
      </c>
      <c r="I313" s="147">
        <v>45009</v>
      </c>
      <c r="J313" s="147">
        <v>45009</v>
      </c>
      <c r="K313" s="142" t="s">
        <v>25</v>
      </c>
      <c r="L313" s="148">
        <v>0</v>
      </c>
      <c r="M313" s="149">
        <v>5</v>
      </c>
      <c r="N313" s="150">
        <v>70</v>
      </c>
      <c r="O313" s="151">
        <v>30</v>
      </c>
      <c r="P313" s="151">
        <v>0</v>
      </c>
      <c r="Q313" s="151">
        <v>0</v>
      </c>
      <c r="R313" s="151">
        <f>SUM(O313:Q313)</f>
        <v>30</v>
      </c>
      <c r="S313" s="142">
        <v>2</v>
      </c>
      <c r="T313" s="145" t="s">
        <v>685</v>
      </c>
    </row>
    <row r="314" spans="1:20" ht="22.5" hidden="1" customHeight="1" x14ac:dyDescent="0.25">
      <c r="A314" s="152" t="s">
        <v>2737</v>
      </c>
      <c r="B314" s="142">
        <v>2023</v>
      </c>
      <c r="C314" s="142" t="s">
        <v>20</v>
      </c>
      <c r="D314" s="142" t="s">
        <v>964</v>
      </c>
      <c r="E314" s="143" t="s">
        <v>1019</v>
      </c>
      <c r="F314" s="144" t="s">
        <v>51</v>
      </c>
      <c r="G314" s="145" t="s">
        <v>59</v>
      </c>
      <c r="H314" s="146" t="s">
        <v>1020</v>
      </c>
      <c r="I314" s="147">
        <v>45012</v>
      </c>
      <c r="J314" s="147">
        <v>45016</v>
      </c>
      <c r="K314" s="142" t="s">
        <v>32</v>
      </c>
      <c r="L314" s="148">
        <f>21417.24/2</f>
        <v>10708.62</v>
      </c>
      <c r="M314" s="149">
        <v>4.8</v>
      </c>
      <c r="N314" s="150">
        <v>20</v>
      </c>
      <c r="O314" s="151">
        <v>2</v>
      </c>
      <c r="P314" s="151">
        <v>18</v>
      </c>
      <c r="Q314" s="151">
        <v>0</v>
      </c>
      <c r="R314" s="151">
        <f>SUM(O314:Q314)</f>
        <v>20</v>
      </c>
      <c r="S314" s="142">
        <v>20</v>
      </c>
      <c r="T314" s="145" t="s">
        <v>61</v>
      </c>
    </row>
    <row r="315" spans="1:20" ht="22.5" hidden="1" customHeight="1" x14ac:dyDescent="0.25">
      <c r="A315" s="152" t="s">
        <v>2738</v>
      </c>
      <c r="B315" s="142">
        <v>2023</v>
      </c>
      <c r="C315" s="142" t="s">
        <v>20</v>
      </c>
      <c r="D315" s="142" t="s">
        <v>1021</v>
      </c>
      <c r="E315" s="143" t="s">
        <v>1022</v>
      </c>
      <c r="F315" s="144" t="s">
        <v>66</v>
      </c>
      <c r="G315" s="145" t="s">
        <v>59</v>
      </c>
      <c r="H315" s="146" t="s">
        <v>1023</v>
      </c>
      <c r="I315" s="147">
        <v>45015</v>
      </c>
      <c r="J315" s="147">
        <v>45015</v>
      </c>
      <c r="K315" s="142" t="s">
        <v>32</v>
      </c>
      <c r="L315" s="148">
        <v>0</v>
      </c>
      <c r="M315" s="149">
        <v>5</v>
      </c>
      <c r="N315" s="150">
        <v>60</v>
      </c>
      <c r="O315" s="151">
        <v>0</v>
      </c>
      <c r="P315" s="151">
        <v>0</v>
      </c>
      <c r="Q315" s="151">
        <v>33</v>
      </c>
      <c r="R315" s="151">
        <f>SUM(O315:Q315)</f>
        <v>33</v>
      </c>
      <c r="S315" s="142">
        <v>2</v>
      </c>
      <c r="T315" s="145" t="s">
        <v>1024</v>
      </c>
    </row>
    <row r="316" spans="1:20" ht="22.5" hidden="1" customHeight="1" x14ac:dyDescent="0.25">
      <c r="A316" s="152" t="s">
        <v>2739</v>
      </c>
      <c r="B316" s="142">
        <v>2023</v>
      </c>
      <c r="C316" s="142" t="s">
        <v>20</v>
      </c>
      <c r="D316" s="142" t="s">
        <v>1025</v>
      </c>
      <c r="E316" s="143" t="s">
        <v>1026</v>
      </c>
      <c r="F316" s="144" t="s">
        <v>22</v>
      </c>
      <c r="G316" s="145" t="s">
        <v>23</v>
      </c>
      <c r="H316" s="146" t="s">
        <v>1027</v>
      </c>
      <c r="I316" s="147">
        <v>45026</v>
      </c>
      <c r="J316" s="147">
        <v>45026</v>
      </c>
      <c r="K316" s="142" t="s">
        <v>25</v>
      </c>
      <c r="L316" s="148">
        <v>2159.9</v>
      </c>
      <c r="M316" s="149">
        <v>5</v>
      </c>
      <c r="N316" s="150">
        <v>17</v>
      </c>
      <c r="O316" s="151">
        <v>17</v>
      </c>
      <c r="P316" s="151">
        <v>0</v>
      </c>
      <c r="Q316" s="151">
        <v>0</v>
      </c>
      <c r="R316" s="151">
        <f>SUM(O316:Q316)</f>
        <v>17</v>
      </c>
      <c r="S316" s="142">
        <v>5</v>
      </c>
      <c r="T316" s="153" t="s">
        <v>1028</v>
      </c>
    </row>
    <row r="317" spans="1:20" ht="22.5" hidden="1" customHeight="1" x14ac:dyDescent="0.25">
      <c r="A317" s="152" t="s">
        <v>2740</v>
      </c>
      <c r="B317" s="142">
        <v>2023</v>
      </c>
      <c r="C317" s="142" t="s">
        <v>20</v>
      </c>
      <c r="D317" s="142" t="s">
        <v>1029</v>
      </c>
      <c r="E317" s="143" t="s">
        <v>1030</v>
      </c>
      <c r="F317" s="144" t="s">
        <v>22</v>
      </c>
      <c r="G317" s="145" t="s">
        <v>34</v>
      </c>
      <c r="H317" s="146" t="s">
        <v>1031</v>
      </c>
      <c r="I317" s="147">
        <v>45027</v>
      </c>
      <c r="J317" s="147">
        <v>45029</v>
      </c>
      <c r="K317" s="142" t="s">
        <v>25</v>
      </c>
      <c r="L317" s="148">
        <v>16253.1</v>
      </c>
      <c r="M317" s="149">
        <v>4.8</v>
      </c>
      <c r="N317" s="150">
        <v>20</v>
      </c>
      <c r="O317" s="151">
        <v>15</v>
      </c>
      <c r="P317" s="151">
        <v>0</v>
      </c>
      <c r="Q317" s="151">
        <v>0</v>
      </c>
      <c r="R317" s="151">
        <f>SUM(O317:Q317)</f>
        <v>15</v>
      </c>
      <c r="S317" s="142">
        <v>24</v>
      </c>
      <c r="T317" s="145" t="s">
        <v>1032</v>
      </c>
    </row>
    <row r="318" spans="1:20" ht="22.5" hidden="1" customHeight="1" x14ac:dyDescent="0.25">
      <c r="A318" s="152" t="s">
        <v>2741</v>
      </c>
      <c r="B318" s="142">
        <v>2023</v>
      </c>
      <c r="C318" s="142" t="s">
        <v>20</v>
      </c>
      <c r="D318" s="142" t="s">
        <v>1033</v>
      </c>
      <c r="E318" s="143" t="s">
        <v>1034</v>
      </c>
      <c r="F318" s="144" t="s">
        <v>66</v>
      </c>
      <c r="G318" s="145" t="s">
        <v>59</v>
      </c>
      <c r="H318" s="146" t="s">
        <v>1035</v>
      </c>
      <c r="I318" s="147">
        <v>45030</v>
      </c>
      <c r="J318" s="147">
        <v>45030</v>
      </c>
      <c r="K318" s="142" t="s">
        <v>32</v>
      </c>
      <c r="L318" s="148">
        <v>1987.08</v>
      </c>
      <c r="M318" s="149">
        <v>5</v>
      </c>
      <c r="N318" s="150">
        <v>40</v>
      </c>
      <c r="O318" s="151">
        <v>0</v>
      </c>
      <c r="P318" s="151">
        <v>0</v>
      </c>
      <c r="Q318" s="151">
        <v>19</v>
      </c>
      <c r="R318" s="151">
        <f>SUM(O318:Q318)</f>
        <v>19</v>
      </c>
      <c r="S318" s="142">
        <v>4</v>
      </c>
      <c r="T318" s="145" t="s">
        <v>324</v>
      </c>
    </row>
    <row r="319" spans="1:20" ht="22.5" hidden="1" customHeight="1" x14ac:dyDescent="0.25">
      <c r="A319" s="152" t="s">
        <v>2742</v>
      </c>
      <c r="B319" s="142">
        <v>2023</v>
      </c>
      <c r="C319" s="142" t="s">
        <v>20</v>
      </c>
      <c r="D319" s="142" t="s">
        <v>1036</v>
      </c>
      <c r="E319" s="143" t="s">
        <v>1037</v>
      </c>
      <c r="F319" s="144" t="s">
        <v>22</v>
      </c>
      <c r="G319" s="145" t="s">
        <v>1038</v>
      </c>
      <c r="H319" s="146" t="s">
        <v>1039</v>
      </c>
      <c r="I319" s="147">
        <v>45033</v>
      </c>
      <c r="J319" s="147">
        <v>45033</v>
      </c>
      <c r="K319" s="142" t="s">
        <v>25</v>
      </c>
      <c r="L319" s="148">
        <f>36546/2</f>
        <v>18273</v>
      </c>
      <c r="M319" s="149">
        <v>5</v>
      </c>
      <c r="N319" s="150">
        <v>0</v>
      </c>
      <c r="O319" s="151">
        <v>16</v>
      </c>
      <c r="P319" s="151">
        <v>0</v>
      </c>
      <c r="Q319" s="151">
        <v>0</v>
      </c>
      <c r="R319" s="151">
        <f>SUM(O319:Q319)</f>
        <v>16</v>
      </c>
      <c r="S319" s="142">
        <v>2</v>
      </c>
      <c r="T319" s="145" t="s">
        <v>1040</v>
      </c>
    </row>
    <row r="320" spans="1:20" ht="22.5" hidden="1" customHeight="1" x14ac:dyDescent="0.25">
      <c r="A320" s="152" t="s">
        <v>2743</v>
      </c>
      <c r="B320" s="142">
        <v>2023</v>
      </c>
      <c r="C320" s="142" t="s">
        <v>20</v>
      </c>
      <c r="D320" s="142" t="s">
        <v>1036</v>
      </c>
      <c r="E320" s="143" t="s">
        <v>1041</v>
      </c>
      <c r="F320" s="144" t="s">
        <v>22</v>
      </c>
      <c r="G320" s="145" t="s">
        <v>1038</v>
      </c>
      <c r="H320" s="146" t="s">
        <v>1042</v>
      </c>
      <c r="I320" s="147">
        <v>45034</v>
      </c>
      <c r="J320" s="147">
        <v>45034</v>
      </c>
      <c r="K320" s="142" t="s">
        <v>25</v>
      </c>
      <c r="L320" s="148">
        <f>36546/2</f>
        <v>18273</v>
      </c>
      <c r="M320" s="149">
        <v>5</v>
      </c>
      <c r="N320" s="150">
        <v>0</v>
      </c>
      <c r="O320" s="151">
        <v>49</v>
      </c>
      <c r="P320" s="151">
        <v>0</v>
      </c>
      <c r="Q320" s="151">
        <v>0</v>
      </c>
      <c r="R320" s="151">
        <f>SUM(O320:Q320)</f>
        <v>49</v>
      </c>
      <c r="S320" s="142">
        <v>2</v>
      </c>
      <c r="T320" s="145" t="s">
        <v>1040</v>
      </c>
    </row>
    <row r="321" spans="1:20" ht="22.5" hidden="1" customHeight="1" x14ac:dyDescent="0.25">
      <c r="A321" s="152" t="s">
        <v>2744</v>
      </c>
      <c r="B321" s="142">
        <v>2023</v>
      </c>
      <c r="C321" s="142" t="s">
        <v>20</v>
      </c>
      <c r="D321" s="142" t="s">
        <v>1036</v>
      </c>
      <c r="E321" s="143" t="s">
        <v>1043</v>
      </c>
      <c r="F321" s="144" t="s">
        <v>22</v>
      </c>
      <c r="G321" s="145" t="s">
        <v>1038</v>
      </c>
      <c r="H321" s="146" t="s">
        <v>1042</v>
      </c>
      <c r="I321" s="147">
        <v>45034</v>
      </c>
      <c r="J321" s="147">
        <v>45034</v>
      </c>
      <c r="K321" s="142" t="s">
        <v>25</v>
      </c>
      <c r="L321" s="148">
        <v>21104</v>
      </c>
      <c r="M321" s="149">
        <v>5</v>
      </c>
      <c r="N321" s="150">
        <v>0</v>
      </c>
      <c r="O321" s="151">
        <f>55+71</f>
        <v>126</v>
      </c>
      <c r="P321" s="151">
        <v>0</v>
      </c>
      <c r="Q321" s="151">
        <v>0</v>
      </c>
      <c r="R321" s="151">
        <f>SUM(O321:Q321)</f>
        <v>126</v>
      </c>
      <c r="S321" s="142">
        <v>2</v>
      </c>
      <c r="T321" s="145" t="s">
        <v>1040</v>
      </c>
    </row>
    <row r="322" spans="1:20" ht="22.5" hidden="1" customHeight="1" x14ac:dyDescent="0.25">
      <c r="A322" s="152" t="s">
        <v>2745</v>
      </c>
      <c r="B322" s="142">
        <v>2023</v>
      </c>
      <c r="C322" s="142" t="s">
        <v>20</v>
      </c>
      <c r="D322" s="142" t="s">
        <v>1044</v>
      </c>
      <c r="E322" s="143" t="s">
        <v>1045</v>
      </c>
      <c r="F322" s="144" t="s">
        <v>66</v>
      </c>
      <c r="G322" s="145" t="s">
        <v>59</v>
      </c>
      <c r="H322" s="146" t="s">
        <v>1042</v>
      </c>
      <c r="I322" s="147">
        <v>45034</v>
      </c>
      <c r="J322" s="147">
        <v>45034</v>
      </c>
      <c r="K322" s="142" t="s">
        <v>32</v>
      </c>
      <c r="L322" s="148">
        <v>496.77</v>
      </c>
      <c r="M322" s="149">
        <v>5</v>
      </c>
      <c r="N322" s="150">
        <v>70</v>
      </c>
      <c r="O322" s="151">
        <v>0</v>
      </c>
      <c r="P322" s="151">
        <v>0</v>
      </c>
      <c r="Q322" s="151">
        <v>40</v>
      </c>
      <c r="R322" s="151">
        <f>SUM(O322:Q322)</f>
        <v>40</v>
      </c>
      <c r="S322" s="142">
        <v>1</v>
      </c>
      <c r="T322" s="145" t="s">
        <v>1046</v>
      </c>
    </row>
    <row r="323" spans="1:20" ht="22.5" hidden="1" customHeight="1" x14ac:dyDescent="0.25">
      <c r="A323" s="152" t="s">
        <v>2746</v>
      </c>
      <c r="B323" s="142">
        <v>2023</v>
      </c>
      <c r="C323" s="142" t="s">
        <v>20</v>
      </c>
      <c r="D323" s="142" t="s">
        <v>1044</v>
      </c>
      <c r="E323" s="143" t="s">
        <v>1047</v>
      </c>
      <c r="F323" s="144" t="s">
        <v>66</v>
      </c>
      <c r="G323" s="145" t="s">
        <v>59</v>
      </c>
      <c r="H323" s="146" t="s">
        <v>1042</v>
      </c>
      <c r="I323" s="147">
        <v>45034</v>
      </c>
      <c r="J323" s="147">
        <v>45034</v>
      </c>
      <c r="K323" s="142" t="s">
        <v>32</v>
      </c>
      <c r="L323" s="148">
        <v>496.77</v>
      </c>
      <c r="M323" s="149">
        <v>5</v>
      </c>
      <c r="N323" s="150">
        <v>70</v>
      </c>
      <c r="O323" s="151">
        <v>0</v>
      </c>
      <c r="P323" s="151">
        <v>0</v>
      </c>
      <c r="Q323" s="151">
        <v>40</v>
      </c>
      <c r="R323" s="151">
        <f>SUM(O323:Q323)</f>
        <v>40</v>
      </c>
      <c r="S323" s="142">
        <v>1</v>
      </c>
      <c r="T323" s="145" t="s">
        <v>1046</v>
      </c>
    </row>
    <row r="324" spans="1:20" ht="22.5" hidden="1" customHeight="1" x14ac:dyDescent="0.25">
      <c r="A324" s="152" t="s">
        <v>2747</v>
      </c>
      <c r="B324" s="142">
        <v>2023</v>
      </c>
      <c r="C324" s="142" t="s">
        <v>20</v>
      </c>
      <c r="D324" s="142" t="s">
        <v>1044</v>
      </c>
      <c r="E324" s="143" t="s">
        <v>1048</v>
      </c>
      <c r="F324" s="144" t="s">
        <v>66</v>
      </c>
      <c r="G324" s="145" t="s">
        <v>59</v>
      </c>
      <c r="H324" s="146" t="s">
        <v>1049</v>
      </c>
      <c r="I324" s="147">
        <v>45035</v>
      </c>
      <c r="J324" s="147">
        <v>45035</v>
      </c>
      <c r="K324" s="142" t="s">
        <v>32</v>
      </c>
      <c r="L324" s="148">
        <v>496.77</v>
      </c>
      <c r="M324" s="149">
        <v>5</v>
      </c>
      <c r="N324" s="150">
        <v>70</v>
      </c>
      <c r="O324" s="151">
        <v>0</v>
      </c>
      <c r="P324" s="151">
        <v>0</v>
      </c>
      <c r="Q324" s="151">
        <v>60</v>
      </c>
      <c r="R324" s="151">
        <f>SUM(O324:Q324)</f>
        <v>60</v>
      </c>
      <c r="S324" s="142">
        <v>1</v>
      </c>
      <c r="T324" s="145" t="s">
        <v>1046</v>
      </c>
    </row>
    <row r="325" spans="1:20" ht="22.5" hidden="1" customHeight="1" x14ac:dyDescent="0.25">
      <c r="A325" s="152" t="s">
        <v>2748</v>
      </c>
      <c r="B325" s="142">
        <v>2023</v>
      </c>
      <c r="C325" s="142" t="s">
        <v>20</v>
      </c>
      <c r="D325" s="142" t="s">
        <v>1044</v>
      </c>
      <c r="E325" s="143" t="s">
        <v>1050</v>
      </c>
      <c r="F325" s="144" t="s">
        <v>66</v>
      </c>
      <c r="G325" s="145" t="s">
        <v>59</v>
      </c>
      <c r="H325" s="146" t="s">
        <v>1049</v>
      </c>
      <c r="I325" s="147">
        <v>45035</v>
      </c>
      <c r="J325" s="147">
        <v>45035</v>
      </c>
      <c r="K325" s="142" t="s">
        <v>32</v>
      </c>
      <c r="L325" s="148">
        <v>496.77</v>
      </c>
      <c r="M325" s="149">
        <v>5</v>
      </c>
      <c r="N325" s="150">
        <v>70</v>
      </c>
      <c r="O325" s="151">
        <v>0</v>
      </c>
      <c r="P325" s="151">
        <v>0</v>
      </c>
      <c r="Q325" s="151">
        <v>30</v>
      </c>
      <c r="R325" s="151">
        <f>SUM(O325:Q325)</f>
        <v>30</v>
      </c>
      <c r="S325" s="142">
        <v>1</v>
      </c>
      <c r="T325" s="145" t="s">
        <v>1046</v>
      </c>
    </row>
    <row r="326" spans="1:20" ht="22.5" hidden="1" customHeight="1" x14ac:dyDescent="0.25">
      <c r="A326" s="152" t="s">
        <v>2749</v>
      </c>
      <c r="B326" s="142">
        <v>2023</v>
      </c>
      <c r="C326" s="142" t="s">
        <v>20</v>
      </c>
      <c r="D326" s="142" t="s">
        <v>1051</v>
      </c>
      <c r="E326" s="143" t="s">
        <v>1052</v>
      </c>
      <c r="F326" s="144" t="s">
        <v>22</v>
      </c>
      <c r="G326" s="145" t="s">
        <v>353</v>
      </c>
      <c r="H326" s="146" t="s">
        <v>1053</v>
      </c>
      <c r="I326" s="147">
        <v>45036</v>
      </c>
      <c r="J326" s="147">
        <v>45058</v>
      </c>
      <c r="K326" s="142" t="s">
        <v>25</v>
      </c>
      <c r="L326" s="148">
        <v>27000</v>
      </c>
      <c r="M326" s="149">
        <v>4.46</v>
      </c>
      <c r="N326" s="150">
        <v>20</v>
      </c>
      <c r="O326" s="151">
        <v>21</v>
      </c>
      <c r="P326" s="151">
        <v>0</v>
      </c>
      <c r="Q326" s="151">
        <v>0</v>
      </c>
      <c r="R326" s="151">
        <f>SUM(O326:Q326)</f>
        <v>21</v>
      </c>
      <c r="S326" s="142">
        <v>30</v>
      </c>
      <c r="T326" s="145" t="s">
        <v>741</v>
      </c>
    </row>
    <row r="327" spans="1:20" ht="22.5" hidden="1" customHeight="1" x14ac:dyDescent="0.25">
      <c r="A327" s="152" t="s">
        <v>2750</v>
      </c>
      <c r="B327" s="142">
        <v>2023</v>
      </c>
      <c r="C327" s="142" t="s">
        <v>20</v>
      </c>
      <c r="D327" s="142" t="s">
        <v>964</v>
      </c>
      <c r="E327" s="143" t="s">
        <v>1054</v>
      </c>
      <c r="F327" s="144" t="s">
        <v>51</v>
      </c>
      <c r="G327" s="145" t="s">
        <v>59</v>
      </c>
      <c r="H327" s="146" t="s">
        <v>1055</v>
      </c>
      <c r="I327" s="147">
        <v>45040</v>
      </c>
      <c r="J327" s="147">
        <v>45044</v>
      </c>
      <c r="K327" s="142" t="s">
        <v>32</v>
      </c>
      <c r="L327" s="148">
        <v>11231.48</v>
      </c>
      <c r="M327" s="149">
        <v>4.7</v>
      </c>
      <c r="N327" s="150">
        <v>20</v>
      </c>
      <c r="O327" s="151">
        <v>0</v>
      </c>
      <c r="P327" s="151">
        <v>20</v>
      </c>
      <c r="Q327" s="151">
        <v>0</v>
      </c>
      <c r="R327" s="151">
        <f>SUM(O327:Q327)</f>
        <v>20</v>
      </c>
      <c r="S327" s="142">
        <v>20</v>
      </c>
      <c r="T327" s="145" t="s">
        <v>61</v>
      </c>
    </row>
    <row r="328" spans="1:20" ht="22.5" hidden="1" customHeight="1" x14ac:dyDescent="0.25">
      <c r="A328" s="152" t="s">
        <v>2751</v>
      </c>
      <c r="B328" s="142">
        <v>2023</v>
      </c>
      <c r="C328" s="142" t="s">
        <v>20</v>
      </c>
      <c r="D328" s="142" t="s">
        <v>1056</v>
      </c>
      <c r="E328" s="143" t="s">
        <v>1057</v>
      </c>
      <c r="F328" s="144" t="s">
        <v>66</v>
      </c>
      <c r="G328" s="145" t="s">
        <v>59</v>
      </c>
      <c r="H328" s="146" t="s">
        <v>1058</v>
      </c>
      <c r="I328" s="147">
        <v>45041</v>
      </c>
      <c r="J328" s="147">
        <v>45043</v>
      </c>
      <c r="K328" s="142" t="s">
        <v>32</v>
      </c>
      <c r="L328" s="148">
        <v>3763.24</v>
      </c>
      <c r="M328" s="149">
        <v>5</v>
      </c>
      <c r="N328" s="150">
        <v>40</v>
      </c>
      <c r="O328" s="151">
        <v>1</v>
      </c>
      <c r="P328" s="151">
        <v>0</v>
      </c>
      <c r="Q328" s="151">
        <v>39</v>
      </c>
      <c r="R328" s="151">
        <f>SUM(O328:Q328)</f>
        <v>40</v>
      </c>
      <c r="S328" s="142">
        <v>9</v>
      </c>
      <c r="T328" s="159" t="s">
        <v>1059</v>
      </c>
    </row>
    <row r="329" spans="1:20" ht="22.5" hidden="1" customHeight="1" x14ac:dyDescent="0.25">
      <c r="A329" s="152" t="s">
        <v>2752</v>
      </c>
      <c r="B329" s="142">
        <v>2023</v>
      </c>
      <c r="C329" s="142" t="s">
        <v>20</v>
      </c>
      <c r="D329" s="142" t="s">
        <v>1060</v>
      </c>
      <c r="E329" s="143" t="s">
        <v>1061</v>
      </c>
      <c r="F329" s="144" t="s">
        <v>51</v>
      </c>
      <c r="G329" s="145" t="s">
        <v>59</v>
      </c>
      <c r="H329" s="146" t="s">
        <v>1062</v>
      </c>
      <c r="I329" s="147">
        <v>45042</v>
      </c>
      <c r="J329" s="147">
        <v>45043</v>
      </c>
      <c r="K329" s="142" t="s">
        <v>25</v>
      </c>
      <c r="L329" s="148">
        <v>19800</v>
      </c>
      <c r="M329" s="149">
        <v>4.5</v>
      </c>
      <c r="N329" s="150">
        <v>80</v>
      </c>
      <c r="O329" s="151">
        <v>5</v>
      </c>
      <c r="P329" s="151">
        <v>75</v>
      </c>
      <c r="Q329" s="151">
        <v>0</v>
      </c>
      <c r="R329" s="151">
        <f>SUM(O329:Q329)</f>
        <v>80</v>
      </c>
      <c r="S329" s="142">
        <v>8</v>
      </c>
      <c r="T329" s="145" t="s">
        <v>1063</v>
      </c>
    </row>
    <row r="330" spans="1:20" ht="22.5" hidden="1" customHeight="1" x14ac:dyDescent="0.25">
      <c r="A330" s="152" t="s">
        <v>2753</v>
      </c>
      <c r="B330" s="142">
        <v>2023</v>
      </c>
      <c r="C330" s="142" t="s">
        <v>20</v>
      </c>
      <c r="D330" s="142" t="s">
        <v>1064</v>
      </c>
      <c r="E330" s="143" t="s">
        <v>1065</v>
      </c>
      <c r="F330" s="144" t="s">
        <v>22</v>
      </c>
      <c r="G330" s="145" t="s">
        <v>23</v>
      </c>
      <c r="H330" s="146" t="s">
        <v>1066</v>
      </c>
      <c r="I330" s="147">
        <v>45048</v>
      </c>
      <c r="J330" s="147">
        <v>45057</v>
      </c>
      <c r="K330" s="142" t="s">
        <v>32</v>
      </c>
      <c r="L330" s="148">
        <v>8985.18</v>
      </c>
      <c r="M330" s="149">
        <v>4.5999999999999996</v>
      </c>
      <c r="N330" s="150">
        <v>20</v>
      </c>
      <c r="O330" s="151">
        <v>26</v>
      </c>
      <c r="P330" s="151">
        <v>0</v>
      </c>
      <c r="Q330" s="151">
        <v>0</v>
      </c>
      <c r="R330" s="151">
        <f>SUM(O330:Q330)</f>
        <v>26</v>
      </c>
      <c r="S330" s="142">
        <v>16</v>
      </c>
      <c r="T330" s="145" t="s">
        <v>425</v>
      </c>
    </row>
    <row r="331" spans="1:20" ht="22.5" hidden="1" customHeight="1" x14ac:dyDescent="0.25">
      <c r="A331" s="152" t="s">
        <v>2754</v>
      </c>
      <c r="B331" s="142">
        <v>2023</v>
      </c>
      <c r="C331" s="142" t="s">
        <v>20</v>
      </c>
      <c r="D331" s="142" t="s">
        <v>1067</v>
      </c>
      <c r="E331" s="143" t="s">
        <v>1068</v>
      </c>
      <c r="F331" s="144" t="s">
        <v>22</v>
      </c>
      <c r="G331" s="145" t="s">
        <v>30</v>
      </c>
      <c r="H331" s="146" t="s">
        <v>1069</v>
      </c>
      <c r="I331" s="147">
        <v>45057</v>
      </c>
      <c r="J331" s="147">
        <v>45091</v>
      </c>
      <c r="K331" s="142" t="s">
        <v>25</v>
      </c>
      <c r="L331" s="148">
        <v>41328</v>
      </c>
      <c r="M331" s="149">
        <v>5</v>
      </c>
      <c r="N331" s="150">
        <v>14</v>
      </c>
      <c r="O331" s="151">
        <v>15</v>
      </c>
      <c r="P331" s="151">
        <v>0</v>
      </c>
      <c r="Q331" s="151">
        <v>0</v>
      </c>
      <c r="R331" s="151">
        <f>SUM(O331:Q331)</f>
        <v>15</v>
      </c>
      <c r="S331" s="142">
        <v>16</v>
      </c>
      <c r="T331" s="145" t="s">
        <v>1070</v>
      </c>
    </row>
    <row r="332" spans="1:20" ht="22.5" hidden="1" customHeight="1" x14ac:dyDescent="0.25">
      <c r="A332" s="152" t="s">
        <v>2755</v>
      </c>
      <c r="B332" s="142">
        <v>2023</v>
      </c>
      <c r="C332" s="142" t="s">
        <v>20</v>
      </c>
      <c r="D332" s="142" t="s">
        <v>1036</v>
      </c>
      <c r="E332" s="143" t="s">
        <v>1071</v>
      </c>
      <c r="F332" s="144" t="s">
        <v>22</v>
      </c>
      <c r="G332" s="145" t="s">
        <v>1038</v>
      </c>
      <c r="H332" s="146" t="s">
        <v>1072</v>
      </c>
      <c r="I332" s="147">
        <v>45061</v>
      </c>
      <c r="J332" s="147">
        <v>45121</v>
      </c>
      <c r="K332" s="142" t="s">
        <v>25</v>
      </c>
      <c r="L332" s="148">
        <v>50440</v>
      </c>
      <c r="M332" s="149">
        <v>4.5</v>
      </c>
      <c r="N332" s="150">
        <v>20</v>
      </c>
      <c r="O332" s="151">
        <v>23</v>
      </c>
      <c r="P332" s="151">
        <v>0</v>
      </c>
      <c r="Q332" s="151">
        <v>0</v>
      </c>
      <c r="R332" s="151">
        <f>SUM(O332:Q332)</f>
        <v>23</v>
      </c>
      <c r="S332" s="142">
        <v>46</v>
      </c>
      <c r="T332" s="145" t="s">
        <v>1073</v>
      </c>
    </row>
    <row r="333" spans="1:20" ht="22.5" hidden="1" customHeight="1" x14ac:dyDescent="0.25">
      <c r="A333" s="152" t="s">
        <v>2756</v>
      </c>
      <c r="B333" s="142">
        <v>2023</v>
      </c>
      <c r="C333" s="142" t="s">
        <v>20</v>
      </c>
      <c r="D333" s="142" t="s">
        <v>1074</v>
      </c>
      <c r="E333" s="143" t="s">
        <v>1075</v>
      </c>
      <c r="F333" s="144" t="s">
        <v>22</v>
      </c>
      <c r="G333" s="145" t="s">
        <v>34</v>
      </c>
      <c r="H333" s="146" t="s">
        <v>1076</v>
      </c>
      <c r="I333" s="147">
        <v>45071</v>
      </c>
      <c r="J333" s="147">
        <v>45071</v>
      </c>
      <c r="K333" s="142" t="s">
        <v>32</v>
      </c>
      <c r="L333" s="148">
        <v>0</v>
      </c>
      <c r="M333" s="149">
        <v>4.7699999999999996</v>
      </c>
      <c r="N333" s="150">
        <v>0</v>
      </c>
      <c r="O333" s="151">
        <v>207</v>
      </c>
      <c r="P333" s="151">
        <v>0</v>
      </c>
      <c r="Q333" s="151">
        <v>0</v>
      </c>
      <c r="R333" s="151">
        <f>SUM(O333:Q333)</f>
        <v>207</v>
      </c>
      <c r="S333" s="142">
        <v>1.5</v>
      </c>
      <c r="T333" s="145" t="s">
        <v>1077</v>
      </c>
    </row>
    <row r="334" spans="1:20" ht="22.5" hidden="1" customHeight="1" x14ac:dyDescent="0.25">
      <c r="A334" s="152" t="s">
        <v>2757</v>
      </c>
      <c r="B334" s="142">
        <v>2023</v>
      </c>
      <c r="C334" s="142" t="s">
        <v>20</v>
      </c>
      <c r="D334" s="142" t="s">
        <v>1051</v>
      </c>
      <c r="E334" s="143" t="s">
        <v>1078</v>
      </c>
      <c r="F334" s="144" t="s">
        <v>22</v>
      </c>
      <c r="G334" s="145" t="s">
        <v>353</v>
      </c>
      <c r="H334" s="146" t="s">
        <v>1079</v>
      </c>
      <c r="I334" s="147">
        <v>45089</v>
      </c>
      <c r="J334" s="147">
        <v>45107</v>
      </c>
      <c r="K334" s="142" t="s">
        <v>25</v>
      </c>
      <c r="L334" s="148">
        <v>27000</v>
      </c>
      <c r="M334" s="149">
        <v>4.5</v>
      </c>
      <c r="N334" s="150">
        <v>20</v>
      </c>
      <c r="O334" s="151">
        <v>13</v>
      </c>
      <c r="P334" s="151">
        <v>0</v>
      </c>
      <c r="Q334" s="151">
        <v>0</v>
      </c>
      <c r="R334" s="151">
        <f>SUM(O334:Q334)</f>
        <v>13</v>
      </c>
      <c r="S334" s="142">
        <v>30</v>
      </c>
      <c r="T334" s="145" t="s">
        <v>741</v>
      </c>
    </row>
    <row r="335" spans="1:20" ht="22.5" hidden="1" customHeight="1" x14ac:dyDescent="0.25">
      <c r="A335" s="152" t="s">
        <v>2758</v>
      </c>
      <c r="B335" s="142">
        <v>2023</v>
      </c>
      <c r="C335" s="142" t="s">
        <v>20</v>
      </c>
      <c r="D335" s="142" t="s">
        <v>1080</v>
      </c>
      <c r="E335" s="143" t="s">
        <v>1081</v>
      </c>
      <c r="F335" s="144" t="s">
        <v>22</v>
      </c>
      <c r="G335" s="145" t="s">
        <v>56</v>
      </c>
      <c r="H335" s="146" t="s">
        <v>1082</v>
      </c>
      <c r="I335" s="147">
        <v>45092</v>
      </c>
      <c r="J335" s="147">
        <v>45093</v>
      </c>
      <c r="K335" s="142" t="s">
        <v>25</v>
      </c>
      <c r="L335" s="148">
        <v>0</v>
      </c>
      <c r="M335" s="149">
        <v>4.8</v>
      </c>
      <c r="N335" s="150">
        <v>0</v>
      </c>
      <c r="O335" s="151">
        <v>38</v>
      </c>
      <c r="P335" s="151">
        <v>146</v>
      </c>
      <c r="Q335" s="151">
        <v>0</v>
      </c>
      <c r="R335" s="151">
        <f>SUM(O335:Q335)</f>
        <v>184</v>
      </c>
      <c r="S335" s="142">
        <v>10</v>
      </c>
      <c r="T335" s="145" t="s">
        <v>1083</v>
      </c>
    </row>
    <row r="336" spans="1:20" ht="22.5" hidden="1" customHeight="1" x14ac:dyDescent="0.25">
      <c r="A336" s="152" t="s">
        <v>2759</v>
      </c>
      <c r="B336" s="142">
        <v>2023</v>
      </c>
      <c r="C336" s="142" t="s">
        <v>20</v>
      </c>
      <c r="D336" s="142" t="s">
        <v>1084</v>
      </c>
      <c r="E336" s="154" t="s">
        <v>1085</v>
      </c>
      <c r="F336" s="144" t="s">
        <v>51</v>
      </c>
      <c r="G336" s="145" t="s">
        <v>59</v>
      </c>
      <c r="H336" s="146" t="s">
        <v>1086</v>
      </c>
      <c r="I336" s="147">
        <v>45096</v>
      </c>
      <c r="J336" s="147">
        <v>45100</v>
      </c>
      <c r="K336" s="142" t="s">
        <v>32</v>
      </c>
      <c r="L336" s="148">
        <v>3700.17</v>
      </c>
      <c r="M336" s="149">
        <v>4.5</v>
      </c>
      <c r="N336" s="150">
        <v>30</v>
      </c>
      <c r="O336" s="151">
        <v>9</v>
      </c>
      <c r="P336" s="151">
        <v>37</v>
      </c>
      <c r="Q336" s="151">
        <v>0</v>
      </c>
      <c r="R336" s="151">
        <f>SUM(O336:Q336)</f>
        <v>46</v>
      </c>
      <c r="S336" s="142">
        <v>20</v>
      </c>
      <c r="T336" s="145" t="s">
        <v>1087</v>
      </c>
    </row>
    <row r="337" spans="1:20" ht="22.5" hidden="1" customHeight="1" x14ac:dyDescent="0.25">
      <c r="A337" s="152" t="s">
        <v>2760</v>
      </c>
      <c r="B337" s="142">
        <v>2023</v>
      </c>
      <c r="C337" s="142" t="s">
        <v>20</v>
      </c>
      <c r="D337" s="142" t="s">
        <v>1080</v>
      </c>
      <c r="E337" s="143" t="s">
        <v>1088</v>
      </c>
      <c r="F337" s="144" t="s">
        <v>22</v>
      </c>
      <c r="G337" s="145" t="s">
        <v>56</v>
      </c>
      <c r="H337" s="146" t="s">
        <v>1089</v>
      </c>
      <c r="I337" s="147">
        <v>45097</v>
      </c>
      <c r="J337" s="147">
        <v>45097</v>
      </c>
      <c r="K337" s="142" t="s">
        <v>25</v>
      </c>
      <c r="L337" s="148">
        <v>0</v>
      </c>
      <c r="M337" s="149">
        <v>4.9000000000000004</v>
      </c>
      <c r="N337" s="150">
        <v>0</v>
      </c>
      <c r="O337" s="151">
        <v>44</v>
      </c>
      <c r="P337" s="151">
        <v>0</v>
      </c>
      <c r="Q337" s="151">
        <v>16</v>
      </c>
      <c r="R337" s="151">
        <f>SUM(O337:Q337)</f>
        <v>60</v>
      </c>
      <c r="S337" s="142">
        <v>2</v>
      </c>
      <c r="T337" s="145" t="s">
        <v>1090</v>
      </c>
    </row>
    <row r="338" spans="1:20" ht="22.5" hidden="1" customHeight="1" x14ac:dyDescent="0.25">
      <c r="A338" s="152" t="s">
        <v>2761</v>
      </c>
      <c r="B338" s="142">
        <v>2023</v>
      </c>
      <c r="C338" s="142" t="s">
        <v>20</v>
      </c>
      <c r="D338" s="142" t="s">
        <v>1091</v>
      </c>
      <c r="E338" s="143" t="s">
        <v>1092</v>
      </c>
      <c r="F338" s="144" t="s">
        <v>66</v>
      </c>
      <c r="G338" s="145" t="s">
        <v>59</v>
      </c>
      <c r="H338" s="146" t="s">
        <v>1093</v>
      </c>
      <c r="I338" s="147">
        <v>45103</v>
      </c>
      <c r="J338" s="147">
        <v>45107</v>
      </c>
      <c r="K338" s="142" t="s">
        <v>32</v>
      </c>
      <c r="L338" s="148">
        <v>9935.3799999999992</v>
      </c>
      <c r="M338" s="149">
        <v>4.9000000000000004</v>
      </c>
      <c r="N338" s="150">
        <v>40</v>
      </c>
      <c r="O338" s="151">
        <v>3</v>
      </c>
      <c r="P338" s="151">
        <v>0</v>
      </c>
      <c r="Q338" s="151">
        <v>45</v>
      </c>
      <c r="R338" s="151">
        <f>SUM(O338:Q338)</f>
        <v>48</v>
      </c>
      <c r="S338" s="142">
        <v>20</v>
      </c>
      <c r="T338" s="145" t="s">
        <v>324</v>
      </c>
    </row>
    <row r="339" spans="1:20" ht="22.5" hidden="1" customHeight="1" x14ac:dyDescent="0.25">
      <c r="A339" s="152" t="s">
        <v>2762</v>
      </c>
      <c r="B339" s="142">
        <v>2023</v>
      </c>
      <c r="C339" s="142" t="s">
        <v>20</v>
      </c>
      <c r="D339" s="142" t="s">
        <v>1094</v>
      </c>
      <c r="E339" s="143" t="s">
        <v>1095</v>
      </c>
      <c r="F339" s="144" t="s">
        <v>66</v>
      </c>
      <c r="G339" s="145" t="s">
        <v>59</v>
      </c>
      <c r="H339" s="146" t="s">
        <v>1096</v>
      </c>
      <c r="I339" s="147">
        <v>45103</v>
      </c>
      <c r="J339" s="147">
        <v>45103</v>
      </c>
      <c r="K339" s="142" t="s">
        <v>32</v>
      </c>
      <c r="L339" s="148">
        <v>0</v>
      </c>
      <c r="M339" s="149"/>
      <c r="N339" s="150"/>
      <c r="O339" s="151"/>
      <c r="P339" s="151"/>
      <c r="Q339" s="151">
        <v>40</v>
      </c>
      <c r="R339" s="151">
        <f>SUM(O339:Q339)</f>
        <v>40</v>
      </c>
      <c r="S339" s="142">
        <v>2</v>
      </c>
      <c r="T339" s="145" t="s">
        <v>784</v>
      </c>
    </row>
    <row r="340" spans="1:20" ht="22.5" hidden="1" customHeight="1" x14ac:dyDescent="0.25">
      <c r="A340" s="152" t="s">
        <v>2763</v>
      </c>
      <c r="B340" s="142">
        <v>2023</v>
      </c>
      <c r="C340" s="142" t="s">
        <v>20</v>
      </c>
      <c r="D340" s="142" t="s">
        <v>1097</v>
      </c>
      <c r="E340" s="143" t="s">
        <v>1098</v>
      </c>
      <c r="F340" s="144" t="s">
        <v>22</v>
      </c>
      <c r="G340" s="145" t="s">
        <v>34</v>
      </c>
      <c r="H340" s="146" t="s">
        <v>1099</v>
      </c>
      <c r="I340" s="147">
        <v>45104</v>
      </c>
      <c r="J340" s="147">
        <v>45104</v>
      </c>
      <c r="K340" s="142" t="s">
        <v>25</v>
      </c>
      <c r="L340" s="148">
        <v>0</v>
      </c>
      <c r="M340" s="149"/>
      <c r="N340" s="150"/>
      <c r="O340" s="151">
        <v>150</v>
      </c>
      <c r="P340" s="151">
        <v>0</v>
      </c>
      <c r="Q340" s="151">
        <v>0</v>
      </c>
      <c r="R340" s="151">
        <f>SUM(O340:Q340)</f>
        <v>150</v>
      </c>
      <c r="S340" s="142">
        <v>2</v>
      </c>
      <c r="T340" s="145" t="s">
        <v>1100</v>
      </c>
    </row>
    <row r="341" spans="1:20" ht="22.5" hidden="1" customHeight="1" x14ac:dyDescent="0.25">
      <c r="A341" s="152" t="s">
        <v>2764</v>
      </c>
      <c r="B341" s="142">
        <v>2023</v>
      </c>
      <c r="C341" s="142" t="s">
        <v>20</v>
      </c>
      <c r="D341" s="142" t="s">
        <v>1101</v>
      </c>
      <c r="E341" s="154" t="s">
        <v>1102</v>
      </c>
      <c r="F341" s="144" t="s">
        <v>22</v>
      </c>
      <c r="G341" s="145" t="s">
        <v>34</v>
      </c>
      <c r="H341" s="142" t="s">
        <v>1103</v>
      </c>
      <c r="I341" s="147">
        <v>45110</v>
      </c>
      <c r="J341" s="147">
        <v>45111</v>
      </c>
      <c r="K341" s="142" t="s">
        <v>32</v>
      </c>
      <c r="L341" s="148">
        <v>3477.38</v>
      </c>
      <c r="M341" s="149">
        <v>4.5999999999999996</v>
      </c>
      <c r="N341" s="150">
        <v>20</v>
      </c>
      <c r="O341" s="151">
        <v>20</v>
      </c>
      <c r="P341" s="151">
        <v>0</v>
      </c>
      <c r="Q341" s="151">
        <v>0</v>
      </c>
      <c r="R341" s="151">
        <f>SUM(O341:Q341)</f>
        <v>20</v>
      </c>
      <c r="S341" s="142">
        <v>7</v>
      </c>
      <c r="T341" s="145" t="s">
        <v>808</v>
      </c>
    </row>
    <row r="342" spans="1:20" ht="22.5" hidden="1" customHeight="1" x14ac:dyDescent="0.25">
      <c r="A342" s="152" t="s">
        <v>2765</v>
      </c>
      <c r="B342" s="142">
        <v>2023</v>
      </c>
      <c r="C342" s="142" t="s">
        <v>20</v>
      </c>
      <c r="D342" s="142" t="s">
        <v>1104</v>
      </c>
      <c r="E342" s="143" t="s">
        <v>1105</v>
      </c>
      <c r="F342" s="144" t="s">
        <v>66</v>
      </c>
      <c r="G342" s="145" t="s">
        <v>59</v>
      </c>
      <c r="H342" s="146" t="s">
        <v>1106</v>
      </c>
      <c r="I342" s="147">
        <v>45114</v>
      </c>
      <c r="J342" s="147">
        <v>45114</v>
      </c>
      <c r="K342" s="142" t="s">
        <v>32</v>
      </c>
      <c r="L342" s="148">
        <v>0</v>
      </c>
      <c r="M342" s="149"/>
      <c r="N342" s="150"/>
      <c r="O342" s="151"/>
      <c r="P342" s="151"/>
      <c r="Q342" s="151">
        <v>30</v>
      </c>
      <c r="R342" s="151">
        <f>SUM(O342:Q342)</f>
        <v>30</v>
      </c>
      <c r="S342" s="142">
        <v>2</v>
      </c>
      <c r="T342" s="145" t="s">
        <v>784</v>
      </c>
    </row>
    <row r="343" spans="1:20" ht="22.5" hidden="1" customHeight="1" x14ac:dyDescent="0.25">
      <c r="A343" s="152" t="s">
        <v>2766</v>
      </c>
      <c r="B343" s="142">
        <v>2023</v>
      </c>
      <c r="C343" s="142" t="s">
        <v>20</v>
      </c>
      <c r="D343" s="142" t="s">
        <v>1107</v>
      </c>
      <c r="E343" s="143" t="s">
        <v>1108</v>
      </c>
      <c r="F343" s="144" t="s">
        <v>22</v>
      </c>
      <c r="G343" s="145" t="s">
        <v>283</v>
      </c>
      <c r="H343" s="146" t="s">
        <v>1109</v>
      </c>
      <c r="I343" s="147">
        <v>45131</v>
      </c>
      <c r="J343" s="147">
        <v>45135</v>
      </c>
      <c r="K343" s="142" t="s">
        <v>32</v>
      </c>
      <c r="L343" s="148">
        <f>6878.39+4650</f>
        <v>11528.39</v>
      </c>
      <c r="M343" s="149">
        <v>4.4000000000000004</v>
      </c>
      <c r="N343" s="150">
        <v>67</v>
      </c>
      <c r="O343" s="151">
        <v>67</v>
      </c>
      <c r="P343" s="151">
        <v>0</v>
      </c>
      <c r="Q343" s="151">
        <v>0</v>
      </c>
      <c r="R343" s="151">
        <f>SUM(O343:Q343)</f>
        <v>67</v>
      </c>
      <c r="S343" s="142">
        <v>18</v>
      </c>
      <c r="T343" s="145" t="s">
        <v>1110</v>
      </c>
    </row>
    <row r="344" spans="1:20" ht="22.5" hidden="1" customHeight="1" x14ac:dyDescent="0.25">
      <c r="A344" s="152" t="s">
        <v>2767</v>
      </c>
      <c r="B344" s="142">
        <v>2023</v>
      </c>
      <c r="C344" s="142" t="s">
        <v>20</v>
      </c>
      <c r="D344" s="142" t="s">
        <v>1111</v>
      </c>
      <c r="E344" s="143" t="s">
        <v>1112</v>
      </c>
      <c r="F344" s="144" t="s">
        <v>22</v>
      </c>
      <c r="G344" s="145" t="s">
        <v>283</v>
      </c>
      <c r="H344" s="146" t="s">
        <v>1109</v>
      </c>
      <c r="I344" s="147">
        <v>45131</v>
      </c>
      <c r="J344" s="147">
        <v>45135</v>
      </c>
      <c r="K344" s="142" t="s">
        <v>32</v>
      </c>
      <c r="L344" s="148">
        <v>4650</v>
      </c>
      <c r="M344" s="149">
        <v>4.4000000000000004</v>
      </c>
      <c r="N344" s="150">
        <v>67</v>
      </c>
      <c r="O344" s="151">
        <v>67</v>
      </c>
      <c r="P344" s="151">
        <v>0</v>
      </c>
      <c r="Q344" s="151">
        <v>0</v>
      </c>
      <c r="R344" s="151">
        <f>SUM(O344:Q344)</f>
        <v>67</v>
      </c>
      <c r="S344" s="142">
        <v>2</v>
      </c>
      <c r="T344" s="145" t="s">
        <v>1113</v>
      </c>
    </row>
    <row r="345" spans="1:20" ht="22.5" hidden="1" customHeight="1" x14ac:dyDescent="0.25">
      <c r="A345" s="152" t="s">
        <v>2768</v>
      </c>
      <c r="B345" s="142">
        <v>2023</v>
      </c>
      <c r="C345" s="142" t="s">
        <v>20</v>
      </c>
      <c r="D345" s="142" t="s">
        <v>1111</v>
      </c>
      <c r="E345" s="143" t="s">
        <v>1114</v>
      </c>
      <c r="F345" s="144" t="s">
        <v>22</v>
      </c>
      <c r="G345" s="145" t="s">
        <v>283</v>
      </c>
      <c r="H345" s="146" t="s">
        <v>1109</v>
      </c>
      <c r="I345" s="147">
        <v>45131</v>
      </c>
      <c r="J345" s="147">
        <v>45135</v>
      </c>
      <c r="K345" s="142" t="s">
        <v>32</v>
      </c>
      <c r="L345" s="148">
        <v>4650</v>
      </c>
      <c r="M345" s="149">
        <v>4.4000000000000004</v>
      </c>
      <c r="N345" s="150">
        <v>57</v>
      </c>
      <c r="O345" s="151">
        <v>57</v>
      </c>
      <c r="P345" s="151">
        <v>0</v>
      </c>
      <c r="Q345" s="151">
        <v>0</v>
      </c>
      <c r="R345" s="151">
        <f>SUM(O345:Q345)</f>
        <v>57</v>
      </c>
      <c r="S345" s="142">
        <v>2</v>
      </c>
      <c r="T345" s="145" t="s">
        <v>1113</v>
      </c>
    </row>
    <row r="346" spans="1:20" ht="22.5" hidden="1" customHeight="1" x14ac:dyDescent="0.25">
      <c r="A346" s="152" t="s">
        <v>2769</v>
      </c>
      <c r="B346" s="142">
        <v>2023</v>
      </c>
      <c r="C346" s="142" t="s">
        <v>20</v>
      </c>
      <c r="D346" s="142" t="s">
        <v>1036</v>
      </c>
      <c r="E346" s="143" t="s">
        <v>1115</v>
      </c>
      <c r="F346" s="144" t="s">
        <v>22</v>
      </c>
      <c r="G346" s="145" t="s">
        <v>1038</v>
      </c>
      <c r="H346" s="146" t="s">
        <v>1116</v>
      </c>
      <c r="I346" s="147">
        <v>45138</v>
      </c>
      <c r="J346" s="147">
        <v>45166</v>
      </c>
      <c r="K346" s="142" t="s">
        <v>25</v>
      </c>
      <c r="L346" s="148">
        <v>30590</v>
      </c>
      <c r="M346" s="149">
        <v>4.3</v>
      </c>
      <c r="N346" s="150">
        <v>20</v>
      </c>
      <c r="O346" s="151">
        <v>20</v>
      </c>
      <c r="P346" s="151">
        <v>0</v>
      </c>
      <c r="Q346" s="151">
        <v>0</v>
      </c>
      <c r="R346" s="151">
        <f>SUM(O346:Q346)</f>
        <v>20</v>
      </c>
      <c r="S346" s="142">
        <v>26</v>
      </c>
      <c r="T346" s="145" t="s">
        <v>1117</v>
      </c>
    </row>
    <row r="347" spans="1:20" ht="22.5" hidden="1" customHeight="1" x14ac:dyDescent="0.25">
      <c r="A347" s="152" t="s">
        <v>2770</v>
      </c>
      <c r="B347" s="142">
        <v>2023</v>
      </c>
      <c r="C347" s="142" t="s">
        <v>20</v>
      </c>
      <c r="D347" s="142" t="s">
        <v>1118</v>
      </c>
      <c r="E347" s="143" t="s">
        <v>1119</v>
      </c>
      <c r="F347" s="144" t="s">
        <v>51</v>
      </c>
      <c r="G347" s="145" t="s">
        <v>59</v>
      </c>
      <c r="H347" s="146" t="s">
        <v>1120</v>
      </c>
      <c r="I347" s="147">
        <v>45141</v>
      </c>
      <c r="J347" s="147">
        <v>45142</v>
      </c>
      <c r="K347" s="142" t="s">
        <v>32</v>
      </c>
      <c r="L347" s="148">
        <v>3427.55</v>
      </c>
      <c r="M347" s="149">
        <v>4.7</v>
      </c>
      <c r="N347" s="150">
        <v>400</v>
      </c>
      <c r="O347" s="151">
        <v>112</v>
      </c>
      <c r="P347" s="151">
        <v>203</v>
      </c>
      <c r="Q347" s="151">
        <v>0</v>
      </c>
      <c r="R347" s="151">
        <f>SUM(O347:Q347)</f>
        <v>315</v>
      </c>
      <c r="S347" s="142">
        <v>8</v>
      </c>
      <c r="T347" s="145" t="s">
        <v>1121</v>
      </c>
    </row>
    <row r="348" spans="1:20" ht="22.5" hidden="1" customHeight="1" x14ac:dyDescent="0.25">
      <c r="A348" s="152" t="s">
        <v>2771</v>
      </c>
      <c r="B348" s="142">
        <v>2023</v>
      </c>
      <c r="C348" s="142" t="s">
        <v>20</v>
      </c>
      <c r="D348" s="142" t="s">
        <v>1122</v>
      </c>
      <c r="E348" s="143" t="s">
        <v>1123</v>
      </c>
      <c r="F348" s="144" t="s">
        <v>51</v>
      </c>
      <c r="G348" s="145" t="s">
        <v>59</v>
      </c>
      <c r="H348" s="146" t="s">
        <v>1124</v>
      </c>
      <c r="I348" s="147">
        <v>45145</v>
      </c>
      <c r="J348" s="147">
        <v>45146</v>
      </c>
      <c r="K348" s="142" t="s">
        <v>32</v>
      </c>
      <c r="L348" s="148">
        <v>3974.15</v>
      </c>
      <c r="M348" s="149">
        <v>4.7</v>
      </c>
      <c r="N348" s="150">
        <v>30</v>
      </c>
      <c r="O348" s="151">
        <v>1</v>
      </c>
      <c r="P348" s="151">
        <v>34</v>
      </c>
      <c r="Q348" s="151">
        <v>0</v>
      </c>
      <c r="R348" s="151">
        <f>SUM(O348:Q348)</f>
        <v>35</v>
      </c>
      <c r="S348" s="142">
        <v>8</v>
      </c>
      <c r="T348" s="145" t="s">
        <v>1125</v>
      </c>
    </row>
    <row r="349" spans="1:20" ht="22.5" hidden="1" customHeight="1" x14ac:dyDescent="0.25">
      <c r="A349" s="152" t="s">
        <v>2772</v>
      </c>
      <c r="B349" s="142">
        <v>2023</v>
      </c>
      <c r="C349" s="142" t="s">
        <v>20</v>
      </c>
      <c r="D349" s="142" t="s">
        <v>1126</v>
      </c>
      <c r="E349" s="143" t="s">
        <v>1127</v>
      </c>
      <c r="F349" s="144" t="s">
        <v>22</v>
      </c>
      <c r="G349" s="145" t="s">
        <v>353</v>
      </c>
      <c r="H349" s="146" t="s">
        <v>1128</v>
      </c>
      <c r="I349" s="147">
        <v>45145</v>
      </c>
      <c r="J349" s="147">
        <v>45265</v>
      </c>
      <c r="K349" s="142" t="s">
        <v>25</v>
      </c>
      <c r="L349" s="148">
        <v>76500</v>
      </c>
      <c r="M349" s="149">
        <v>5</v>
      </c>
      <c r="N349" s="150">
        <v>17</v>
      </c>
      <c r="O349" s="151">
        <v>17</v>
      </c>
      <c r="P349" s="151">
        <v>0</v>
      </c>
      <c r="Q349" s="151">
        <v>0</v>
      </c>
      <c r="R349" s="151">
        <f>SUM(O349:Q349)</f>
        <v>17</v>
      </c>
      <c r="S349" s="142">
        <f>5*17</f>
        <v>85</v>
      </c>
      <c r="T349" s="145" t="s">
        <v>741</v>
      </c>
    </row>
    <row r="350" spans="1:20" ht="22.5" hidden="1" customHeight="1" x14ac:dyDescent="0.25">
      <c r="A350" s="152" t="s">
        <v>2773</v>
      </c>
      <c r="B350" s="142">
        <v>2023</v>
      </c>
      <c r="C350" s="142" t="s">
        <v>20</v>
      </c>
      <c r="D350" s="142" t="s">
        <v>1129</v>
      </c>
      <c r="E350" s="143" t="s">
        <v>1130</v>
      </c>
      <c r="F350" s="144" t="s">
        <v>51</v>
      </c>
      <c r="G350" s="145" t="s">
        <v>59</v>
      </c>
      <c r="H350" s="146" t="s">
        <v>1131</v>
      </c>
      <c r="I350" s="147">
        <v>45145</v>
      </c>
      <c r="J350" s="147">
        <v>45146</v>
      </c>
      <c r="K350" s="142" t="s">
        <v>32</v>
      </c>
      <c r="L350" s="148">
        <v>5383.02</v>
      </c>
      <c r="M350" s="149">
        <v>4.7</v>
      </c>
      <c r="N350" s="150">
        <v>20</v>
      </c>
      <c r="O350" s="151">
        <v>3</v>
      </c>
      <c r="P350" s="151">
        <v>24</v>
      </c>
      <c r="Q350" s="151">
        <v>0</v>
      </c>
      <c r="R350" s="151">
        <f>SUM(O350:Q350)</f>
        <v>27</v>
      </c>
      <c r="S350" s="142">
        <v>8</v>
      </c>
      <c r="T350" s="145" t="s">
        <v>717</v>
      </c>
    </row>
    <row r="351" spans="1:20" ht="22.5" hidden="1" customHeight="1" x14ac:dyDescent="0.25">
      <c r="A351" s="152" t="s">
        <v>2774</v>
      </c>
      <c r="B351" s="142">
        <v>2023</v>
      </c>
      <c r="C351" s="142" t="s">
        <v>20</v>
      </c>
      <c r="D351" s="142" t="s">
        <v>1132</v>
      </c>
      <c r="E351" s="143" t="s">
        <v>1133</v>
      </c>
      <c r="F351" s="144" t="s">
        <v>51</v>
      </c>
      <c r="G351" s="145" t="s">
        <v>59</v>
      </c>
      <c r="H351" s="146" t="s">
        <v>1134</v>
      </c>
      <c r="I351" s="147">
        <v>45145</v>
      </c>
      <c r="J351" s="147">
        <v>45145</v>
      </c>
      <c r="K351" s="142" t="s">
        <v>32</v>
      </c>
      <c r="L351" s="148">
        <v>0</v>
      </c>
      <c r="M351" s="149">
        <v>4.0999999999999996</v>
      </c>
      <c r="N351" s="150">
        <v>40</v>
      </c>
      <c r="O351" s="151">
        <v>8</v>
      </c>
      <c r="P351" s="151">
        <v>37</v>
      </c>
      <c r="Q351" s="151">
        <v>0</v>
      </c>
      <c r="R351" s="151">
        <f>SUM(O351:Q351)</f>
        <v>45</v>
      </c>
      <c r="S351" s="142">
        <v>4</v>
      </c>
      <c r="T351" s="145" t="s">
        <v>1135</v>
      </c>
    </row>
    <row r="352" spans="1:20" ht="22.5" hidden="1" customHeight="1" x14ac:dyDescent="0.25">
      <c r="A352" s="152" t="s">
        <v>2775</v>
      </c>
      <c r="B352" s="142">
        <v>2023</v>
      </c>
      <c r="C352" s="142" t="s">
        <v>20</v>
      </c>
      <c r="D352" s="142" t="s">
        <v>1136</v>
      </c>
      <c r="E352" s="143" t="s">
        <v>1137</v>
      </c>
      <c r="F352" s="144" t="s">
        <v>51</v>
      </c>
      <c r="G352" s="145" t="s">
        <v>59</v>
      </c>
      <c r="H352" s="146" t="s">
        <v>1138</v>
      </c>
      <c r="I352" s="147">
        <v>45146</v>
      </c>
      <c r="J352" s="147">
        <v>45146</v>
      </c>
      <c r="K352" s="142" t="s">
        <v>32</v>
      </c>
      <c r="L352" s="148">
        <v>0</v>
      </c>
      <c r="M352" s="149">
        <v>4.5999999999999996</v>
      </c>
      <c r="N352" s="150">
        <v>40</v>
      </c>
      <c r="O352" s="151">
        <v>14</v>
      </c>
      <c r="P352" s="151">
        <v>37</v>
      </c>
      <c r="Q352" s="151">
        <v>0</v>
      </c>
      <c r="R352" s="151">
        <f>SUM(O352:Q352)</f>
        <v>51</v>
      </c>
      <c r="S352" s="142">
        <v>4</v>
      </c>
      <c r="T352" s="145" t="s">
        <v>1139</v>
      </c>
    </row>
    <row r="353" spans="1:20" ht="22.5" hidden="1" customHeight="1" x14ac:dyDescent="0.25">
      <c r="A353" s="152" t="s">
        <v>2776</v>
      </c>
      <c r="B353" s="142">
        <v>2023</v>
      </c>
      <c r="C353" s="142" t="s">
        <v>20</v>
      </c>
      <c r="D353" s="142" t="s">
        <v>1036</v>
      </c>
      <c r="E353" s="143" t="s">
        <v>1140</v>
      </c>
      <c r="F353" s="144" t="s">
        <v>22</v>
      </c>
      <c r="G353" s="145" t="s">
        <v>1038</v>
      </c>
      <c r="H353" s="146" t="s">
        <v>1141</v>
      </c>
      <c r="I353" s="147">
        <v>45147</v>
      </c>
      <c r="J353" s="147">
        <v>45187</v>
      </c>
      <c r="K353" s="142" t="s">
        <v>25</v>
      </c>
      <c r="L353" s="148">
        <v>31502</v>
      </c>
      <c r="M353" s="149">
        <v>4.7</v>
      </c>
      <c r="N353" s="150">
        <v>20</v>
      </c>
      <c r="O353" s="151">
        <v>5</v>
      </c>
      <c r="P353" s="151">
        <v>0</v>
      </c>
      <c r="Q353" s="151">
        <v>0</v>
      </c>
      <c r="R353" s="151">
        <f>SUM(O353:Q353)</f>
        <v>5</v>
      </c>
      <c r="S353" s="142">
        <v>28</v>
      </c>
      <c r="T353" s="145" t="s">
        <v>1073</v>
      </c>
    </row>
    <row r="354" spans="1:20" ht="22.5" hidden="1" customHeight="1" x14ac:dyDescent="0.25">
      <c r="A354" s="152" t="s">
        <v>2777</v>
      </c>
      <c r="B354" s="142">
        <v>2023</v>
      </c>
      <c r="C354" s="142" t="s">
        <v>20</v>
      </c>
      <c r="D354" s="142" t="s">
        <v>1029</v>
      </c>
      <c r="E354" s="143" t="s">
        <v>1142</v>
      </c>
      <c r="F354" s="144" t="s">
        <v>22</v>
      </c>
      <c r="G354" s="145" t="s">
        <v>34</v>
      </c>
      <c r="H354" s="146" t="s">
        <v>1143</v>
      </c>
      <c r="I354" s="147">
        <v>45147</v>
      </c>
      <c r="J354" s="147">
        <v>45149</v>
      </c>
      <c r="K354" s="142" t="s">
        <v>25</v>
      </c>
      <c r="L354" s="148">
        <v>16253.1</v>
      </c>
      <c r="M354" s="149">
        <v>4.95</v>
      </c>
      <c r="N354" s="150">
        <v>20</v>
      </c>
      <c r="O354" s="151">
        <v>16</v>
      </c>
      <c r="P354" s="151">
        <v>0</v>
      </c>
      <c r="Q354" s="151">
        <v>0</v>
      </c>
      <c r="R354" s="151">
        <f>SUM(O354:Q354)</f>
        <v>16</v>
      </c>
      <c r="S354" s="142">
        <v>24</v>
      </c>
      <c r="T354" s="145" t="s">
        <v>1032</v>
      </c>
    </row>
    <row r="355" spans="1:20" ht="22.5" hidden="1" customHeight="1" x14ac:dyDescent="0.25">
      <c r="A355" s="152" t="s">
        <v>2778</v>
      </c>
      <c r="B355" s="142">
        <v>2023</v>
      </c>
      <c r="C355" s="142" t="s">
        <v>20</v>
      </c>
      <c r="D355" s="142" t="s">
        <v>1144</v>
      </c>
      <c r="E355" s="143" t="s">
        <v>1145</v>
      </c>
      <c r="F355" s="144" t="s">
        <v>22</v>
      </c>
      <c r="G355" s="145" t="s">
        <v>34</v>
      </c>
      <c r="H355" s="146" t="s">
        <v>1146</v>
      </c>
      <c r="I355" s="147">
        <v>45148</v>
      </c>
      <c r="J355" s="147">
        <v>45155</v>
      </c>
      <c r="K355" s="142" t="s">
        <v>25</v>
      </c>
      <c r="L355" s="148">
        <v>4500</v>
      </c>
      <c r="M355" s="149">
        <v>4.8</v>
      </c>
      <c r="N355" s="150">
        <v>30</v>
      </c>
      <c r="O355" s="151">
        <v>30</v>
      </c>
      <c r="P355" s="151">
        <v>0</v>
      </c>
      <c r="Q355" s="151">
        <v>0</v>
      </c>
      <c r="R355" s="151">
        <f>SUM(O355:Q355)</f>
        <v>30</v>
      </c>
      <c r="S355" s="142">
        <v>12</v>
      </c>
      <c r="T355" s="145" t="s">
        <v>1147</v>
      </c>
    </row>
    <row r="356" spans="1:20" ht="22.5" hidden="1" customHeight="1" x14ac:dyDescent="0.25">
      <c r="A356" s="152" t="s">
        <v>2779</v>
      </c>
      <c r="B356" s="142">
        <v>2023</v>
      </c>
      <c r="C356" s="142" t="s">
        <v>20</v>
      </c>
      <c r="D356" s="142" t="s">
        <v>1148</v>
      </c>
      <c r="E356" s="143" t="s">
        <v>1149</v>
      </c>
      <c r="F356" s="144" t="s">
        <v>22</v>
      </c>
      <c r="G356" s="145" t="s">
        <v>56</v>
      </c>
      <c r="H356" s="146" t="s">
        <v>1150</v>
      </c>
      <c r="I356" s="147">
        <v>45154</v>
      </c>
      <c r="J356" s="147">
        <v>45156</v>
      </c>
      <c r="K356" s="142" t="s">
        <v>25</v>
      </c>
      <c r="L356" s="148">
        <v>0</v>
      </c>
      <c r="M356" s="149">
        <v>4.5999999999999996</v>
      </c>
      <c r="N356" s="150">
        <v>70</v>
      </c>
      <c r="O356" s="151">
        <v>30</v>
      </c>
      <c r="P356" s="151">
        <v>34</v>
      </c>
      <c r="Q356" s="151">
        <v>0</v>
      </c>
      <c r="R356" s="151">
        <f>SUM(O356:Q356)</f>
        <v>64</v>
      </c>
      <c r="S356" s="142">
        <v>12</v>
      </c>
      <c r="T356" s="145"/>
    </row>
    <row r="357" spans="1:20" ht="22.5" hidden="1" customHeight="1" x14ac:dyDescent="0.25">
      <c r="A357" s="152" t="s">
        <v>2780</v>
      </c>
      <c r="B357" s="142">
        <v>2023</v>
      </c>
      <c r="C357" s="142" t="s">
        <v>20</v>
      </c>
      <c r="D357" s="142" t="s">
        <v>1107</v>
      </c>
      <c r="E357" s="143" t="s">
        <v>1151</v>
      </c>
      <c r="F357" s="144" t="s">
        <v>22</v>
      </c>
      <c r="G357" s="145" t="s">
        <v>283</v>
      </c>
      <c r="H357" s="146" t="s">
        <v>1152</v>
      </c>
      <c r="I357" s="147">
        <v>45159</v>
      </c>
      <c r="J357" s="147">
        <v>45163</v>
      </c>
      <c r="K357" s="142" t="s">
        <v>32</v>
      </c>
      <c r="L357" s="148">
        <f>6878.39+4650</f>
        <v>11528.39</v>
      </c>
      <c r="M357" s="149">
        <v>4.4000000000000004</v>
      </c>
      <c r="N357" s="150">
        <v>65</v>
      </c>
      <c r="O357" s="151">
        <v>57</v>
      </c>
      <c r="P357" s="151">
        <v>0</v>
      </c>
      <c r="Q357" s="151">
        <v>0</v>
      </c>
      <c r="R357" s="151">
        <f>SUM(O357:Q357)</f>
        <v>57</v>
      </c>
      <c r="S357" s="142">
        <v>20</v>
      </c>
      <c r="T357" s="145" t="s">
        <v>1110</v>
      </c>
    </row>
    <row r="358" spans="1:20" ht="22.5" hidden="1" customHeight="1" x14ac:dyDescent="0.25">
      <c r="A358" s="152" t="s">
        <v>2781</v>
      </c>
      <c r="B358" s="142">
        <v>2023</v>
      </c>
      <c r="C358" s="142" t="s">
        <v>20</v>
      </c>
      <c r="D358" s="142" t="s">
        <v>1153</v>
      </c>
      <c r="E358" s="143" t="s">
        <v>1154</v>
      </c>
      <c r="F358" s="144" t="s">
        <v>22</v>
      </c>
      <c r="G358" s="145" t="s">
        <v>56</v>
      </c>
      <c r="H358" s="146" t="s">
        <v>1155</v>
      </c>
      <c r="I358" s="147">
        <v>45166</v>
      </c>
      <c r="J358" s="147">
        <v>45173</v>
      </c>
      <c r="K358" s="142" t="s">
        <v>25</v>
      </c>
      <c r="L358" s="148">
        <v>17000</v>
      </c>
      <c r="M358" s="149">
        <v>4.5</v>
      </c>
      <c r="N358" s="150">
        <v>40</v>
      </c>
      <c r="O358" s="151">
        <v>31</v>
      </c>
      <c r="P358" s="151">
        <v>8</v>
      </c>
      <c r="Q358" s="151">
        <v>0</v>
      </c>
      <c r="R358" s="151">
        <f>SUM(O358:Q358)</f>
        <v>39</v>
      </c>
      <c r="S358" s="142">
        <v>25</v>
      </c>
      <c r="T358" s="145" t="s">
        <v>1156</v>
      </c>
    </row>
    <row r="359" spans="1:20" ht="22.5" hidden="1" customHeight="1" x14ac:dyDescent="0.25">
      <c r="A359" s="152" t="s">
        <v>2782</v>
      </c>
      <c r="B359" s="142">
        <v>2023</v>
      </c>
      <c r="C359" s="142" t="s">
        <v>20</v>
      </c>
      <c r="D359" s="142" t="s">
        <v>1157</v>
      </c>
      <c r="E359" s="143" t="s">
        <v>1158</v>
      </c>
      <c r="F359" s="144" t="s">
        <v>22</v>
      </c>
      <c r="G359" s="145" t="s">
        <v>23</v>
      </c>
      <c r="H359" s="146" t="s">
        <v>1159</v>
      </c>
      <c r="I359" s="147">
        <v>45174</v>
      </c>
      <c r="J359" s="147">
        <v>45196</v>
      </c>
      <c r="K359" s="142" t="s">
        <v>32</v>
      </c>
      <c r="L359" s="148">
        <v>13025.35</v>
      </c>
      <c r="M359" s="149">
        <v>4.9000000000000004</v>
      </c>
      <c r="N359" s="150">
        <v>20</v>
      </c>
      <c r="O359" s="151">
        <v>16</v>
      </c>
      <c r="P359" s="151">
        <v>0</v>
      </c>
      <c r="Q359" s="151">
        <v>0</v>
      </c>
      <c r="R359" s="151">
        <f>SUM(O359:Q359)</f>
        <v>16</v>
      </c>
      <c r="S359" s="142">
        <v>24</v>
      </c>
      <c r="T359" s="145" t="s">
        <v>441</v>
      </c>
    </row>
    <row r="360" spans="1:20" ht="22.5" hidden="1" customHeight="1" x14ac:dyDescent="0.25">
      <c r="A360" s="152" t="s">
        <v>2783</v>
      </c>
      <c r="B360" s="142">
        <v>2023</v>
      </c>
      <c r="C360" s="142" t="s">
        <v>20</v>
      </c>
      <c r="D360" s="142" t="s">
        <v>1160</v>
      </c>
      <c r="E360" s="154" t="s">
        <v>1161</v>
      </c>
      <c r="F360" s="144" t="s">
        <v>51</v>
      </c>
      <c r="G360" s="145" t="s">
        <v>59</v>
      </c>
      <c r="H360" s="146" t="s">
        <v>1162</v>
      </c>
      <c r="I360" s="147">
        <v>45180</v>
      </c>
      <c r="J360" s="147">
        <v>45184</v>
      </c>
      <c r="K360" s="142" t="s">
        <v>32</v>
      </c>
      <c r="L360" s="148">
        <v>4670.12</v>
      </c>
      <c r="M360" s="149">
        <v>4.5999999999999996</v>
      </c>
      <c r="N360" s="150">
        <v>40</v>
      </c>
      <c r="O360" s="151">
        <v>6</v>
      </c>
      <c r="P360" s="151">
        <v>41</v>
      </c>
      <c r="Q360" s="151">
        <v>0</v>
      </c>
      <c r="R360" s="151">
        <f>SUM(O360:Q360)</f>
        <v>47</v>
      </c>
      <c r="S360" s="142">
        <v>20</v>
      </c>
      <c r="T360" s="145" t="s">
        <v>1087</v>
      </c>
    </row>
    <row r="361" spans="1:20" ht="22.5" hidden="1" customHeight="1" x14ac:dyDescent="0.25">
      <c r="A361" s="152" t="s">
        <v>2784</v>
      </c>
      <c r="B361" s="142">
        <v>2023</v>
      </c>
      <c r="C361" s="142" t="s">
        <v>20</v>
      </c>
      <c r="D361" s="142" t="s">
        <v>1163</v>
      </c>
      <c r="E361" s="143" t="s">
        <v>1164</v>
      </c>
      <c r="F361" s="144" t="s">
        <v>51</v>
      </c>
      <c r="G361" s="145" t="s">
        <v>59</v>
      </c>
      <c r="H361" s="146" t="s">
        <v>1165</v>
      </c>
      <c r="I361" s="147">
        <v>45181</v>
      </c>
      <c r="J361" s="147">
        <v>45190</v>
      </c>
      <c r="K361" s="142" t="s">
        <v>32</v>
      </c>
      <c r="L361" s="148">
        <v>11523.98</v>
      </c>
      <c r="M361" s="149">
        <v>5</v>
      </c>
      <c r="N361" s="150">
        <v>20</v>
      </c>
      <c r="O361" s="151">
        <v>8</v>
      </c>
      <c r="P361" s="151">
        <v>3</v>
      </c>
      <c r="Q361" s="151">
        <v>2</v>
      </c>
      <c r="R361" s="151">
        <f>SUM(O361:Q361)</f>
        <v>13</v>
      </c>
      <c r="S361" s="142">
        <v>16</v>
      </c>
      <c r="T361" s="145" t="s">
        <v>1166</v>
      </c>
    </row>
    <row r="362" spans="1:20" ht="22.5" hidden="1" customHeight="1" x14ac:dyDescent="0.25">
      <c r="A362" s="152" t="s">
        <v>2785</v>
      </c>
      <c r="B362" s="142">
        <v>2023</v>
      </c>
      <c r="C362" s="142" t="s">
        <v>20</v>
      </c>
      <c r="D362" s="142" t="s">
        <v>1051</v>
      </c>
      <c r="E362" s="143" t="s">
        <v>1167</v>
      </c>
      <c r="F362" s="144" t="s">
        <v>22</v>
      </c>
      <c r="G362" s="145" t="s">
        <v>353</v>
      </c>
      <c r="H362" s="146" t="s">
        <v>1168</v>
      </c>
      <c r="I362" s="147">
        <v>45182</v>
      </c>
      <c r="J362" s="147">
        <v>45201</v>
      </c>
      <c r="K362" s="142" t="s">
        <v>25</v>
      </c>
      <c r="L362" s="148">
        <v>27000</v>
      </c>
      <c r="M362" s="149">
        <v>4.5999999999999996</v>
      </c>
      <c r="N362" s="150">
        <v>20</v>
      </c>
      <c r="O362" s="151">
        <v>26</v>
      </c>
      <c r="P362" s="151">
        <v>0</v>
      </c>
      <c r="Q362" s="151">
        <v>0</v>
      </c>
      <c r="R362" s="151">
        <f>SUM(O362:Q362)</f>
        <v>26</v>
      </c>
      <c r="S362" s="142">
        <v>30</v>
      </c>
      <c r="T362" s="145" t="s">
        <v>741</v>
      </c>
    </row>
    <row r="363" spans="1:20" ht="22.5" hidden="1" customHeight="1" x14ac:dyDescent="0.25">
      <c r="A363" s="152" t="s">
        <v>2786</v>
      </c>
      <c r="B363" s="142">
        <v>2023</v>
      </c>
      <c r="C363" s="142" t="s">
        <v>20</v>
      </c>
      <c r="D363" s="142" t="s">
        <v>1169</v>
      </c>
      <c r="E363" s="143" t="s">
        <v>895</v>
      </c>
      <c r="F363" s="144" t="s">
        <v>66</v>
      </c>
      <c r="G363" s="145" t="s">
        <v>59</v>
      </c>
      <c r="H363" s="146" t="s">
        <v>1170</v>
      </c>
      <c r="I363" s="147">
        <v>45187</v>
      </c>
      <c r="J363" s="147">
        <v>45191</v>
      </c>
      <c r="K363" s="142" t="s">
        <v>25</v>
      </c>
      <c r="L363" s="148">
        <v>6000</v>
      </c>
      <c r="M363" s="149">
        <v>5</v>
      </c>
      <c r="N363" s="150">
        <v>40</v>
      </c>
      <c r="O363" s="151">
        <v>0</v>
      </c>
      <c r="P363" s="151">
        <v>0</v>
      </c>
      <c r="Q363" s="151">
        <v>43</v>
      </c>
      <c r="R363" s="151">
        <f>SUM(O363:Q363)</f>
        <v>43</v>
      </c>
      <c r="S363" s="142">
        <v>12</v>
      </c>
      <c r="T363" s="145" t="s">
        <v>897</v>
      </c>
    </row>
    <row r="364" spans="1:20" ht="22.5" hidden="1" customHeight="1" x14ac:dyDescent="0.25">
      <c r="A364" s="152" t="s">
        <v>2787</v>
      </c>
      <c r="B364" s="142">
        <v>2023</v>
      </c>
      <c r="C364" s="142" t="s">
        <v>20</v>
      </c>
      <c r="D364" s="142" t="s">
        <v>1171</v>
      </c>
      <c r="E364" s="154" t="s">
        <v>1172</v>
      </c>
      <c r="F364" s="144" t="s">
        <v>22</v>
      </c>
      <c r="G364" s="145" t="s">
        <v>34</v>
      </c>
      <c r="H364" s="146" t="s">
        <v>1173</v>
      </c>
      <c r="I364" s="147">
        <v>45195</v>
      </c>
      <c r="J364" s="147">
        <v>45197</v>
      </c>
      <c r="K364" s="142" t="s">
        <v>25</v>
      </c>
      <c r="L364" s="148">
        <v>18534.060000000001</v>
      </c>
      <c r="M364" s="149">
        <v>4.8</v>
      </c>
      <c r="N364" s="150">
        <v>20</v>
      </c>
      <c r="O364" s="151">
        <v>11</v>
      </c>
      <c r="P364" s="151">
        <v>0</v>
      </c>
      <c r="Q364" s="151">
        <v>0</v>
      </c>
      <c r="R364" s="151">
        <f>SUM(O364:Q364)</f>
        <v>11</v>
      </c>
      <c r="S364" s="142">
        <v>24</v>
      </c>
      <c r="T364" s="145" t="s">
        <v>1032</v>
      </c>
    </row>
    <row r="365" spans="1:20" ht="22.5" hidden="1" customHeight="1" x14ac:dyDescent="0.25">
      <c r="A365" s="152" t="s">
        <v>2788</v>
      </c>
      <c r="B365" s="142">
        <v>2023</v>
      </c>
      <c r="C365" s="142" t="s">
        <v>20</v>
      </c>
      <c r="D365" s="142" t="s">
        <v>1029</v>
      </c>
      <c r="E365" s="143" t="s">
        <v>1174</v>
      </c>
      <c r="F365" s="144" t="s">
        <v>22</v>
      </c>
      <c r="G365" s="145" t="s">
        <v>34</v>
      </c>
      <c r="H365" s="146" t="s">
        <v>1175</v>
      </c>
      <c r="I365" s="147">
        <v>45201</v>
      </c>
      <c r="J365" s="147">
        <v>45203</v>
      </c>
      <c r="K365" s="142" t="s">
        <v>25</v>
      </c>
      <c r="L365" s="148">
        <v>18534.060000000001</v>
      </c>
      <c r="M365" s="149">
        <v>5</v>
      </c>
      <c r="N365" s="150">
        <v>20</v>
      </c>
      <c r="O365" s="151">
        <v>11</v>
      </c>
      <c r="P365" s="151">
        <v>0</v>
      </c>
      <c r="Q365" s="151">
        <v>0</v>
      </c>
      <c r="R365" s="151">
        <f>SUM(O365:Q365)</f>
        <v>11</v>
      </c>
      <c r="S365" s="142">
        <v>24</v>
      </c>
      <c r="T365" s="145" t="s">
        <v>1176</v>
      </c>
    </row>
    <row r="366" spans="1:20" ht="22.5" hidden="1" customHeight="1" x14ac:dyDescent="0.25">
      <c r="A366" s="152" t="s">
        <v>2789</v>
      </c>
      <c r="B366" s="142">
        <v>2023</v>
      </c>
      <c r="C366" s="142" t="s">
        <v>20</v>
      </c>
      <c r="D366" s="142" t="s">
        <v>1177</v>
      </c>
      <c r="E366" s="143" t="s">
        <v>1178</v>
      </c>
      <c r="F366" s="144" t="s">
        <v>66</v>
      </c>
      <c r="G366" s="145" t="s">
        <v>59</v>
      </c>
      <c r="H366" s="146" t="s">
        <v>1179</v>
      </c>
      <c r="I366" s="147">
        <v>45202</v>
      </c>
      <c r="J366" s="147">
        <v>45203</v>
      </c>
      <c r="K366" s="142" t="s">
        <v>32</v>
      </c>
      <c r="L366" s="148">
        <f>21161.18/3</f>
        <v>7053.7266666666665</v>
      </c>
      <c r="M366" s="149">
        <v>4.9000000000000004</v>
      </c>
      <c r="N366" s="150">
        <v>0</v>
      </c>
      <c r="O366" s="151">
        <v>0</v>
      </c>
      <c r="P366" s="151">
        <v>0</v>
      </c>
      <c r="Q366" s="151">
        <v>57</v>
      </c>
      <c r="R366" s="151">
        <f>SUM(O366:Q366)</f>
        <v>57</v>
      </c>
      <c r="S366" s="142">
        <v>16</v>
      </c>
      <c r="T366" s="153" t="s">
        <v>324</v>
      </c>
    </row>
    <row r="367" spans="1:20" ht="22.5" hidden="1" customHeight="1" x14ac:dyDescent="0.25">
      <c r="A367" s="152" t="s">
        <v>2790</v>
      </c>
      <c r="B367" s="142">
        <v>2023</v>
      </c>
      <c r="C367" s="142" t="s">
        <v>20</v>
      </c>
      <c r="D367" s="142" t="s">
        <v>1036</v>
      </c>
      <c r="E367" s="143" t="s">
        <v>1180</v>
      </c>
      <c r="F367" s="144" t="s">
        <v>22</v>
      </c>
      <c r="G367" s="145" t="s">
        <v>1038</v>
      </c>
      <c r="H367" s="146" t="s">
        <v>1181</v>
      </c>
      <c r="I367" s="147">
        <v>45204</v>
      </c>
      <c r="J367" s="147">
        <v>45204</v>
      </c>
      <c r="K367" s="142" t="s">
        <v>25</v>
      </c>
      <c r="L367" s="148">
        <f>28645/5</f>
        <v>5729</v>
      </c>
      <c r="M367" s="149">
        <v>5</v>
      </c>
      <c r="N367" s="150">
        <v>22</v>
      </c>
      <c r="O367" s="151">
        <v>22</v>
      </c>
      <c r="P367" s="151">
        <v>0</v>
      </c>
      <c r="Q367" s="151">
        <v>0</v>
      </c>
      <c r="R367" s="151">
        <f>SUM(O367:Q367)</f>
        <v>22</v>
      </c>
      <c r="S367" s="142">
        <v>20</v>
      </c>
      <c r="T367" s="145" t="s">
        <v>1182</v>
      </c>
    </row>
    <row r="368" spans="1:20" ht="22.5" hidden="1" customHeight="1" x14ac:dyDescent="0.25">
      <c r="A368" s="152" t="s">
        <v>2791</v>
      </c>
      <c r="B368" s="142">
        <v>2023</v>
      </c>
      <c r="C368" s="142" t="s">
        <v>20</v>
      </c>
      <c r="D368" s="142" t="s">
        <v>1183</v>
      </c>
      <c r="E368" s="143" t="s">
        <v>1184</v>
      </c>
      <c r="F368" s="144" t="s">
        <v>22</v>
      </c>
      <c r="G368" s="145" t="s">
        <v>157</v>
      </c>
      <c r="H368" s="146" t="s">
        <v>1181</v>
      </c>
      <c r="I368" s="147">
        <v>45204</v>
      </c>
      <c r="J368" s="147">
        <v>45204</v>
      </c>
      <c r="K368" s="142" t="s">
        <v>25</v>
      </c>
      <c r="L368" s="148">
        <v>0</v>
      </c>
      <c r="M368" s="149">
        <v>4.9000000000000004</v>
      </c>
      <c r="N368" s="150">
        <v>0</v>
      </c>
      <c r="O368" s="151">
        <v>176</v>
      </c>
      <c r="P368" s="151">
        <v>0</v>
      </c>
      <c r="Q368" s="151">
        <v>0</v>
      </c>
      <c r="R368" s="151">
        <f>SUM(O368:Q368)</f>
        <v>176</v>
      </c>
      <c r="S368" s="142">
        <v>2</v>
      </c>
      <c r="T368" s="145"/>
    </row>
    <row r="369" spans="1:20" ht="22.5" hidden="1" customHeight="1" x14ac:dyDescent="0.25">
      <c r="A369" s="152" t="s">
        <v>2792</v>
      </c>
      <c r="B369" s="142">
        <v>2023</v>
      </c>
      <c r="C369" s="142" t="s">
        <v>20</v>
      </c>
      <c r="D369" s="145" t="s">
        <v>1185</v>
      </c>
      <c r="E369" s="143" t="s">
        <v>1186</v>
      </c>
      <c r="F369" s="144" t="s">
        <v>22</v>
      </c>
      <c r="G369" s="145" t="s">
        <v>157</v>
      </c>
      <c r="H369" s="146" t="s">
        <v>1187</v>
      </c>
      <c r="I369" s="147">
        <v>45205</v>
      </c>
      <c r="J369" s="147">
        <v>45205</v>
      </c>
      <c r="K369" s="142" t="s">
        <v>25</v>
      </c>
      <c r="L369" s="148">
        <v>3200</v>
      </c>
      <c r="M369" s="149">
        <v>4.42</v>
      </c>
      <c r="N369" s="150">
        <v>80</v>
      </c>
      <c r="O369" s="151">
        <v>56</v>
      </c>
      <c r="P369" s="151">
        <v>0</v>
      </c>
      <c r="Q369" s="151">
        <v>0</v>
      </c>
      <c r="R369" s="151">
        <f>SUM(O369:Q369)</f>
        <v>56</v>
      </c>
      <c r="S369" s="142">
        <v>4</v>
      </c>
      <c r="T369" s="145" t="s">
        <v>1188</v>
      </c>
    </row>
    <row r="370" spans="1:20" ht="22.5" hidden="1" customHeight="1" x14ac:dyDescent="0.25">
      <c r="A370" s="152" t="s">
        <v>2793</v>
      </c>
      <c r="B370" s="142">
        <v>2023</v>
      </c>
      <c r="C370" s="142" t="s">
        <v>20</v>
      </c>
      <c r="D370" s="142" t="s">
        <v>1189</v>
      </c>
      <c r="E370" s="160" t="s">
        <v>1190</v>
      </c>
      <c r="F370" s="144" t="s">
        <v>51</v>
      </c>
      <c r="G370" s="145" t="s">
        <v>59</v>
      </c>
      <c r="H370" s="146" t="s">
        <v>1191</v>
      </c>
      <c r="I370" s="147">
        <v>45207</v>
      </c>
      <c r="J370" s="147">
        <v>45208</v>
      </c>
      <c r="K370" s="142" t="s">
        <v>32</v>
      </c>
      <c r="L370" s="148">
        <f>2760.19+2885.66</f>
        <v>5645.85</v>
      </c>
      <c r="M370" s="149">
        <v>4.8</v>
      </c>
      <c r="N370" s="150">
        <v>0</v>
      </c>
      <c r="O370" s="151">
        <v>0</v>
      </c>
      <c r="P370" s="151">
        <v>23</v>
      </c>
      <c r="Q370" s="151">
        <v>0</v>
      </c>
      <c r="R370" s="151">
        <f>SUM(O370:Q370)</f>
        <v>23</v>
      </c>
      <c r="S370" s="142">
        <v>8</v>
      </c>
      <c r="T370" s="145" t="s">
        <v>1192</v>
      </c>
    </row>
    <row r="371" spans="1:20" ht="22.5" hidden="1" customHeight="1" x14ac:dyDescent="0.25">
      <c r="A371" s="152" t="s">
        <v>2794</v>
      </c>
      <c r="B371" s="142">
        <v>2023</v>
      </c>
      <c r="C371" s="142" t="s">
        <v>20</v>
      </c>
      <c r="D371" s="142" t="s">
        <v>1193</v>
      </c>
      <c r="E371" s="143" t="s">
        <v>1194</v>
      </c>
      <c r="F371" s="144" t="s">
        <v>66</v>
      </c>
      <c r="G371" s="145" t="s">
        <v>59</v>
      </c>
      <c r="H371" s="146" t="s">
        <v>1195</v>
      </c>
      <c r="I371" s="147">
        <v>45209</v>
      </c>
      <c r="J371" s="147">
        <v>45209</v>
      </c>
      <c r="K371" s="142" t="s">
        <v>32</v>
      </c>
      <c r="L371" s="148">
        <v>500</v>
      </c>
      <c r="M371" s="149">
        <v>5</v>
      </c>
      <c r="N371" s="150">
        <v>0</v>
      </c>
      <c r="O371" s="151">
        <v>0</v>
      </c>
      <c r="P371" s="151">
        <v>0</v>
      </c>
      <c r="Q371" s="151">
        <v>39</v>
      </c>
      <c r="R371" s="151">
        <f>SUM(O371:Q371)</f>
        <v>39</v>
      </c>
      <c r="S371" s="142">
        <v>1</v>
      </c>
      <c r="T371" s="145" t="s">
        <v>511</v>
      </c>
    </row>
    <row r="372" spans="1:20" ht="22.5" hidden="1" customHeight="1" x14ac:dyDescent="0.25">
      <c r="A372" s="152" t="s">
        <v>2795</v>
      </c>
      <c r="B372" s="142">
        <v>2023</v>
      </c>
      <c r="C372" s="142" t="s">
        <v>20</v>
      </c>
      <c r="D372" s="142" t="s">
        <v>1196</v>
      </c>
      <c r="E372" s="143" t="s">
        <v>1197</v>
      </c>
      <c r="F372" s="144" t="s">
        <v>22</v>
      </c>
      <c r="G372" s="145" t="s">
        <v>30</v>
      </c>
      <c r="H372" s="156">
        <v>45209</v>
      </c>
      <c r="I372" s="147">
        <v>45209</v>
      </c>
      <c r="J372" s="147">
        <v>45209</v>
      </c>
      <c r="K372" s="142" t="s">
        <v>32</v>
      </c>
      <c r="L372" s="148">
        <v>0</v>
      </c>
      <c r="M372" s="149">
        <v>4.9000000000000004</v>
      </c>
      <c r="N372" s="150">
        <v>0</v>
      </c>
      <c r="O372" s="151">
        <v>47</v>
      </c>
      <c r="P372" s="151">
        <v>0</v>
      </c>
      <c r="Q372" s="151">
        <v>0</v>
      </c>
      <c r="R372" s="151">
        <f>SUM(O372:Q372)</f>
        <v>47</v>
      </c>
      <c r="S372" s="142">
        <v>2</v>
      </c>
      <c r="T372" s="145"/>
    </row>
    <row r="373" spans="1:20" ht="22.5" hidden="1" customHeight="1" x14ac:dyDescent="0.25">
      <c r="A373" s="152" t="s">
        <v>2796</v>
      </c>
      <c r="B373" s="142">
        <v>2023</v>
      </c>
      <c r="C373" s="142" t="s">
        <v>20</v>
      </c>
      <c r="D373" s="142" t="s">
        <v>1177</v>
      </c>
      <c r="E373" s="143" t="s">
        <v>1198</v>
      </c>
      <c r="F373" s="144" t="s">
        <v>66</v>
      </c>
      <c r="G373" s="145" t="s">
        <v>59</v>
      </c>
      <c r="H373" s="146" t="s">
        <v>1199</v>
      </c>
      <c r="I373" s="147">
        <v>45216</v>
      </c>
      <c r="J373" s="147">
        <v>45217</v>
      </c>
      <c r="K373" s="142" t="s">
        <v>32</v>
      </c>
      <c r="L373" s="148">
        <f>21161.18/3</f>
        <v>7053.7266666666665</v>
      </c>
      <c r="M373" s="149">
        <v>4.9000000000000004</v>
      </c>
      <c r="N373" s="150">
        <v>0</v>
      </c>
      <c r="O373" s="151">
        <v>0</v>
      </c>
      <c r="P373" s="151">
        <v>0</v>
      </c>
      <c r="Q373" s="151">
        <v>53</v>
      </c>
      <c r="R373" s="151">
        <f>SUM(O373:Q373)</f>
        <v>53</v>
      </c>
      <c r="S373" s="142">
        <v>16</v>
      </c>
      <c r="T373" s="153" t="s">
        <v>324</v>
      </c>
    </row>
    <row r="374" spans="1:20" ht="22.5" hidden="1" customHeight="1" x14ac:dyDescent="0.25">
      <c r="A374" s="152" t="s">
        <v>2797</v>
      </c>
      <c r="B374" s="142">
        <v>2023</v>
      </c>
      <c r="C374" s="142" t="s">
        <v>20</v>
      </c>
      <c r="D374" s="142" t="s">
        <v>1196</v>
      </c>
      <c r="E374" s="143" t="s">
        <v>1200</v>
      </c>
      <c r="F374" s="144" t="s">
        <v>22</v>
      </c>
      <c r="G374" s="145" t="s">
        <v>30</v>
      </c>
      <c r="H374" s="156" t="s">
        <v>1201</v>
      </c>
      <c r="I374" s="147">
        <v>45216</v>
      </c>
      <c r="J374" s="147">
        <v>45216</v>
      </c>
      <c r="K374" s="142" t="s">
        <v>32</v>
      </c>
      <c r="L374" s="148">
        <v>0</v>
      </c>
      <c r="M374" s="149">
        <v>5</v>
      </c>
      <c r="N374" s="150">
        <v>0</v>
      </c>
      <c r="O374" s="151">
        <v>28</v>
      </c>
      <c r="P374" s="151">
        <v>0</v>
      </c>
      <c r="Q374" s="151">
        <v>0</v>
      </c>
      <c r="R374" s="151">
        <f>SUM(O374:Q374)</f>
        <v>28</v>
      </c>
      <c r="S374" s="142">
        <v>2</v>
      </c>
      <c r="T374" s="145" t="s">
        <v>1176</v>
      </c>
    </row>
    <row r="375" spans="1:20" ht="22.5" hidden="1" customHeight="1" x14ac:dyDescent="0.25">
      <c r="A375" s="152" t="s">
        <v>2798</v>
      </c>
      <c r="B375" s="142">
        <v>2023</v>
      </c>
      <c r="C375" s="142" t="s">
        <v>20</v>
      </c>
      <c r="D375" s="142" t="s">
        <v>1036</v>
      </c>
      <c r="E375" s="143" t="s">
        <v>1202</v>
      </c>
      <c r="F375" s="144" t="s">
        <v>22</v>
      </c>
      <c r="G375" s="145" t="s">
        <v>1038</v>
      </c>
      <c r="H375" s="146" t="s">
        <v>1203</v>
      </c>
      <c r="I375" s="147">
        <v>45217</v>
      </c>
      <c r="J375" s="147">
        <v>45217</v>
      </c>
      <c r="K375" s="142" t="s">
        <v>25</v>
      </c>
      <c r="L375" s="148">
        <f>28645/5</f>
        <v>5729</v>
      </c>
      <c r="M375" s="149">
        <v>4.4000000000000004</v>
      </c>
      <c r="N375" s="150">
        <v>18</v>
      </c>
      <c r="O375" s="151">
        <v>18</v>
      </c>
      <c r="P375" s="151">
        <v>0</v>
      </c>
      <c r="Q375" s="151">
        <v>0</v>
      </c>
      <c r="R375" s="151">
        <f>SUM(O375:Q375)</f>
        <v>18</v>
      </c>
      <c r="S375" s="142">
        <v>3</v>
      </c>
      <c r="T375" s="145" t="s">
        <v>1182</v>
      </c>
    </row>
    <row r="376" spans="1:20" ht="22.5" hidden="1" customHeight="1" x14ac:dyDescent="0.25">
      <c r="A376" s="152" t="s">
        <v>2799</v>
      </c>
      <c r="B376" s="142">
        <v>2023</v>
      </c>
      <c r="C376" s="142" t="s">
        <v>20</v>
      </c>
      <c r="D376" s="142" t="s">
        <v>1177</v>
      </c>
      <c r="E376" s="143" t="s">
        <v>1204</v>
      </c>
      <c r="F376" s="144" t="s">
        <v>66</v>
      </c>
      <c r="G376" s="145" t="s">
        <v>59</v>
      </c>
      <c r="H376" s="146" t="s">
        <v>1205</v>
      </c>
      <c r="I376" s="147">
        <v>45218</v>
      </c>
      <c r="J376" s="147">
        <v>45219</v>
      </c>
      <c r="K376" s="142" t="s">
        <v>32</v>
      </c>
      <c r="L376" s="148">
        <f>21161.18/3</f>
        <v>7053.7266666666665</v>
      </c>
      <c r="M376" s="149">
        <v>4.9000000000000004</v>
      </c>
      <c r="N376" s="150">
        <v>0</v>
      </c>
      <c r="O376" s="151">
        <v>0</v>
      </c>
      <c r="P376" s="151">
        <v>0</v>
      </c>
      <c r="Q376" s="151">
        <v>53</v>
      </c>
      <c r="R376" s="151">
        <f>SUM(O376:Q376)</f>
        <v>53</v>
      </c>
      <c r="S376" s="142">
        <v>16</v>
      </c>
      <c r="T376" s="153" t="s">
        <v>324</v>
      </c>
    </row>
    <row r="377" spans="1:20" ht="22.5" hidden="1" customHeight="1" x14ac:dyDescent="0.25">
      <c r="A377" s="152" t="s">
        <v>2800</v>
      </c>
      <c r="B377" s="142">
        <v>2023</v>
      </c>
      <c r="C377" s="142" t="s">
        <v>20</v>
      </c>
      <c r="D377" s="142" t="s">
        <v>1036</v>
      </c>
      <c r="E377" s="143" t="s">
        <v>1206</v>
      </c>
      <c r="F377" s="144" t="s">
        <v>22</v>
      </c>
      <c r="G377" s="145" t="s">
        <v>1038</v>
      </c>
      <c r="H377" s="146" t="s">
        <v>1207</v>
      </c>
      <c r="I377" s="147">
        <v>45218</v>
      </c>
      <c r="J377" s="147">
        <v>45218</v>
      </c>
      <c r="K377" s="142" t="s">
        <v>25</v>
      </c>
      <c r="L377" s="148">
        <f>28645/5</f>
        <v>5729</v>
      </c>
      <c r="M377" s="149">
        <v>4.4000000000000004</v>
      </c>
      <c r="N377" s="150">
        <v>10</v>
      </c>
      <c r="O377" s="151">
        <v>10</v>
      </c>
      <c r="P377" s="151">
        <v>0</v>
      </c>
      <c r="Q377" s="151">
        <v>0</v>
      </c>
      <c r="R377" s="151">
        <f>SUM(O377:Q377)</f>
        <v>10</v>
      </c>
      <c r="S377" s="142">
        <v>3</v>
      </c>
      <c r="T377" s="145" t="s">
        <v>1182</v>
      </c>
    </row>
    <row r="378" spans="1:20" ht="22.5" hidden="1" customHeight="1" x14ac:dyDescent="0.25">
      <c r="A378" s="152" t="s">
        <v>2801</v>
      </c>
      <c r="B378" s="142">
        <v>2023</v>
      </c>
      <c r="C378" s="142" t="s">
        <v>20</v>
      </c>
      <c r="D378" s="142" t="s">
        <v>1036</v>
      </c>
      <c r="E378" s="143" t="s">
        <v>1208</v>
      </c>
      <c r="F378" s="144" t="s">
        <v>22</v>
      </c>
      <c r="G378" s="145" t="s">
        <v>1038</v>
      </c>
      <c r="H378" s="146" t="s">
        <v>1209</v>
      </c>
      <c r="I378" s="147">
        <v>45219</v>
      </c>
      <c r="J378" s="147">
        <v>45219</v>
      </c>
      <c r="K378" s="142" t="s">
        <v>25</v>
      </c>
      <c r="L378" s="148">
        <f>28645/5</f>
        <v>5729</v>
      </c>
      <c r="M378" s="149">
        <v>4.4000000000000004</v>
      </c>
      <c r="N378" s="150">
        <v>34</v>
      </c>
      <c r="O378" s="151">
        <v>34</v>
      </c>
      <c r="P378" s="151">
        <v>0</v>
      </c>
      <c r="Q378" s="151">
        <v>0</v>
      </c>
      <c r="R378" s="151">
        <f>SUM(O378:Q378)</f>
        <v>34</v>
      </c>
      <c r="S378" s="142">
        <v>3</v>
      </c>
      <c r="T378" s="145" t="s">
        <v>1182</v>
      </c>
    </row>
    <row r="379" spans="1:20" ht="22.5" hidden="1" customHeight="1" x14ac:dyDescent="0.25">
      <c r="A379" s="152" t="s">
        <v>2802</v>
      </c>
      <c r="B379" s="142">
        <v>2023</v>
      </c>
      <c r="C379" s="142" t="s">
        <v>20</v>
      </c>
      <c r="D379" s="142" t="s">
        <v>1210</v>
      </c>
      <c r="E379" s="143" t="s">
        <v>1211</v>
      </c>
      <c r="F379" s="144" t="s">
        <v>22</v>
      </c>
      <c r="G379" s="145" t="s">
        <v>157</v>
      </c>
      <c r="H379" s="146" t="s">
        <v>1212</v>
      </c>
      <c r="I379" s="147">
        <v>45222</v>
      </c>
      <c r="J379" s="147">
        <v>45226</v>
      </c>
      <c r="K379" s="142"/>
      <c r="L379" s="148"/>
      <c r="M379" s="149"/>
      <c r="N379" s="150"/>
      <c r="O379" s="151">
        <v>0</v>
      </c>
      <c r="P379" s="151">
        <v>0</v>
      </c>
      <c r="Q379" s="151">
        <v>0</v>
      </c>
      <c r="R379" s="151">
        <f>SUM(O379:Q379)</f>
        <v>0</v>
      </c>
      <c r="S379" s="142"/>
      <c r="T379" s="145"/>
    </row>
    <row r="380" spans="1:20" ht="22.5" hidden="1" customHeight="1" x14ac:dyDescent="0.25">
      <c r="A380" s="152" t="s">
        <v>2803</v>
      </c>
      <c r="B380" s="142">
        <v>2023</v>
      </c>
      <c r="C380" s="142" t="s">
        <v>20</v>
      </c>
      <c r="D380" s="142" t="s">
        <v>1213</v>
      </c>
      <c r="E380" s="143" t="s">
        <v>1214</v>
      </c>
      <c r="F380" s="144" t="s">
        <v>22</v>
      </c>
      <c r="G380" s="145" t="s">
        <v>23</v>
      </c>
      <c r="H380" s="146" t="s">
        <v>1215</v>
      </c>
      <c r="I380" s="147">
        <v>45223</v>
      </c>
      <c r="J380" s="147">
        <v>45223</v>
      </c>
      <c r="K380" s="142" t="s">
        <v>25</v>
      </c>
      <c r="L380" s="148">
        <v>0</v>
      </c>
      <c r="M380" s="149">
        <v>5</v>
      </c>
      <c r="N380" s="150">
        <v>0</v>
      </c>
      <c r="O380" s="151">
        <v>15</v>
      </c>
      <c r="P380" s="151">
        <v>0</v>
      </c>
      <c r="Q380" s="151">
        <v>0</v>
      </c>
      <c r="R380" s="151">
        <f>SUM(O380:Q380)</f>
        <v>15</v>
      </c>
      <c r="S380" s="142">
        <v>2</v>
      </c>
      <c r="T380" s="145" t="s">
        <v>1216</v>
      </c>
    </row>
    <row r="381" spans="1:20" ht="22.5" hidden="1" customHeight="1" x14ac:dyDescent="0.25">
      <c r="A381" s="152" t="s">
        <v>2804</v>
      </c>
      <c r="B381" s="142">
        <v>2023</v>
      </c>
      <c r="C381" s="142" t="s">
        <v>20</v>
      </c>
      <c r="D381" s="142" t="s">
        <v>1217</v>
      </c>
      <c r="E381" s="143" t="s">
        <v>1218</v>
      </c>
      <c r="F381" s="144" t="s">
        <v>22</v>
      </c>
      <c r="G381" s="145" t="s">
        <v>157</v>
      </c>
      <c r="H381" s="146" t="s">
        <v>1219</v>
      </c>
      <c r="I381" s="147">
        <v>45224</v>
      </c>
      <c r="J381" s="147">
        <v>45224</v>
      </c>
      <c r="K381" s="142" t="s">
        <v>32</v>
      </c>
      <c r="L381" s="148"/>
      <c r="M381" s="149">
        <v>4.9000000000000004</v>
      </c>
      <c r="N381" s="150"/>
      <c r="O381" s="151">
        <v>21</v>
      </c>
      <c r="P381" s="151"/>
      <c r="Q381" s="151"/>
      <c r="R381" s="151">
        <f>SUM(O381:Q381)</f>
        <v>21</v>
      </c>
      <c r="S381" s="142">
        <v>3</v>
      </c>
      <c r="T381" s="145"/>
    </row>
    <row r="382" spans="1:20" ht="22.5" hidden="1" customHeight="1" x14ac:dyDescent="0.25">
      <c r="A382" s="152" t="s">
        <v>2805</v>
      </c>
      <c r="B382" s="142">
        <v>2023</v>
      </c>
      <c r="C382" s="142" t="s">
        <v>20</v>
      </c>
      <c r="D382" s="142" t="s">
        <v>1177</v>
      </c>
      <c r="E382" s="143" t="s">
        <v>1220</v>
      </c>
      <c r="F382" s="144" t="s">
        <v>66</v>
      </c>
      <c r="G382" s="145" t="s">
        <v>59</v>
      </c>
      <c r="H382" s="146" t="s">
        <v>1221</v>
      </c>
      <c r="I382" s="147">
        <v>45225</v>
      </c>
      <c r="J382" s="147">
        <v>45226</v>
      </c>
      <c r="K382" s="142" t="s">
        <v>32</v>
      </c>
      <c r="L382" s="148">
        <f>25649.92/4</f>
        <v>6412.48</v>
      </c>
      <c r="M382" s="149">
        <v>4.7</v>
      </c>
      <c r="N382" s="150">
        <v>0</v>
      </c>
      <c r="O382" s="151">
        <v>0</v>
      </c>
      <c r="P382" s="151">
        <v>0</v>
      </c>
      <c r="Q382" s="151">
        <v>17</v>
      </c>
      <c r="R382" s="151">
        <f>SUM(O382:Q382)</f>
        <v>17</v>
      </c>
      <c r="S382" s="142">
        <v>16</v>
      </c>
      <c r="T382" s="153" t="s">
        <v>324</v>
      </c>
    </row>
    <row r="383" spans="1:20" ht="22.5" hidden="1" customHeight="1" x14ac:dyDescent="0.25">
      <c r="A383" s="152" t="s">
        <v>2806</v>
      </c>
      <c r="B383" s="142">
        <v>2023</v>
      </c>
      <c r="C383" s="142" t="s">
        <v>20</v>
      </c>
      <c r="D383" s="142" t="s">
        <v>1036</v>
      </c>
      <c r="E383" s="143" t="s">
        <v>1222</v>
      </c>
      <c r="F383" s="144" t="s">
        <v>22</v>
      </c>
      <c r="G383" s="145" t="s">
        <v>1038</v>
      </c>
      <c r="H383" s="146" t="s">
        <v>1221</v>
      </c>
      <c r="I383" s="147">
        <v>45225</v>
      </c>
      <c r="J383" s="147">
        <v>45226</v>
      </c>
      <c r="K383" s="142" t="s">
        <v>25</v>
      </c>
      <c r="L383" s="148">
        <f>28645/5</f>
        <v>5729</v>
      </c>
      <c r="M383" s="149">
        <v>5</v>
      </c>
      <c r="N383" s="150">
        <v>13</v>
      </c>
      <c r="O383" s="151">
        <v>13</v>
      </c>
      <c r="P383" s="151">
        <v>0</v>
      </c>
      <c r="Q383" s="151">
        <v>0</v>
      </c>
      <c r="R383" s="151">
        <f>SUM(O383:Q383)</f>
        <v>13</v>
      </c>
      <c r="S383" s="142">
        <v>3</v>
      </c>
      <c r="T383" s="145" t="s">
        <v>1182</v>
      </c>
    </row>
    <row r="384" spans="1:20" ht="22.5" hidden="1" customHeight="1" x14ac:dyDescent="0.25">
      <c r="A384" s="152" t="s">
        <v>2807</v>
      </c>
      <c r="B384" s="142">
        <v>2023</v>
      </c>
      <c r="C384" s="142" t="s">
        <v>20</v>
      </c>
      <c r="D384" s="142" t="s">
        <v>1223</v>
      </c>
      <c r="E384" s="143" t="s">
        <v>1224</v>
      </c>
      <c r="F384" s="144" t="s">
        <v>22</v>
      </c>
      <c r="G384" s="145" t="s">
        <v>157</v>
      </c>
      <c r="H384" s="146" t="s">
        <v>1225</v>
      </c>
      <c r="I384" s="147">
        <v>45226</v>
      </c>
      <c r="J384" s="147">
        <v>45226</v>
      </c>
      <c r="K384" s="142" t="s">
        <v>32</v>
      </c>
      <c r="L384" s="148">
        <v>5000</v>
      </c>
      <c r="M384" s="149">
        <v>5</v>
      </c>
      <c r="N384" s="150">
        <v>150</v>
      </c>
      <c r="O384" s="151">
        <v>114</v>
      </c>
      <c r="P384" s="151">
        <v>0</v>
      </c>
      <c r="Q384" s="151">
        <v>0</v>
      </c>
      <c r="R384" s="151">
        <f>SUM(O384:Q384)</f>
        <v>114</v>
      </c>
      <c r="S384" s="142">
        <v>2</v>
      </c>
      <c r="T384" s="145"/>
    </row>
    <row r="385" spans="1:20" ht="22.5" hidden="1" customHeight="1" x14ac:dyDescent="0.25">
      <c r="A385" s="152" t="s">
        <v>2808</v>
      </c>
      <c r="B385" s="142">
        <v>2023</v>
      </c>
      <c r="C385" s="142" t="s">
        <v>20</v>
      </c>
      <c r="D385" s="142" t="s">
        <v>1067</v>
      </c>
      <c r="E385" s="143" t="s">
        <v>1226</v>
      </c>
      <c r="F385" s="144" t="s">
        <v>22</v>
      </c>
      <c r="G385" s="145" t="s">
        <v>30</v>
      </c>
      <c r="H385" s="146" t="s">
        <v>1227</v>
      </c>
      <c r="I385" s="147">
        <v>45230</v>
      </c>
      <c r="J385" s="147">
        <v>45247</v>
      </c>
      <c r="K385" s="142" t="s">
        <v>25</v>
      </c>
      <c r="L385" s="148">
        <v>16400</v>
      </c>
      <c r="M385" s="149">
        <v>5</v>
      </c>
      <c r="N385" s="150">
        <v>5</v>
      </c>
      <c r="O385" s="151">
        <v>5</v>
      </c>
      <c r="P385" s="151">
        <v>0</v>
      </c>
      <c r="Q385" s="151">
        <v>0</v>
      </c>
      <c r="R385" s="151">
        <f>SUM(O385:Q385)</f>
        <v>5</v>
      </c>
      <c r="S385" s="142">
        <v>16</v>
      </c>
      <c r="T385" s="145" t="s">
        <v>1070</v>
      </c>
    </row>
    <row r="386" spans="1:20" ht="22.5" hidden="1" customHeight="1" x14ac:dyDescent="0.25">
      <c r="A386" s="152" t="s">
        <v>2809</v>
      </c>
      <c r="B386" s="142">
        <v>2023</v>
      </c>
      <c r="C386" s="142" t="s">
        <v>20</v>
      </c>
      <c r="D386" s="142" t="s">
        <v>1196</v>
      </c>
      <c r="E386" s="143" t="s">
        <v>1228</v>
      </c>
      <c r="F386" s="144" t="s">
        <v>22</v>
      </c>
      <c r="G386" s="145" t="s">
        <v>30</v>
      </c>
      <c r="H386" s="156" t="s">
        <v>1229</v>
      </c>
      <c r="I386" s="147">
        <v>45230</v>
      </c>
      <c r="J386" s="147">
        <v>45230</v>
      </c>
      <c r="K386" s="142" t="s">
        <v>32</v>
      </c>
      <c r="L386" s="148">
        <v>0</v>
      </c>
      <c r="M386" s="149">
        <v>4.9000000000000004</v>
      </c>
      <c r="N386" s="150">
        <v>0</v>
      </c>
      <c r="O386" s="151">
        <v>49</v>
      </c>
      <c r="P386" s="151">
        <v>0</v>
      </c>
      <c r="Q386" s="151">
        <v>0</v>
      </c>
      <c r="R386" s="151">
        <f>SUM(O386:Q386)</f>
        <v>49</v>
      </c>
      <c r="S386" s="142">
        <v>2</v>
      </c>
      <c r="T386" s="145" t="s">
        <v>1230</v>
      </c>
    </row>
    <row r="387" spans="1:20" ht="22.5" hidden="1" customHeight="1" x14ac:dyDescent="0.25">
      <c r="A387" s="152" t="s">
        <v>2810</v>
      </c>
      <c r="B387" s="142">
        <v>2023</v>
      </c>
      <c r="C387" s="142" t="s">
        <v>20</v>
      </c>
      <c r="D387" s="142" t="s">
        <v>1196</v>
      </c>
      <c r="E387" s="143" t="s">
        <v>1231</v>
      </c>
      <c r="F387" s="144" t="s">
        <v>22</v>
      </c>
      <c r="G387" s="145" t="s">
        <v>30</v>
      </c>
      <c r="H387" s="146" t="s">
        <v>1232</v>
      </c>
      <c r="I387" s="147">
        <v>45237</v>
      </c>
      <c r="J387" s="147">
        <v>45237</v>
      </c>
      <c r="K387" s="142" t="s">
        <v>32</v>
      </c>
      <c r="L387" s="148">
        <v>0</v>
      </c>
      <c r="M387" s="149">
        <v>4.8</v>
      </c>
      <c r="N387" s="150">
        <v>0</v>
      </c>
      <c r="O387" s="151">
        <v>22</v>
      </c>
      <c r="P387" s="151">
        <v>0</v>
      </c>
      <c r="Q387" s="151">
        <v>0</v>
      </c>
      <c r="R387" s="151">
        <f>SUM(O387:Q387)</f>
        <v>22</v>
      </c>
      <c r="S387" s="142">
        <v>2</v>
      </c>
      <c r="T387" s="145" t="s">
        <v>365</v>
      </c>
    </row>
    <row r="388" spans="1:20" ht="22.5" hidden="1" customHeight="1" x14ac:dyDescent="0.25">
      <c r="A388" s="152" t="s">
        <v>2811</v>
      </c>
      <c r="B388" s="142">
        <v>2023</v>
      </c>
      <c r="C388" s="142" t="s">
        <v>20</v>
      </c>
      <c r="D388" s="142" t="s">
        <v>1233</v>
      </c>
      <c r="E388" s="143" t="s">
        <v>1234</v>
      </c>
      <c r="F388" s="144" t="s">
        <v>66</v>
      </c>
      <c r="G388" s="145" t="s">
        <v>56</v>
      </c>
      <c r="H388" s="146" t="s">
        <v>1235</v>
      </c>
      <c r="I388" s="147">
        <v>45239</v>
      </c>
      <c r="J388" s="147">
        <v>45240</v>
      </c>
      <c r="K388" s="142" t="s">
        <v>25</v>
      </c>
      <c r="L388" s="148">
        <v>0</v>
      </c>
      <c r="M388" s="149">
        <v>4.9000000000000004</v>
      </c>
      <c r="N388" s="150">
        <v>170</v>
      </c>
      <c r="O388" s="151">
        <v>39</v>
      </c>
      <c r="P388" s="151">
        <v>26</v>
      </c>
      <c r="Q388" s="151">
        <v>26</v>
      </c>
      <c r="R388" s="151">
        <f>SUM(O388:Q388)</f>
        <v>91</v>
      </c>
      <c r="S388" s="142">
        <v>8</v>
      </c>
      <c r="T388" s="145" t="s">
        <v>365</v>
      </c>
    </row>
    <row r="389" spans="1:20" ht="22.5" hidden="1" customHeight="1" x14ac:dyDescent="0.25">
      <c r="A389" s="152" t="s">
        <v>2812</v>
      </c>
      <c r="B389" s="142">
        <v>2023</v>
      </c>
      <c r="C389" s="142" t="s">
        <v>20</v>
      </c>
      <c r="D389" s="142" t="s">
        <v>1177</v>
      </c>
      <c r="E389" s="143" t="s">
        <v>1236</v>
      </c>
      <c r="F389" s="144" t="s">
        <v>66</v>
      </c>
      <c r="G389" s="145" t="s">
        <v>59</v>
      </c>
      <c r="H389" s="146" t="s">
        <v>1237</v>
      </c>
      <c r="I389" s="147">
        <v>45243</v>
      </c>
      <c r="J389" s="147">
        <v>45244</v>
      </c>
      <c r="K389" s="142" t="s">
        <v>32</v>
      </c>
      <c r="L389" s="148">
        <f>25649.92/4</f>
        <v>6412.48</v>
      </c>
      <c r="M389" s="149">
        <v>4.9000000000000004</v>
      </c>
      <c r="N389" s="150">
        <v>0</v>
      </c>
      <c r="O389" s="151">
        <v>0</v>
      </c>
      <c r="P389" s="151">
        <v>0</v>
      </c>
      <c r="Q389" s="151">
        <v>5</v>
      </c>
      <c r="R389" s="151">
        <f>SUM(O389:Q389)</f>
        <v>5</v>
      </c>
      <c r="S389" s="142">
        <v>16</v>
      </c>
      <c r="T389" s="153" t="s">
        <v>324</v>
      </c>
    </row>
    <row r="390" spans="1:20" ht="22.5" hidden="1" customHeight="1" x14ac:dyDescent="0.25">
      <c r="A390" s="152" t="s">
        <v>2813</v>
      </c>
      <c r="B390" s="142">
        <v>2023</v>
      </c>
      <c r="C390" s="142" t="s">
        <v>20</v>
      </c>
      <c r="D390" s="142" t="s">
        <v>1238</v>
      </c>
      <c r="E390" s="143" t="s">
        <v>1239</v>
      </c>
      <c r="F390" s="144" t="s">
        <v>51</v>
      </c>
      <c r="G390" s="145" t="s">
        <v>59</v>
      </c>
      <c r="H390" s="146" t="s">
        <v>1240</v>
      </c>
      <c r="I390" s="147">
        <v>45243</v>
      </c>
      <c r="J390" s="147">
        <v>45243</v>
      </c>
      <c r="K390" s="142" t="s">
        <v>32</v>
      </c>
      <c r="L390" s="148">
        <v>588.97</v>
      </c>
      <c r="M390" s="149">
        <v>4.9000000000000004</v>
      </c>
      <c r="N390" s="150">
        <v>170</v>
      </c>
      <c r="O390" s="151">
        <v>24</v>
      </c>
      <c r="P390" s="151">
        <v>157</v>
      </c>
      <c r="Q390" s="151">
        <v>0</v>
      </c>
      <c r="R390" s="151">
        <f>SUM(O390:Q390)</f>
        <v>181</v>
      </c>
      <c r="S390" s="142">
        <v>1</v>
      </c>
      <c r="T390" s="145" t="s">
        <v>61</v>
      </c>
    </row>
    <row r="391" spans="1:20" ht="22.5" hidden="1" customHeight="1" x14ac:dyDescent="0.25">
      <c r="A391" s="152" t="s">
        <v>2814</v>
      </c>
      <c r="B391" s="142">
        <v>2023</v>
      </c>
      <c r="C391" s="142" t="s">
        <v>20</v>
      </c>
      <c r="D391" s="142" t="s">
        <v>1177</v>
      </c>
      <c r="E391" s="143" t="s">
        <v>1241</v>
      </c>
      <c r="F391" s="144" t="s">
        <v>66</v>
      </c>
      <c r="G391" s="145" t="s">
        <v>59</v>
      </c>
      <c r="H391" s="146" t="s">
        <v>1242</v>
      </c>
      <c r="I391" s="147">
        <v>45246</v>
      </c>
      <c r="J391" s="147">
        <v>45247</v>
      </c>
      <c r="K391" s="142" t="s">
        <v>32</v>
      </c>
      <c r="L391" s="148">
        <f>25649.92/4</f>
        <v>6412.48</v>
      </c>
      <c r="M391" s="149">
        <v>4.7</v>
      </c>
      <c r="N391" s="150">
        <v>0</v>
      </c>
      <c r="O391" s="151">
        <v>0</v>
      </c>
      <c r="P391" s="151">
        <v>0</v>
      </c>
      <c r="Q391" s="151">
        <v>7</v>
      </c>
      <c r="R391" s="151">
        <f>SUM(O391:Q391)</f>
        <v>7</v>
      </c>
      <c r="S391" s="142">
        <v>16</v>
      </c>
      <c r="T391" s="153" t="s">
        <v>324</v>
      </c>
    </row>
    <row r="392" spans="1:20" ht="22.5" hidden="1" customHeight="1" x14ac:dyDescent="0.25">
      <c r="A392" s="152" t="s">
        <v>2815</v>
      </c>
      <c r="B392" s="142">
        <v>2023</v>
      </c>
      <c r="C392" s="142" t="s">
        <v>20</v>
      </c>
      <c r="D392" s="142" t="s">
        <v>1243</v>
      </c>
      <c r="E392" s="143" t="s">
        <v>1244</v>
      </c>
      <c r="F392" s="144" t="s">
        <v>22</v>
      </c>
      <c r="G392" s="145" t="s">
        <v>34</v>
      </c>
      <c r="H392" s="146" t="s">
        <v>1245</v>
      </c>
      <c r="I392" s="147">
        <v>45247</v>
      </c>
      <c r="J392" s="147">
        <v>45268</v>
      </c>
      <c r="K392" s="142" t="s">
        <v>32</v>
      </c>
      <c r="L392" s="148">
        <v>6412.48</v>
      </c>
      <c r="M392" s="149">
        <v>5</v>
      </c>
      <c r="N392" s="150">
        <v>9</v>
      </c>
      <c r="O392" s="151">
        <v>9</v>
      </c>
      <c r="P392" s="151">
        <v>0</v>
      </c>
      <c r="Q392" s="151">
        <v>0</v>
      </c>
      <c r="R392" s="151">
        <f>SUM(O392:Q392)</f>
        <v>9</v>
      </c>
      <c r="S392" s="142">
        <v>16</v>
      </c>
      <c r="T392" s="145" t="s">
        <v>1246</v>
      </c>
    </row>
    <row r="393" spans="1:20" ht="22.5" hidden="1" customHeight="1" x14ac:dyDescent="0.25">
      <c r="A393" s="152" t="s">
        <v>2816</v>
      </c>
      <c r="B393" s="142">
        <v>2023</v>
      </c>
      <c r="C393" s="142" t="s">
        <v>20</v>
      </c>
      <c r="D393" s="142" t="s">
        <v>1247</v>
      </c>
      <c r="E393" s="143" t="s">
        <v>1244</v>
      </c>
      <c r="F393" s="144" t="s">
        <v>22</v>
      </c>
      <c r="G393" s="145" t="s">
        <v>34</v>
      </c>
      <c r="H393" s="146" t="s">
        <v>1245</v>
      </c>
      <c r="I393" s="147">
        <v>45247</v>
      </c>
      <c r="J393" s="147">
        <v>45268</v>
      </c>
      <c r="K393" s="142" t="s">
        <v>32</v>
      </c>
      <c r="L393" s="148">
        <v>6412.48</v>
      </c>
      <c r="M393" s="149">
        <v>5</v>
      </c>
      <c r="N393" s="150">
        <v>9</v>
      </c>
      <c r="O393" s="151">
        <v>9</v>
      </c>
      <c r="P393" s="151">
        <v>0</v>
      </c>
      <c r="Q393" s="151">
        <v>0</v>
      </c>
      <c r="R393" s="151">
        <v>9</v>
      </c>
      <c r="S393" s="142">
        <v>16</v>
      </c>
      <c r="T393" s="145" t="s">
        <v>1246</v>
      </c>
    </row>
    <row r="394" spans="1:20" ht="22.5" hidden="1" customHeight="1" x14ac:dyDescent="0.25">
      <c r="A394" s="152" t="s">
        <v>2817</v>
      </c>
      <c r="B394" s="142">
        <v>2023</v>
      </c>
      <c r="C394" s="142" t="s">
        <v>20</v>
      </c>
      <c r="D394" s="142" t="s">
        <v>1177</v>
      </c>
      <c r="E394" s="143" t="s">
        <v>1248</v>
      </c>
      <c r="F394" s="144" t="s">
        <v>66</v>
      </c>
      <c r="G394" s="145" t="s">
        <v>59</v>
      </c>
      <c r="H394" s="146" t="s">
        <v>1249</v>
      </c>
      <c r="I394" s="147">
        <v>45251</v>
      </c>
      <c r="J394" s="147">
        <v>45252</v>
      </c>
      <c r="K394" s="142" t="s">
        <v>32</v>
      </c>
      <c r="L394" s="148">
        <f>25649.92/4</f>
        <v>6412.48</v>
      </c>
      <c r="M394" s="149">
        <v>4.9000000000000004</v>
      </c>
      <c r="N394" s="150">
        <v>0</v>
      </c>
      <c r="O394" s="151">
        <v>0</v>
      </c>
      <c r="P394" s="151">
        <v>0</v>
      </c>
      <c r="Q394" s="151">
        <v>31</v>
      </c>
      <c r="R394" s="151">
        <f>SUM(O394:Q394)</f>
        <v>31</v>
      </c>
      <c r="S394" s="142">
        <v>16</v>
      </c>
      <c r="T394" s="153" t="s">
        <v>324</v>
      </c>
    </row>
    <row r="395" spans="1:20" ht="22.5" hidden="1" customHeight="1" x14ac:dyDescent="0.25">
      <c r="A395" s="152" t="s">
        <v>2818</v>
      </c>
      <c r="B395" s="142">
        <v>2023</v>
      </c>
      <c r="C395" s="142" t="s">
        <v>20</v>
      </c>
      <c r="D395" s="142" t="s">
        <v>1250</v>
      </c>
      <c r="E395" s="143" t="s">
        <v>1251</v>
      </c>
      <c r="F395" s="144" t="s">
        <v>22</v>
      </c>
      <c r="G395" s="145" t="s">
        <v>353</v>
      </c>
      <c r="H395" s="146" t="s">
        <v>1252</v>
      </c>
      <c r="I395" s="147">
        <v>45254</v>
      </c>
      <c r="J395" s="147">
        <v>45254</v>
      </c>
      <c r="K395" s="142" t="s">
        <v>25</v>
      </c>
      <c r="L395" s="148">
        <v>0</v>
      </c>
      <c r="M395" s="149">
        <v>5</v>
      </c>
      <c r="N395" s="150">
        <v>19</v>
      </c>
      <c r="O395" s="151">
        <v>19</v>
      </c>
      <c r="P395" s="151">
        <v>0</v>
      </c>
      <c r="Q395" s="151">
        <v>0</v>
      </c>
      <c r="R395" s="151">
        <f>SUM(O395:Q395)</f>
        <v>19</v>
      </c>
      <c r="S395" s="142">
        <v>2</v>
      </c>
      <c r="T395" s="145" t="s">
        <v>741</v>
      </c>
    </row>
    <row r="396" spans="1:20" ht="22.5" hidden="1" customHeight="1" x14ac:dyDescent="0.25">
      <c r="A396" s="152" t="s">
        <v>2819</v>
      </c>
      <c r="B396" s="142">
        <v>2023</v>
      </c>
      <c r="C396" s="142" t="s">
        <v>20</v>
      </c>
      <c r="D396" s="142" t="s">
        <v>1253</v>
      </c>
      <c r="E396" s="143" t="s">
        <v>1254</v>
      </c>
      <c r="F396" s="144" t="s">
        <v>51</v>
      </c>
      <c r="G396" s="145" t="s">
        <v>59</v>
      </c>
      <c r="H396" s="146" t="s">
        <v>1255</v>
      </c>
      <c r="I396" s="147">
        <v>45257</v>
      </c>
      <c r="J396" s="147">
        <v>45258</v>
      </c>
      <c r="K396" s="142" t="s">
        <v>32</v>
      </c>
      <c r="L396" s="148">
        <v>3000</v>
      </c>
      <c r="M396" s="149">
        <v>4.4000000000000004</v>
      </c>
      <c r="N396" s="150">
        <v>40</v>
      </c>
      <c r="O396" s="151">
        <v>3</v>
      </c>
      <c r="P396" s="151">
        <v>42</v>
      </c>
      <c r="Q396" s="151">
        <v>0</v>
      </c>
      <c r="R396" s="151">
        <f>SUM(O396:Q396)</f>
        <v>45</v>
      </c>
      <c r="S396" s="142">
        <v>8</v>
      </c>
      <c r="T396" s="145" t="s">
        <v>1125</v>
      </c>
    </row>
    <row r="397" spans="1:20" ht="22.5" hidden="1" customHeight="1" x14ac:dyDescent="0.25">
      <c r="A397" s="152" t="s">
        <v>2820</v>
      </c>
      <c r="B397" s="142">
        <v>2023</v>
      </c>
      <c r="C397" s="142" t="s">
        <v>20</v>
      </c>
      <c r="D397" s="142" t="s">
        <v>1256</v>
      </c>
      <c r="E397" s="143" t="s">
        <v>1257</v>
      </c>
      <c r="F397" s="144" t="s">
        <v>22</v>
      </c>
      <c r="G397" s="145" t="s">
        <v>157</v>
      </c>
      <c r="H397" s="146" t="s">
        <v>1258</v>
      </c>
      <c r="I397" s="147">
        <v>45257</v>
      </c>
      <c r="J397" s="147">
        <v>45257</v>
      </c>
      <c r="K397" s="142" t="s">
        <v>25</v>
      </c>
      <c r="L397" s="148">
        <v>5000</v>
      </c>
      <c r="M397" s="149">
        <v>5</v>
      </c>
      <c r="N397" s="150">
        <v>80</v>
      </c>
      <c r="O397" s="151">
        <v>0</v>
      </c>
      <c r="P397" s="151">
        <v>0</v>
      </c>
      <c r="Q397" s="151">
        <v>0</v>
      </c>
      <c r="R397" s="151">
        <f>SUM(O397:Q397)</f>
        <v>0</v>
      </c>
      <c r="S397" s="142">
        <v>2</v>
      </c>
      <c r="T397" s="145" t="s">
        <v>365</v>
      </c>
    </row>
    <row r="398" spans="1:20" ht="22.5" hidden="1" customHeight="1" x14ac:dyDescent="0.25">
      <c r="A398" s="152" t="s">
        <v>2821</v>
      </c>
      <c r="B398" s="142">
        <v>2023</v>
      </c>
      <c r="C398" s="142" t="s">
        <v>20</v>
      </c>
      <c r="D398" s="142" t="s">
        <v>1259</v>
      </c>
      <c r="E398" s="143" t="s">
        <v>1260</v>
      </c>
      <c r="F398" s="144" t="s">
        <v>22</v>
      </c>
      <c r="G398" s="145" t="s">
        <v>59</v>
      </c>
      <c r="H398" s="146" t="s">
        <v>1261</v>
      </c>
      <c r="I398" s="147">
        <v>45264</v>
      </c>
      <c r="J398" s="147">
        <v>45265</v>
      </c>
      <c r="K398" s="142" t="s">
        <v>25</v>
      </c>
      <c r="L398" s="148">
        <v>0</v>
      </c>
      <c r="M398" s="149">
        <v>4.8</v>
      </c>
      <c r="N398" s="150">
        <v>170</v>
      </c>
      <c r="O398" s="151">
        <v>22</v>
      </c>
      <c r="P398" s="151">
        <v>46</v>
      </c>
      <c r="Q398" s="151">
        <v>17</v>
      </c>
      <c r="R398" s="151">
        <f>SUM(O398:Q398)</f>
        <v>85</v>
      </c>
      <c r="S398" s="142">
        <v>8</v>
      </c>
      <c r="T398" s="145" t="s">
        <v>365</v>
      </c>
    </row>
    <row r="399" spans="1:20" ht="22.5" hidden="1" customHeight="1" x14ac:dyDescent="0.25">
      <c r="A399" s="152" t="s">
        <v>2822</v>
      </c>
      <c r="B399" s="142">
        <v>2023</v>
      </c>
      <c r="C399" s="142" t="s">
        <v>20</v>
      </c>
      <c r="D399" s="142" t="s">
        <v>1262</v>
      </c>
      <c r="E399" s="143" t="s">
        <v>1263</v>
      </c>
      <c r="F399" s="144" t="s">
        <v>22</v>
      </c>
      <c r="G399" s="145" t="s">
        <v>23</v>
      </c>
      <c r="H399" s="146" t="s">
        <v>1264</v>
      </c>
      <c r="I399" s="147">
        <v>45264</v>
      </c>
      <c r="J399" s="147">
        <v>45264</v>
      </c>
      <c r="K399" s="142" t="s">
        <v>25</v>
      </c>
      <c r="L399" s="148">
        <v>0</v>
      </c>
      <c r="M399" s="149">
        <v>5</v>
      </c>
      <c r="N399" s="150">
        <v>40</v>
      </c>
      <c r="O399" s="151">
        <v>7</v>
      </c>
      <c r="P399" s="151">
        <v>0</v>
      </c>
      <c r="Q399" s="151">
        <v>0</v>
      </c>
      <c r="R399" s="151">
        <f>SUM(O399:Q399)</f>
        <v>7</v>
      </c>
      <c r="S399" s="142">
        <v>1</v>
      </c>
      <c r="T399" s="145" t="s">
        <v>1265</v>
      </c>
    </row>
    <row r="400" spans="1:20" ht="22.5" hidden="1" customHeight="1" x14ac:dyDescent="0.25">
      <c r="A400" s="152" t="s">
        <v>2823</v>
      </c>
      <c r="B400" s="142">
        <v>2023</v>
      </c>
      <c r="C400" s="142" t="s">
        <v>20</v>
      </c>
      <c r="D400" s="142" t="s">
        <v>1266</v>
      </c>
      <c r="E400" s="143" t="s">
        <v>1267</v>
      </c>
      <c r="F400" s="144" t="s">
        <v>22</v>
      </c>
      <c r="G400" s="145"/>
      <c r="H400" s="156">
        <v>45089</v>
      </c>
      <c r="I400" s="147">
        <v>45266</v>
      </c>
      <c r="J400" s="147">
        <v>45266</v>
      </c>
      <c r="K400" s="142" t="s">
        <v>32</v>
      </c>
      <c r="L400" s="148">
        <v>0</v>
      </c>
      <c r="M400" s="149">
        <v>5</v>
      </c>
      <c r="N400" s="150">
        <v>20</v>
      </c>
      <c r="O400" s="151">
        <v>30</v>
      </c>
      <c r="P400" s="151"/>
      <c r="Q400" s="151"/>
      <c r="R400" s="151">
        <f>SUM(O400:Q400)</f>
        <v>30</v>
      </c>
      <c r="S400" s="142">
        <v>4</v>
      </c>
      <c r="T400" s="145"/>
    </row>
    <row r="401" spans="1:20" ht="22.5" hidden="1" customHeight="1" x14ac:dyDescent="0.25">
      <c r="A401" s="152" t="s">
        <v>2824</v>
      </c>
      <c r="B401" s="142">
        <v>2023</v>
      </c>
      <c r="C401" s="142" t="s">
        <v>20</v>
      </c>
      <c r="D401" s="142" t="s">
        <v>1268</v>
      </c>
      <c r="E401" s="143" t="s">
        <v>1269</v>
      </c>
      <c r="F401" s="144" t="s">
        <v>22</v>
      </c>
      <c r="G401" s="145" t="s">
        <v>34</v>
      </c>
      <c r="H401" s="146" t="s">
        <v>1270</v>
      </c>
      <c r="I401" s="147">
        <v>45267</v>
      </c>
      <c r="J401" s="147">
        <v>45267</v>
      </c>
      <c r="K401" s="142" t="s">
        <v>25</v>
      </c>
      <c r="L401" s="148">
        <v>0</v>
      </c>
      <c r="M401" s="149">
        <v>5</v>
      </c>
      <c r="N401" s="150">
        <v>0</v>
      </c>
      <c r="O401" s="151">
        <v>62</v>
      </c>
      <c r="P401" s="151">
        <v>0</v>
      </c>
      <c r="Q401" s="151">
        <v>0</v>
      </c>
      <c r="R401" s="151">
        <f>SUM(O401:Q401)</f>
        <v>62</v>
      </c>
      <c r="S401" s="142">
        <v>1.5</v>
      </c>
      <c r="T401" s="145" t="s">
        <v>1271</v>
      </c>
    </row>
    <row r="402" spans="1:20" ht="22.5" hidden="1" customHeight="1" x14ac:dyDescent="0.25">
      <c r="A402" s="152" t="s">
        <v>2825</v>
      </c>
      <c r="B402" s="142">
        <v>2023</v>
      </c>
      <c r="C402" s="142" t="s">
        <v>20</v>
      </c>
      <c r="D402" s="142" t="s">
        <v>1272</v>
      </c>
      <c r="E402" s="143" t="s">
        <v>1273</v>
      </c>
      <c r="F402" s="144" t="s">
        <v>66</v>
      </c>
      <c r="G402" s="145" t="s">
        <v>59</v>
      </c>
      <c r="H402" s="146" t="s">
        <v>1274</v>
      </c>
      <c r="I402" s="147">
        <v>45268</v>
      </c>
      <c r="J402" s="147">
        <v>45268</v>
      </c>
      <c r="K402" s="142" t="s">
        <v>32</v>
      </c>
      <c r="L402" s="148">
        <v>1603.12</v>
      </c>
      <c r="M402" s="149">
        <v>5</v>
      </c>
      <c r="N402" s="150">
        <v>170</v>
      </c>
      <c r="O402" s="151">
        <v>0</v>
      </c>
      <c r="P402" s="151">
        <v>0</v>
      </c>
      <c r="Q402" s="151">
        <v>68</v>
      </c>
      <c r="R402" s="151">
        <f>SUM(O402:Q402)</f>
        <v>68</v>
      </c>
      <c r="S402" s="142">
        <v>4</v>
      </c>
      <c r="T402" s="145" t="s">
        <v>1275</v>
      </c>
    </row>
    <row r="403" spans="1:20" ht="22.5" hidden="1" customHeight="1" x14ac:dyDescent="0.25">
      <c r="A403" s="152" t="s">
        <v>2826</v>
      </c>
      <c r="B403" s="142">
        <v>2023</v>
      </c>
      <c r="C403" s="142" t="s">
        <v>20</v>
      </c>
      <c r="D403" s="142" t="s">
        <v>1276</v>
      </c>
      <c r="E403" s="154" t="s">
        <v>1277</v>
      </c>
      <c r="F403" s="144" t="s">
        <v>22</v>
      </c>
      <c r="G403" s="145" t="s">
        <v>30</v>
      </c>
      <c r="H403" s="146" t="s">
        <v>1278</v>
      </c>
      <c r="I403" s="147">
        <v>45275</v>
      </c>
      <c r="J403" s="147">
        <v>45275</v>
      </c>
      <c r="K403" s="142" t="s">
        <v>32</v>
      </c>
      <c r="L403" s="148"/>
      <c r="M403" s="149"/>
      <c r="N403" s="150">
        <v>2</v>
      </c>
      <c r="O403" s="151">
        <v>2</v>
      </c>
      <c r="P403" s="151">
        <v>0</v>
      </c>
      <c r="Q403" s="151">
        <v>0</v>
      </c>
      <c r="R403" s="151">
        <f>SUM(O403:Q403)</f>
        <v>2</v>
      </c>
      <c r="S403" s="142">
        <v>48</v>
      </c>
      <c r="T403" s="145" t="s">
        <v>167</v>
      </c>
    </row>
    <row r="404" spans="1:20" ht="22.5" hidden="1" customHeight="1" x14ac:dyDescent="0.25">
      <c r="A404" s="152" t="s">
        <v>2827</v>
      </c>
      <c r="B404" s="142">
        <v>2024</v>
      </c>
      <c r="C404" s="142" t="s">
        <v>20</v>
      </c>
      <c r="D404" s="142" t="s">
        <v>1279</v>
      </c>
      <c r="E404" s="143" t="s">
        <v>1280</v>
      </c>
      <c r="F404" s="144" t="s">
        <v>51</v>
      </c>
      <c r="G404" s="145" t="s">
        <v>59</v>
      </c>
      <c r="H404" s="146" t="s">
        <v>1281</v>
      </c>
      <c r="I404" s="147">
        <v>45342</v>
      </c>
      <c r="J404" s="147">
        <v>45351</v>
      </c>
      <c r="K404" s="142" t="s">
        <v>32</v>
      </c>
      <c r="L404" s="148">
        <v>12295.13</v>
      </c>
      <c r="M404" s="149">
        <v>4.4800000000000004</v>
      </c>
      <c r="N404" s="150">
        <v>40</v>
      </c>
      <c r="O404" s="151">
        <v>6</v>
      </c>
      <c r="P404" s="151">
        <v>30</v>
      </c>
      <c r="Q404" s="151">
        <v>0</v>
      </c>
      <c r="R404" s="151">
        <f>SUM(O404:Q404)</f>
        <v>36</v>
      </c>
      <c r="S404" s="142">
        <v>16</v>
      </c>
      <c r="T404" s="145" t="s">
        <v>1282</v>
      </c>
    </row>
    <row r="405" spans="1:20" ht="22.5" hidden="1" customHeight="1" x14ac:dyDescent="0.25">
      <c r="A405" s="152" t="s">
        <v>2828</v>
      </c>
      <c r="B405" s="142">
        <v>2024</v>
      </c>
      <c r="C405" s="142" t="s">
        <v>20</v>
      </c>
      <c r="D405" s="142" t="s">
        <v>1283</v>
      </c>
      <c r="E405" s="143" t="s">
        <v>1284</v>
      </c>
      <c r="F405" s="144" t="s">
        <v>22</v>
      </c>
      <c r="G405" s="145" t="s">
        <v>34</v>
      </c>
      <c r="H405" s="146" t="s">
        <v>1285</v>
      </c>
      <c r="I405" s="147">
        <v>45344</v>
      </c>
      <c r="J405" s="147">
        <v>45359</v>
      </c>
      <c r="K405" s="142" t="s">
        <v>25</v>
      </c>
      <c r="L405" s="148">
        <v>24800</v>
      </c>
      <c r="M405" s="149">
        <v>4.5999999999999996</v>
      </c>
      <c r="N405" s="150">
        <v>30</v>
      </c>
      <c r="O405" s="151">
        <v>14</v>
      </c>
      <c r="P405" s="151">
        <v>0</v>
      </c>
      <c r="Q405" s="151">
        <v>0</v>
      </c>
      <c r="R405" s="151">
        <f>SUM(O405:Q405)</f>
        <v>14</v>
      </c>
      <c r="S405" s="142">
        <v>16</v>
      </c>
      <c r="T405" s="145" t="s">
        <v>1113</v>
      </c>
    </row>
    <row r="406" spans="1:20" ht="22.5" hidden="1" customHeight="1" x14ac:dyDescent="0.25">
      <c r="A406" s="152" t="s">
        <v>2829</v>
      </c>
      <c r="B406" s="142">
        <v>2024</v>
      </c>
      <c r="C406" s="142" t="s">
        <v>20</v>
      </c>
      <c r="D406" s="142" t="s">
        <v>1286</v>
      </c>
      <c r="E406" s="143" t="s">
        <v>1287</v>
      </c>
      <c r="F406" s="144" t="s">
        <v>66</v>
      </c>
      <c r="G406" s="145" t="s">
        <v>59</v>
      </c>
      <c r="H406" s="146" t="s">
        <v>1288</v>
      </c>
      <c r="I406" s="147">
        <v>45352</v>
      </c>
      <c r="J406" s="147">
        <v>45629</v>
      </c>
      <c r="K406" s="142" t="s">
        <v>32</v>
      </c>
      <c r="L406" s="148">
        <v>0</v>
      </c>
      <c r="M406" s="149"/>
      <c r="N406" s="150">
        <v>44</v>
      </c>
      <c r="O406" s="151">
        <v>0</v>
      </c>
      <c r="P406" s="151">
        <v>0</v>
      </c>
      <c r="Q406" s="151">
        <v>44</v>
      </c>
      <c r="R406" s="151">
        <f>SUM(O406:Q406)</f>
        <v>44</v>
      </c>
      <c r="S406" s="142">
        <v>5</v>
      </c>
      <c r="T406" s="159" t="s">
        <v>1289</v>
      </c>
    </row>
    <row r="407" spans="1:20" ht="22.5" hidden="1" customHeight="1" x14ac:dyDescent="0.25">
      <c r="A407" s="152" t="s">
        <v>2830</v>
      </c>
      <c r="B407" s="142">
        <v>2024</v>
      </c>
      <c r="C407" s="142" t="s">
        <v>20</v>
      </c>
      <c r="D407" s="142" t="s">
        <v>1290</v>
      </c>
      <c r="E407" s="143" t="s">
        <v>1291</v>
      </c>
      <c r="F407" s="144" t="s">
        <v>51</v>
      </c>
      <c r="G407" s="145" t="s">
        <v>59</v>
      </c>
      <c r="H407" s="146" t="s">
        <v>1292</v>
      </c>
      <c r="I407" s="147">
        <v>45355</v>
      </c>
      <c r="J407" s="147">
        <v>45359</v>
      </c>
      <c r="K407" s="142" t="s">
        <v>32</v>
      </c>
      <c r="L407" s="148">
        <v>11779.56</v>
      </c>
      <c r="M407" s="149">
        <v>4.8600000000000003</v>
      </c>
      <c r="N407" s="150">
        <v>20</v>
      </c>
      <c r="O407" s="151">
        <v>6</v>
      </c>
      <c r="P407" s="151">
        <v>20</v>
      </c>
      <c r="Q407" s="151">
        <v>0</v>
      </c>
      <c r="R407" s="151">
        <f>SUM(O407:Q407)</f>
        <v>26</v>
      </c>
      <c r="S407" s="142">
        <v>20</v>
      </c>
      <c r="T407" s="145" t="s">
        <v>61</v>
      </c>
    </row>
    <row r="408" spans="1:20" ht="22.5" hidden="1" customHeight="1" x14ac:dyDescent="0.25">
      <c r="A408" s="152" t="s">
        <v>2831</v>
      </c>
      <c r="B408" s="142">
        <v>2024</v>
      </c>
      <c r="C408" s="142" t="s">
        <v>20</v>
      </c>
      <c r="D408" s="142" t="s">
        <v>1293</v>
      </c>
      <c r="E408" s="143" t="s">
        <v>1294</v>
      </c>
      <c r="F408" s="144" t="s">
        <v>22</v>
      </c>
      <c r="G408" s="145" t="s">
        <v>34</v>
      </c>
      <c r="H408" s="146" t="s">
        <v>1295</v>
      </c>
      <c r="I408" s="147">
        <v>45356</v>
      </c>
      <c r="J408" s="147">
        <v>45365</v>
      </c>
      <c r="K408" s="142" t="s">
        <v>32</v>
      </c>
      <c r="L408" s="148">
        <v>11542.3</v>
      </c>
      <c r="M408" s="149">
        <v>4.92</v>
      </c>
      <c r="N408" s="150">
        <v>20</v>
      </c>
      <c r="O408" s="151">
        <v>23</v>
      </c>
      <c r="P408" s="151">
        <v>0</v>
      </c>
      <c r="Q408" s="151">
        <v>0</v>
      </c>
      <c r="R408" s="151">
        <f>SUM(O408:Q408)</f>
        <v>23</v>
      </c>
      <c r="S408" s="142">
        <v>16</v>
      </c>
      <c r="T408" s="145" t="s">
        <v>1296</v>
      </c>
    </row>
    <row r="409" spans="1:20" ht="22.5" hidden="1" customHeight="1" x14ac:dyDescent="0.25">
      <c r="A409" s="152" t="s">
        <v>2832</v>
      </c>
      <c r="B409" s="142">
        <v>2024</v>
      </c>
      <c r="C409" s="142" t="s">
        <v>20</v>
      </c>
      <c r="D409" s="142" t="s">
        <v>1297</v>
      </c>
      <c r="E409" s="143" t="s">
        <v>1298</v>
      </c>
      <c r="F409" s="144" t="s">
        <v>22</v>
      </c>
      <c r="G409" s="145" t="s">
        <v>157</v>
      </c>
      <c r="H409" s="146" t="s">
        <v>1299</v>
      </c>
      <c r="I409" s="147">
        <v>45359</v>
      </c>
      <c r="J409" s="147">
        <v>45359</v>
      </c>
      <c r="K409" s="142" t="s">
        <v>25</v>
      </c>
      <c r="L409" s="148">
        <v>18000</v>
      </c>
      <c r="M409" s="149"/>
      <c r="N409" s="150"/>
      <c r="O409" s="151"/>
      <c r="P409" s="151"/>
      <c r="Q409" s="151">
        <v>20</v>
      </c>
      <c r="R409" s="151">
        <f>SUM(O409:Q409)</f>
        <v>20</v>
      </c>
      <c r="S409" s="142">
        <v>2</v>
      </c>
      <c r="T409" s="145" t="s">
        <v>1300</v>
      </c>
    </row>
    <row r="410" spans="1:20" ht="22.5" hidden="1" customHeight="1" x14ac:dyDescent="0.25">
      <c r="A410" s="152" t="s">
        <v>2833</v>
      </c>
      <c r="B410" s="142">
        <v>2024</v>
      </c>
      <c r="C410" s="142" t="s">
        <v>20</v>
      </c>
      <c r="D410" s="142" t="s">
        <v>1301</v>
      </c>
      <c r="E410" s="143" t="s">
        <v>1302</v>
      </c>
      <c r="F410" s="144" t="s">
        <v>22</v>
      </c>
      <c r="G410" s="145" t="s">
        <v>157</v>
      </c>
      <c r="H410" s="146" t="s">
        <v>1299</v>
      </c>
      <c r="I410" s="147">
        <v>45359</v>
      </c>
      <c r="J410" s="147">
        <v>45359</v>
      </c>
      <c r="K410" s="142"/>
      <c r="L410" s="148"/>
      <c r="M410" s="149"/>
      <c r="N410" s="150"/>
      <c r="O410" s="151">
        <v>0</v>
      </c>
      <c r="P410" s="151">
        <v>0</v>
      </c>
      <c r="Q410" s="151">
        <v>0</v>
      </c>
      <c r="R410" s="151">
        <f>SUM(O410:Q410)</f>
        <v>0</v>
      </c>
      <c r="S410" s="142"/>
      <c r="T410" s="145"/>
    </row>
    <row r="411" spans="1:20" ht="22.5" hidden="1" customHeight="1" x14ac:dyDescent="0.25">
      <c r="A411" s="152" t="s">
        <v>2834</v>
      </c>
      <c r="B411" s="142">
        <v>2024</v>
      </c>
      <c r="C411" s="142" t="s">
        <v>20</v>
      </c>
      <c r="D411" s="142" t="s">
        <v>1303</v>
      </c>
      <c r="E411" s="143" t="s">
        <v>1304</v>
      </c>
      <c r="F411" s="144" t="s">
        <v>22</v>
      </c>
      <c r="G411" s="145" t="s">
        <v>157</v>
      </c>
      <c r="H411" s="146" t="s">
        <v>1305</v>
      </c>
      <c r="I411" s="147">
        <v>45363</v>
      </c>
      <c r="J411" s="147">
        <v>45372</v>
      </c>
      <c r="K411" s="142" t="s">
        <v>32</v>
      </c>
      <c r="L411" s="148">
        <v>8336.2199999999993</v>
      </c>
      <c r="M411" s="149">
        <v>4.8600000000000003</v>
      </c>
      <c r="N411" s="150">
        <v>20</v>
      </c>
      <c r="O411" s="151">
        <v>16</v>
      </c>
      <c r="P411" s="151">
        <v>0</v>
      </c>
      <c r="Q411" s="151">
        <v>0</v>
      </c>
      <c r="R411" s="151">
        <f>SUM(O411:Q411)</f>
        <v>16</v>
      </c>
      <c r="S411" s="142">
        <v>16</v>
      </c>
      <c r="T411" s="145" t="s">
        <v>1306</v>
      </c>
    </row>
    <row r="412" spans="1:20" ht="22.5" hidden="1" customHeight="1" x14ac:dyDescent="0.25">
      <c r="A412" s="152" t="s">
        <v>2835</v>
      </c>
      <c r="B412" s="142">
        <v>2024</v>
      </c>
      <c r="C412" s="142" t="s">
        <v>20</v>
      </c>
      <c r="D412" s="142" t="s">
        <v>1307</v>
      </c>
      <c r="E412" s="143" t="s">
        <v>1308</v>
      </c>
      <c r="F412" s="144" t="s">
        <v>66</v>
      </c>
      <c r="G412" s="145" t="s">
        <v>59</v>
      </c>
      <c r="H412" s="146" t="s">
        <v>1309</v>
      </c>
      <c r="I412" s="147">
        <v>45369</v>
      </c>
      <c r="J412" s="147">
        <v>45373</v>
      </c>
      <c r="K412" s="142" t="s">
        <v>32</v>
      </c>
      <c r="L412" s="148">
        <v>10420.280000000001</v>
      </c>
      <c r="M412" s="149">
        <v>4.8</v>
      </c>
      <c r="N412" s="150">
        <v>40</v>
      </c>
      <c r="O412" s="151">
        <v>0</v>
      </c>
      <c r="P412" s="151">
        <v>0</v>
      </c>
      <c r="Q412" s="151">
        <v>44</v>
      </c>
      <c r="R412" s="151">
        <f>SUM(O412:Q412)</f>
        <v>44</v>
      </c>
      <c r="S412" s="142">
        <v>20</v>
      </c>
      <c r="T412" s="145" t="s">
        <v>324</v>
      </c>
    </row>
    <row r="413" spans="1:20" ht="22.5" hidden="1" customHeight="1" x14ac:dyDescent="0.25">
      <c r="A413" s="152" t="s">
        <v>2836</v>
      </c>
      <c r="B413" s="142">
        <v>2024</v>
      </c>
      <c r="C413" s="142" t="s">
        <v>20</v>
      </c>
      <c r="D413" s="142" t="s">
        <v>1310</v>
      </c>
      <c r="E413" s="143" t="s">
        <v>1311</v>
      </c>
      <c r="F413" s="144" t="s">
        <v>51</v>
      </c>
      <c r="G413" s="145" t="s">
        <v>59</v>
      </c>
      <c r="H413" s="146" t="s">
        <v>1312</v>
      </c>
      <c r="I413" s="147">
        <v>45370</v>
      </c>
      <c r="J413" s="147">
        <v>45370</v>
      </c>
      <c r="K413" s="142" t="s">
        <v>32</v>
      </c>
      <c r="L413" s="148">
        <v>0</v>
      </c>
      <c r="M413" s="149">
        <v>4.92</v>
      </c>
      <c r="N413" s="150">
        <v>160</v>
      </c>
      <c r="O413" s="151">
        <v>40</v>
      </c>
      <c r="P413" s="151">
        <v>65</v>
      </c>
      <c r="Q413" s="151">
        <v>0</v>
      </c>
      <c r="R413" s="151">
        <f>SUM(O413:Q413)</f>
        <v>105</v>
      </c>
      <c r="S413" s="142">
        <v>4</v>
      </c>
      <c r="T413" s="145" t="s">
        <v>1313</v>
      </c>
    </row>
    <row r="414" spans="1:20" ht="22.5" hidden="1" customHeight="1" x14ac:dyDescent="0.25">
      <c r="A414" s="152" t="s">
        <v>2837</v>
      </c>
      <c r="B414" s="142">
        <v>2024</v>
      </c>
      <c r="C414" s="142" t="s">
        <v>20</v>
      </c>
      <c r="D414" s="142" t="s">
        <v>1314</v>
      </c>
      <c r="E414" s="143" t="s">
        <v>1315</v>
      </c>
      <c r="F414" s="144" t="s">
        <v>22</v>
      </c>
      <c r="G414" s="145" t="s">
        <v>1316</v>
      </c>
      <c r="H414" s="156" t="s">
        <v>1317</v>
      </c>
      <c r="I414" s="147">
        <v>45373</v>
      </c>
      <c r="J414" s="147">
        <v>45373</v>
      </c>
      <c r="K414" s="142" t="s">
        <v>25</v>
      </c>
      <c r="L414" s="148">
        <v>1199.1600000000001</v>
      </c>
      <c r="M414" s="149">
        <v>4.8600000000000003</v>
      </c>
      <c r="N414" s="150">
        <v>50</v>
      </c>
      <c r="O414" s="151">
        <v>50</v>
      </c>
      <c r="P414" s="151">
        <v>0</v>
      </c>
      <c r="Q414" s="151">
        <v>0</v>
      </c>
      <c r="R414" s="151">
        <f>SUM(O414:Q414)</f>
        <v>50</v>
      </c>
      <c r="S414" s="142">
        <v>4</v>
      </c>
      <c r="T414" s="145" t="s">
        <v>1318</v>
      </c>
    </row>
    <row r="415" spans="1:20" ht="22.5" hidden="1" customHeight="1" x14ac:dyDescent="0.25">
      <c r="A415" s="152" t="s">
        <v>2838</v>
      </c>
      <c r="B415" s="142">
        <v>2024</v>
      </c>
      <c r="C415" s="142" t="s">
        <v>20</v>
      </c>
      <c r="D415" s="142" t="s">
        <v>1319</v>
      </c>
      <c r="E415" s="143" t="s">
        <v>1320</v>
      </c>
      <c r="F415" s="144" t="s">
        <v>22</v>
      </c>
      <c r="G415" s="145" t="s">
        <v>34</v>
      </c>
      <c r="H415" s="146" t="s">
        <v>1321</v>
      </c>
      <c r="I415" s="147">
        <v>45383</v>
      </c>
      <c r="J415" s="147">
        <v>45387</v>
      </c>
      <c r="K415" s="142" t="s">
        <v>25</v>
      </c>
      <c r="L415" s="148">
        <v>15444.87</v>
      </c>
      <c r="M415" s="149">
        <v>4.7</v>
      </c>
      <c r="N415" s="150">
        <v>30</v>
      </c>
      <c r="O415" s="151">
        <v>25</v>
      </c>
      <c r="P415" s="151">
        <v>0</v>
      </c>
      <c r="Q415" s="151">
        <v>0</v>
      </c>
      <c r="R415" s="151">
        <f>SUM(O415:Q415)</f>
        <v>25</v>
      </c>
      <c r="S415" s="142">
        <v>20</v>
      </c>
      <c r="T415" s="145" t="s">
        <v>931</v>
      </c>
    </row>
    <row r="416" spans="1:20" ht="22.5" hidden="1" customHeight="1" x14ac:dyDescent="0.25">
      <c r="A416" s="152" t="s">
        <v>2839</v>
      </c>
      <c r="B416" s="142">
        <v>2024</v>
      </c>
      <c r="C416" s="142" t="s">
        <v>20</v>
      </c>
      <c r="D416" s="142" t="s">
        <v>1322</v>
      </c>
      <c r="E416" s="143" t="s">
        <v>1323</v>
      </c>
      <c r="F416" s="144" t="s">
        <v>22</v>
      </c>
      <c r="G416" s="145" t="s">
        <v>157</v>
      </c>
      <c r="H416" s="146" t="s">
        <v>1324</v>
      </c>
      <c r="I416" s="147">
        <v>45383</v>
      </c>
      <c r="J416" s="147">
        <v>45392</v>
      </c>
      <c r="K416" s="142" t="s">
        <v>32</v>
      </c>
      <c r="L416" s="148">
        <v>10420.280000000001</v>
      </c>
      <c r="M416" s="149">
        <v>5</v>
      </c>
      <c r="N416" s="150">
        <v>20</v>
      </c>
      <c r="O416" s="151">
        <v>9</v>
      </c>
      <c r="P416" s="151">
        <v>0</v>
      </c>
      <c r="Q416" s="151">
        <v>0</v>
      </c>
      <c r="R416" s="151">
        <f>SUM(O416:Q416)</f>
        <v>9</v>
      </c>
      <c r="S416" s="142">
        <v>20</v>
      </c>
      <c r="T416" s="145" t="s">
        <v>1306</v>
      </c>
    </row>
    <row r="417" spans="1:20" ht="22.5" hidden="1" customHeight="1" x14ac:dyDescent="0.25">
      <c r="A417" s="152" t="s">
        <v>2840</v>
      </c>
      <c r="B417" s="142">
        <v>2024</v>
      </c>
      <c r="C417" s="142" t="s">
        <v>20</v>
      </c>
      <c r="D417" s="142" t="s">
        <v>1325</v>
      </c>
      <c r="E417" s="143" t="s">
        <v>1326</v>
      </c>
      <c r="F417" s="144" t="s">
        <v>66</v>
      </c>
      <c r="G417" s="145" t="s">
        <v>59</v>
      </c>
      <c r="H417" s="146" t="s">
        <v>1321</v>
      </c>
      <c r="I417" s="147">
        <v>45383</v>
      </c>
      <c r="J417" s="147">
        <v>45387</v>
      </c>
      <c r="K417" s="142" t="s">
        <v>32</v>
      </c>
      <c r="L417" s="148">
        <v>8464.48</v>
      </c>
      <c r="M417" s="149">
        <v>4.5</v>
      </c>
      <c r="N417" s="150">
        <v>30</v>
      </c>
      <c r="O417" s="151">
        <v>1</v>
      </c>
      <c r="P417" s="151">
        <v>0</v>
      </c>
      <c r="Q417" s="151">
        <v>24</v>
      </c>
      <c r="R417" s="151">
        <f>SUM(O417:Q417)</f>
        <v>25</v>
      </c>
      <c r="S417" s="142">
        <v>16</v>
      </c>
      <c r="T417" s="145" t="s">
        <v>1327</v>
      </c>
    </row>
    <row r="418" spans="1:20" ht="22.5" hidden="1" customHeight="1" x14ac:dyDescent="0.25">
      <c r="A418" s="152" t="s">
        <v>2841</v>
      </c>
      <c r="B418" s="142">
        <v>2024</v>
      </c>
      <c r="C418" s="142" t="s">
        <v>20</v>
      </c>
      <c r="D418" s="142" t="s">
        <v>1328</v>
      </c>
      <c r="E418" s="143" t="s">
        <v>1329</v>
      </c>
      <c r="F418" s="144" t="s">
        <v>22</v>
      </c>
      <c r="G418" s="145" t="s">
        <v>23</v>
      </c>
      <c r="H418" s="146" t="s">
        <v>1330</v>
      </c>
      <c r="I418" s="147">
        <v>45384</v>
      </c>
      <c r="J418" s="147">
        <v>45435</v>
      </c>
      <c r="K418" s="142" t="s">
        <v>25</v>
      </c>
      <c r="L418" s="148">
        <v>17000</v>
      </c>
      <c r="M418" s="149">
        <v>4.5999999999999996</v>
      </c>
      <c r="N418" s="150">
        <v>4</v>
      </c>
      <c r="O418" s="151">
        <v>13</v>
      </c>
      <c r="P418" s="151">
        <v>0</v>
      </c>
      <c r="Q418" s="151">
        <v>0</v>
      </c>
      <c r="R418" s="151">
        <f>SUM(O418:Q418)</f>
        <v>13</v>
      </c>
      <c r="S418" s="142">
        <v>19</v>
      </c>
      <c r="T418" s="145" t="s">
        <v>1331</v>
      </c>
    </row>
    <row r="419" spans="1:20" ht="22.5" hidden="1" customHeight="1" x14ac:dyDescent="0.25">
      <c r="A419" s="152" t="s">
        <v>2842</v>
      </c>
      <c r="B419" s="142">
        <v>2024</v>
      </c>
      <c r="C419" s="142" t="s">
        <v>20</v>
      </c>
      <c r="D419" s="142" t="s">
        <v>1314</v>
      </c>
      <c r="E419" s="143" t="s">
        <v>1332</v>
      </c>
      <c r="F419" s="144" t="s">
        <v>22</v>
      </c>
      <c r="G419" s="145" t="s">
        <v>1316</v>
      </c>
      <c r="H419" s="146" t="s">
        <v>1333</v>
      </c>
      <c r="I419" s="147">
        <v>45387</v>
      </c>
      <c r="J419" s="147">
        <v>45408</v>
      </c>
      <c r="K419" s="142" t="s">
        <v>25</v>
      </c>
      <c r="L419" s="148">
        <f>1199.16*4</f>
        <v>4796.6400000000003</v>
      </c>
      <c r="M419" s="149">
        <v>4.9000000000000004</v>
      </c>
      <c r="N419" s="150">
        <v>40</v>
      </c>
      <c r="O419" s="151">
        <v>49</v>
      </c>
      <c r="P419" s="151">
        <v>0</v>
      </c>
      <c r="Q419" s="151">
        <v>0</v>
      </c>
      <c r="R419" s="151">
        <f>SUM(O419:Q419)</f>
        <v>49</v>
      </c>
      <c r="S419" s="142">
        <v>16</v>
      </c>
      <c r="T419" s="145" t="s">
        <v>1334</v>
      </c>
    </row>
    <row r="420" spans="1:20" ht="22.5" hidden="1" customHeight="1" x14ac:dyDescent="0.25">
      <c r="A420" s="152" t="s">
        <v>2843</v>
      </c>
      <c r="B420" s="142">
        <v>2024</v>
      </c>
      <c r="C420" s="142" t="s">
        <v>20</v>
      </c>
      <c r="D420" s="142" t="s">
        <v>1335</v>
      </c>
      <c r="E420" s="143" t="s">
        <v>1336</v>
      </c>
      <c r="F420" s="144" t="s">
        <v>22</v>
      </c>
      <c r="G420" s="145" t="s">
        <v>157</v>
      </c>
      <c r="H420" s="146" t="s">
        <v>1337</v>
      </c>
      <c r="I420" s="147">
        <v>45387</v>
      </c>
      <c r="J420" s="147">
        <v>45387</v>
      </c>
      <c r="K420" s="142" t="s">
        <v>32</v>
      </c>
      <c r="L420" s="148">
        <v>1042.02</v>
      </c>
      <c r="M420" s="149">
        <v>5</v>
      </c>
      <c r="N420" s="150">
        <v>170</v>
      </c>
      <c r="O420" s="151">
        <v>0</v>
      </c>
      <c r="P420" s="151">
        <v>0</v>
      </c>
      <c r="Q420" s="151">
        <v>128</v>
      </c>
      <c r="R420" s="151">
        <f>SUM(O420:Q420)</f>
        <v>128</v>
      </c>
      <c r="S420" s="142">
        <v>4</v>
      </c>
      <c r="T420" s="145" t="s">
        <v>1338</v>
      </c>
    </row>
    <row r="421" spans="1:20" ht="22.5" hidden="1" customHeight="1" x14ac:dyDescent="0.25">
      <c r="A421" s="152" t="s">
        <v>2844</v>
      </c>
      <c r="B421" s="142">
        <v>2024</v>
      </c>
      <c r="C421" s="142" t="s">
        <v>20</v>
      </c>
      <c r="D421" s="142" t="s">
        <v>1290</v>
      </c>
      <c r="E421" s="143" t="s">
        <v>1339</v>
      </c>
      <c r="F421" s="144" t="s">
        <v>51</v>
      </c>
      <c r="G421" s="145" t="s">
        <v>59</v>
      </c>
      <c r="H421" s="146" t="s">
        <v>1340</v>
      </c>
      <c r="I421" s="147">
        <v>45390</v>
      </c>
      <c r="J421" s="147">
        <v>45394</v>
      </c>
      <c r="K421" s="142" t="s">
        <v>32</v>
      </c>
      <c r="L421" s="148">
        <v>11779.56</v>
      </c>
      <c r="M421" s="149">
        <v>4.8</v>
      </c>
      <c r="N421" s="150">
        <v>21</v>
      </c>
      <c r="O421" s="151">
        <v>5</v>
      </c>
      <c r="P421" s="151">
        <v>16</v>
      </c>
      <c r="Q421" s="151">
        <v>0</v>
      </c>
      <c r="R421" s="151">
        <f>SUM(O421:Q421)</f>
        <v>21</v>
      </c>
      <c r="S421" s="142">
        <v>20</v>
      </c>
      <c r="T421" s="145" t="s">
        <v>61</v>
      </c>
    </row>
    <row r="422" spans="1:20" ht="22.5" hidden="1" customHeight="1" x14ac:dyDescent="0.25">
      <c r="A422" s="152" t="s">
        <v>2845</v>
      </c>
      <c r="B422" s="142">
        <v>2024</v>
      </c>
      <c r="C422" s="142" t="s">
        <v>20</v>
      </c>
      <c r="D422" s="142" t="s">
        <v>1341</v>
      </c>
      <c r="E422" s="143" t="s">
        <v>1342</v>
      </c>
      <c r="F422" s="144" t="s">
        <v>22</v>
      </c>
      <c r="G422" s="145" t="s">
        <v>34</v>
      </c>
      <c r="H422" s="146" t="s">
        <v>1343</v>
      </c>
      <c r="I422" s="147">
        <v>45390</v>
      </c>
      <c r="J422" s="147">
        <v>45415</v>
      </c>
      <c r="K422" s="142" t="s">
        <v>32</v>
      </c>
      <c r="L422" s="148">
        <v>8000</v>
      </c>
      <c r="M422" s="149">
        <v>5</v>
      </c>
      <c r="N422" s="150">
        <v>8</v>
      </c>
      <c r="O422" s="151">
        <v>8</v>
      </c>
      <c r="P422" s="151">
        <v>0</v>
      </c>
      <c r="Q422" s="151">
        <v>0</v>
      </c>
      <c r="R422" s="151">
        <f>SUM(O422:Q422)</f>
        <v>8</v>
      </c>
      <c r="S422" s="142">
        <v>16</v>
      </c>
      <c r="T422" s="145" t="s">
        <v>1344</v>
      </c>
    </row>
    <row r="423" spans="1:20" ht="22.5" hidden="1" customHeight="1" x14ac:dyDescent="0.25">
      <c r="A423" s="152" t="s">
        <v>2846</v>
      </c>
      <c r="B423" s="142">
        <v>2024</v>
      </c>
      <c r="C423" s="142" t="s">
        <v>20</v>
      </c>
      <c r="D423" s="142" t="s">
        <v>1335</v>
      </c>
      <c r="E423" s="143" t="s">
        <v>1345</v>
      </c>
      <c r="F423" s="144" t="s">
        <v>22</v>
      </c>
      <c r="G423" s="145" t="s">
        <v>157</v>
      </c>
      <c r="H423" s="146" t="s">
        <v>1346</v>
      </c>
      <c r="I423" s="147">
        <v>45394</v>
      </c>
      <c r="J423" s="147">
        <v>45394</v>
      </c>
      <c r="K423" s="142" t="s">
        <v>32</v>
      </c>
      <c r="L423" s="148">
        <v>1042.02</v>
      </c>
      <c r="M423" s="149">
        <v>4.9000000000000004</v>
      </c>
      <c r="N423" s="150">
        <v>170</v>
      </c>
      <c r="O423" s="151">
        <v>93</v>
      </c>
      <c r="P423" s="151">
        <v>0</v>
      </c>
      <c r="Q423" s="151">
        <v>0</v>
      </c>
      <c r="R423" s="151">
        <f>SUM(O423:Q423)</f>
        <v>93</v>
      </c>
      <c r="S423" s="142">
        <v>4</v>
      </c>
      <c r="T423" s="145" t="s">
        <v>1338</v>
      </c>
    </row>
    <row r="424" spans="1:20" ht="22.5" hidden="1" customHeight="1" x14ac:dyDescent="0.25">
      <c r="A424" s="152" t="s">
        <v>2847</v>
      </c>
      <c r="B424" s="142">
        <v>2024</v>
      </c>
      <c r="C424" s="142" t="s">
        <v>20</v>
      </c>
      <c r="D424" s="142" t="s">
        <v>1347</v>
      </c>
      <c r="E424" s="143" t="s">
        <v>1348</v>
      </c>
      <c r="F424" s="144" t="s">
        <v>22</v>
      </c>
      <c r="G424" s="145" t="s">
        <v>157</v>
      </c>
      <c r="H424" s="146" t="s">
        <v>1349</v>
      </c>
      <c r="I424" s="147">
        <v>45397</v>
      </c>
      <c r="J424" s="147">
        <v>45411</v>
      </c>
      <c r="K424" s="142" t="s">
        <v>25</v>
      </c>
      <c r="L424" s="148">
        <v>19900</v>
      </c>
      <c r="M424" s="149">
        <v>4.9000000000000004</v>
      </c>
      <c r="N424" s="150">
        <v>20</v>
      </c>
      <c r="O424" s="151">
        <v>6</v>
      </c>
      <c r="P424" s="151">
        <v>0</v>
      </c>
      <c r="Q424" s="151">
        <v>0</v>
      </c>
      <c r="R424" s="151">
        <f>SUM(O424:Q424)</f>
        <v>6</v>
      </c>
      <c r="S424" s="142">
        <v>24</v>
      </c>
      <c r="T424" s="145" t="s">
        <v>963</v>
      </c>
    </row>
    <row r="425" spans="1:20" ht="22.5" hidden="1" customHeight="1" x14ac:dyDescent="0.25">
      <c r="A425" s="152" t="s">
        <v>2848</v>
      </c>
      <c r="B425" s="142">
        <v>2024</v>
      </c>
      <c r="C425" s="142" t="s">
        <v>20</v>
      </c>
      <c r="D425" s="142"/>
      <c r="E425" s="143" t="s">
        <v>1350</v>
      </c>
      <c r="F425" s="144" t="s">
        <v>51</v>
      </c>
      <c r="G425" s="145" t="s">
        <v>59</v>
      </c>
      <c r="H425" s="146" t="s">
        <v>1351</v>
      </c>
      <c r="I425" s="147">
        <v>45414</v>
      </c>
      <c r="J425" s="147">
        <v>45414</v>
      </c>
      <c r="K425" s="142" t="s">
        <v>174</v>
      </c>
      <c r="L425" s="148">
        <v>0</v>
      </c>
      <c r="M425" s="149">
        <v>5</v>
      </c>
      <c r="N425" s="150">
        <v>170</v>
      </c>
      <c r="O425" s="151">
        <v>40</v>
      </c>
      <c r="P425" s="151">
        <v>40</v>
      </c>
      <c r="Q425" s="151">
        <v>0</v>
      </c>
      <c r="R425" s="151">
        <f>SUM(O425:Q425)</f>
        <v>80</v>
      </c>
      <c r="S425" s="142">
        <v>4</v>
      </c>
      <c r="T425" s="145" t="s">
        <v>365</v>
      </c>
    </row>
    <row r="426" spans="1:20" ht="22.5" hidden="1" customHeight="1" x14ac:dyDescent="0.25">
      <c r="A426" s="152" t="s">
        <v>2849</v>
      </c>
      <c r="B426" s="142">
        <v>2024</v>
      </c>
      <c r="C426" s="142" t="s">
        <v>20</v>
      </c>
      <c r="D426" s="142" t="s">
        <v>1352</v>
      </c>
      <c r="E426" s="143" t="s">
        <v>1353</v>
      </c>
      <c r="F426" s="144" t="s">
        <v>22</v>
      </c>
      <c r="G426" s="145" t="s">
        <v>353</v>
      </c>
      <c r="H426" s="146" t="s">
        <v>1354</v>
      </c>
      <c r="I426" s="147">
        <v>45415</v>
      </c>
      <c r="J426" s="147">
        <v>45415</v>
      </c>
      <c r="K426" s="142" t="s">
        <v>25</v>
      </c>
      <c r="L426" s="148">
        <f>49600/8</f>
        <v>6200</v>
      </c>
      <c r="M426" s="149">
        <v>5</v>
      </c>
      <c r="N426" s="151">
        <v>23</v>
      </c>
      <c r="O426" s="151">
        <v>8</v>
      </c>
      <c r="P426" s="151">
        <v>0</v>
      </c>
      <c r="Q426" s="151">
        <v>0</v>
      </c>
      <c r="R426" s="151">
        <f>SUM(O426:Q426)</f>
        <v>8</v>
      </c>
      <c r="S426" s="142">
        <v>4</v>
      </c>
      <c r="T426" s="145" t="s">
        <v>1355</v>
      </c>
    </row>
    <row r="427" spans="1:20" ht="22.5" hidden="1" customHeight="1" x14ac:dyDescent="0.25">
      <c r="A427" s="152" t="s">
        <v>2850</v>
      </c>
      <c r="B427" s="142">
        <v>2024</v>
      </c>
      <c r="C427" s="142" t="s">
        <v>20</v>
      </c>
      <c r="D427" s="142" t="s">
        <v>1356</v>
      </c>
      <c r="E427" s="143" t="s">
        <v>1357</v>
      </c>
      <c r="F427" s="144" t="s">
        <v>22</v>
      </c>
      <c r="G427" s="145" t="s">
        <v>34</v>
      </c>
      <c r="H427" s="146" t="s">
        <v>1358</v>
      </c>
      <c r="I427" s="147">
        <v>45418</v>
      </c>
      <c r="J427" s="147">
        <v>45421</v>
      </c>
      <c r="K427" s="142" t="s">
        <v>32</v>
      </c>
      <c r="L427" s="148">
        <v>9423.64</v>
      </c>
      <c r="M427" s="149">
        <v>5</v>
      </c>
      <c r="N427" s="150">
        <v>20</v>
      </c>
      <c r="O427" s="151">
        <v>10</v>
      </c>
      <c r="P427" s="151">
        <v>0</v>
      </c>
      <c r="Q427" s="151">
        <v>0</v>
      </c>
      <c r="R427" s="151">
        <f>SUM(O427:Q427)</f>
        <v>10</v>
      </c>
      <c r="S427" s="142">
        <v>16</v>
      </c>
      <c r="T427" s="145" t="s">
        <v>1359</v>
      </c>
    </row>
    <row r="428" spans="1:20" ht="22.5" hidden="1" customHeight="1" x14ac:dyDescent="0.25">
      <c r="A428" s="152" t="s">
        <v>2851</v>
      </c>
      <c r="B428" s="142">
        <v>2024</v>
      </c>
      <c r="C428" s="142" t="s">
        <v>20</v>
      </c>
      <c r="D428" s="142" t="s">
        <v>1360</v>
      </c>
      <c r="E428" s="143" t="s">
        <v>1361</v>
      </c>
      <c r="F428" s="144" t="s">
        <v>66</v>
      </c>
      <c r="G428" s="145" t="s">
        <v>59</v>
      </c>
      <c r="H428" s="146" t="s">
        <v>1362</v>
      </c>
      <c r="I428" s="147">
        <v>45420</v>
      </c>
      <c r="J428" s="147">
        <v>45422</v>
      </c>
      <c r="K428" s="142" t="s">
        <v>25</v>
      </c>
      <c r="L428" s="148">
        <v>2146.96</v>
      </c>
      <c r="M428" s="149"/>
      <c r="N428" s="151">
        <v>80</v>
      </c>
      <c r="O428" s="151">
        <v>0</v>
      </c>
      <c r="P428" s="151">
        <v>0</v>
      </c>
      <c r="Q428" s="142">
        <v>80</v>
      </c>
      <c r="R428" s="151">
        <f>SUM(O428:Q428)</f>
        <v>80</v>
      </c>
      <c r="S428" s="142">
        <v>4</v>
      </c>
      <c r="T428" s="145" t="s">
        <v>1046</v>
      </c>
    </row>
    <row r="429" spans="1:20" ht="22.5" hidden="1" customHeight="1" x14ac:dyDescent="0.25">
      <c r="A429" s="152" t="s">
        <v>2852</v>
      </c>
      <c r="B429" s="142">
        <v>2024</v>
      </c>
      <c r="C429" s="142" t="s">
        <v>20</v>
      </c>
      <c r="D429" s="142" t="s">
        <v>1360</v>
      </c>
      <c r="E429" s="143" t="s">
        <v>1363</v>
      </c>
      <c r="F429" s="144" t="s">
        <v>66</v>
      </c>
      <c r="G429" s="145" t="s">
        <v>59</v>
      </c>
      <c r="H429" s="146" t="s">
        <v>1362</v>
      </c>
      <c r="I429" s="147">
        <v>45420</v>
      </c>
      <c r="J429" s="147">
        <v>45422</v>
      </c>
      <c r="K429" s="142" t="s">
        <v>25</v>
      </c>
      <c r="L429" s="148">
        <v>2146.96</v>
      </c>
      <c r="M429" s="149"/>
      <c r="N429" s="151">
        <v>80</v>
      </c>
      <c r="O429" s="151">
        <v>0</v>
      </c>
      <c r="P429" s="151">
        <v>0</v>
      </c>
      <c r="Q429" s="142">
        <v>80</v>
      </c>
      <c r="R429" s="151">
        <f>SUM(O429:Q429)</f>
        <v>80</v>
      </c>
      <c r="S429" s="142">
        <v>4</v>
      </c>
      <c r="T429" s="145" t="s">
        <v>1046</v>
      </c>
    </row>
    <row r="430" spans="1:20" ht="22.5" hidden="1" customHeight="1" x14ac:dyDescent="0.25">
      <c r="A430" s="152" t="s">
        <v>2853</v>
      </c>
      <c r="B430" s="142">
        <v>2024</v>
      </c>
      <c r="C430" s="142" t="s">
        <v>20</v>
      </c>
      <c r="D430" s="142" t="s">
        <v>1360</v>
      </c>
      <c r="E430" s="143" t="s">
        <v>1364</v>
      </c>
      <c r="F430" s="144" t="s">
        <v>66</v>
      </c>
      <c r="G430" s="145" t="s">
        <v>59</v>
      </c>
      <c r="H430" s="146" t="s">
        <v>1362</v>
      </c>
      <c r="I430" s="147">
        <v>45420</v>
      </c>
      <c r="J430" s="147">
        <v>45422</v>
      </c>
      <c r="K430" s="142" t="s">
        <v>25</v>
      </c>
      <c r="L430" s="148">
        <v>2146.96</v>
      </c>
      <c r="M430" s="149"/>
      <c r="N430" s="151">
        <v>80</v>
      </c>
      <c r="O430" s="151">
        <v>0</v>
      </c>
      <c r="P430" s="151">
        <v>0</v>
      </c>
      <c r="Q430" s="142">
        <v>80</v>
      </c>
      <c r="R430" s="151">
        <f>SUM(O430:Q430)</f>
        <v>80</v>
      </c>
      <c r="S430" s="142">
        <v>4</v>
      </c>
      <c r="T430" s="145" t="s">
        <v>1046</v>
      </c>
    </row>
    <row r="431" spans="1:20" ht="22.5" hidden="1" customHeight="1" x14ac:dyDescent="0.25">
      <c r="A431" s="152" t="s">
        <v>2854</v>
      </c>
      <c r="B431" s="142">
        <v>2024</v>
      </c>
      <c r="C431" s="142" t="s">
        <v>20</v>
      </c>
      <c r="D431" s="142" t="s">
        <v>1360</v>
      </c>
      <c r="E431" s="143" t="s">
        <v>1365</v>
      </c>
      <c r="F431" s="144" t="s">
        <v>66</v>
      </c>
      <c r="G431" s="145" t="s">
        <v>59</v>
      </c>
      <c r="H431" s="146" t="s">
        <v>1362</v>
      </c>
      <c r="I431" s="147">
        <v>45420</v>
      </c>
      <c r="J431" s="147">
        <v>45422</v>
      </c>
      <c r="K431" s="142" t="s">
        <v>25</v>
      </c>
      <c r="L431" s="148">
        <v>2146.96</v>
      </c>
      <c r="M431" s="149"/>
      <c r="N431" s="151">
        <v>80</v>
      </c>
      <c r="O431" s="151">
        <v>0</v>
      </c>
      <c r="P431" s="151">
        <v>0</v>
      </c>
      <c r="Q431" s="142">
        <v>80</v>
      </c>
      <c r="R431" s="151">
        <f>SUM(O431:Q431)</f>
        <v>80</v>
      </c>
      <c r="S431" s="142">
        <v>4</v>
      </c>
      <c r="T431" s="145" t="s">
        <v>1046</v>
      </c>
    </row>
    <row r="432" spans="1:20" ht="22.5" hidden="1" customHeight="1" x14ac:dyDescent="0.25">
      <c r="A432" s="152" t="s">
        <v>2855</v>
      </c>
      <c r="B432" s="142">
        <v>2024</v>
      </c>
      <c r="C432" s="142" t="s">
        <v>20</v>
      </c>
      <c r="D432" s="142" t="s">
        <v>1360</v>
      </c>
      <c r="E432" s="143" t="s">
        <v>1366</v>
      </c>
      <c r="F432" s="144" t="s">
        <v>66</v>
      </c>
      <c r="G432" s="145" t="s">
        <v>59</v>
      </c>
      <c r="H432" s="146" t="s">
        <v>1362</v>
      </c>
      <c r="I432" s="147">
        <v>45420</v>
      </c>
      <c r="J432" s="147">
        <v>45422</v>
      </c>
      <c r="K432" s="142" t="s">
        <v>25</v>
      </c>
      <c r="L432" s="148">
        <v>2146.96</v>
      </c>
      <c r="M432" s="149"/>
      <c r="N432" s="151">
        <v>80</v>
      </c>
      <c r="O432" s="151">
        <v>0</v>
      </c>
      <c r="P432" s="151">
        <v>0</v>
      </c>
      <c r="Q432" s="142">
        <v>80</v>
      </c>
      <c r="R432" s="151">
        <f>SUM(O432:Q432)</f>
        <v>80</v>
      </c>
      <c r="S432" s="142">
        <v>4</v>
      </c>
      <c r="T432" s="145" t="s">
        <v>1046</v>
      </c>
    </row>
    <row r="433" spans="1:20" ht="22.5" hidden="1" customHeight="1" x14ac:dyDescent="0.25">
      <c r="A433" s="152" t="s">
        <v>2856</v>
      </c>
      <c r="B433" s="142">
        <v>2024</v>
      </c>
      <c r="C433" s="142" t="s">
        <v>20</v>
      </c>
      <c r="D433" s="142" t="s">
        <v>1352</v>
      </c>
      <c r="E433" s="143" t="s">
        <v>1367</v>
      </c>
      <c r="F433" s="144" t="s">
        <v>22</v>
      </c>
      <c r="G433" s="145" t="s">
        <v>353</v>
      </c>
      <c r="H433" s="146" t="s">
        <v>1368</v>
      </c>
      <c r="I433" s="147">
        <v>45422</v>
      </c>
      <c r="J433" s="147">
        <v>45422</v>
      </c>
      <c r="K433" s="142" t="s">
        <v>25</v>
      </c>
      <c r="L433" s="148">
        <f>49600/8</f>
        <v>6200</v>
      </c>
      <c r="M433" s="149">
        <v>4.9000000000000004</v>
      </c>
      <c r="N433" s="151">
        <v>50</v>
      </c>
      <c r="O433" s="151">
        <v>33</v>
      </c>
      <c r="P433" s="151">
        <v>0</v>
      </c>
      <c r="Q433" s="151">
        <v>0</v>
      </c>
      <c r="R433" s="151">
        <f>SUM(O433:Q433)</f>
        <v>33</v>
      </c>
      <c r="S433" s="142">
        <v>4</v>
      </c>
      <c r="T433" s="145" t="s">
        <v>1355</v>
      </c>
    </row>
    <row r="434" spans="1:20" ht="22.5" hidden="1" customHeight="1" x14ac:dyDescent="0.25">
      <c r="A434" s="152" t="s">
        <v>2857</v>
      </c>
      <c r="B434" s="142">
        <v>2024</v>
      </c>
      <c r="C434" s="142" t="s">
        <v>20</v>
      </c>
      <c r="D434" s="142" t="s">
        <v>1301</v>
      </c>
      <c r="E434" s="143" t="s">
        <v>1369</v>
      </c>
      <c r="F434" s="144" t="s">
        <v>22</v>
      </c>
      <c r="G434" s="145" t="s">
        <v>157</v>
      </c>
      <c r="H434" s="161">
        <v>45570</v>
      </c>
      <c r="I434" s="147">
        <v>45422</v>
      </c>
      <c r="J434" s="147">
        <v>45422</v>
      </c>
      <c r="K434" s="142"/>
      <c r="L434" s="148"/>
      <c r="M434" s="149"/>
      <c r="N434" s="150"/>
      <c r="O434" s="151">
        <v>0</v>
      </c>
      <c r="P434" s="151">
        <v>0</v>
      </c>
      <c r="Q434" s="151">
        <v>0</v>
      </c>
      <c r="R434" s="151">
        <f>SUM(O434:Q434)</f>
        <v>0</v>
      </c>
      <c r="S434" s="142"/>
      <c r="T434" s="145"/>
    </row>
    <row r="435" spans="1:20" ht="22.5" hidden="1" customHeight="1" x14ac:dyDescent="0.25">
      <c r="A435" s="152" t="s">
        <v>2858</v>
      </c>
      <c r="B435" s="142">
        <v>2024</v>
      </c>
      <c r="C435" s="142" t="s">
        <v>20</v>
      </c>
      <c r="D435" s="142" t="s">
        <v>1307</v>
      </c>
      <c r="E435" s="143" t="s">
        <v>1370</v>
      </c>
      <c r="F435" s="144" t="s">
        <v>66</v>
      </c>
      <c r="G435" s="145" t="s">
        <v>59</v>
      </c>
      <c r="H435" s="146" t="s">
        <v>1371</v>
      </c>
      <c r="I435" s="147">
        <v>45425</v>
      </c>
      <c r="J435" s="147">
        <v>45429</v>
      </c>
      <c r="K435" s="142" t="s">
        <v>32</v>
      </c>
      <c r="L435" s="148">
        <v>10420.280000000001</v>
      </c>
      <c r="M435" s="149">
        <v>4.8</v>
      </c>
      <c r="N435" s="150">
        <v>40</v>
      </c>
      <c r="O435" s="151">
        <v>0</v>
      </c>
      <c r="P435" s="151">
        <v>0</v>
      </c>
      <c r="Q435" s="151">
        <v>62</v>
      </c>
      <c r="R435" s="151">
        <f>SUM(O435:Q435)</f>
        <v>62</v>
      </c>
      <c r="S435" s="142">
        <v>20</v>
      </c>
      <c r="T435" s="145" t="s">
        <v>324</v>
      </c>
    </row>
    <row r="436" spans="1:20" ht="22.5" hidden="1" customHeight="1" x14ac:dyDescent="0.25">
      <c r="A436" s="152" t="s">
        <v>2859</v>
      </c>
      <c r="B436" s="142">
        <v>2024</v>
      </c>
      <c r="C436" s="142" t="s">
        <v>20</v>
      </c>
      <c r="D436" s="142" t="s">
        <v>1372</v>
      </c>
      <c r="E436" s="143" t="s">
        <v>1373</v>
      </c>
      <c r="F436" s="144" t="s">
        <v>22</v>
      </c>
      <c r="G436" s="145" t="s">
        <v>34</v>
      </c>
      <c r="H436" s="146" t="s">
        <v>1374</v>
      </c>
      <c r="I436" s="147">
        <v>45426</v>
      </c>
      <c r="J436" s="147">
        <v>45426</v>
      </c>
      <c r="K436" s="142" t="s">
        <v>174</v>
      </c>
      <c r="L436" s="148">
        <v>2500</v>
      </c>
      <c r="M436" s="149">
        <v>4.5999999999999996</v>
      </c>
      <c r="N436" s="150">
        <v>170</v>
      </c>
      <c r="O436" s="151">
        <v>42</v>
      </c>
      <c r="P436" s="151">
        <v>0</v>
      </c>
      <c r="Q436" s="151">
        <v>0</v>
      </c>
      <c r="R436" s="151">
        <f>SUM(O436:Q436)</f>
        <v>42</v>
      </c>
      <c r="S436" s="142">
        <v>4</v>
      </c>
      <c r="T436" s="145" t="s">
        <v>1375</v>
      </c>
    </row>
    <row r="437" spans="1:20" ht="22.5" hidden="1" customHeight="1" x14ac:dyDescent="0.25">
      <c r="A437" s="152" t="s">
        <v>2860</v>
      </c>
      <c r="B437" s="142">
        <v>2024</v>
      </c>
      <c r="C437" s="142" t="s">
        <v>20</v>
      </c>
      <c r="D437" s="142" t="s">
        <v>1372</v>
      </c>
      <c r="E437" s="143" t="s">
        <v>1376</v>
      </c>
      <c r="F437" s="144" t="s">
        <v>22</v>
      </c>
      <c r="G437" s="145" t="s">
        <v>34</v>
      </c>
      <c r="H437" s="146" t="s">
        <v>1377</v>
      </c>
      <c r="I437" s="147">
        <v>45427</v>
      </c>
      <c r="J437" s="147">
        <v>45427</v>
      </c>
      <c r="K437" s="142" t="s">
        <v>174</v>
      </c>
      <c r="L437" s="148">
        <v>2500</v>
      </c>
      <c r="M437" s="149">
        <v>5</v>
      </c>
      <c r="N437" s="150">
        <v>20</v>
      </c>
      <c r="O437" s="151">
        <v>6</v>
      </c>
      <c r="P437" s="151">
        <v>0</v>
      </c>
      <c r="Q437" s="151">
        <v>0</v>
      </c>
      <c r="R437" s="151">
        <f>SUM(O437:Q437)</f>
        <v>6</v>
      </c>
      <c r="S437" s="142">
        <v>4</v>
      </c>
      <c r="T437" s="145" t="s">
        <v>1375</v>
      </c>
    </row>
    <row r="438" spans="1:20" ht="22.5" hidden="1" customHeight="1" x14ac:dyDescent="0.25">
      <c r="A438" s="152" t="s">
        <v>2861</v>
      </c>
      <c r="B438" s="142">
        <v>2024</v>
      </c>
      <c r="C438" s="142" t="s">
        <v>20</v>
      </c>
      <c r="D438" s="142" t="s">
        <v>1372</v>
      </c>
      <c r="E438" s="143" t="s">
        <v>1378</v>
      </c>
      <c r="F438" s="144" t="s">
        <v>22</v>
      </c>
      <c r="G438" s="145" t="s">
        <v>34</v>
      </c>
      <c r="H438" s="146" t="s">
        <v>1379</v>
      </c>
      <c r="I438" s="147">
        <v>45428</v>
      </c>
      <c r="J438" s="147">
        <v>45428</v>
      </c>
      <c r="K438" s="142" t="s">
        <v>174</v>
      </c>
      <c r="L438" s="148">
        <v>2500</v>
      </c>
      <c r="M438" s="149">
        <v>4.9000000000000004</v>
      </c>
      <c r="N438" s="150">
        <v>170</v>
      </c>
      <c r="O438" s="151">
        <v>49</v>
      </c>
      <c r="P438" s="151">
        <v>0</v>
      </c>
      <c r="Q438" s="151">
        <v>0</v>
      </c>
      <c r="R438" s="151">
        <f>SUM(O438:Q438)</f>
        <v>49</v>
      </c>
      <c r="S438" s="142">
        <v>4</v>
      </c>
      <c r="T438" s="145" t="s">
        <v>1375</v>
      </c>
    </row>
    <row r="439" spans="1:20" ht="22.5" hidden="1" customHeight="1" x14ac:dyDescent="0.25">
      <c r="A439" s="152" t="s">
        <v>2862</v>
      </c>
      <c r="B439" s="142">
        <v>2024</v>
      </c>
      <c r="C439" s="142" t="s">
        <v>20</v>
      </c>
      <c r="D439" s="142" t="s">
        <v>1372</v>
      </c>
      <c r="E439" s="143" t="s">
        <v>1378</v>
      </c>
      <c r="F439" s="144" t="s">
        <v>22</v>
      </c>
      <c r="G439" s="145" t="s">
        <v>34</v>
      </c>
      <c r="H439" s="146" t="s">
        <v>1380</v>
      </c>
      <c r="I439" s="147">
        <v>45429</v>
      </c>
      <c r="J439" s="147">
        <v>45429</v>
      </c>
      <c r="K439" s="142" t="s">
        <v>174</v>
      </c>
      <c r="L439" s="148">
        <v>1842.2</v>
      </c>
      <c r="M439" s="149">
        <v>5</v>
      </c>
      <c r="N439" s="150">
        <v>170</v>
      </c>
      <c r="O439" s="151">
        <v>20</v>
      </c>
      <c r="P439" s="151">
        <v>0</v>
      </c>
      <c r="Q439" s="151">
        <v>0</v>
      </c>
      <c r="R439" s="151">
        <f>SUM(O439:Q439)</f>
        <v>20</v>
      </c>
      <c r="S439" s="142">
        <v>4</v>
      </c>
      <c r="T439" s="145" t="s">
        <v>1375</v>
      </c>
    </row>
    <row r="440" spans="1:20" ht="22.5" hidden="1" customHeight="1" x14ac:dyDescent="0.25">
      <c r="A440" s="152" t="s">
        <v>2863</v>
      </c>
      <c r="B440" s="142">
        <v>2024</v>
      </c>
      <c r="C440" s="142" t="s">
        <v>20</v>
      </c>
      <c r="D440" s="142" t="s">
        <v>1381</v>
      </c>
      <c r="E440" s="143" t="s">
        <v>1382</v>
      </c>
      <c r="F440" s="144" t="s">
        <v>66</v>
      </c>
      <c r="G440" s="145" t="s">
        <v>59</v>
      </c>
      <c r="H440" s="146" t="s">
        <v>1383</v>
      </c>
      <c r="I440" s="147">
        <v>45432</v>
      </c>
      <c r="J440" s="147">
        <v>45436</v>
      </c>
      <c r="K440" s="142" t="s">
        <v>32</v>
      </c>
      <c r="L440" s="148">
        <v>7067.73</v>
      </c>
      <c r="M440" s="149">
        <v>4.8</v>
      </c>
      <c r="N440" s="150">
        <v>30</v>
      </c>
      <c r="O440" s="151">
        <v>0</v>
      </c>
      <c r="P440" s="151">
        <v>0</v>
      </c>
      <c r="Q440" s="151">
        <v>28</v>
      </c>
      <c r="R440" s="151">
        <f>SUM(O440:Q440)</f>
        <v>28</v>
      </c>
      <c r="S440" s="142">
        <v>12</v>
      </c>
      <c r="T440" s="145" t="s">
        <v>425</v>
      </c>
    </row>
    <row r="441" spans="1:20" ht="22.5" hidden="1" customHeight="1" x14ac:dyDescent="0.25">
      <c r="A441" s="152" t="s">
        <v>2864</v>
      </c>
      <c r="B441" s="142">
        <v>2024</v>
      </c>
      <c r="C441" s="142" t="s">
        <v>20</v>
      </c>
      <c r="D441" s="142" t="s">
        <v>1384</v>
      </c>
      <c r="E441" s="143" t="s">
        <v>1385</v>
      </c>
      <c r="F441" s="144" t="s">
        <v>22</v>
      </c>
      <c r="G441" s="145" t="s">
        <v>157</v>
      </c>
      <c r="H441" s="146" t="s">
        <v>1386</v>
      </c>
      <c r="I441" s="147">
        <v>45439</v>
      </c>
      <c r="J441" s="147">
        <v>45446</v>
      </c>
      <c r="K441" s="142" t="s">
        <v>25</v>
      </c>
      <c r="L441" s="148">
        <v>10990</v>
      </c>
      <c r="M441" s="149">
        <v>5</v>
      </c>
      <c r="N441" s="150">
        <v>20</v>
      </c>
      <c r="O441" s="151">
        <v>17</v>
      </c>
      <c r="P441" s="151">
        <v>0</v>
      </c>
      <c r="Q441" s="151">
        <v>0</v>
      </c>
      <c r="R441" s="151">
        <f>SUM(O441:Q441)</f>
        <v>17</v>
      </c>
      <c r="S441" s="142">
        <v>20</v>
      </c>
      <c r="T441" s="145" t="s">
        <v>611</v>
      </c>
    </row>
    <row r="442" spans="1:20" ht="22.5" hidden="1" customHeight="1" x14ac:dyDescent="0.25">
      <c r="A442" s="152" t="s">
        <v>2865</v>
      </c>
      <c r="B442" s="142">
        <v>2024</v>
      </c>
      <c r="C442" s="142" t="s">
        <v>20</v>
      </c>
      <c r="D442" s="142" t="s">
        <v>1387</v>
      </c>
      <c r="E442" s="143" t="s">
        <v>1388</v>
      </c>
      <c r="F442" s="144" t="s">
        <v>22</v>
      </c>
      <c r="G442" s="145" t="s">
        <v>30</v>
      </c>
      <c r="H442" s="146" t="s">
        <v>1389</v>
      </c>
      <c r="I442" s="147">
        <v>45440</v>
      </c>
      <c r="J442" s="147">
        <v>45456</v>
      </c>
      <c r="K442" s="142" t="s">
        <v>32</v>
      </c>
      <c r="L442" s="148">
        <f>8015.5+7248.86</f>
        <v>15264.36</v>
      </c>
      <c r="M442" s="149">
        <v>4.8</v>
      </c>
      <c r="N442" s="150">
        <v>20</v>
      </c>
      <c r="O442" s="151">
        <v>17</v>
      </c>
      <c r="P442" s="151">
        <v>0</v>
      </c>
      <c r="Q442" s="151">
        <v>0</v>
      </c>
      <c r="R442" s="151">
        <f>SUM(O442:Q442)</f>
        <v>17</v>
      </c>
      <c r="S442" s="142">
        <v>20</v>
      </c>
      <c r="T442" s="145" t="s">
        <v>1390</v>
      </c>
    </row>
    <row r="443" spans="1:20" ht="22.5" hidden="1" customHeight="1" x14ac:dyDescent="0.25">
      <c r="A443" s="152" t="s">
        <v>2866</v>
      </c>
      <c r="B443" s="142">
        <v>2024</v>
      </c>
      <c r="C443" s="142" t="s">
        <v>20</v>
      </c>
      <c r="D443" s="142" t="s">
        <v>1391</v>
      </c>
      <c r="E443" s="143" t="s">
        <v>1392</v>
      </c>
      <c r="F443" s="144" t="s">
        <v>51</v>
      </c>
      <c r="G443" s="145" t="s">
        <v>59</v>
      </c>
      <c r="H443" s="146" t="s">
        <v>1393</v>
      </c>
      <c r="I443" s="147">
        <v>45446</v>
      </c>
      <c r="J443" s="147">
        <v>45456</v>
      </c>
      <c r="K443" s="142" t="s">
        <v>32</v>
      </c>
      <c r="L443" s="148">
        <f>7213.94+8154.98</f>
        <v>15368.919999999998</v>
      </c>
      <c r="M443" s="149">
        <v>4.8</v>
      </c>
      <c r="N443" s="150">
        <v>40</v>
      </c>
      <c r="O443" s="151">
        <v>0</v>
      </c>
      <c r="P443" s="151">
        <v>24</v>
      </c>
      <c r="Q443" s="151">
        <v>0</v>
      </c>
      <c r="R443" s="151">
        <f>SUM(O443:Q443)</f>
        <v>24</v>
      </c>
      <c r="S443" s="142">
        <v>20</v>
      </c>
      <c r="T443" s="145" t="s">
        <v>729</v>
      </c>
    </row>
    <row r="444" spans="1:20" ht="22.5" hidden="1" customHeight="1" x14ac:dyDescent="0.25">
      <c r="A444" s="152" t="s">
        <v>2867</v>
      </c>
      <c r="B444" s="142">
        <v>2024</v>
      </c>
      <c r="C444" s="142" t="s">
        <v>20</v>
      </c>
      <c r="D444" s="142" t="s">
        <v>1394</v>
      </c>
      <c r="E444" s="143" t="s">
        <v>1395</v>
      </c>
      <c r="F444" s="144" t="s">
        <v>22</v>
      </c>
      <c r="G444" s="145" t="s">
        <v>157</v>
      </c>
      <c r="H444" s="146" t="s">
        <v>1396</v>
      </c>
      <c r="I444" s="147">
        <v>45447</v>
      </c>
      <c r="J444" s="147">
        <v>45456</v>
      </c>
      <c r="K444" s="142" t="s">
        <v>25</v>
      </c>
      <c r="L444" s="148">
        <v>6700</v>
      </c>
      <c r="M444" s="149">
        <v>4.5999999999999996</v>
      </c>
      <c r="N444" s="150">
        <v>30</v>
      </c>
      <c r="O444" s="151">
        <v>16</v>
      </c>
      <c r="P444" s="151">
        <v>0</v>
      </c>
      <c r="Q444" s="151">
        <v>0</v>
      </c>
      <c r="R444" s="151">
        <f>SUM(O444:Q444)</f>
        <v>16</v>
      </c>
      <c r="S444" s="142">
        <v>8</v>
      </c>
      <c r="T444" s="145" t="s">
        <v>812</v>
      </c>
    </row>
    <row r="445" spans="1:20" ht="22.5" hidden="1" customHeight="1" x14ac:dyDescent="0.25">
      <c r="A445" s="152" t="s">
        <v>2868</v>
      </c>
      <c r="B445" s="142">
        <v>2024</v>
      </c>
      <c r="C445" s="142" t="s">
        <v>20</v>
      </c>
      <c r="D445" s="142" t="s">
        <v>1397</v>
      </c>
      <c r="E445" s="143" t="s">
        <v>1398</v>
      </c>
      <c r="F445" s="144" t="s">
        <v>66</v>
      </c>
      <c r="G445" s="145" t="s">
        <v>59</v>
      </c>
      <c r="H445" s="146" t="s">
        <v>1399</v>
      </c>
      <c r="I445" s="147">
        <v>45456</v>
      </c>
      <c r="J445" s="147">
        <v>45457</v>
      </c>
      <c r="K445" s="142" t="s">
        <v>174</v>
      </c>
      <c r="L445" s="148">
        <v>0</v>
      </c>
      <c r="M445" s="149">
        <v>4.9000000000000004</v>
      </c>
      <c r="N445" s="150">
        <v>170</v>
      </c>
      <c r="O445" s="151">
        <v>33</v>
      </c>
      <c r="P445" s="151">
        <v>115</v>
      </c>
      <c r="Q445" s="151">
        <v>7</v>
      </c>
      <c r="R445" s="151">
        <f>SUM(O445:Q445)</f>
        <v>155</v>
      </c>
      <c r="S445" s="142">
        <v>8</v>
      </c>
      <c r="T445" s="145" t="s">
        <v>365</v>
      </c>
    </row>
    <row r="446" spans="1:20" ht="22.5" hidden="1" customHeight="1" x14ac:dyDescent="0.25">
      <c r="A446" s="152" t="s">
        <v>2869</v>
      </c>
      <c r="B446" s="142">
        <v>2024</v>
      </c>
      <c r="C446" s="142" t="s">
        <v>20</v>
      </c>
      <c r="D446" s="142" t="s">
        <v>1352</v>
      </c>
      <c r="E446" s="143" t="s">
        <v>1400</v>
      </c>
      <c r="F446" s="144" t="s">
        <v>22</v>
      </c>
      <c r="G446" s="145" t="s">
        <v>353</v>
      </c>
      <c r="H446" s="146" t="s">
        <v>1401</v>
      </c>
      <c r="I446" s="147">
        <v>45457</v>
      </c>
      <c r="J446" s="147">
        <v>45457</v>
      </c>
      <c r="K446" s="142" t="s">
        <v>25</v>
      </c>
      <c r="L446" s="148">
        <f>49600/8</f>
        <v>6200</v>
      </c>
      <c r="M446" s="149">
        <v>5</v>
      </c>
      <c r="N446" s="151">
        <v>20</v>
      </c>
      <c r="O446" s="151">
        <v>8</v>
      </c>
      <c r="P446" s="151">
        <v>0</v>
      </c>
      <c r="Q446" s="151">
        <v>0</v>
      </c>
      <c r="R446" s="151">
        <f>SUM(O446:Q446)</f>
        <v>8</v>
      </c>
      <c r="S446" s="142">
        <v>4</v>
      </c>
      <c r="T446" s="145" t="s">
        <v>1355</v>
      </c>
    </row>
    <row r="447" spans="1:20" ht="22.5" hidden="1" customHeight="1" x14ac:dyDescent="0.25">
      <c r="A447" s="152" t="s">
        <v>2870</v>
      </c>
      <c r="B447" s="142">
        <v>2024</v>
      </c>
      <c r="C447" s="142" t="s">
        <v>20</v>
      </c>
      <c r="D447" s="142" t="s">
        <v>1402</v>
      </c>
      <c r="E447" s="143" t="s">
        <v>1403</v>
      </c>
      <c r="F447" s="144" t="s">
        <v>51</v>
      </c>
      <c r="G447" s="145" t="s">
        <v>23</v>
      </c>
      <c r="H447" s="146" t="s">
        <v>1404</v>
      </c>
      <c r="I447" s="147">
        <v>45460</v>
      </c>
      <c r="J447" s="147">
        <v>45463</v>
      </c>
      <c r="K447" s="142" t="s">
        <v>32</v>
      </c>
      <c r="L447" s="148">
        <v>7934.1</v>
      </c>
      <c r="M447" s="149">
        <v>4.7</v>
      </c>
      <c r="N447" s="150">
        <v>20</v>
      </c>
      <c r="O447" s="151">
        <v>10</v>
      </c>
      <c r="P447" s="151">
        <v>0</v>
      </c>
      <c r="Q447" s="151">
        <v>0</v>
      </c>
      <c r="R447" s="151">
        <f>SUM(O447:Q447)</f>
        <v>10</v>
      </c>
      <c r="S447" s="142">
        <v>16</v>
      </c>
      <c r="T447" s="145" t="s">
        <v>1327</v>
      </c>
    </row>
    <row r="448" spans="1:20" ht="22.5" hidden="1" customHeight="1" x14ac:dyDescent="0.25">
      <c r="A448" s="152" t="s">
        <v>2871</v>
      </c>
      <c r="B448" s="142">
        <v>2024</v>
      </c>
      <c r="C448" s="142" t="s">
        <v>20</v>
      </c>
      <c r="D448" s="142" t="s">
        <v>1356</v>
      </c>
      <c r="E448" s="143" t="s">
        <v>1405</v>
      </c>
      <c r="F448" s="144" t="s">
        <v>22</v>
      </c>
      <c r="G448" s="145" t="s">
        <v>34</v>
      </c>
      <c r="H448" s="146" t="s">
        <v>1404</v>
      </c>
      <c r="I448" s="147">
        <v>45460</v>
      </c>
      <c r="J448" s="147">
        <v>45463</v>
      </c>
      <c r="K448" s="142" t="s">
        <v>32</v>
      </c>
      <c r="L448" s="148">
        <v>10250.44</v>
      </c>
      <c r="M448" s="149">
        <v>4.9000000000000004</v>
      </c>
      <c r="N448" s="150">
        <v>20</v>
      </c>
      <c r="O448" s="151">
        <v>15</v>
      </c>
      <c r="P448" s="151">
        <v>0</v>
      </c>
      <c r="Q448" s="151">
        <v>0</v>
      </c>
      <c r="R448" s="151">
        <f>SUM(O448:Q448)</f>
        <v>15</v>
      </c>
      <c r="S448" s="142">
        <v>16</v>
      </c>
      <c r="T448" s="145" t="s">
        <v>1359</v>
      </c>
    </row>
    <row r="449" spans="1:20" ht="22.5" hidden="1" customHeight="1" x14ac:dyDescent="0.25">
      <c r="A449" s="152" t="s">
        <v>2872</v>
      </c>
      <c r="B449" s="142">
        <v>2024</v>
      </c>
      <c r="C449" s="142" t="s">
        <v>20</v>
      </c>
      <c r="D449" s="142" t="s">
        <v>1406</v>
      </c>
      <c r="E449" s="143" t="s">
        <v>1407</v>
      </c>
      <c r="F449" s="144" t="s">
        <v>22</v>
      </c>
      <c r="G449" s="145" t="s">
        <v>283</v>
      </c>
      <c r="H449" s="146" t="s">
        <v>1408</v>
      </c>
      <c r="I449" s="147">
        <v>45461</v>
      </c>
      <c r="J449" s="147">
        <v>45464</v>
      </c>
      <c r="K449" s="142" t="s">
        <v>32</v>
      </c>
      <c r="L449" s="148">
        <v>0</v>
      </c>
      <c r="M449" s="149">
        <v>5</v>
      </c>
      <c r="N449" s="150">
        <v>51</v>
      </c>
      <c r="O449" s="151">
        <v>51</v>
      </c>
      <c r="P449" s="151">
        <v>0</v>
      </c>
      <c r="Q449" s="151">
        <v>0</v>
      </c>
      <c r="R449" s="151">
        <f>SUM(O449:Q449)</f>
        <v>51</v>
      </c>
      <c r="S449" s="142">
        <v>16</v>
      </c>
      <c r="T449" s="145" t="s">
        <v>365</v>
      </c>
    </row>
    <row r="450" spans="1:20" ht="22.5" hidden="1" customHeight="1" x14ac:dyDescent="0.25">
      <c r="A450" s="152" t="s">
        <v>2873</v>
      </c>
      <c r="B450" s="142">
        <v>2024</v>
      </c>
      <c r="C450" s="142" t="s">
        <v>20</v>
      </c>
      <c r="D450" s="142" t="s">
        <v>1328</v>
      </c>
      <c r="E450" s="143" t="s">
        <v>1409</v>
      </c>
      <c r="F450" s="144" t="s">
        <v>22</v>
      </c>
      <c r="G450" s="145" t="s">
        <v>23</v>
      </c>
      <c r="H450" s="146" t="s">
        <v>1410</v>
      </c>
      <c r="I450" s="147">
        <v>45461</v>
      </c>
      <c r="J450" s="147">
        <v>45469</v>
      </c>
      <c r="K450" s="142" t="s">
        <v>25</v>
      </c>
      <c r="L450" s="148">
        <v>17000</v>
      </c>
      <c r="M450" s="149">
        <v>4.7</v>
      </c>
      <c r="N450" s="150">
        <v>25</v>
      </c>
      <c r="O450" s="151">
        <v>52</v>
      </c>
      <c r="P450" s="151">
        <v>0</v>
      </c>
      <c r="Q450" s="151">
        <v>0</v>
      </c>
      <c r="R450" s="151">
        <f>SUM(O450:Q450)</f>
        <v>52</v>
      </c>
      <c r="S450" s="142">
        <v>16</v>
      </c>
      <c r="T450" s="145" t="s">
        <v>1331</v>
      </c>
    </row>
    <row r="451" spans="1:20" ht="22.5" hidden="1" customHeight="1" x14ac:dyDescent="0.25">
      <c r="A451" s="152" t="s">
        <v>2874</v>
      </c>
      <c r="B451" s="142">
        <v>2024</v>
      </c>
      <c r="C451" s="142" t="s">
        <v>20</v>
      </c>
      <c r="D451" s="142" t="s">
        <v>1352</v>
      </c>
      <c r="E451" s="143" t="s">
        <v>1411</v>
      </c>
      <c r="F451" s="144" t="s">
        <v>22</v>
      </c>
      <c r="G451" s="145" t="s">
        <v>353</v>
      </c>
      <c r="H451" s="146" t="s">
        <v>1412</v>
      </c>
      <c r="I451" s="147">
        <v>45464</v>
      </c>
      <c r="J451" s="147">
        <v>45464</v>
      </c>
      <c r="K451" s="142" t="s">
        <v>25</v>
      </c>
      <c r="L451" s="148">
        <f>49600/8</f>
        <v>6200</v>
      </c>
      <c r="M451" s="149">
        <v>4.8</v>
      </c>
      <c r="N451" s="151">
        <v>20</v>
      </c>
      <c r="O451" s="151">
        <v>13</v>
      </c>
      <c r="P451" s="151">
        <v>0</v>
      </c>
      <c r="Q451" s="151">
        <v>0</v>
      </c>
      <c r="R451" s="151">
        <f>SUM(O451:Q451)</f>
        <v>13</v>
      </c>
      <c r="S451" s="142">
        <v>4</v>
      </c>
      <c r="T451" s="145" t="s">
        <v>1355</v>
      </c>
    </row>
    <row r="452" spans="1:20" ht="22.5" hidden="1" customHeight="1" x14ac:dyDescent="0.25">
      <c r="A452" s="152" t="s">
        <v>2875</v>
      </c>
      <c r="B452" s="142">
        <v>2024</v>
      </c>
      <c r="C452" s="142" t="s">
        <v>20</v>
      </c>
      <c r="D452" s="142" t="s">
        <v>1413</v>
      </c>
      <c r="E452" s="143" t="s">
        <v>1414</v>
      </c>
      <c r="F452" s="144" t="s">
        <v>22</v>
      </c>
      <c r="G452" s="145" t="s">
        <v>353</v>
      </c>
      <c r="H452" s="146" t="s">
        <v>1415</v>
      </c>
      <c r="I452" s="147">
        <v>45467</v>
      </c>
      <c r="J452" s="147">
        <v>45467</v>
      </c>
      <c r="K452" s="142" t="s">
        <v>32</v>
      </c>
      <c r="L452" s="148">
        <v>2500</v>
      </c>
      <c r="M452" s="149">
        <v>4.8</v>
      </c>
      <c r="N452" s="150">
        <v>170</v>
      </c>
      <c r="O452" s="151">
        <v>90</v>
      </c>
      <c r="P452" s="151">
        <v>0</v>
      </c>
      <c r="Q452" s="151">
        <v>0</v>
      </c>
      <c r="R452" s="151">
        <f>SUM(O452:Q452)</f>
        <v>90</v>
      </c>
      <c r="S452" s="142">
        <v>3</v>
      </c>
      <c r="T452" s="145" t="s">
        <v>1306</v>
      </c>
    </row>
    <row r="453" spans="1:20" ht="22.5" hidden="1" customHeight="1" x14ac:dyDescent="0.25">
      <c r="A453" s="152" t="s">
        <v>2876</v>
      </c>
      <c r="B453" s="142">
        <v>2024</v>
      </c>
      <c r="C453" s="142" t="s">
        <v>20</v>
      </c>
      <c r="D453" s="142" t="s">
        <v>1328</v>
      </c>
      <c r="E453" s="143" t="s">
        <v>1416</v>
      </c>
      <c r="F453" s="144" t="s">
        <v>22</v>
      </c>
      <c r="G453" s="145" t="s">
        <v>23</v>
      </c>
      <c r="H453" s="146" t="s">
        <v>1417</v>
      </c>
      <c r="I453" s="147">
        <v>45470</v>
      </c>
      <c r="J453" s="147">
        <v>45470</v>
      </c>
      <c r="K453" s="142" t="s">
        <v>32</v>
      </c>
      <c r="L453" s="148">
        <v>1281.3</v>
      </c>
      <c r="M453" s="149">
        <v>4.7</v>
      </c>
      <c r="N453" s="150">
        <v>20</v>
      </c>
      <c r="O453" s="151">
        <v>11</v>
      </c>
      <c r="P453" s="151">
        <v>0</v>
      </c>
      <c r="Q453" s="151">
        <v>0</v>
      </c>
      <c r="R453" s="151">
        <f>SUM(O453:Q453)</f>
        <v>11</v>
      </c>
      <c r="S453" s="142">
        <v>2</v>
      </c>
      <c r="T453" s="145" t="s">
        <v>167</v>
      </c>
    </row>
    <row r="454" spans="1:20" ht="22.5" hidden="1" customHeight="1" x14ac:dyDescent="0.25">
      <c r="A454" s="152" t="s">
        <v>2877</v>
      </c>
      <c r="B454" s="142">
        <v>2024</v>
      </c>
      <c r="C454" s="142" t="s">
        <v>20</v>
      </c>
      <c r="D454" s="142" t="s">
        <v>1406</v>
      </c>
      <c r="E454" s="143" t="s">
        <v>1418</v>
      </c>
      <c r="F454" s="144" t="s">
        <v>22</v>
      </c>
      <c r="G454" s="145" t="s">
        <v>283</v>
      </c>
      <c r="H454" s="146" t="s">
        <v>1419</v>
      </c>
      <c r="I454" s="147">
        <v>45471</v>
      </c>
      <c r="J454" s="147">
        <v>45471</v>
      </c>
      <c r="K454" s="142" t="s">
        <v>32</v>
      </c>
      <c r="L454" s="148">
        <v>1520.37</v>
      </c>
      <c r="M454" s="149">
        <v>5</v>
      </c>
      <c r="N454" s="150">
        <v>51</v>
      </c>
      <c r="O454" s="151">
        <v>50</v>
      </c>
      <c r="P454" s="151">
        <v>0</v>
      </c>
      <c r="Q454" s="151">
        <v>0</v>
      </c>
      <c r="R454" s="151">
        <f>SUM(O454:Q454)</f>
        <v>50</v>
      </c>
      <c r="S454" s="142">
        <v>2</v>
      </c>
      <c r="T454" s="162" t="s">
        <v>1420</v>
      </c>
    </row>
    <row r="455" spans="1:20" ht="22.5" hidden="1" customHeight="1" x14ac:dyDescent="0.25">
      <c r="A455" s="152" t="s">
        <v>2878</v>
      </c>
      <c r="B455" s="142">
        <v>2024</v>
      </c>
      <c r="C455" s="142" t="s">
        <v>20</v>
      </c>
      <c r="D455" s="142" t="s">
        <v>1352</v>
      </c>
      <c r="E455" s="143" t="s">
        <v>1421</v>
      </c>
      <c r="F455" s="144" t="s">
        <v>22</v>
      </c>
      <c r="G455" s="145" t="s">
        <v>353</v>
      </c>
      <c r="H455" s="146" t="s">
        <v>1419</v>
      </c>
      <c r="I455" s="147">
        <v>45471</v>
      </c>
      <c r="J455" s="147">
        <v>45471</v>
      </c>
      <c r="K455" s="142" t="s">
        <v>25</v>
      </c>
      <c r="L455" s="148">
        <f>49600/8</f>
        <v>6200</v>
      </c>
      <c r="M455" s="149">
        <v>5</v>
      </c>
      <c r="N455" s="151">
        <v>20</v>
      </c>
      <c r="O455" s="151">
        <v>8</v>
      </c>
      <c r="P455" s="151">
        <v>0</v>
      </c>
      <c r="Q455" s="151">
        <v>0</v>
      </c>
      <c r="R455" s="151">
        <f>SUM(O455:Q455)</f>
        <v>8</v>
      </c>
      <c r="S455" s="142">
        <v>4</v>
      </c>
      <c r="T455" s="145" t="s">
        <v>1355</v>
      </c>
    </row>
    <row r="456" spans="1:20" ht="22.5" hidden="1" customHeight="1" x14ac:dyDescent="0.25">
      <c r="A456" s="152" t="s">
        <v>2879</v>
      </c>
      <c r="B456" s="142">
        <v>2024</v>
      </c>
      <c r="C456" s="142" t="s">
        <v>20</v>
      </c>
      <c r="D456" s="142"/>
      <c r="E456" s="143" t="s">
        <v>1422</v>
      </c>
      <c r="F456" s="144" t="s">
        <v>22</v>
      </c>
      <c r="G456" s="145" t="s">
        <v>157</v>
      </c>
      <c r="H456" s="163" t="s">
        <v>1419</v>
      </c>
      <c r="I456" s="147">
        <v>45471</v>
      </c>
      <c r="J456" s="147">
        <v>45471</v>
      </c>
      <c r="K456" s="142"/>
      <c r="L456" s="148"/>
      <c r="M456" s="149"/>
      <c r="N456" s="150"/>
      <c r="O456" s="151">
        <v>0</v>
      </c>
      <c r="P456" s="151">
        <v>0</v>
      </c>
      <c r="Q456" s="151">
        <v>0</v>
      </c>
      <c r="R456" s="151">
        <f>SUM(O456:Q456)</f>
        <v>0</v>
      </c>
      <c r="S456" s="142"/>
      <c r="T456" s="145"/>
    </row>
    <row r="457" spans="1:20" ht="22.5" hidden="1" customHeight="1" x14ac:dyDescent="0.25">
      <c r="A457" s="152" t="s">
        <v>2880</v>
      </c>
      <c r="B457" s="142">
        <v>2024</v>
      </c>
      <c r="C457" s="142" t="s">
        <v>20</v>
      </c>
      <c r="D457" s="142" t="s">
        <v>1423</v>
      </c>
      <c r="E457" s="143" t="s">
        <v>1424</v>
      </c>
      <c r="F457" s="144" t="s">
        <v>22</v>
      </c>
      <c r="G457" s="145" t="s">
        <v>34</v>
      </c>
      <c r="H457" s="146" t="s">
        <v>1425</v>
      </c>
      <c r="I457" s="147">
        <v>45474</v>
      </c>
      <c r="J457" s="147">
        <v>45478</v>
      </c>
      <c r="K457" s="142" t="s">
        <v>32</v>
      </c>
      <c r="L457" s="148">
        <v>12813.06</v>
      </c>
      <c r="M457" s="149">
        <v>4.9000000000000004</v>
      </c>
      <c r="N457" s="150">
        <v>20</v>
      </c>
      <c r="O457" s="151">
        <v>23</v>
      </c>
      <c r="P457" s="151">
        <v>0</v>
      </c>
      <c r="Q457" s="151">
        <v>0</v>
      </c>
      <c r="R457" s="151">
        <f>SUM(O457:Q457)</f>
        <v>23</v>
      </c>
      <c r="S457" s="142">
        <v>20</v>
      </c>
      <c r="T457" s="145" t="s">
        <v>1359</v>
      </c>
    </row>
    <row r="458" spans="1:20" ht="22.5" hidden="1" customHeight="1" x14ac:dyDescent="0.25">
      <c r="A458" s="152" t="s">
        <v>2881</v>
      </c>
      <c r="B458" s="142">
        <v>2024</v>
      </c>
      <c r="C458" s="142" t="s">
        <v>20</v>
      </c>
      <c r="D458" s="142" t="s">
        <v>1426</v>
      </c>
      <c r="E458" s="143" t="s">
        <v>1427</v>
      </c>
      <c r="F458" s="144" t="s">
        <v>22</v>
      </c>
      <c r="G458" s="145" t="s">
        <v>283</v>
      </c>
      <c r="H458" s="146" t="s">
        <v>1428</v>
      </c>
      <c r="I458" s="147">
        <v>45474</v>
      </c>
      <c r="J458" s="147">
        <v>45492</v>
      </c>
      <c r="K458" s="142" t="s">
        <v>32</v>
      </c>
      <c r="L458" s="148">
        <v>53208.480000000003</v>
      </c>
      <c r="M458" s="149">
        <v>4.9000000000000004</v>
      </c>
      <c r="N458" s="150">
        <v>23</v>
      </c>
      <c r="O458" s="151">
        <v>23</v>
      </c>
      <c r="P458" s="151">
        <v>0</v>
      </c>
      <c r="Q458" s="151">
        <v>0</v>
      </c>
      <c r="R458" s="151">
        <f>SUM(O458:Q458)</f>
        <v>23</v>
      </c>
      <c r="S458" s="142">
        <v>76</v>
      </c>
      <c r="T458" s="145" t="s">
        <v>365</v>
      </c>
    </row>
    <row r="459" spans="1:20" ht="22.5" hidden="1" customHeight="1" x14ac:dyDescent="0.25">
      <c r="A459" s="152" t="s">
        <v>2882</v>
      </c>
      <c r="B459" s="142">
        <v>2024</v>
      </c>
      <c r="C459" s="142" t="s">
        <v>20</v>
      </c>
      <c r="D459" s="142" t="s">
        <v>1429</v>
      </c>
      <c r="E459" s="143" t="s">
        <v>1430</v>
      </c>
      <c r="F459" s="144" t="s">
        <v>51</v>
      </c>
      <c r="G459" s="145" t="s">
        <v>59</v>
      </c>
      <c r="H459" s="146" t="s">
        <v>1431</v>
      </c>
      <c r="I459" s="147">
        <v>45475</v>
      </c>
      <c r="J459" s="147">
        <v>45477</v>
      </c>
      <c r="K459" s="142" t="s">
        <v>32</v>
      </c>
      <c r="L459" s="148">
        <v>9416.2800000000007</v>
      </c>
      <c r="M459" s="149">
        <v>4.5999999999999996</v>
      </c>
      <c r="N459" s="150">
        <v>80</v>
      </c>
      <c r="O459" s="151">
        <v>0</v>
      </c>
      <c r="P459" s="151">
        <v>89</v>
      </c>
      <c r="Q459" s="151">
        <v>0</v>
      </c>
      <c r="R459" s="151">
        <f>SUM(O459:Q459)</f>
        <v>89</v>
      </c>
      <c r="S459" s="142">
        <v>12</v>
      </c>
      <c r="T459" s="162" t="s">
        <v>1432</v>
      </c>
    </row>
    <row r="460" spans="1:20" ht="22.5" hidden="1" customHeight="1" x14ac:dyDescent="0.25">
      <c r="A460" s="152" t="s">
        <v>2883</v>
      </c>
      <c r="B460" s="142">
        <v>2024</v>
      </c>
      <c r="C460" s="142" t="s">
        <v>20</v>
      </c>
      <c r="D460" s="142" t="s">
        <v>1433</v>
      </c>
      <c r="E460" s="143" t="s">
        <v>1434</v>
      </c>
      <c r="F460" s="144" t="s">
        <v>22</v>
      </c>
      <c r="G460" s="145" t="s">
        <v>56</v>
      </c>
      <c r="H460" s="146" t="s">
        <v>1435</v>
      </c>
      <c r="I460" s="147">
        <v>45476</v>
      </c>
      <c r="J460" s="147">
        <v>45476</v>
      </c>
      <c r="K460" s="142" t="s">
        <v>25</v>
      </c>
      <c r="L460" s="148">
        <v>23750</v>
      </c>
      <c r="M460" s="149">
        <v>4.8</v>
      </c>
      <c r="N460" s="150">
        <v>40</v>
      </c>
      <c r="O460" s="151">
        <v>22</v>
      </c>
      <c r="P460" s="151">
        <v>0</v>
      </c>
      <c r="Q460" s="151">
        <v>0</v>
      </c>
      <c r="R460" s="151">
        <f>SUM(O460:Q460)</f>
        <v>22</v>
      </c>
      <c r="S460" s="142">
        <v>19</v>
      </c>
      <c r="T460" s="145" t="s">
        <v>573</v>
      </c>
    </row>
    <row r="461" spans="1:20" ht="22.5" hidden="1" customHeight="1" x14ac:dyDescent="0.25">
      <c r="A461" s="152" t="s">
        <v>2884</v>
      </c>
      <c r="B461" s="142">
        <v>2024</v>
      </c>
      <c r="C461" s="142" t="s">
        <v>20</v>
      </c>
      <c r="D461" s="142" t="s">
        <v>1352</v>
      </c>
      <c r="E461" s="143" t="s">
        <v>1436</v>
      </c>
      <c r="F461" s="144" t="s">
        <v>22</v>
      </c>
      <c r="G461" s="145" t="s">
        <v>353</v>
      </c>
      <c r="H461" s="164" t="s">
        <v>1437</v>
      </c>
      <c r="I461" s="147">
        <v>45478</v>
      </c>
      <c r="J461" s="147">
        <v>45478</v>
      </c>
      <c r="K461" s="142" t="s">
        <v>25</v>
      </c>
      <c r="L461" s="148">
        <f>49600/8</f>
        <v>6200</v>
      </c>
      <c r="M461" s="149">
        <v>5</v>
      </c>
      <c r="N461" s="150">
        <v>20</v>
      </c>
      <c r="O461" s="151">
        <v>11</v>
      </c>
      <c r="P461" s="151">
        <v>0</v>
      </c>
      <c r="Q461" s="151">
        <v>0</v>
      </c>
      <c r="R461" s="151">
        <f>SUM(O461:Q461)</f>
        <v>11</v>
      </c>
      <c r="S461" s="142">
        <v>4</v>
      </c>
      <c r="T461" s="145" t="s">
        <v>1355</v>
      </c>
    </row>
    <row r="462" spans="1:20" ht="22.5" hidden="1" customHeight="1" x14ac:dyDescent="0.25">
      <c r="A462" s="152" t="s">
        <v>2885</v>
      </c>
      <c r="B462" s="142">
        <v>2024</v>
      </c>
      <c r="C462" s="142" t="s">
        <v>20</v>
      </c>
      <c r="D462" s="142" t="s">
        <v>1438</v>
      </c>
      <c r="E462" s="143" t="s">
        <v>1439</v>
      </c>
      <c r="F462" s="144" t="s">
        <v>22</v>
      </c>
      <c r="G462" s="145" t="s">
        <v>34</v>
      </c>
      <c r="H462" s="164" t="s">
        <v>1440</v>
      </c>
      <c r="I462" s="147">
        <v>45495</v>
      </c>
      <c r="J462" s="147">
        <v>45498</v>
      </c>
      <c r="K462" s="142" t="s">
        <v>32</v>
      </c>
      <c r="L462" s="148">
        <v>6800.66</v>
      </c>
      <c r="M462" s="149">
        <v>4.9000000000000004</v>
      </c>
      <c r="N462" s="150">
        <v>20</v>
      </c>
      <c r="O462" s="151">
        <v>21</v>
      </c>
      <c r="P462" s="151">
        <v>0</v>
      </c>
      <c r="Q462" s="151">
        <v>0</v>
      </c>
      <c r="R462" s="151">
        <f>SUM(O462:Q462)</f>
        <v>21</v>
      </c>
      <c r="S462" s="142">
        <v>12</v>
      </c>
      <c r="T462" s="145" t="s">
        <v>1441</v>
      </c>
    </row>
    <row r="463" spans="1:20" ht="22.5" hidden="1" customHeight="1" x14ac:dyDescent="0.25">
      <c r="A463" s="152" t="s">
        <v>2886</v>
      </c>
      <c r="B463" s="142">
        <v>2024</v>
      </c>
      <c r="C463" s="142" t="s">
        <v>20</v>
      </c>
      <c r="D463" s="142" t="s">
        <v>1442</v>
      </c>
      <c r="E463" s="143" t="s">
        <v>1443</v>
      </c>
      <c r="F463" s="144" t="s">
        <v>22</v>
      </c>
      <c r="G463" s="145" t="s">
        <v>23</v>
      </c>
      <c r="H463" s="146" t="s">
        <v>1444</v>
      </c>
      <c r="I463" s="147">
        <v>45497</v>
      </c>
      <c r="J463" s="147">
        <v>45501</v>
      </c>
      <c r="K463" s="142" t="s">
        <v>32</v>
      </c>
      <c r="L463" s="148">
        <v>10250.44</v>
      </c>
      <c r="M463" s="149">
        <v>4.8</v>
      </c>
      <c r="N463" s="150">
        <v>51</v>
      </c>
      <c r="O463" s="151">
        <v>51</v>
      </c>
      <c r="P463" s="151">
        <v>0</v>
      </c>
      <c r="Q463" s="151">
        <v>0</v>
      </c>
      <c r="R463" s="151">
        <f>SUM(O463:Q463)</f>
        <v>51</v>
      </c>
      <c r="S463" s="142">
        <v>16</v>
      </c>
      <c r="T463" s="162" t="s">
        <v>425</v>
      </c>
    </row>
    <row r="464" spans="1:20" ht="22.5" hidden="1" customHeight="1" x14ac:dyDescent="0.25">
      <c r="A464" s="152" t="s">
        <v>2887</v>
      </c>
      <c r="B464" s="142">
        <v>2024</v>
      </c>
      <c r="C464" s="142" t="s">
        <v>20</v>
      </c>
      <c r="D464" s="142" t="s">
        <v>1352</v>
      </c>
      <c r="E464" s="143" t="s">
        <v>1445</v>
      </c>
      <c r="F464" s="144" t="s">
        <v>22</v>
      </c>
      <c r="G464" s="145" t="s">
        <v>353</v>
      </c>
      <c r="H464" s="146" t="s">
        <v>1446</v>
      </c>
      <c r="I464" s="147">
        <v>45499</v>
      </c>
      <c r="J464" s="147">
        <v>45499</v>
      </c>
      <c r="K464" s="142" t="s">
        <v>25</v>
      </c>
      <c r="L464" s="148">
        <f>49600/8</f>
        <v>6200</v>
      </c>
      <c r="M464" s="149">
        <v>5</v>
      </c>
      <c r="N464" s="150">
        <v>20</v>
      </c>
      <c r="O464" s="151">
        <v>7</v>
      </c>
      <c r="P464" s="151">
        <v>0</v>
      </c>
      <c r="Q464" s="151">
        <v>0</v>
      </c>
      <c r="R464" s="151">
        <f>SUM(O464:Q464)</f>
        <v>7</v>
      </c>
      <c r="S464" s="142">
        <v>4</v>
      </c>
      <c r="T464" s="145" t="s">
        <v>1355</v>
      </c>
    </row>
    <row r="465" spans="1:20" ht="22.5" hidden="1" customHeight="1" x14ac:dyDescent="0.25">
      <c r="A465" s="152" t="s">
        <v>2888</v>
      </c>
      <c r="B465" s="142">
        <v>2024</v>
      </c>
      <c r="C465" s="142" t="s">
        <v>20</v>
      </c>
      <c r="D465" s="142" t="s">
        <v>1447</v>
      </c>
      <c r="E465" s="143" t="s">
        <v>1448</v>
      </c>
      <c r="F465" s="144" t="s">
        <v>22</v>
      </c>
      <c r="G465" s="145" t="s">
        <v>23</v>
      </c>
      <c r="H465" s="146" t="s">
        <v>1449</v>
      </c>
      <c r="I465" s="147">
        <v>45502</v>
      </c>
      <c r="J465" s="147">
        <v>45506</v>
      </c>
      <c r="K465" s="142" t="s">
        <v>32</v>
      </c>
      <c r="L465" s="148">
        <v>9416.4599999999991</v>
      </c>
      <c r="M465" s="149">
        <v>4.9000000000000004</v>
      </c>
      <c r="N465" s="150">
        <v>20</v>
      </c>
      <c r="O465" s="151">
        <v>22</v>
      </c>
      <c r="P465" s="151">
        <v>0</v>
      </c>
      <c r="Q465" s="151">
        <v>0</v>
      </c>
      <c r="R465" s="151">
        <f>SUM(O465:Q465)</f>
        <v>22</v>
      </c>
      <c r="S465" s="142">
        <v>12</v>
      </c>
      <c r="T465" s="145" t="s">
        <v>1450</v>
      </c>
    </row>
    <row r="466" spans="1:20" ht="22.5" hidden="1" customHeight="1" x14ac:dyDescent="0.25">
      <c r="A466" s="152" t="s">
        <v>2889</v>
      </c>
      <c r="B466" s="142">
        <v>2024</v>
      </c>
      <c r="C466" s="142" t="s">
        <v>20</v>
      </c>
      <c r="D466" s="142" t="s">
        <v>1451</v>
      </c>
      <c r="E466" s="143" t="s">
        <v>1452</v>
      </c>
      <c r="F466" s="144" t="s">
        <v>66</v>
      </c>
      <c r="G466" s="145" t="s">
        <v>56</v>
      </c>
      <c r="H466" s="146" t="s">
        <v>1453</v>
      </c>
      <c r="I466" s="147">
        <v>45502</v>
      </c>
      <c r="J466" s="147">
        <v>45504</v>
      </c>
      <c r="K466" s="142" t="s">
        <v>174</v>
      </c>
      <c r="L466" s="148">
        <v>0</v>
      </c>
      <c r="M466" s="149">
        <v>4.9000000000000004</v>
      </c>
      <c r="N466" s="150">
        <v>170</v>
      </c>
      <c r="O466" s="151">
        <v>23</v>
      </c>
      <c r="P466" s="151">
        <v>34</v>
      </c>
      <c r="Q466" s="151">
        <v>156</v>
      </c>
      <c r="R466" s="151">
        <f>SUM(O466:Q466)</f>
        <v>213</v>
      </c>
      <c r="S466" s="142">
        <v>24</v>
      </c>
      <c r="T466" s="145" t="s">
        <v>365</v>
      </c>
    </row>
    <row r="467" spans="1:20" ht="22.5" hidden="1" customHeight="1" x14ac:dyDescent="0.25">
      <c r="A467" s="152" t="s">
        <v>2890</v>
      </c>
      <c r="B467" s="142">
        <v>2024</v>
      </c>
      <c r="C467" s="142" t="s">
        <v>20</v>
      </c>
      <c r="D467" s="142" t="s">
        <v>1451</v>
      </c>
      <c r="E467" s="143" t="s">
        <v>1454</v>
      </c>
      <c r="F467" s="165" t="s">
        <v>22</v>
      </c>
      <c r="G467" s="145" t="s">
        <v>56</v>
      </c>
      <c r="H467" s="146" t="s">
        <v>1455</v>
      </c>
      <c r="I467" s="147">
        <v>45504</v>
      </c>
      <c r="J467" s="147">
        <v>45505</v>
      </c>
      <c r="K467" s="142" t="s">
        <v>25</v>
      </c>
      <c r="L467" s="148">
        <v>0</v>
      </c>
      <c r="M467" s="149">
        <v>4.9000000000000004</v>
      </c>
      <c r="N467" s="150">
        <v>80</v>
      </c>
      <c r="O467" s="151">
        <v>22</v>
      </c>
      <c r="P467" s="151">
        <v>0</v>
      </c>
      <c r="Q467" s="151">
        <v>70</v>
      </c>
      <c r="R467" s="151">
        <f>SUM(O467:Q467)</f>
        <v>92</v>
      </c>
      <c r="S467" s="142">
        <v>8</v>
      </c>
      <c r="T467" s="145" t="s">
        <v>365</v>
      </c>
    </row>
    <row r="468" spans="1:20" ht="22.5" hidden="1" customHeight="1" x14ac:dyDescent="0.25">
      <c r="A468" s="152" t="s">
        <v>2891</v>
      </c>
      <c r="B468" s="142">
        <v>2024</v>
      </c>
      <c r="C468" s="142" t="s">
        <v>20</v>
      </c>
      <c r="D468" s="142" t="s">
        <v>1456</v>
      </c>
      <c r="E468" s="143" t="s">
        <v>1457</v>
      </c>
      <c r="F468" s="144" t="s">
        <v>22</v>
      </c>
      <c r="G468" s="145" t="s">
        <v>34</v>
      </c>
      <c r="H468" s="146" t="s">
        <v>1458</v>
      </c>
      <c r="I468" s="147">
        <v>45510</v>
      </c>
      <c r="J468" s="147">
        <v>45512</v>
      </c>
      <c r="K468" s="142" t="s">
        <v>32</v>
      </c>
      <c r="L468" s="148">
        <v>2043.6</v>
      </c>
      <c r="M468" s="149">
        <v>4.7</v>
      </c>
      <c r="N468" s="150">
        <v>20</v>
      </c>
      <c r="O468" s="151">
        <v>18</v>
      </c>
      <c r="P468" s="151">
        <v>0</v>
      </c>
      <c r="Q468" s="151">
        <v>0</v>
      </c>
      <c r="R468" s="151">
        <f>SUM(O468:Q468)</f>
        <v>18</v>
      </c>
      <c r="S468" s="142">
        <v>4</v>
      </c>
      <c r="T468" s="145" t="s">
        <v>1459</v>
      </c>
    </row>
    <row r="469" spans="1:20" ht="22.5" hidden="1" customHeight="1" x14ac:dyDescent="0.25">
      <c r="A469" s="152" t="s">
        <v>2892</v>
      </c>
      <c r="B469" s="142">
        <v>2024</v>
      </c>
      <c r="C469" s="142" t="s">
        <v>20</v>
      </c>
      <c r="D469" s="142" t="s">
        <v>1352</v>
      </c>
      <c r="E469" s="143" t="s">
        <v>1460</v>
      </c>
      <c r="F469" s="144" t="s">
        <v>22</v>
      </c>
      <c r="G469" s="145" t="s">
        <v>353</v>
      </c>
      <c r="H469" s="146" t="s">
        <v>1461</v>
      </c>
      <c r="I469" s="147">
        <v>45513</v>
      </c>
      <c r="J469" s="147">
        <v>45513</v>
      </c>
      <c r="K469" s="142" t="s">
        <v>25</v>
      </c>
      <c r="L469" s="148">
        <f>49600/8</f>
        <v>6200</v>
      </c>
      <c r="M469" s="149">
        <v>4.8</v>
      </c>
      <c r="N469" s="150">
        <v>20</v>
      </c>
      <c r="O469" s="151">
        <v>8</v>
      </c>
      <c r="P469" s="151">
        <v>0</v>
      </c>
      <c r="Q469" s="151">
        <v>0</v>
      </c>
      <c r="R469" s="151">
        <f>SUM(O469:Q469)</f>
        <v>8</v>
      </c>
      <c r="S469" s="142">
        <v>4</v>
      </c>
      <c r="T469" s="145" t="s">
        <v>1355</v>
      </c>
    </row>
    <row r="470" spans="1:20" ht="22.5" hidden="1" customHeight="1" x14ac:dyDescent="0.25">
      <c r="A470" s="152" t="s">
        <v>2893</v>
      </c>
      <c r="B470" s="142">
        <v>2024</v>
      </c>
      <c r="C470" s="142" t="s">
        <v>20</v>
      </c>
      <c r="D470" s="142" t="s">
        <v>1352</v>
      </c>
      <c r="E470" s="143" t="s">
        <v>1462</v>
      </c>
      <c r="F470" s="144" t="s">
        <v>22</v>
      </c>
      <c r="G470" s="145" t="s">
        <v>353</v>
      </c>
      <c r="H470" s="146" t="s">
        <v>1463</v>
      </c>
      <c r="I470" s="147">
        <v>45513</v>
      </c>
      <c r="J470" s="147">
        <v>45513</v>
      </c>
      <c r="K470" s="142" t="s">
        <v>25</v>
      </c>
      <c r="L470" s="148">
        <f>49600/8</f>
        <v>6200</v>
      </c>
      <c r="M470" s="149">
        <v>4.8</v>
      </c>
      <c r="N470" s="150">
        <v>20</v>
      </c>
      <c r="O470" s="151">
        <v>8</v>
      </c>
      <c r="P470" s="151">
        <v>0</v>
      </c>
      <c r="Q470" s="151">
        <v>0</v>
      </c>
      <c r="R470" s="151">
        <f>SUM(O470:Q470)</f>
        <v>8</v>
      </c>
      <c r="S470" s="142">
        <v>4</v>
      </c>
      <c r="T470" s="145" t="s">
        <v>1355</v>
      </c>
    </row>
    <row r="471" spans="1:20" ht="22.5" hidden="1" customHeight="1" x14ac:dyDescent="0.25">
      <c r="A471" s="152" t="s">
        <v>2894</v>
      </c>
      <c r="B471" s="142">
        <v>2024</v>
      </c>
      <c r="C471" s="142" t="s">
        <v>20</v>
      </c>
      <c r="D471" s="142" t="s">
        <v>1464</v>
      </c>
      <c r="E471" s="143" t="s">
        <v>1465</v>
      </c>
      <c r="F471" s="144" t="s">
        <v>51</v>
      </c>
      <c r="G471" s="145" t="s">
        <v>59</v>
      </c>
      <c r="H471" s="146" t="s">
        <v>1466</v>
      </c>
      <c r="I471" s="147">
        <v>45519</v>
      </c>
      <c r="J471" s="147">
        <v>45520</v>
      </c>
      <c r="K471" s="142" t="s">
        <v>32</v>
      </c>
      <c r="L471" s="148">
        <f>566.73+2864.85</f>
        <v>3431.58</v>
      </c>
      <c r="M471" s="149">
        <v>4.9000000000000004</v>
      </c>
      <c r="N471" s="150">
        <v>400</v>
      </c>
      <c r="O471" s="151">
        <v>116</v>
      </c>
      <c r="P471" s="151">
        <v>268</v>
      </c>
      <c r="Q471" s="151">
        <v>0</v>
      </c>
      <c r="R471" s="151">
        <f>SUM(O471:Q471)</f>
        <v>384</v>
      </c>
      <c r="S471" s="142">
        <v>8</v>
      </c>
      <c r="T471" s="145" t="s">
        <v>365</v>
      </c>
    </row>
    <row r="472" spans="1:20" ht="22.5" hidden="1" customHeight="1" x14ac:dyDescent="0.25">
      <c r="A472" s="152" t="s">
        <v>2895</v>
      </c>
      <c r="B472" s="142">
        <v>2024</v>
      </c>
      <c r="C472" s="142" t="s">
        <v>20</v>
      </c>
      <c r="D472" s="142" t="s">
        <v>1467</v>
      </c>
      <c r="E472" s="143" t="s">
        <v>1468</v>
      </c>
      <c r="F472" s="144" t="s">
        <v>51</v>
      </c>
      <c r="G472" s="145" t="s">
        <v>59</v>
      </c>
      <c r="H472" s="146" t="s">
        <v>1469</v>
      </c>
      <c r="I472" s="147">
        <v>45523</v>
      </c>
      <c r="J472" s="147">
        <v>45525</v>
      </c>
      <c r="K472" s="142" t="s">
        <v>32</v>
      </c>
      <c r="L472" s="148">
        <v>9211.69</v>
      </c>
      <c r="M472" s="149">
        <v>4.8</v>
      </c>
      <c r="N472" s="150">
        <v>30</v>
      </c>
      <c r="O472" s="151">
        <v>0</v>
      </c>
      <c r="P472" s="151">
        <v>24</v>
      </c>
      <c r="Q472" s="151">
        <v>0</v>
      </c>
      <c r="R472" s="151">
        <f>SUM(O472:Q472)</f>
        <v>24</v>
      </c>
      <c r="S472" s="142">
        <v>12</v>
      </c>
      <c r="T472" s="145" t="s">
        <v>1470</v>
      </c>
    </row>
    <row r="473" spans="1:20" ht="22.5" hidden="1" customHeight="1" x14ac:dyDescent="0.25">
      <c r="A473" s="152" t="s">
        <v>2896</v>
      </c>
      <c r="B473" s="142">
        <v>2024</v>
      </c>
      <c r="C473" s="142" t="s">
        <v>20</v>
      </c>
      <c r="D473" s="142" t="s">
        <v>1471</v>
      </c>
      <c r="E473" s="143" t="s">
        <v>1472</v>
      </c>
      <c r="F473" s="144" t="s">
        <v>51</v>
      </c>
      <c r="G473" s="145" t="s">
        <v>59</v>
      </c>
      <c r="H473" s="146" t="s">
        <v>1473</v>
      </c>
      <c r="I473" s="147">
        <v>45524</v>
      </c>
      <c r="J473" s="147">
        <v>45534</v>
      </c>
      <c r="K473" s="142" t="s">
        <v>174</v>
      </c>
      <c r="L473" s="148">
        <v>18349.060000000001</v>
      </c>
      <c r="M473" s="149">
        <v>4.8</v>
      </c>
      <c r="N473" s="150">
        <v>30</v>
      </c>
      <c r="O473" s="151">
        <v>23</v>
      </c>
      <c r="P473" s="151">
        <v>12</v>
      </c>
      <c r="Q473" s="151">
        <v>0</v>
      </c>
      <c r="R473" s="151">
        <f>SUM(O473:Q473)</f>
        <v>35</v>
      </c>
      <c r="S473" s="142">
        <v>20</v>
      </c>
      <c r="T473" s="145" t="s">
        <v>1474</v>
      </c>
    </row>
    <row r="474" spans="1:20" ht="22.5" hidden="1" customHeight="1" x14ac:dyDescent="0.25">
      <c r="A474" s="152" t="s">
        <v>2897</v>
      </c>
      <c r="B474" s="142">
        <v>2024</v>
      </c>
      <c r="C474" s="142" t="s">
        <v>20</v>
      </c>
      <c r="D474" s="142" t="s">
        <v>1475</v>
      </c>
      <c r="E474" s="143" t="s">
        <v>1476</v>
      </c>
      <c r="F474" s="144" t="s">
        <v>51</v>
      </c>
      <c r="G474" s="145" t="s">
        <v>59</v>
      </c>
      <c r="H474" s="146" t="s">
        <v>1477</v>
      </c>
      <c r="I474" s="147">
        <v>45524</v>
      </c>
      <c r="J474" s="147">
        <v>45524</v>
      </c>
      <c r="K474" s="142" t="s">
        <v>32</v>
      </c>
      <c r="L474" s="148">
        <v>2266.94</v>
      </c>
      <c r="M474" s="149">
        <v>5</v>
      </c>
      <c r="N474" s="150">
        <v>80</v>
      </c>
      <c r="O474" s="151">
        <v>0</v>
      </c>
      <c r="P474" s="151">
        <v>53</v>
      </c>
      <c r="Q474" s="151">
        <v>0</v>
      </c>
      <c r="R474" s="151">
        <f>SUM(O474:Q474)</f>
        <v>53</v>
      </c>
      <c r="S474" s="142">
        <v>4</v>
      </c>
      <c r="T474" s="145" t="s">
        <v>1478</v>
      </c>
    </row>
    <row r="475" spans="1:20" ht="22.5" hidden="1" customHeight="1" x14ac:dyDescent="0.25">
      <c r="A475" s="152" t="s">
        <v>2898</v>
      </c>
      <c r="B475" s="142">
        <v>2024</v>
      </c>
      <c r="C475" s="142" t="s">
        <v>20</v>
      </c>
      <c r="D475" s="142" t="s">
        <v>1479</v>
      </c>
      <c r="E475" s="143" t="s">
        <v>1480</v>
      </c>
      <c r="F475" s="144" t="s">
        <v>22</v>
      </c>
      <c r="G475" s="145" t="s">
        <v>34</v>
      </c>
      <c r="H475" s="146" t="s">
        <v>1481</v>
      </c>
      <c r="I475" s="147">
        <v>45524</v>
      </c>
      <c r="J475" s="147">
        <v>45525</v>
      </c>
      <c r="K475" s="142" t="s">
        <v>32</v>
      </c>
      <c r="L475" s="148">
        <v>2349.29</v>
      </c>
      <c r="M475" s="149">
        <v>4.7</v>
      </c>
      <c r="N475" s="150">
        <v>20</v>
      </c>
      <c r="O475" s="151">
        <v>12</v>
      </c>
      <c r="P475" s="151">
        <v>0</v>
      </c>
      <c r="Q475" s="151">
        <v>0</v>
      </c>
      <c r="R475" s="151">
        <f>SUM(O475:Q475)</f>
        <v>12</v>
      </c>
      <c r="S475" s="142">
        <v>8</v>
      </c>
      <c r="T475" s="145" t="s">
        <v>1482</v>
      </c>
    </row>
    <row r="476" spans="1:20" ht="22.5" hidden="1" customHeight="1" x14ac:dyDescent="0.25">
      <c r="A476" s="152" t="s">
        <v>2899</v>
      </c>
      <c r="B476" s="142">
        <v>2024</v>
      </c>
      <c r="C476" s="142" t="s">
        <v>20</v>
      </c>
      <c r="D476" s="142" t="s">
        <v>1483</v>
      </c>
      <c r="E476" s="143" t="s">
        <v>1484</v>
      </c>
      <c r="F476" s="144" t="s">
        <v>51</v>
      </c>
      <c r="G476" s="145" t="s">
        <v>59</v>
      </c>
      <c r="H476" s="146" t="s">
        <v>1485</v>
      </c>
      <c r="I476" s="147">
        <v>45525</v>
      </c>
      <c r="J476" s="147">
        <v>45525</v>
      </c>
      <c r="K476" s="142" t="s">
        <v>32</v>
      </c>
      <c r="L476" s="148">
        <v>1830.98</v>
      </c>
      <c r="M476" s="149">
        <v>4.5999999999999996</v>
      </c>
      <c r="N476" s="150">
        <v>80</v>
      </c>
      <c r="O476" s="151">
        <v>0</v>
      </c>
      <c r="P476" s="151">
        <v>60</v>
      </c>
      <c r="Q476" s="151">
        <v>0</v>
      </c>
      <c r="R476" s="151">
        <f>SUM(O476:Q476)</f>
        <v>60</v>
      </c>
      <c r="S476" s="142">
        <v>4</v>
      </c>
      <c r="T476" s="145" t="s">
        <v>1486</v>
      </c>
    </row>
    <row r="477" spans="1:20" ht="22.5" hidden="1" customHeight="1" x14ac:dyDescent="0.25">
      <c r="A477" s="152" t="s">
        <v>2900</v>
      </c>
      <c r="B477" s="142">
        <v>2024</v>
      </c>
      <c r="C477" s="142" t="s">
        <v>20</v>
      </c>
      <c r="D477" s="142" t="s">
        <v>1487</v>
      </c>
      <c r="E477" s="143" t="s">
        <v>1488</v>
      </c>
      <c r="F477" s="144" t="s">
        <v>51</v>
      </c>
      <c r="G477" s="145" t="s">
        <v>59</v>
      </c>
      <c r="H477" s="146" t="s">
        <v>1489</v>
      </c>
      <c r="I477" s="147">
        <v>45526</v>
      </c>
      <c r="J477" s="147">
        <v>45526</v>
      </c>
      <c r="K477" s="142" t="s">
        <v>32</v>
      </c>
      <c r="L477" s="148">
        <v>2266.94</v>
      </c>
      <c r="M477" s="149">
        <v>4.7</v>
      </c>
      <c r="N477" s="150">
        <v>20</v>
      </c>
      <c r="O477" s="151">
        <v>0</v>
      </c>
      <c r="P477" s="151">
        <v>14</v>
      </c>
      <c r="Q477" s="151">
        <v>0</v>
      </c>
      <c r="R477" s="151">
        <f>SUM(O477:Q477)</f>
        <v>14</v>
      </c>
      <c r="S477" s="142">
        <v>4</v>
      </c>
      <c r="T477" s="145" t="s">
        <v>808</v>
      </c>
    </row>
    <row r="478" spans="1:20" ht="22.5" hidden="1" customHeight="1" x14ac:dyDescent="0.25">
      <c r="A478" s="152" t="s">
        <v>2901</v>
      </c>
      <c r="B478" s="142">
        <v>2024</v>
      </c>
      <c r="C478" s="142" t="s">
        <v>20</v>
      </c>
      <c r="D478" s="142" t="s">
        <v>1490</v>
      </c>
      <c r="E478" s="143" t="s">
        <v>1491</v>
      </c>
      <c r="F478" s="144" t="s">
        <v>22</v>
      </c>
      <c r="G478" s="145" t="s">
        <v>23</v>
      </c>
      <c r="H478" s="146" t="s">
        <v>1492</v>
      </c>
      <c r="I478" s="147">
        <v>45530</v>
      </c>
      <c r="J478" s="147">
        <v>45533</v>
      </c>
      <c r="K478" s="142" t="s">
        <v>32</v>
      </c>
      <c r="L478" s="148">
        <v>9416.4599999999991</v>
      </c>
      <c r="M478" s="149">
        <v>4.8</v>
      </c>
      <c r="N478" s="150">
        <v>20</v>
      </c>
      <c r="O478" s="151">
        <v>20</v>
      </c>
      <c r="P478" s="151">
        <v>0</v>
      </c>
      <c r="Q478" s="151">
        <v>0</v>
      </c>
      <c r="R478" s="151">
        <f>SUM(O478:Q478)</f>
        <v>20</v>
      </c>
      <c r="S478" s="142">
        <v>12</v>
      </c>
      <c r="T478" s="145" t="s">
        <v>1450</v>
      </c>
    </row>
    <row r="479" spans="1:20" ht="22.5" hidden="1" customHeight="1" x14ac:dyDescent="0.25">
      <c r="A479" s="152" t="s">
        <v>2902</v>
      </c>
      <c r="B479" s="142">
        <v>2024</v>
      </c>
      <c r="C479" s="142" t="s">
        <v>20</v>
      </c>
      <c r="D479" s="142" t="s">
        <v>1493</v>
      </c>
      <c r="E479" s="143" t="s">
        <v>1494</v>
      </c>
      <c r="F479" s="144" t="s">
        <v>66</v>
      </c>
      <c r="G479" s="145" t="s">
        <v>59</v>
      </c>
      <c r="H479" s="146" t="s">
        <v>1495</v>
      </c>
      <c r="I479" s="147">
        <v>45530</v>
      </c>
      <c r="J479" s="147">
        <v>45534</v>
      </c>
      <c r="K479" s="142" t="s">
        <v>32</v>
      </c>
      <c r="L479" s="148">
        <v>10181.9</v>
      </c>
      <c r="M479" s="149">
        <v>4.8</v>
      </c>
      <c r="N479" s="150">
        <v>30</v>
      </c>
      <c r="O479" s="151">
        <v>0</v>
      </c>
      <c r="P479" s="151">
        <v>0</v>
      </c>
      <c r="Q479" s="151">
        <v>56</v>
      </c>
      <c r="R479" s="151">
        <f>SUM(O479:Q479)</f>
        <v>56</v>
      </c>
      <c r="S479" s="142">
        <v>20</v>
      </c>
      <c r="T479" s="145" t="s">
        <v>1496</v>
      </c>
    </row>
    <row r="480" spans="1:20" ht="22.5" hidden="1" customHeight="1" x14ac:dyDescent="0.25">
      <c r="A480" s="152" t="s">
        <v>2903</v>
      </c>
      <c r="B480" s="142">
        <v>2024</v>
      </c>
      <c r="C480" s="142" t="s">
        <v>20</v>
      </c>
      <c r="D480" s="142" t="s">
        <v>1497</v>
      </c>
      <c r="E480" s="143" t="s">
        <v>1498</v>
      </c>
      <c r="F480" s="144" t="s">
        <v>51</v>
      </c>
      <c r="G480" s="145" t="s">
        <v>59</v>
      </c>
      <c r="H480" s="146" t="s">
        <v>1499</v>
      </c>
      <c r="I480" s="147">
        <v>45537</v>
      </c>
      <c r="J480" s="147">
        <v>45539</v>
      </c>
      <c r="K480" s="142" t="s">
        <v>32</v>
      </c>
      <c r="L480" s="148">
        <v>6800.82</v>
      </c>
      <c r="M480" s="149">
        <v>4.7</v>
      </c>
      <c r="N480" s="150">
        <v>40</v>
      </c>
      <c r="O480" s="151">
        <v>0</v>
      </c>
      <c r="P480" s="151">
        <v>38</v>
      </c>
      <c r="Q480" s="151">
        <v>0</v>
      </c>
      <c r="R480" s="151">
        <f>SUM(O480:Q480)</f>
        <v>38</v>
      </c>
      <c r="S480" s="142">
        <v>12</v>
      </c>
      <c r="T480" s="145" t="s">
        <v>808</v>
      </c>
    </row>
    <row r="481" spans="1:20" ht="22.5" hidden="1" customHeight="1" x14ac:dyDescent="0.25">
      <c r="A481" s="152" t="s">
        <v>2904</v>
      </c>
      <c r="B481" s="142">
        <v>2024</v>
      </c>
      <c r="C481" s="142" t="s">
        <v>20</v>
      </c>
      <c r="D481" s="142" t="s">
        <v>1356</v>
      </c>
      <c r="E481" s="143" t="s">
        <v>1500</v>
      </c>
      <c r="F481" s="144" t="s">
        <v>22</v>
      </c>
      <c r="G481" s="145" t="s">
        <v>34</v>
      </c>
      <c r="H481" s="146" t="s">
        <v>1501</v>
      </c>
      <c r="I481" s="147">
        <v>45537</v>
      </c>
      <c r="J481" s="147">
        <v>45540</v>
      </c>
      <c r="K481" s="142" t="s">
        <v>32</v>
      </c>
      <c r="L481" s="148">
        <v>12221.66</v>
      </c>
      <c r="M481" s="149">
        <v>4.9000000000000004</v>
      </c>
      <c r="N481" s="150">
        <v>20</v>
      </c>
      <c r="O481" s="151">
        <v>13</v>
      </c>
      <c r="P481" s="151">
        <v>0</v>
      </c>
      <c r="Q481" s="151">
        <v>0</v>
      </c>
      <c r="R481" s="151">
        <f>SUM(O481:Q481)</f>
        <v>13</v>
      </c>
      <c r="S481" s="142">
        <v>16</v>
      </c>
      <c r="T481" s="145" t="s">
        <v>1502</v>
      </c>
    </row>
    <row r="482" spans="1:20" ht="22.5" hidden="1" customHeight="1" x14ac:dyDescent="0.25">
      <c r="A482" s="152" t="s">
        <v>2905</v>
      </c>
      <c r="B482" s="142">
        <v>2024</v>
      </c>
      <c r="C482" s="142" t="s">
        <v>20</v>
      </c>
      <c r="D482" s="142" t="s">
        <v>1503</v>
      </c>
      <c r="E482" s="143" t="s">
        <v>1504</v>
      </c>
      <c r="F482" s="144" t="s">
        <v>22</v>
      </c>
      <c r="G482" s="145" t="s">
        <v>34</v>
      </c>
      <c r="H482" s="146" t="s">
        <v>1505</v>
      </c>
      <c r="I482" s="147">
        <v>45545</v>
      </c>
      <c r="J482" s="147">
        <v>45547</v>
      </c>
      <c r="K482" s="142" t="s">
        <v>25</v>
      </c>
      <c r="L482" s="148">
        <v>18534.060000000001</v>
      </c>
      <c r="M482" s="149">
        <v>4.8</v>
      </c>
      <c r="N482" s="150">
        <v>20</v>
      </c>
      <c r="O482" s="151">
        <v>24</v>
      </c>
      <c r="P482" s="151">
        <v>0</v>
      </c>
      <c r="Q482" s="151">
        <v>0</v>
      </c>
      <c r="R482" s="151">
        <f>SUM(O482:Q482)</f>
        <v>24</v>
      </c>
      <c r="S482" s="142">
        <v>18</v>
      </c>
      <c r="T482" s="145" t="s">
        <v>1506</v>
      </c>
    </row>
    <row r="483" spans="1:20" ht="22.5" hidden="1" customHeight="1" x14ac:dyDescent="0.25">
      <c r="A483" s="152" t="s">
        <v>2906</v>
      </c>
      <c r="B483" s="142">
        <v>2024</v>
      </c>
      <c r="C483" s="142" t="s">
        <v>20</v>
      </c>
      <c r="D483" s="142" t="s">
        <v>1303</v>
      </c>
      <c r="E483" s="143" t="s">
        <v>1304</v>
      </c>
      <c r="F483" s="144" t="s">
        <v>22</v>
      </c>
      <c r="G483" s="145" t="s">
        <v>157</v>
      </c>
      <c r="H483" s="146" t="s">
        <v>1507</v>
      </c>
      <c r="I483" s="147">
        <v>45545</v>
      </c>
      <c r="J483" s="147">
        <v>45554</v>
      </c>
      <c r="K483" s="142" t="s">
        <v>32</v>
      </c>
      <c r="L483" s="148">
        <v>9067.76</v>
      </c>
      <c r="M483" s="149">
        <v>4.9000000000000004</v>
      </c>
      <c r="N483" s="150">
        <v>20</v>
      </c>
      <c r="O483" s="151">
        <v>19</v>
      </c>
      <c r="P483" s="151">
        <v>0</v>
      </c>
      <c r="Q483" s="151">
        <v>0</v>
      </c>
      <c r="R483" s="151">
        <f>SUM(O483:Q483)</f>
        <v>19</v>
      </c>
      <c r="S483" s="142">
        <v>16</v>
      </c>
      <c r="T483" s="145" t="s">
        <v>1306</v>
      </c>
    </row>
    <row r="484" spans="1:20" ht="22.5" hidden="1" customHeight="1" x14ac:dyDescent="0.25">
      <c r="A484" s="152" t="s">
        <v>2907</v>
      </c>
      <c r="B484" s="142">
        <v>2024</v>
      </c>
      <c r="C484" s="142" t="s">
        <v>20</v>
      </c>
      <c r="D484" s="142" t="s">
        <v>1487</v>
      </c>
      <c r="E484" s="143" t="s">
        <v>1508</v>
      </c>
      <c r="F484" s="144" t="s">
        <v>51</v>
      </c>
      <c r="G484" s="145" t="s">
        <v>59</v>
      </c>
      <c r="H484" s="146" t="s">
        <v>1509</v>
      </c>
      <c r="I484" s="147">
        <v>45547</v>
      </c>
      <c r="J484" s="147">
        <v>45547</v>
      </c>
      <c r="K484" s="142" t="s">
        <v>32</v>
      </c>
      <c r="L484" s="148">
        <v>2266.94</v>
      </c>
      <c r="M484" s="149">
        <v>5</v>
      </c>
      <c r="N484" s="150">
        <v>20</v>
      </c>
      <c r="O484" s="151">
        <v>0</v>
      </c>
      <c r="P484" s="151">
        <v>10</v>
      </c>
      <c r="Q484" s="151">
        <v>0</v>
      </c>
      <c r="R484" s="151">
        <f>SUM(O484:Q484)</f>
        <v>10</v>
      </c>
      <c r="S484" s="142">
        <v>4</v>
      </c>
      <c r="T484" s="145" t="s">
        <v>808</v>
      </c>
    </row>
    <row r="485" spans="1:20" ht="22.5" hidden="1" customHeight="1" x14ac:dyDescent="0.25">
      <c r="A485" s="152" t="s">
        <v>2908</v>
      </c>
      <c r="B485" s="142">
        <v>2024</v>
      </c>
      <c r="C485" s="142" t="s">
        <v>20</v>
      </c>
      <c r="D485" s="142" t="s">
        <v>1352</v>
      </c>
      <c r="E485" s="143" t="s">
        <v>1510</v>
      </c>
      <c r="F485" s="144" t="s">
        <v>22</v>
      </c>
      <c r="G485" s="145" t="s">
        <v>353</v>
      </c>
      <c r="H485" s="146" t="s">
        <v>1511</v>
      </c>
      <c r="I485" s="147">
        <v>45548</v>
      </c>
      <c r="J485" s="147">
        <v>45548</v>
      </c>
      <c r="K485" s="142" t="s">
        <v>25</v>
      </c>
      <c r="L485" s="148">
        <f>49600/8</f>
        <v>6200</v>
      </c>
      <c r="M485" s="149">
        <v>5</v>
      </c>
      <c r="N485" s="151">
        <v>20</v>
      </c>
      <c r="O485" s="151">
        <v>5</v>
      </c>
      <c r="P485" s="151">
        <v>0</v>
      </c>
      <c r="Q485" s="151">
        <v>0</v>
      </c>
      <c r="R485" s="151">
        <f>SUM(O485:Q485)</f>
        <v>5</v>
      </c>
      <c r="S485" s="142">
        <v>4</v>
      </c>
      <c r="T485" s="145" t="s">
        <v>1355</v>
      </c>
    </row>
    <row r="486" spans="1:20" ht="22.5" hidden="1" customHeight="1" x14ac:dyDescent="0.25">
      <c r="A486" s="152" t="s">
        <v>2909</v>
      </c>
      <c r="B486" s="142">
        <v>2024</v>
      </c>
      <c r="C486" s="142" t="s">
        <v>20</v>
      </c>
      <c r="D486" s="142" t="s">
        <v>1347</v>
      </c>
      <c r="E486" s="143" t="s">
        <v>1348</v>
      </c>
      <c r="F486" s="144" t="s">
        <v>22</v>
      </c>
      <c r="G486" s="145" t="s">
        <v>157</v>
      </c>
      <c r="H486" s="146" t="s">
        <v>1512</v>
      </c>
      <c r="I486" s="147">
        <v>45551</v>
      </c>
      <c r="J486" s="147">
        <v>45562</v>
      </c>
      <c r="K486" s="142" t="s">
        <v>25</v>
      </c>
      <c r="L486" s="148">
        <v>19900</v>
      </c>
      <c r="M486" s="149">
        <v>4.8</v>
      </c>
      <c r="N486" s="150">
        <v>20</v>
      </c>
      <c r="O486" s="151">
        <v>21</v>
      </c>
      <c r="P486" s="151">
        <v>0</v>
      </c>
      <c r="Q486" s="151">
        <v>0</v>
      </c>
      <c r="R486" s="151">
        <f>SUM(O486:Q486)</f>
        <v>21</v>
      </c>
      <c r="S486" s="142">
        <v>24</v>
      </c>
      <c r="T486" s="145" t="s">
        <v>963</v>
      </c>
    </row>
    <row r="487" spans="1:20" ht="22.5" hidden="1" customHeight="1" x14ac:dyDescent="0.25">
      <c r="A487" s="152" t="s">
        <v>2910</v>
      </c>
      <c r="B487" s="142">
        <v>2024</v>
      </c>
      <c r="C487" s="142" t="s">
        <v>20</v>
      </c>
      <c r="D487" s="142" t="s">
        <v>1513</v>
      </c>
      <c r="E487" s="143" t="s">
        <v>1514</v>
      </c>
      <c r="F487" s="144" t="s">
        <v>22</v>
      </c>
      <c r="G487" s="145" t="s">
        <v>30</v>
      </c>
      <c r="H487" s="146" t="s">
        <v>1515</v>
      </c>
      <c r="I487" s="147">
        <v>45551</v>
      </c>
      <c r="J487" s="147">
        <v>45555</v>
      </c>
      <c r="K487" s="142" t="s">
        <v>32</v>
      </c>
      <c r="L487" s="148">
        <v>12813.06</v>
      </c>
      <c r="M487" s="149">
        <v>4.7</v>
      </c>
      <c r="N487" s="150">
        <v>20</v>
      </c>
      <c r="O487" s="151">
        <v>19</v>
      </c>
      <c r="P487" s="151">
        <v>0</v>
      </c>
      <c r="Q487" s="151">
        <v>0</v>
      </c>
      <c r="R487" s="151">
        <f>SUM(O487:Q487)</f>
        <v>19</v>
      </c>
      <c r="S487" s="142">
        <v>20</v>
      </c>
      <c r="T487" s="145" t="s">
        <v>167</v>
      </c>
    </row>
    <row r="488" spans="1:20" ht="22.5" hidden="1" customHeight="1" x14ac:dyDescent="0.25">
      <c r="A488" s="152" t="s">
        <v>2911</v>
      </c>
      <c r="B488" s="142">
        <v>2024</v>
      </c>
      <c r="C488" s="142" t="s">
        <v>20</v>
      </c>
      <c r="D488" s="142" t="s">
        <v>1352</v>
      </c>
      <c r="E488" s="143" t="s">
        <v>1516</v>
      </c>
      <c r="F488" s="144" t="s">
        <v>22</v>
      </c>
      <c r="G488" s="145" t="s">
        <v>353</v>
      </c>
      <c r="H488" s="146" t="s">
        <v>1517</v>
      </c>
      <c r="I488" s="147">
        <v>45555</v>
      </c>
      <c r="J488" s="147">
        <v>45555</v>
      </c>
      <c r="K488" s="142" t="s">
        <v>25</v>
      </c>
      <c r="L488" s="148">
        <f>49600/8</f>
        <v>6200</v>
      </c>
      <c r="M488" s="149">
        <v>5</v>
      </c>
      <c r="N488" s="151">
        <v>20</v>
      </c>
      <c r="O488" s="151">
        <v>7</v>
      </c>
      <c r="P488" s="151">
        <v>0</v>
      </c>
      <c r="Q488" s="151">
        <v>0</v>
      </c>
      <c r="R488" s="151">
        <f>SUM(O488:Q488)</f>
        <v>7</v>
      </c>
      <c r="S488" s="142">
        <v>4</v>
      </c>
      <c r="T488" s="145" t="s">
        <v>1355</v>
      </c>
    </row>
    <row r="489" spans="1:20" ht="22.5" hidden="1" customHeight="1" x14ac:dyDescent="0.25">
      <c r="A489" s="152" t="s">
        <v>2912</v>
      </c>
      <c r="B489" s="166">
        <v>2024</v>
      </c>
      <c r="C489" s="167" t="s">
        <v>20</v>
      </c>
      <c r="D489" s="167" t="s">
        <v>1290</v>
      </c>
      <c r="E489" s="168" t="s">
        <v>1518</v>
      </c>
      <c r="F489" s="144" t="s">
        <v>51</v>
      </c>
      <c r="G489" s="169" t="s">
        <v>59</v>
      </c>
      <c r="H489" s="170" t="s">
        <v>1519</v>
      </c>
      <c r="I489" s="171">
        <v>45558</v>
      </c>
      <c r="J489" s="171">
        <v>45562</v>
      </c>
      <c r="K489" s="142" t="s">
        <v>32</v>
      </c>
      <c r="L489" s="172">
        <v>12813.06</v>
      </c>
      <c r="M489" s="173">
        <v>4.8</v>
      </c>
      <c r="N489" s="174">
        <v>20</v>
      </c>
      <c r="O489" s="175">
        <v>4</v>
      </c>
      <c r="P489" s="175">
        <v>15</v>
      </c>
      <c r="Q489" s="175">
        <v>0</v>
      </c>
      <c r="R489" s="151">
        <f>SUM(O489:Q489)</f>
        <v>19</v>
      </c>
      <c r="S489" s="167">
        <v>20</v>
      </c>
      <c r="T489" s="169" t="s">
        <v>61</v>
      </c>
    </row>
    <row r="490" spans="1:20" ht="22.5" hidden="1" customHeight="1" x14ac:dyDescent="0.25">
      <c r="A490" s="152" t="s">
        <v>2913</v>
      </c>
      <c r="B490" s="142">
        <v>2024</v>
      </c>
      <c r="C490" s="167" t="s">
        <v>20</v>
      </c>
      <c r="D490" s="167" t="s">
        <v>1493</v>
      </c>
      <c r="E490" s="168" t="s">
        <v>1520</v>
      </c>
      <c r="F490" s="176" t="s">
        <v>66</v>
      </c>
      <c r="G490" s="169" t="s">
        <v>59</v>
      </c>
      <c r="H490" s="170" t="s">
        <v>1519</v>
      </c>
      <c r="I490" s="171">
        <v>45558</v>
      </c>
      <c r="J490" s="171">
        <v>45562</v>
      </c>
      <c r="K490" s="167" t="s">
        <v>32</v>
      </c>
      <c r="L490" s="172">
        <f>9154.9+1027</f>
        <v>10181.9</v>
      </c>
      <c r="M490" s="173">
        <v>4.7</v>
      </c>
      <c r="N490" s="174">
        <v>30</v>
      </c>
      <c r="O490" s="175">
        <v>0</v>
      </c>
      <c r="P490" s="175">
        <v>0</v>
      </c>
      <c r="Q490" s="175">
        <v>61</v>
      </c>
      <c r="R490" s="151">
        <f>SUM(O490:Q490)</f>
        <v>61</v>
      </c>
      <c r="S490" s="167">
        <v>20</v>
      </c>
      <c r="T490" s="169" t="s">
        <v>1496</v>
      </c>
    </row>
    <row r="491" spans="1:20" ht="22.5" hidden="1" customHeight="1" x14ac:dyDescent="0.25">
      <c r="A491" s="152" t="s">
        <v>2914</v>
      </c>
      <c r="B491" s="142">
        <v>2024</v>
      </c>
      <c r="C491" s="167" t="s">
        <v>20</v>
      </c>
      <c r="D491" s="167" t="s">
        <v>1521</v>
      </c>
      <c r="E491" s="168" t="s">
        <v>1522</v>
      </c>
      <c r="F491" s="176" t="s">
        <v>22</v>
      </c>
      <c r="G491" s="169" t="s">
        <v>56</v>
      </c>
      <c r="H491" s="170" t="s">
        <v>1523</v>
      </c>
      <c r="I491" s="171">
        <v>45559</v>
      </c>
      <c r="J491" s="171">
        <v>45559</v>
      </c>
      <c r="K491" s="167" t="s">
        <v>32</v>
      </c>
      <c r="L491" s="172">
        <v>4533.88</v>
      </c>
      <c r="M491" s="173">
        <v>4.7</v>
      </c>
      <c r="N491" s="174">
        <v>25</v>
      </c>
      <c r="O491" s="175">
        <v>32</v>
      </c>
      <c r="P491" s="175">
        <v>0</v>
      </c>
      <c r="Q491" s="175">
        <v>0</v>
      </c>
      <c r="R491" s="151">
        <f>SUM(O491:Q491)</f>
        <v>32</v>
      </c>
      <c r="S491" s="167">
        <v>8</v>
      </c>
      <c r="T491" s="169" t="s">
        <v>1524</v>
      </c>
    </row>
    <row r="492" spans="1:20" ht="22.5" hidden="1" customHeight="1" x14ac:dyDescent="0.25">
      <c r="A492" s="152" t="s">
        <v>2915</v>
      </c>
      <c r="B492" s="142">
        <v>2024</v>
      </c>
      <c r="C492" s="167" t="s">
        <v>20</v>
      </c>
      <c r="D492" s="167" t="s">
        <v>1525</v>
      </c>
      <c r="E492" s="168" t="s">
        <v>1526</v>
      </c>
      <c r="F492" s="176" t="s">
        <v>51</v>
      </c>
      <c r="G492" s="169" t="s">
        <v>59</v>
      </c>
      <c r="H492" s="170" t="s">
        <v>1527</v>
      </c>
      <c r="I492" s="171">
        <v>45566</v>
      </c>
      <c r="J492" s="171">
        <v>45575</v>
      </c>
      <c r="K492" s="167" t="s">
        <v>32</v>
      </c>
      <c r="L492" s="172">
        <v>16717.68</v>
      </c>
      <c r="M492" s="173">
        <v>4.7</v>
      </c>
      <c r="N492" s="174">
        <v>40</v>
      </c>
      <c r="O492" s="175">
        <v>0</v>
      </c>
      <c r="P492" s="175">
        <v>43</v>
      </c>
      <c r="Q492" s="175">
        <v>0</v>
      </c>
      <c r="R492" s="151">
        <f>SUM(O492:Q492)</f>
        <v>43</v>
      </c>
      <c r="S492" s="167">
        <v>20</v>
      </c>
      <c r="T492" s="169" t="s">
        <v>1528</v>
      </c>
    </row>
    <row r="493" spans="1:20" ht="22.5" hidden="1" customHeight="1" x14ac:dyDescent="0.25">
      <c r="A493" s="152" t="s">
        <v>2916</v>
      </c>
      <c r="B493" s="142">
        <v>2024</v>
      </c>
      <c r="C493" s="167" t="s">
        <v>20</v>
      </c>
      <c r="D493" s="167" t="s">
        <v>1529</v>
      </c>
      <c r="E493" s="168" t="s">
        <v>1530</v>
      </c>
      <c r="F493" s="176" t="s">
        <v>22</v>
      </c>
      <c r="G493" s="169" t="s">
        <v>283</v>
      </c>
      <c r="H493" s="170" t="s">
        <v>1531</v>
      </c>
      <c r="I493" s="171">
        <v>45569</v>
      </c>
      <c r="J493" s="171">
        <v>45572</v>
      </c>
      <c r="K493" s="167" t="s">
        <v>32</v>
      </c>
      <c r="L493" s="172">
        <v>0</v>
      </c>
      <c r="M493" s="173">
        <v>5</v>
      </c>
      <c r="N493" s="174">
        <v>10</v>
      </c>
      <c r="O493" s="175">
        <v>8</v>
      </c>
      <c r="P493" s="175">
        <v>0</v>
      </c>
      <c r="Q493" s="175">
        <v>0</v>
      </c>
      <c r="R493" s="151">
        <f>SUM(O493:Q493)</f>
        <v>8</v>
      </c>
      <c r="S493" s="167">
        <v>8</v>
      </c>
      <c r="T493" s="169" t="s">
        <v>365</v>
      </c>
    </row>
    <row r="494" spans="1:20" ht="22.5" hidden="1" customHeight="1" x14ac:dyDescent="0.25">
      <c r="A494" s="152" t="s">
        <v>2917</v>
      </c>
      <c r="B494" s="142">
        <v>2024</v>
      </c>
      <c r="C494" s="167" t="s">
        <v>20</v>
      </c>
      <c r="D494" s="167" t="s">
        <v>1532</v>
      </c>
      <c r="E494" s="168" t="s">
        <v>1533</v>
      </c>
      <c r="F494" s="176" t="s">
        <v>22</v>
      </c>
      <c r="G494" s="169" t="s">
        <v>157</v>
      </c>
      <c r="H494" s="170" t="s">
        <v>1534</v>
      </c>
      <c r="I494" s="171">
        <v>45569</v>
      </c>
      <c r="J494" s="171">
        <v>45569</v>
      </c>
      <c r="K494" s="167" t="s">
        <v>25</v>
      </c>
      <c r="L494" s="172">
        <v>2500</v>
      </c>
      <c r="M494" s="173"/>
      <c r="N494" s="174">
        <v>80</v>
      </c>
      <c r="O494" s="175">
        <v>80</v>
      </c>
      <c r="P494" s="175">
        <v>0</v>
      </c>
      <c r="Q494" s="175">
        <v>0</v>
      </c>
      <c r="R494" s="151">
        <f>SUM(O494:Q494)</f>
        <v>80</v>
      </c>
      <c r="S494" s="167">
        <v>2</v>
      </c>
      <c r="T494" s="169" t="s">
        <v>1535</v>
      </c>
    </row>
    <row r="495" spans="1:20" ht="22.5" hidden="1" customHeight="1" x14ac:dyDescent="0.25">
      <c r="A495" s="152" t="s">
        <v>2918</v>
      </c>
      <c r="B495" s="142">
        <v>2024</v>
      </c>
      <c r="C495" s="167" t="s">
        <v>20</v>
      </c>
      <c r="D495" s="167" t="s">
        <v>1536</v>
      </c>
      <c r="E495" s="168" t="s">
        <v>1537</v>
      </c>
      <c r="F495" s="176" t="s">
        <v>22</v>
      </c>
      <c r="G495" s="169" t="s">
        <v>157</v>
      </c>
      <c r="H495" s="170" t="s">
        <v>1538</v>
      </c>
      <c r="I495" s="171">
        <v>45572</v>
      </c>
      <c r="J495" s="171">
        <v>45590</v>
      </c>
      <c r="K495" s="142" t="s">
        <v>25</v>
      </c>
      <c r="L495" s="148"/>
      <c r="M495" s="173"/>
      <c r="N495" s="174"/>
      <c r="O495" s="175"/>
      <c r="P495" s="175">
        <v>0</v>
      </c>
      <c r="Q495" s="175">
        <v>0</v>
      </c>
      <c r="R495" s="151">
        <f>SUM(O495:Q495)</f>
        <v>0</v>
      </c>
      <c r="S495" s="142"/>
      <c r="T495" s="162"/>
    </row>
    <row r="496" spans="1:20" ht="22.5" hidden="1" customHeight="1" x14ac:dyDescent="0.25">
      <c r="A496" s="152" t="s">
        <v>2919</v>
      </c>
      <c r="B496" s="142">
        <v>2024</v>
      </c>
      <c r="C496" s="167" t="s">
        <v>20</v>
      </c>
      <c r="D496" s="167" t="s">
        <v>1539</v>
      </c>
      <c r="E496" s="168" t="s">
        <v>1540</v>
      </c>
      <c r="F496" s="176" t="s">
        <v>22</v>
      </c>
      <c r="G496" s="169" t="s">
        <v>157</v>
      </c>
      <c r="H496" s="170" t="s">
        <v>1541</v>
      </c>
      <c r="I496" s="171">
        <v>45572</v>
      </c>
      <c r="J496" s="171">
        <v>45572</v>
      </c>
      <c r="K496" s="167" t="s">
        <v>25</v>
      </c>
      <c r="L496" s="172">
        <v>40000</v>
      </c>
      <c r="M496" s="173"/>
      <c r="N496" s="174">
        <v>170</v>
      </c>
      <c r="O496" s="175">
        <v>170</v>
      </c>
      <c r="P496" s="175">
        <v>0</v>
      </c>
      <c r="Q496" s="175">
        <v>0</v>
      </c>
      <c r="R496" s="151">
        <f>SUM(O496:Q496)</f>
        <v>170</v>
      </c>
      <c r="S496" s="167">
        <v>1</v>
      </c>
      <c r="T496" s="169" t="s">
        <v>1542</v>
      </c>
    </row>
    <row r="497" spans="1:20" ht="22.5" hidden="1" customHeight="1" x14ac:dyDescent="0.25">
      <c r="A497" s="152" t="s">
        <v>2920</v>
      </c>
      <c r="B497" s="142">
        <v>2024</v>
      </c>
      <c r="C497" s="142" t="s">
        <v>20</v>
      </c>
      <c r="D497" s="167" t="s">
        <v>1456</v>
      </c>
      <c r="E497" s="168" t="s">
        <v>1543</v>
      </c>
      <c r="F497" s="176" t="s">
        <v>51</v>
      </c>
      <c r="G497" s="169" t="s">
        <v>59</v>
      </c>
      <c r="H497" s="170" t="s">
        <v>1544</v>
      </c>
      <c r="I497" s="171">
        <v>45573</v>
      </c>
      <c r="J497" s="171">
        <v>45575</v>
      </c>
      <c r="K497" s="167" t="s">
        <v>32</v>
      </c>
      <c r="L497" s="172">
        <v>2614.2199999999998</v>
      </c>
      <c r="M497" s="173">
        <v>4.8</v>
      </c>
      <c r="N497" s="174">
        <v>20</v>
      </c>
      <c r="O497" s="175">
        <v>9</v>
      </c>
      <c r="P497" s="175">
        <v>22</v>
      </c>
      <c r="Q497" s="175">
        <v>0</v>
      </c>
      <c r="R497" s="151">
        <f>SUM(O497:Q497)</f>
        <v>31</v>
      </c>
      <c r="S497" s="167">
        <v>4</v>
      </c>
      <c r="T497" s="169" t="s">
        <v>1459</v>
      </c>
    </row>
    <row r="498" spans="1:20" ht="22.5" hidden="1" customHeight="1" x14ac:dyDescent="0.25">
      <c r="A498" s="152" t="s">
        <v>2921</v>
      </c>
      <c r="B498" s="142">
        <v>2024</v>
      </c>
      <c r="C498" s="142" t="s">
        <v>20</v>
      </c>
      <c r="D498" s="167" t="s">
        <v>1356</v>
      </c>
      <c r="E498" s="168" t="s">
        <v>1545</v>
      </c>
      <c r="F498" s="176" t="s">
        <v>22</v>
      </c>
      <c r="G498" s="169" t="s">
        <v>34</v>
      </c>
      <c r="H498" s="170" t="s">
        <v>1546</v>
      </c>
      <c r="I498" s="171">
        <v>45573</v>
      </c>
      <c r="J498" s="171">
        <v>45576</v>
      </c>
      <c r="K498" s="167" t="s">
        <v>32</v>
      </c>
      <c r="L498" s="172">
        <v>12221.66</v>
      </c>
      <c r="M498" s="173">
        <v>5</v>
      </c>
      <c r="N498" s="174">
        <v>20</v>
      </c>
      <c r="O498" s="175">
        <v>11</v>
      </c>
      <c r="P498" s="175">
        <v>0</v>
      </c>
      <c r="Q498" s="175">
        <v>0</v>
      </c>
      <c r="R498" s="151">
        <f>SUM(O498:Q498)</f>
        <v>11</v>
      </c>
      <c r="S498" s="167">
        <v>16</v>
      </c>
      <c r="T498" s="169" t="s">
        <v>1359</v>
      </c>
    </row>
    <row r="499" spans="1:20" ht="22.5" hidden="1" customHeight="1" x14ac:dyDescent="0.25">
      <c r="A499" s="152" t="s">
        <v>2922</v>
      </c>
      <c r="B499" s="142">
        <v>2024</v>
      </c>
      <c r="C499" s="142" t="s">
        <v>20</v>
      </c>
      <c r="D499" s="167" t="s">
        <v>1547</v>
      </c>
      <c r="E499" s="168" t="s">
        <v>1548</v>
      </c>
      <c r="F499" s="176" t="s">
        <v>66</v>
      </c>
      <c r="G499" s="169" t="s">
        <v>59</v>
      </c>
      <c r="H499" s="170" t="s">
        <v>1549</v>
      </c>
      <c r="I499" s="171">
        <v>45573</v>
      </c>
      <c r="J499" s="171">
        <v>45573</v>
      </c>
      <c r="K499" s="167" t="s">
        <v>32</v>
      </c>
      <c r="L499" s="172">
        <v>0</v>
      </c>
      <c r="M499" s="173">
        <v>5</v>
      </c>
      <c r="N499" s="174">
        <v>40</v>
      </c>
      <c r="O499" s="175">
        <v>0</v>
      </c>
      <c r="P499" s="175">
        <v>0</v>
      </c>
      <c r="Q499" s="175">
        <v>45</v>
      </c>
      <c r="R499" s="151">
        <f>SUM(O499:Q499)</f>
        <v>45</v>
      </c>
      <c r="S499" s="167">
        <v>1</v>
      </c>
      <c r="T499" s="169" t="s">
        <v>1550</v>
      </c>
    </row>
    <row r="500" spans="1:20" ht="22.5" hidden="1" customHeight="1" x14ac:dyDescent="0.25">
      <c r="A500" s="152" t="s">
        <v>2923</v>
      </c>
      <c r="B500" s="142">
        <v>2024</v>
      </c>
      <c r="C500" s="142" t="s">
        <v>20</v>
      </c>
      <c r="D500" s="167" t="s">
        <v>1551</v>
      </c>
      <c r="E500" s="168" t="s">
        <v>1552</v>
      </c>
      <c r="F500" s="176" t="s">
        <v>22</v>
      </c>
      <c r="G500" s="169" t="s">
        <v>157</v>
      </c>
      <c r="H500" s="170" t="s">
        <v>1553</v>
      </c>
      <c r="I500" s="171">
        <v>45575</v>
      </c>
      <c r="J500" s="171">
        <v>45579</v>
      </c>
      <c r="K500" s="167" t="s">
        <v>25</v>
      </c>
      <c r="L500" s="172">
        <v>6600</v>
      </c>
      <c r="M500" s="173"/>
      <c r="N500" s="174">
        <v>40</v>
      </c>
      <c r="O500" s="175">
        <v>40</v>
      </c>
      <c r="P500" s="175">
        <v>0</v>
      </c>
      <c r="Q500" s="175">
        <v>0</v>
      </c>
      <c r="R500" s="151">
        <f>SUM(O500:Q500)</f>
        <v>40</v>
      </c>
      <c r="S500" s="167">
        <v>4</v>
      </c>
      <c r="T500" s="169" t="s">
        <v>1554</v>
      </c>
    </row>
    <row r="501" spans="1:20" ht="22.5" hidden="1" customHeight="1" x14ac:dyDescent="0.25">
      <c r="A501" s="152" t="s">
        <v>2924</v>
      </c>
      <c r="B501" s="142">
        <v>2024</v>
      </c>
      <c r="C501" s="142" t="s">
        <v>20</v>
      </c>
      <c r="D501" s="167" t="s">
        <v>1352</v>
      </c>
      <c r="E501" s="168" t="s">
        <v>1555</v>
      </c>
      <c r="F501" s="176" t="s">
        <v>22</v>
      </c>
      <c r="G501" s="169" t="s">
        <v>353</v>
      </c>
      <c r="H501" s="170" t="s">
        <v>1556</v>
      </c>
      <c r="I501" s="171">
        <v>45576</v>
      </c>
      <c r="J501" s="171">
        <v>45576</v>
      </c>
      <c r="K501" s="167" t="s">
        <v>25</v>
      </c>
      <c r="L501" s="172">
        <f>49600/8</f>
        <v>6200</v>
      </c>
      <c r="M501" s="173">
        <v>5</v>
      </c>
      <c r="N501" s="175">
        <v>5</v>
      </c>
      <c r="O501" s="175">
        <v>0</v>
      </c>
      <c r="P501" s="175">
        <v>0</v>
      </c>
      <c r="Q501" s="175">
        <v>0</v>
      </c>
      <c r="R501" s="151">
        <f>SUM(O501:Q501)</f>
        <v>0</v>
      </c>
      <c r="S501" s="167">
        <v>4</v>
      </c>
      <c r="T501" s="169" t="s">
        <v>1355</v>
      </c>
    </row>
    <row r="502" spans="1:20" ht="22.5" hidden="1" customHeight="1" x14ac:dyDescent="0.25">
      <c r="A502" s="152" t="s">
        <v>2925</v>
      </c>
      <c r="B502" s="142">
        <v>2024</v>
      </c>
      <c r="C502" s="142" t="s">
        <v>20</v>
      </c>
      <c r="D502" s="167" t="s">
        <v>1557</v>
      </c>
      <c r="E502" s="168" t="s">
        <v>1558</v>
      </c>
      <c r="F502" s="176" t="s">
        <v>51</v>
      </c>
      <c r="G502" s="169" t="s">
        <v>59</v>
      </c>
      <c r="H502" s="170" t="s">
        <v>1559</v>
      </c>
      <c r="I502" s="171">
        <v>45579</v>
      </c>
      <c r="J502" s="171">
        <v>45582</v>
      </c>
      <c r="K502" s="167" t="s">
        <v>25</v>
      </c>
      <c r="L502" s="172">
        <v>10400</v>
      </c>
      <c r="M502" s="173">
        <v>4.7</v>
      </c>
      <c r="N502" s="174">
        <v>40</v>
      </c>
      <c r="O502" s="175">
        <v>0</v>
      </c>
      <c r="P502" s="175">
        <v>34</v>
      </c>
      <c r="Q502" s="175">
        <v>0</v>
      </c>
      <c r="R502" s="151">
        <f>SUM(O502:Q502)</f>
        <v>34</v>
      </c>
      <c r="S502" s="167">
        <v>16</v>
      </c>
      <c r="T502" s="169" t="s">
        <v>1560</v>
      </c>
    </row>
    <row r="503" spans="1:20" ht="22.5" hidden="1" customHeight="1" x14ac:dyDescent="0.25">
      <c r="A503" s="152" t="s">
        <v>2926</v>
      </c>
      <c r="B503" s="142">
        <v>2024</v>
      </c>
      <c r="C503" s="142" t="s">
        <v>20</v>
      </c>
      <c r="D503" s="166" t="s">
        <v>1561</v>
      </c>
      <c r="E503" s="168" t="s">
        <v>1562</v>
      </c>
      <c r="F503" s="176" t="s">
        <v>51</v>
      </c>
      <c r="G503" s="169" t="s">
        <v>59</v>
      </c>
      <c r="H503" s="170" t="s">
        <v>1563</v>
      </c>
      <c r="I503" s="171">
        <v>45579</v>
      </c>
      <c r="J503" s="171">
        <v>45583</v>
      </c>
      <c r="K503" s="167" t="s">
        <v>32</v>
      </c>
      <c r="L503" s="172">
        <v>9067.76</v>
      </c>
      <c r="M503" s="173">
        <v>4.7</v>
      </c>
      <c r="N503" s="174">
        <v>30</v>
      </c>
      <c r="O503" s="175">
        <v>0</v>
      </c>
      <c r="P503" s="175">
        <v>21</v>
      </c>
      <c r="Q503" s="175">
        <v>0</v>
      </c>
      <c r="R503" s="151">
        <f>SUM(O503:Q503)</f>
        <v>21</v>
      </c>
      <c r="S503" s="167">
        <v>16</v>
      </c>
      <c r="T503" s="169" t="s">
        <v>1306</v>
      </c>
    </row>
    <row r="504" spans="1:20" ht="22.5" hidden="1" customHeight="1" x14ac:dyDescent="0.25">
      <c r="A504" s="152" t="s">
        <v>2927</v>
      </c>
      <c r="B504" s="142">
        <v>2024</v>
      </c>
      <c r="C504" s="142" t="s">
        <v>20</v>
      </c>
      <c r="D504" s="167" t="s">
        <v>1564</v>
      </c>
      <c r="E504" s="168" t="s">
        <v>1565</v>
      </c>
      <c r="F504" s="176" t="s">
        <v>22</v>
      </c>
      <c r="G504" s="169" t="s">
        <v>30</v>
      </c>
      <c r="H504" s="170" t="s">
        <v>1566</v>
      </c>
      <c r="I504" s="171">
        <v>45579</v>
      </c>
      <c r="J504" s="171">
        <v>45595</v>
      </c>
      <c r="K504" s="167" t="s">
        <v>32</v>
      </c>
      <c r="L504" s="172">
        <v>20061.22</v>
      </c>
      <c r="M504" s="173">
        <v>5</v>
      </c>
      <c r="N504" s="174">
        <v>20</v>
      </c>
      <c r="O504" s="175">
        <v>16</v>
      </c>
      <c r="P504" s="175">
        <v>0</v>
      </c>
      <c r="Q504" s="175">
        <v>0</v>
      </c>
      <c r="R504" s="151">
        <f>SUM(O504:Q504)</f>
        <v>16</v>
      </c>
      <c r="S504" s="167">
        <v>24</v>
      </c>
      <c r="T504" s="169" t="s">
        <v>1390</v>
      </c>
    </row>
    <row r="505" spans="1:20" ht="22.5" hidden="1" customHeight="1" x14ac:dyDescent="0.25">
      <c r="A505" s="152" t="s">
        <v>2928</v>
      </c>
      <c r="B505" s="142">
        <v>2024</v>
      </c>
      <c r="C505" s="142" t="s">
        <v>20</v>
      </c>
      <c r="D505" s="142" t="s">
        <v>1567</v>
      </c>
      <c r="E505" s="168" t="s">
        <v>1568</v>
      </c>
      <c r="F505" s="176" t="s">
        <v>22</v>
      </c>
      <c r="G505" s="169" t="s">
        <v>157</v>
      </c>
      <c r="H505" s="146" t="s">
        <v>1569</v>
      </c>
      <c r="I505" s="147">
        <v>45582</v>
      </c>
      <c r="J505" s="147">
        <v>45582</v>
      </c>
      <c r="K505" s="167" t="s">
        <v>25</v>
      </c>
      <c r="L505" s="148">
        <v>6500</v>
      </c>
      <c r="M505" s="149"/>
      <c r="N505" s="150">
        <v>20</v>
      </c>
      <c r="O505" s="151">
        <v>20</v>
      </c>
      <c r="P505" s="151">
        <v>0</v>
      </c>
      <c r="Q505" s="151">
        <v>0</v>
      </c>
      <c r="R505" s="151">
        <f>SUM(O505:Q505)</f>
        <v>20</v>
      </c>
      <c r="S505" s="142">
        <v>4</v>
      </c>
      <c r="T505" s="145" t="s">
        <v>1570</v>
      </c>
    </row>
    <row r="506" spans="1:20" ht="22.5" hidden="1" customHeight="1" x14ac:dyDescent="0.25">
      <c r="A506" s="152" t="s">
        <v>2929</v>
      </c>
      <c r="B506" s="142">
        <v>2024</v>
      </c>
      <c r="C506" s="142" t="s">
        <v>20</v>
      </c>
      <c r="D506" s="142" t="s">
        <v>1352</v>
      </c>
      <c r="E506" s="143" t="s">
        <v>1571</v>
      </c>
      <c r="F506" s="144" t="s">
        <v>22</v>
      </c>
      <c r="G506" s="145" t="s">
        <v>353</v>
      </c>
      <c r="H506" s="146" t="s">
        <v>1572</v>
      </c>
      <c r="I506" s="147">
        <v>45583</v>
      </c>
      <c r="J506" s="147">
        <v>45583</v>
      </c>
      <c r="K506" s="142" t="s">
        <v>25</v>
      </c>
      <c r="L506" s="148">
        <f>49600/8</f>
        <v>6200</v>
      </c>
      <c r="M506" s="149">
        <v>5</v>
      </c>
      <c r="N506" s="151">
        <v>8</v>
      </c>
      <c r="O506" s="151">
        <v>8</v>
      </c>
      <c r="P506" s="151">
        <v>0</v>
      </c>
      <c r="Q506" s="151">
        <v>0</v>
      </c>
      <c r="R506" s="151">
        <f>SUM(O506:Q506)</f>
        <v>8</v>
      </c>
      <c r="S506" s="142">
        <v>4</v>
      </c>
      <c r="T506" s="145" t="s">
        <v>1355</v>
      </c>
    </row>
    <row r="507" spans="1:20" ht="22.5" hidden="1" customHeight="1" x14ac:dyDescent="0.25">
      <c r="A507" s="152" t="s">
        <v>2930</v>
      </c>
      <c r="B507" s="142">
        <v>2024</v>
      </c>
      <c r="C507" s="142" t="s">
        <v>20</v>
      </c>
      <c r="D507" s="142" t="s">
        <v>1573</v>
      </c>
      <c r="E507" s="143" t="s">
        <v>1574</v>
      </c>
      <c r="F507" s="176" t="s">
        <v>22</v>
      </c>
      <c r="G507" s="169" t="s">
        <v>34</v>
      </c>
      <c r="H507" s="146" t="s">
        <v>1575</v>
      </c>
      <c r="I507" s="147">
        <v>45586</v>
      </c>
      <c r="J507" s="147">
        <v>45586</v>
      </c>
      <c r="K507" s="142" t="s">
        <v>32</v>
      </c>
      <c r="L507" s="148">
        <v>6539.2</v>
      </c>
      <c r="M507" s="149">
        <v>5</v>
      </c>
      <c r="N507" s="150">
        <v>0</v>
      </c>
      <c r="O507" s="151">
        <v>0</v>
      </c>
      <c r="P507" s="151">
        <v>0</v>
      </c>
      <c r="Q507" s="151">
        <v>0</v>
      </c>
      <c r="R507" s="151">
        <f>SUM(O507:Q507)</f>
        <v>0</v>
      </c>
      <c r="S507" s="142">
        <v>20</v>
      </c>
      <c r="T507" s="145" t="s">
        <v>1576</v>
      </c>
    </row>
    <row r="508" spans="1:20" ht="22.5" hidden="1" customHeight="1" x14ac:dyDescent="0.25">
      <c r="A508" s="152" t="s">
        <v>2931</v>
      </c>
      <c r="B508" s="142">
        <v>2024</v>
      </c>
      <c r="C508" s="142" t="s">
        <v>20</v>
      </c>
      <c r="D508" s="142" t="s">
        <v>1577</v>
      </c>
      <c r="E508" s="143" t="s">
        <v>1578</v>
      </c>
      <c r="F508" s="144" t="s">
        <v>22</v>
      </c>
      <c r="G508" s="145" t="s">
        <v>353</v>
      </c>
      <c r="H508" s="146" t="s">
        <v>1575</v>
      </c>
      <c r="I508" s="147">
        <v>45586</v>
      </c>
      <c r="J508" s="147">
        <v>45586</v>
      </c>
      <c r="K508" s="142" t="s">
        <v>25</v>
      </c>
      <c r="L508" s="148">
        <v>44100</v>
      </c>
      <c r="M508" s="149">
        <v>5</v>
      </c>
      <c r="N508" s="150">
        <v>13</v>
      </c>
      <c r="O508" s="151">
        <v>13</v>
      </c>
      <c r="P508" s="151">
        <v>0</v>
      </c>
      <c r="Q508" s="151">
        <v>0</v>
      </c>
      <c r="R508" s="151">
        <f>SUM(O508:Q508)</f>
        <v>13</v>
      </c>
      <c r="S508" s="142">
        <v>48</v>
      </c>
      <c r="T508" s="145" t="s">
        <v>741</v>
      </c>
    </row>
    <row r="509" spans="1:20" ht="22.5" hidden="1" customHeight="1" x14ac:dyDescent="0.25">
      <c r="A509" s="152" t="s">
        <v>2932</v>
      </c>
      <c r="B509" s="142">
        <v>2024</v>
      </c>
      <c r="C509" s="142" t="s">
        <v>20</v>
      </c>
      <c r="D509" s="142" t="s">
        <v>1579</v>
      </c>
      <c r="E509" s="177" t="s">
        <v>1580</v>
      </c>
      <c r="F509" s="144" t="s">
        <v>22</v>
      </c>
      <c r="G509" s="145" t="s">
        <v>157</v>
      </c>
      <c r="H509" s="146" t="s">
        <v>1575</v>
      </c>
      <c r="I509" s="147">
        <v>45586</v>
      </c>
      <c r="J509" s="147">
        <v>45586</v>
      </c>
      <c r="K509" s="142" t="s">
        <v>25</v>
      </c>
      <c r="L509" s="148">
        <v>36000</v>
      </c>
      <c r="M509" s="149"/>
      <c r="N509" s="150">
        <v>170</v>
      </c>
      <c r="O509" s="151">
        <v>170</v>
      </c>
      <c r="P509" s="151">
        <v>0</v>
      </c>
      <c r="Q509" s="151">
        <v>0</v>
      </c>
      <c r="R509" s="151">
        <f>SUM(O509:Q509)</f>
        <v>170</v>
      </c>
      <c r="S509" s="142">
        <v>1</v>
      </c>
      <c r="T509" s="145" t="s">
        <v>1581</v>
      </c>
    </row>
    <row r="510" spans="1:20" ht="22.5" hidden="1" customHeight="1" x14ac:dyDescent="0.25">
      <c r="A510" s="152" t="s">
        <v>2933</v>
      </c>
      <c r="B510" s="142">
        <v>2024</v>
      </c>
      <c r="C510" s="142" t="s">
        <v>20</v>
      </c>
      <c r="D510" s="142" t="s">
        <v>1493</v>
      </c>
      <c r="E510" s="143" t="s">
        <v>1582</v>
      </c>
      <c r="F510" s="144" t="s">
        <v>66</v>
      </c>
      <c r="G510" s="145" t="s">
        <v>59</v>
      </c>
      <c r="H510" s="146" t="s">
        <v>1583</v>
      </c>
      <c r="I510" s="147">
        <v>45586</v>
      </c>
      <c r="J510" s="147">
        <v>45590</v>
      </c>
      <c r="K510" s="142" t="s">
        <v>32</v>
      </c>
      <c r="L510" s="148">
        <f>9154.9+1027</f>
        <v>10181.9</v>
      </c>
      <c r="M510" s="149">
        <v>4.9000000000000004</v>
      </c>
      <c r="N510" s="150">
        <v>60</v>
      </c>
      <c r="O510" s="151">
        <v>0</v>
      </c>
      <c r="P510" s="151">
        <v>0</v>
      </c>
      <c r="Q510" s="151">
        <v>66</v>
      </c>
      <c r="R510" s="151">
        <f>SUM(O510:Q510)</f>
        <v>66</v>
      </c>
      <c r="S510" s="142">
        <v>20</v>
      </c>
      <c r="T510" s="145" t="s">
        <v>1496</v>
      </c>
    </row>
    <row r="511" spans="1:20" ht="22.5" hidden="1" customHeight="1" x14ac:dyDescent="0.25">
      <c r="A511" s="152" t="s">
        <v>2934</v>
      </c>
      <c r="B511" s="142">
        <v>2024</v>
      </c>
      <c r="C511" s="142" t="s">
        <v>20</v>
      </c>
      <c r="D511" s="142" t="s">
        <v>1584</v>
      </c>
      <c r="E511" s="177" t="s">
        <v>1585</v>
      </c>
      <c r="F511" s="144" t="s">
        <v>22</v>
      </c>
      <c r="G511" s="145" t="s">
        <v>157</v>
      </c>
      <c r="H511" s="146" t="s">
        <v>1586</v>
      </c>
      <c r="I511" s="147">
        <v>45587</v>
      </c>
      <c r="J511" s="147">
        <v>45587</v>
      </c>
      <c r="K511" s="142" t="s">
        <v>25</v>
      </c>
      <c r="L511" s="148">
        <v>1700</v>
      </c>
      <c r="M511" s="149"/>
      <c r="N511" s="150">
        <v>140</v>
      </c>
      <c r="O511" s="151">
        <v>140</v>
      </c>
      <c r="P511" s="151">
        <v>0</v>
      </c>
      <c r="Q511" s="151">
        <v>0</v>
      </c>
      <c r="R511" s="151">
        <f>SUM(O511:Q511)</f>
        <v>140</v>
      </c>
      <c r="S511" s="142">
        <v>1</v>
      </c>
      <c r="T511" s="145" t="s">
        <v>1587</v>
      </c>
    </row>
    <row r="512" spans="1:20" ht="22.5" hidden="1" customHeight="1" x14ac:dyDescent="0.25">
      <c r="A512" s="152" t="s">
        <v>2935</v>
      </c>
      <c r="B512" s="142">
        <v>2024</v>
      </c>
      <c r="C512" s="142" t="s">
        <v>20</v>
      </c>
      <c r="D512" s="142" t="s">
        <v>1588</v>
      </c>
      <c r="E512" s="143" t="s">
        <v>1589</v>
      </c>
      <c r="F512" s="176" t="s">
        <v>51</v>
      </c>
      <c r="G512" s="145" t="s">
        <v>59</v>
      </c>
      <c r="H512" s="146" t="s">
        <v>1590</v>
      </c>
      <c r="I512" s="147">
        <v>45594</v>
      </c>
      <c r="J512" s="147">
        <v>45596</v>
      </c>
      <c r="K512" s="142" t="s">
        <v>32</v>
      </c>
      <c r="L512" s="148">
        <v>6800.82</v>
      </c>
      <c r="M512" s="149">
        <v>4.7</v>
      </c>
      <c r="N512" s="150">
        <v>40</v>
      </c>
      <c r="O512" s="151">
        <v>0</v>
      </c>
      <c r="P512" s="151">
        <v>45</v>
      </c>
      <c r="Q512" s="151">
        <v>0</v>
      </c>
      <c r="R512" s="151">
        <f>SUM(O512:Q512)</f>
        <v>45</v>
      </c>
      <c r="S512" s="142">
        <v>12</v>
      </c>
      <c r="T512" s="145" t="s">
        <v>1591</v>
      </c>
    </row>
    <row r="513" spans="1:20" ht="22.5" hidden="1" customHeight="1" x14ac:dyDescent="0.25">
      <c r="A513" s="152" t="s">
        <v>2936</v>
      </c>
      <c r="B513" s="142">
        <v>2024</v>
      </c>
      <c r="C513" s="142" t="s">
        <v>20</v>
      </c>
      <c r="D513" s="142" t="s">
        <v>1592</v>
      </c>
      <c r="E513" s="143" t="s">
        <v>1593</v>
      </c>
      <c r="F513" s="176" t="s">
        <v>22</v>
      </c>
      <c r="G513" s="169" t="s">
        <v>34</v>
      </c>
      <c r="H513" s="146" t="s">
        <v>1594</v>
      </c>
      <c r="I513" s="147">
        <v>45594</v>
      </c>
      <c r="J513" s="147">
        <v>45596</v>
      </c>
      <c r="K513" s="142" t="s">
        <v>32</v>
      </c>
      <c r="L513" s="148">
        <v>3138.82</v>
      </c>
      <c r="M513" s="149">
        <v>5</v>
      </c>
      <c r="N513" s="150">
        <v>20</v>
      </c>
      <c r="O513" s="151">
        <v>19</v>
      </c>
      <c r="P513" s="151">
        <v>0</v>
      </c>
      <c r="Q513" s="151">
        <v>0</v>
      </c>
      <c r="R513" s="151">
        <f>SUM(O513:Q513)</f>
        <v>19</v>
      </c>
      <c r="S513" s="142">
        <v>4</v>
      </c>
      <c r="T513" s="145" t="s">
        <v>1595</v>
      </c>
    </row>
    <row r="514" spans="1:20" ht="22.5" hidden="1" customHeight="1" x14ac:dyDescent="0.25">
      <c r="A514" s="152" t="s">
        <v>2937</v>
      </c>
      <c r="B514" s="142">
        <v>2024</v>
      </c>
      <c r="C514" s="142" t="s">
        <v>20</v>
      </c>
      <c r="D514" s="142" t="s">
        <v>1513</v>
      </c>
      <c r="E514" s="143" t="s">
        <v>1596</v>
      </c>
      <c r="F514" s="176" t="s">
        <v>22</v>
      </c>
      <c r="G514" s="169" t="s">
        <v>30</v>
      </c>
      <c r="H514" s="146" t="s">
        <v>1597</v>
      </c>
      <c r="I514" s="147">
        <v>45600</v>
      </c>
      <c r="J514" s="147">
        <v>45604</v>
      </c>
      <c r="K514" s="142" t="s">
        <v>32</v>
      </c>
      <c r="L514" s="148">
        <v>12813.06</v>
      </c>
      <c r="M514" s="149">
        <v>4.7</v>
      </c>
      <c r="N514" s="150">
        <v>20</v>
      </c>
      <c r="O514" s="151">
        <v>15</v>
      </c>
      <c r="P514" s="151">
        <v>0</v>
      </c>
      <c r="Q514" s="151">
        <v>0</v>
      </c>
      <c r="R514" s="151">
        <f>SUM(O514:Q514)</f>
        <v>15</v>
      </c>
      <c r="S514" s="142">
        <v>20</v>
      </c>
      <c r="T514" s="145" t="s">
        <v>167</v>
      </c>
    </row>
    <row r="515" spans="1:20" ht="22.5" hidden="1" customHeight="1" x14ac:dyDescent="0.25">
      <c r="A515" s="152" t="s">
        <v>2938</v>
      </c>
      <c r="B515" s="142">
        <v>2024</v>
      </c>
      <c r="C515" s="142" t="s">
        <v>20</v>
      </c>
      <c r="D515" s="142" t="s">
        <v>1598</v>
      </c>
      <c r="E515" s="143" t="s">
        <v>1599</v>
      </c>
      <c r="F515" s="176" t="s">
        <v>66</v>
      </c>
      <c r="G515" s="169" t="s">
        <v>59</v>
      </c>
      <c r="H515" s="146" t="s">
        <v>1600</v>
      </c>
      <c r="I515" s="147">
        <v>45600</v>
      </c>
      <c r="J515" s="147">
        <v>45608</v>
      </c>
      <c r="K515" s="142" t="s">
        <v>25</v>
      </c>
      <c r="L515" s="148">
        <v>10500</v>
      </c>
      <c r="M515" s="149">
        <v>4.8</v>
      </c>
      <c r="N515" s="150">
        <v>40</v>
      </c>
      <c r="O515" s="151">
        <v>0</v>
      </c>
      <c r="P515" s="151">
        <v>0</v>
      </c>
      <c r="Q515" s="151">
        <v>41</v>
      </c>
      <c r="R515" s="151">
        <f>SUM(O515:Q515)</f>
        <v>41</v>
      </c>
      <c r="S515" s="142">
        <v>16</v>
      </c>
      <c r="T515" s="145" t="s">
        <v>1601</v>
      </c>
    </row>
    <row r="516" spans="1:20" ht="22.5" hidden="1" customHeight="1" x14ac:dyDescent="0.25">
      <c r="A516" s="152" t="s">
        <v>2939</v>
      </c>
      <c r="B516" s="142">
        <v>2024</v>
      </c>
      <c r="C516" s="142" t="s">
        <v>20</v>
      </c>
      <c r="D516" s="142" t="s">
        <v>1602</v>
      </c>
      <c r="E516" s="143" t="s">
        <v>1603</v>
      </c>
      <c r="F516" s="176" t="s">
        <v>22</v>
      </c>
      <c r="G516" s="169" t="s">
        <v>34</v>
      </c>
      <c r="H516" s="146" t="s">
        <v>1604</v>
      </c>
      <c r="I516" s="147">
        <v>45603</v>
      </c>
      <c r="J516" s="147">
        <v>45603</v>
      </c>
      <c r="K516" s="142" t="s">
        <v>32</v>
      </c>
      <c r="L516" s="148">
        <v>0</v>
      </c>
      <c r="M516" s="149">
        <v>4.8</v>
      </c>
      <c r="N516" s="150">
        <v>170</v>
      </c>
      <c r="O516" s="151">
        <v>96</v>
      </c>
      <c r="P516" s="151">
        <v>0</v>
      </c>
      <c r="Q516" s="151">
        <v>0</v>
      </c>
      <c r="R516" s="151">
        <f>SUM(O516:Q516)</f>
        <v>96</v>
      </c>
      <c r="S516" s="142">
        <v>2</v>
      </c>
      <c r="T516" s="145" t="s">
        <v>365</v>
      </c>
    </row>
    <row r="517" spans="1:20" ht="22.5" hidden="1" customHeight="1" x14ac:dyDescent="0.25">
      <c r="A517" s="152" t="s">
        <v>2940</v>
      </c>
      <c r="B517" s="142">
        <v>2024</v>
      </c>
      <c r="C517" s="142" t="s">
        <v>20</v>
      </c>
      <c r="D517" s="142" t="s">
        <v>1352</v>
      </c>
      <c r="E517" s="143" t="s">
        <v>1605</v>
      </c>
      <c r="F517" s="176" t="s">
        <v>22</v>
      </c>
      <c r="G517" s="169" t="s">
        <v>353</v>
      </c>
      <c r="H517" s="146" t="s">
        <v>1606</v>
      </c>
      <c r="I517" s="147">
        <v>45604</v>
      </c>
      <c r="J517" s="147">
        <v>45604</v>
      </c>
      <c r="K517" s="142" t="s">
        <v>25</v>
      </c>
      <c r="L517" s="148">
        <f>49600/8</f>
        <v>6200</v>
      </c>
      <c r="M517" s="149">
        <v>5</v>
      </c>
      <c r="N517" s="151">
        <v>20</v>
      </c>
      <c r="O517" s="151">
        <v>6</v>
      </c>
      <c r="P517" s="151">
        <v>0</v>
      </c>
      <c r="Q517" s="151">
        <v>0</v>
      </c>
      <c r="R517" s="151">
        <f>SUM(O517:Q517)</f>
        <v>6</v>
      </c>
      <c r="S517" s="142">
        <v>4</v>
      </c>
      <c r="T517" s="145" t="s">
        <v>1607</v>
      </c>
    </row>
    <row r="518" spans="1:20" ht="22.5" hidden="1" customHeight="1" x14ac:dyDescent="0.25">
      <c r="A518" s="152" t="s">
        <v>2941</v>
      </c>
      <c r="B518" s="142">
        <v>2024</v>
      </c>
      <c r="C518" s="142" t="s">
        <v>20</v>
      </c>
      <c r="D518" s="142" t="s">
        <v>1608</v>
      </c>
      <c r="E518" s="143" t="s">
        <v>1609</v>
      </c>
      <c r="F518" s="144" t="s">
        <v>51</v>
      </c>
      <c r="G518" s="169" t="s">
        <v>59</v>
      </c>
      <c r="H518" s="146" t="s">
        <v>1610</v>
      </c>
      <c r="I518" s="147">
        <v>45607</v>
      </c>
      <c r="J518" s="147">
        <v>45609</v>
      </c>
      <c r="K518" s="142" t="s">
        <v>32</v>
      </c>
      <c r="L518" s="148">
        <v>9416.44</v>
      </c>
      <c r="M518" s="149">
        <v>4.8</v>
      </c>
      <c r="N518" s="150">
        <v>40</v>
      </c>
      <c r="O518" s="151">
        <v>1</v>
      </c>
      <c r="P518" s="151">
        <v>46</v>
      </c>
      <c r="Q518" s="151">
        <v>0</v>
      </c>
      <c r="R518" s="151">
        <f>SUM(O518:Q518)</f>
        <v>47</v>
      </c>
      <c r="S518" s="142">
        <v>12</v>
      </c>
      <c r="T518" s="145" t="s">
        <v>1611</v>
      </c>
    </row>
    <row r="519" spans="1:20" ht="22.5" hidden="1" customHeight="1" x14ac:dyDescent="0.25">
      <c r="A519" s="152" t="s">
        <v>2942</v>
      </c>
      <c r="B519" s="142">
        <v>2024</v>
      </c>
      <c r="C519" s="142" t="s">
        <v>20</v>
      </c>
      <c r="D519" s="142" t="s">
        <v>1612</v>
      </c>
      <c r="E519" s="143" t="s">
        <v>1613</v>
      </c>
      <c r="F519" s="176" t="s">
        <v>51</v>
      </c>
      <c r="G519" s="169" t="s">
        <v>59</v>
      </c>
      <c r="H519" s="146" t="s">
        <v>1614</v>
      </c>
      <c r="I519" s="147">
        <v>45614</v>
      </c>
      <c r="J519" s="147">
        <v>45617</v>
      </c>
      <c r="K519" s="142" t="s">
        <v>32</v>
      </c>
      <c r="L519" s="148">
        <v>6800.82</v>
      </c>
      <c r="M519" s="149">
        <v>4.7</v>
      </c>
      <c r="N519" s="150">
        <v>40</v>
      </c>
      <c r="O519" s="151">
        <v>0</v>
      </c>
      <c r="P519" s="151">
        <v>37</v>
      </c>
      <c r="Q519" s="151">
        <v>0</v>
      </c>
      <c r="R519" s="151">
        <f>SUM(O519:Q519)</f>
        <v>37</v>
      </c>
      <c r="S519" s="142">
        <v>12</v>
      </c>
      <c r="T519" s="145" t="s">
        <v>1125</v>
      </c>
    </row>
    <row r="520" spans="1:20" ht="22.5" hidden="1" customHeight="1" x14ac:dyDescent="0.25">
      <c r="A520" s="152" t="s">
        <v>2943</v>
      </c>
      <c r="B520" s="142">
        <v>2024</v>
      </c>
      <c r="C520" s="142" t="s">
        <v>20</v>
      </c>
      <c r="D520" s="142" t="s">
        <v>1615</v>
      </c>
      <c r="E520" s="143" t="s">
        <v>1616</v>
      </c>
      <c r="F520" s="176" t="s">
        <v>22</v>
      </c>
      <c r="G520" s="145" t="s">
        <v>34</v>
      </c>
      <c r="H520" s="146" t="s">
        <v>1617</v>
      </c>
      <c r="I520" s="147">
        <v>45614</v>
      </c>
      <c r="J520" s="147">
        <v>45618</v>
      </c>
      <c r="K520" s="142" t="s">
        <v>32</v>
      </c>
      <c r="L520" s="148">
        <v>12555.28</v>
      </c>
      <c r="M520" s="149">
        <v>4.8</v>
      </c>
      <c r="N520" s="150">
        <v>20</v>
      </c>
      <c r="O520" s="151">
        <v>20</v>
      </c>
      <c r="P520" s="151">
        <v>0</v>
      </c>
      <c r="Q520" s="151">
        <v>0</v>
      </c>
      <c r="R520" s="151">
        <f>SUM(O520:Q520)</f>
        <v>20</v>
      </c>
      <c r="S520" s="142">
        <v>16</v>
      </c>
      <c r="T520" s="145" t="s">
        <v>1296</v>
      </c>
    </row>
    <row r="521" spans="1:20" ht="22.5" hidden="1" customHeight="1" x14ac:dyDescent="0.25">
      <c r="A521" s="152" t="s">
        <v>2944</v>
      </c>
      <c r="B521" s="142">
        <v>2024</v>
      </c>
      <c r="C521" s="142" t="s">
        <v>20</v>
      </c>
      <c r="D521" s="142" t="s">
        <v>1618</v>
      </c>
      <c r="E521" s="143" t="s">
        <v>1619</v>
      </c>
      <c r="F521" s="176" t="s">
        <v>51</v>
      </c>
      <c r="G521" s="145" t="s">
        <v>59</v>
      </c>
      <c r="H521" s="146" t="s">
        <v>1620</v>
      </c>
      <c r="I521" s="147">
        <v>45615</v>
      </c>
      <c r="J521" s="147">
        <v>45624</v>
      </c>
      <c r="K521" s="142" t="s">
        <v>32</v>
      </c>
      <c r="L521" s="148">
        <v>10250.44</v>
      </c>
      <c r="M521" s="149">
        <v>4</v>
      </c>
      <c r="N521" s="150">
        <v>20</v>
      </c>
      <c r="O521" s="151">
        <v>0</v>
      </c>
      <c r="P521" s="151">
        <v>19</v>
      </c>
      <c r="Q521" s="151">
        <v>0</v>
      </c>
      <c r="R521" s="151">
        <f>SUM(O521:Q521)</f>
        <v>19</v>
      </c>
      <c r="S521" s="142">
        <v>16</v>
      </c>
      <c r="T521" s="145" t="s">
        <v>425</v>
      </c>
    </row>
    <row r="522" spans="1:20" ht="22.5" hidden="1" customHeight="1" x14ac:dyDescent="0.25">
      <c r="A522" s="152" t="s">
        <v>2945</v>
      </c>
      <c r="B522" s="142">
        <v>2024</v>
      </c>
      <c r="C522" s="167" t="s">
        <v>20</v>
      </c>
      <c r="D522" s="142" t="s">
        <v>1621</v>
      </c>
      <c r="E522" s="143" t="s">
        <v>1622</v>
      </c>
      <c r="F522" s="144" t="s">
        <v>22</v>
      </c>
      <c r="G522" s="145" t="s">
        <v>34</v>
      </c>
      <c r="H522" s="146" t="s">
        <v>1623</v>
      </c>
      <c r="I522" s="147">
        <v>45617</v>
      </c>
      <c r="J522" s="147">
        <v>45617</v>
      </c>
      <c r="K522" s="142" t="s">
        <v>32</v>
      </c>
      <c r="L522" s="148">
        <v>9154.9500000000007</v>
      </c>
      <c r="M522" s="149">
        <v>5</v>
      </c>
      <c r="N522" s="150">
        <v>0</v>
      </c>
      <c r="O522" s="151">
        <v>0</v>
      </c>
      <c r="P522" s="151">
        <v>0</v>
      </c>
      <c r="Q522" s="151">
        <v>0</v>
      </c>
      <c r="R522" s="151">
        <f>SUM(O522:Q522)</f>
        <v>0</v>
      </c>
      <c r="S522" s="142">
        <v>21</v>
      </c>
      <c r="T522" s="145" t="s">
        <v>1046</v>
      </c>
    </row>
    <row r="523" spans="1:20" ht="22.5" hidden="1" customHeight="1" x14ac:dyDescent="0.25">
      <c r="A523" s="152" t="s">
        <v>2946</v>
      </c>
      <c r="B523" s="142">
        <v>2024</v>
      </c>
      <c r="C523" s="167" t="s">
        <v>20</v>
      </c>
      <c r="D523" s="142" t="s">
        <v>1602</v>
      </c>
      <c r="E523" s="143" t="s">
        <v>1624</v>
      </c>
      <c r="F523" s="176" t="s">
        <v>22</v>
      </c>
      <c r="G523" s="145" t="s">
        <v>34</v>
      </c>
      <c r="H523" s="146" t="s">
        <v>1623</v>
      </c>
      <c r="I523" s="147">
        <v>45617</v>
      </c>
      <c r="J523" s="147">
        <v>45617</v>
      </c>
      <c r="K523" s="142" t="s">
        <v>32</v>
      </c>
      <c r="L523" s="148">
        <v>2615.6999999999998</v>
      </c>
      <c r="M523" s="149">
        <v>5</v>
      </c>
      <c r="N523" s="150">
        <v>0</v>
      </c>
      <c r="O523" s="151">
        <v>0</v>
      </c>
      <c r="P523" s="151">
        <v>0</v>
      </c>
      <c r="Q523" s="151">
        <v>0</v>
      </c>
      <c r="R523" s="151">
        <f>SUM(O523:Q523)</f>
        <v>0</v>
      </c>
      <c r="S523" s="142">
        <v>6</v>
      </c>
      <c r="T523" s="145" t="s">
        <v>1625</v>
      </c>
    </row>
    <row r="524" spans="1:20" ht="22.5" hidden="1" customHeight="1" x14ac:dyDescent="0.25">
      <c r="A524" s="152" t="s">
        <v>2947</v>
      </c>
      <c r="B524" s="142">
        <v>2024</v>
      </c>
      <c r="C524" s="142" t="s">
        <v>20</v>
      </c>
      <c r="D524" s="142" t="s">
        <v>1352</v>
      </c>
      <c r="E524" s="143" t="s">
        <v>1626</v>
      </c>
      <c r="F524" s="144" t="s">
        <v>22</v>
      </c>
      <c r="G524" s="145" t="s">
        <v>353</v>
      </c>
      <c r="H524" s="146" t="s">
        <v>1627</v>
      </c>
      <c r="I524" s="147">
        <v>45618</v>
      </c>
      <c r="J524" s="147">
        <v>45618</v>
      </c>
      <c r="K524" s="142" t="s">
        <v>25</v>
      </c>
      <c r="L524" s="148">
        <f>49600/8</f>
        <v>6200</v>
      </c>
      <c r="M524" s="149">
        <v>5</v>
      </c>
      <c r="N524" s="151">
        <v>20</v>
      </c>
      <c r="O524" s="151">
        <v>6</v>
      </c>
      <c r="P524" s="151">
        <v>0</v>
      </c>
      <c r="Q524" s="151">
        <v>0</v>
      </c>
      <c r="R524" s="151">
        <f>SUM(O524:Q524)</f>
        <v>6</v>
      </c>
      <c r="S524" s="142"/>
      <c r="T524" s="145"/>
    </row>
    <row r="525" spans="1:20" ht="22.5" hidden="1" customHeight="1" x14ac:dyDescent="0.25">
      <c r="A525" s="152" t="s">
        <v>2948</v>
      </c>
      <c r="B525" s="142">
        <v>2024</v>
      </c>
      <c r="C525" s="142" t="s">
        <v>20</v>
      </c>
      <c r="D525" s="142" t="s">
        <v>1557</v>
      </c>
      <c r="E525" s="143" t="s">
        <v>1628</v>
      </c>
      <c r="F525" s="176" t="s">
        <v>51</v>
      </c>
      <c r="G525" s="145" t="s">
        <v>59</v>
      </c>
      <c r="H525" s="146" t="s">
        <v>1629</v>
      </c>
      <c r="I525" s="147">
        <v>45621</v>
      </c>
      <c r="J525" s="147">
        <v>45624</v>
      </c>
      <c r="K525" s="142" t="s">
        <v>25</v>
      </c>
      <c r="L525" s="148">
        <v>10400</v>
      </c>
      <c r="M525" s="149">
        <v>4.7</v>
      </c>
      <c r="N525" s="150">
        <v>40</v>
      </c>
      <c r="O525" s="151">
        <v>0</v>
      </c>
      <c r="P525" s="151">
        <v>46</v>
      </c>
      <c r="Q525" s="151">
        <v>0</v>
      </c>
      <c r="R525" s="151">
        <f>SUM(O525:Q525)</f>
        <v>46</v>
      </c>
      <c r="S525" s="142">
        <v>16</v>
      </c>
      <c r="T525" s="145" t="s">
        <v>1630</v>
      </c>
    </row>
    <row r="526" spans="1:20" ht="22.5" hidden="1" customHeight="1" x14ac:dyDescent="0.25">
      <c r="A526" s="152" t="s">
        <v>2949</v>
      </c>
      <c r="B526" s="142">
        <v>2024</v>
      </c>
      <c r="C526" s="142" t="s">
        <v>20</v>
      </c>
      <c r="D526" s="142" t="s">
        <v>1561</v>
      </c>
      <c r="E526" s="143" t="s">
        <v>1631</v>
      </c>
      <c r="F526" s="144" t="s">
        <v>51</v>
      </c>
      <c r="G526" s="145" t="s">
        <v>59</v>
      </c>
      <c r="H526" s="146" t="s">
        <v>1629</v>
      </c>
      <c r="I526" s="147">
        <v>45621</v>
      </c>
      <c r="J526" s="147">
        <v>45624</v>
      </c>
      <c r="K526" s="142" t="s">
        <v>32</v>
      </c>
      <c r="L526" s="148">
        <v>9067.76</v>
      </c>
      <c r="M526" s="149">
        <v>4.9000000000000004</v>
      </c>
      <c r="N526" s="150">
        <v>30</v>
      </c>
      <c r="O526" s="151">
        <v>0</v>
      </c>
      <c r="P526" s="151">
        <v>20</v>
      </c>
      <c r="Q526" s="151">
        <v>0</v>
      </c>
      <c r="R526" s="151">
        <f>SUM(O526:Q526)</f>
        <v>20</v>
      </c>
      <c r="S526" s="142">
        <v>16</v>
      </c>
      <c r="T526" s="145" t="s">
        <v>1306</v>
      </c>
    </row>
    <row r="527" spans="1:20" ht="22.5" hidden="1" customHeight="1" x14ac:dyDescent="0.25">
      <c r="A527" s="152" t="s">
        <v>2950</v>
      </c>
      <c r="B527" s="142">
        <v>2024</v>
      </c>
      <c r="C527" s="142" t="s">
        <v>20</v>
      </c>
      <c r="D527" s="142"/>
      <c r="E527" s="143" t="s">
        <v>1632</v>
      </c>
      <c r="F527" s="144" t="s">
        <v>22</v>
      </c>
      <c r="G527" s="145" t="s">
        <v>157</v>
      </c>
      <c r="H527" s="146" t="s">
        <v>68</v>
      </c>
      <c r="I527" s="147">
        <v>45621</v>
      </c>
      <c r="J527" s="147">
        <v>45621</v>
      </c>
      <c r="K527" s="142" t="s">
        <v>32</v>
      </c>
      <c r="L527" s="148"/>
      <c r="M527" s="149"/>
      <c r="N527" s="150"/>
      <c r="O527" s="151">
        <v>0</v>
      </c>
      <c r="P527" s="151">
        <v>0</v>
      </c>
      <c r="Q527" s="151">
        <v>0</v>
      </c>
      <c r="R527" s="151">
        <f>SUM(O527:Q527)</f>
        <v>0</v>
      </c>
      <c r="S527" s="142"/>
      <c r="T527" s="145" t="s">
        <v>1633</v>
      </c>
    </row>
    <row r="528" spans="1:20" ht="22.5" hidden="1" customHeight="1" x14ac:dyDescent="0.25">
      <c r="A528" s="152" t="s">
        <v>2951</v>
      </c>
      <c r="B528" s="142">
        <v>2024</v>
      </c>
      <c r="C528" s="142" t="s">
        <v>20</v>
      </c>
      <c r="D528" s="142" t="s">
        <v>1634</v>
      </c>
      <c r="E528" s="143" t="s">
        <v>1635</v>
      </c>
      <c r="F528" s="144" t="s">
        <v>22</v>
      </c>
      <c r="G528" s="145" t="s">
        <v>34</v>
      </c>
      <c r="H528" s="146" t="s">
        <v>1636</v>
      </c>
      <c r="I528" s="147">
        <v>45622</v>
      </c>
      <c r="J528" s="147">
        <v>45624</v>
      </c>
      <c r="K528" s="142" t="s">
        <v>32</v>
      </c>
      <c r="L528" s="148">
        <v>3040.86</v>
      </c>
      <c r="M528" s="149">
        <v>4.7</v>
      </c>
      <c r="N528" s="150">
        <v>20</v>
      </c>
      <c r="O528" s="151">
        <v>20</v>
      </c>
      <c r="P528" s="151">
        <v>0</v>
      </c>
      <c r="Q528" s="151">
        <v>0</v>
      </c>
      <c r="R528" s="151">
        <f>SUM(O528:Q528)</f>
        <v>20</v>
      </c>
      <c r="S528" s="142">
        <v>8</v>
      </c>
      <c r="T528" s="145" t="s">
        <v>1637</v>
      </c>
    </row>
    <row r="529" spans="1:20" ht="22.5" hidden="1" customHeight="1" x14ac:dyDescent="0.25">
      <c r="A529" s="152" t="s">
        <v>2952</v>
      </c>
      <c r="B529" s="142">
        <v>2024</v>
      </c>
      <c r="C529" s="142" t="s">
        <v>20</v>
      </c>
      <c r="D529" s="142" t="s">
        <v>1638</v>
      </c>
      <c r="E529" s="143" t="s">
        <v>1639</v>
      </c>
      <c r="F529" s="144" t="s">
        <v>22</v>
      </c>
      <c r="G529" s="145" t="s">
        <v>23</v>
      </c>
      <c r="H529" s="146" t="s">
        <v>1640</v>
      </c>
      <c r="I529" s="147">
        <v>45622</v>
      </c>
      <c r="J529" s="147">
        <v>45629</v>
      </c>
      <c r="K529" s="142" t="s">
        <v>25</v>
      </c>
      <c r="L529" s="148">
        <v>25000</v>
      </c>
      <c r="M529" s="149">
        <v>4.8</v>
      </c>
      <c r="N529" s="150">
        <v>30</v>
      </c>
      <c r="O529" s="151">
        <v>23</v>
      </c>
      <c r="P529" s="151">
        <v>4</v>
      </c>
      <c r="Q529" s="151">
        <v>1</v>
      </c>
      <c r="R529" s="151">
        <f>SUM(O529:Q529)</f>
        <v>28</v>
      </c>
      <c r="S529" s="142">
        <v>20</v>
      </c>
      <c r="T529" s="145"/>
    </row>
    <row r="530" spans="1:20" ht="22.5" hidden="1" customHeight="1" x14ac:dyDescent="0.25">
      <c r="A530" s="152" t="s">
        <v>2953</v>
      </c>
      <c r="B530" s="142">
        <v>2024</v>
      </c>
      <c r="C530" s="142" t="s">
        <v>20</v>
      </c>
      <c r="D530" s="142" t="s">
        <v>1641</v>
      </c>
      <c r="E530" s="143" t="s">
        <v>1642</v>
      </c>
      <c r="F530" s="144" t="s">
        <v>51</v>
      </c>
      <c r="G530" s="145" t="s">
        <v>59</v>
      </c>
      <c r="H530" s="146" t="s">
        <v>1643</v>
      </c>
      <c r="I530" s="147">
        <v>45624</v>
      </c>
      <c r="J530" s="147">
        <v>45624</v>
      </c>
      <c r="K530" s="142" t="s">
        <v>174</v>
      </c>
      <c r="L530" s="148">
        <v>0</v>
      </c>
      <c r="M530" s="149">
        <v>4.9000000000000004</v>
      </c>
      <c r="N530" s="150">
        <v>170</v>
      </c>
      <c r="O530" s="151">
        <v>36</v>
      </c>
      <c r="P530" s="151">
        <v>79</v>
      </c>
      <c r="Q530" s="151">
        <v>23</v>
      </c>
      <c r="R530" s="151">
        <f>SUM(O530:Q530)</f>
        <v>138</v>
      </c>
      <c r="S530" s="142">
        <v>8</v>
      </c>
      <c r="T530" s="145" t="s">
        <v>365</v>
      </c>
    </row>
    <row r="531" spans="1:20" ht="22.5" hidden="1" customHeight="1" x14ac:dyDescent="0.25">
      <c r="A531" s="152" t="s">
        <v>2954</v>
      </c>
      <c r="B531" s="142">
        <v>2024</v>
      </c>
      <c r="C531" s="142" t="s">
        <v>20</v>
      </c>
      <c r="D531" s="142" t="s">
        <v>1429</v>
      </c>
      <c r="E531" s="143" t="s">
        <v>1644</v>
      </c>
      <c r="F531" s="144" t="s">
        <v>51</v>
      </c>
      <c r="G531" s="145" t="s">
        <v>59</v>
      </c>
      <c r="H531" s="146" t="s">
        <v>1645</v>
      </c>
      <c r="I531" s="147">
        <v>45628</v>
      </c>
      <c r="J531" s="147">
        <v>45630</v>
      </c>
      <c r="K531" s="142" t="s">
        <v>32</v>
      </c>
      <c r="L531" s="148">
        <v>9416.4599999999991</v>
      </c>
      <c r="M531" s="149">
        <v>4.9000000000000004</v>
      </c>
      <c r="N531" s="150">
        <v>20</v>
      </c>
      <c r="O531" s="151">
        <v>0</v>
      </c>
      <c r="P531" s="151">
        <v>19</v>
      </c>
      <c r="Q531" s="151">
        <v>0</v>
      </c>
      <c r="R531" s="151">
        <f>SUM(O531:Q531)</f>
        <v>19</v>
      </c>
      <c r="S531" s="142">
        <v>12</v>
      </c>
      <c r="T531" s="145" t="s">
        <v>1432</v>
      </c>
    </row>
    <row r="532" spans="1:20" ht="22.5" hidden="1" customHeight="1" x14ac:dyDescent="0.25">
      <c r="A532" s="152" t="s">
        <v>2955</v>
      </c>
      <c r="B532" s="142">
        <v>2024</v>
      </c>
      <c r="C532" s="142" t="s">
        <v>20</v>
      </c>
      <c r="D532" s="142" t="s">
        <v>1646</v>
      </c>
      <c r="E532" s="143" t="s">
        <v>1647</v>
      </c>
      <c r="F532" s="144" t="s">
        <v>22</v>
      </c>
      <c r="G532" s="145" t="s">
        <v>157</v>
      </c>
      <c r="H532" s="146" t="s">
        <v>1648</v>
      </c>
      <c r="I532" s="147">
        <v>45631</v>
      </c>
      <c r="J532" s="147">
        <v>45631</v>
      </c>
      <c r="K532" s="142" t="s">
        <v>25</v>
      </c>
      <c r="L532" s="148">
        <v>28900</v>
      </c>
      <c r="M532" s="149">
        <v>5</v>
      </c>
      <c r="N532" s="150">
        <v>170</v>
      </c>
      <c r="O532" s="151">
        <v>118</v>
      </c>
      <c r="P532" s="151">
        <v>0</v>
      </c>
      <c r="Q532" s="151">
        <v>0</v>
      </c>
      <c r="R532" s="151">
        <f>SUM(O532:Q532)</f>
        <v>118</v>
      </c>
      <c r="S532" s="142">
        <v>1</v>
      </c>
      <c r="T532" s="145" t="s">
        <v>1649</v>
      </c>
    </row>
    <row r="533" spans="1:20" ht="22.5" hidden="1" customHeight="1" x14ac:dyDescent="0.25">
      <c r="A533" s="152" t="s">
        <v>2956</v>
      </c>
      <c r="B533" s="142">
        <v>2024</v>
      </c>
      <c r="C533" s="142" t="s">
        <v>20</v>
      </c>
      <c r="D533" s="142" t="s">
        <v>1352</v>
      </c>
      <c r="E533" s="143" t="s">
        <v>1650</v>
      </c>
      <c r="F533" s="144" t="s">
        <v>22</v>
      </c>
      <c r="G533" s="145" t="s">
        <v>353</v>
      </c>
      <c r="H533" s="146" t="s">
        <v>1651</v>
      </c>
      <c r="I533" s="147">
        <v>45632</v>
      </c>
      <c r="J533" s="147">
        <v>45632</v>
      </c>
      <c r="K533" s="142" t="s">
        <v>25</v>
      </c>
      <c r="L533" s="148">
        <f>49600/8</f>
        <v>6200</v>
      </c>
      <c r="M533" s="149">
        <v>5</v>
      </c>
      <c r="N533" s="151">
        <v>40</v>
      </c>
      <c r="O533" s="151">
        <v>4</v>
      </c>
      <c r="P533" s="151">
        <v>0</v>
      </c>
      <c r="Q533" s="151">
        <v>0</v>
      </c>
      <c r="R533" s="151">
        <f>SUM(O533:Q533)</f>
        <v>4</v>
      </c>
      <c r="S533" s="142">
        <v>4</v>
      </c>
      <c r="T533" s="145" t="s">
        <v>1355</v>
      </c>
    </row>
    <row r="534" spans="1:20" ht="22.5" hidden="1" customHeight="1" x14ac:dyDescent="0.25">
      <c r="A534" s="152" t="s">
        <v>2957</v>
      </c>
      <c r="B534" s="142">
        <v>2024</v>
      </c>
      <c r="C534" s="142" t="s">
        <v>20</v>
      </c>
      <c r="D534" s="142" t="s">
        <v>1652</v>
      </c>
      <c r="E534" s="143" t="s">
        <v>1653</v>
      </c>
      <c r="F534" s="144" t="s">
        <v>66</v>
      </c>
      <c r="G534" s="145" t="s">
        <v>59</v>
      </c>
      <c r="H534" s="146" t="s">
        <v>1651</v>
      </c>
      <c r="I534" s="147">
        <v>45632</v>
      </c>
      <c r="J534" s="147">
        <v>45632</v>
      </c>
      <c r="K534" s="142" t="s">
        <v>32</v>
      </c>
      <c r="L534" s="148">
        <v>3680.45</v>
      </c>
      <c r="M534" s="149">
        <v>4.8</v>
      </c>
      <c r="N534" s="150">
        <v>30</v>
      </c>
      <c r="O534" s="151">
        <v>0</v>
      </c>
      <c r="P534" s="151">
        <v>0</v>
      </c>
      <c r="Q534" s="151">
        <v>49</v>
      </c>
      <c r="R534" s="151">
        <f>SUM(O534:Q534)</f>
        <v>49</v>
      </c>
      <c r="S534" s="142">
        <v>4</v>
      </c>
      <c r="T534" s="145" t="s">
        <v>1654</v>
      </c>
    </row>
    <row r="535" spans="1:20" ht="22.5" hidden="1" customHeight="1" x14ac:dyDescent="0.25">
      <c r="A535" s="152" t="s">
        <v>2958</v>
      </c>
      <c r="B535" s="142">
        <v>2024</v>
      </c>
      <c r="C535" s="142" t="s">
        <v>20</v>
      </c>
      <c r="D535" s="142" t="s">
        <v>1493</v>
      </c>
      <c r="E535" s="143" t="s">
        <v>1655</v>
      </c>
      <c r="F535" s="144" t="s">
        <v>66</v>
      </c>
      <c r="G535" s="145" t="s">
        <v>59</v>
      </c>
      <c r="H535" s="146" t="s">
        <v>1656</v>
      </c>
      <c r="I535" s="147">
        <v>45635</v>
      </c>
      <c r="J535" s="147">
        <v>45639</v>
      </c>
      <c r="K535" s="142" t="s">
        <v>32</v>
      </c>
      <c r="L535" s="148">
        <f>9154.9+1027</f>
        <v>10181.9</v>
      </c>
      <c r="M535" s="149">
        <v>4.9000000000000004</v>
      </c>
      <c r="N535" s="150">
        <v>60</v>
      </c>
      <c r="O535" s="151">
        <v>0</v>
      </c>
      <c r="P535" s="151">
        <v>0</v>
      </c>
      <c r="Q535" s="151">
        <v>94</v>
      </c>
      <c r="R535" s="151">
        <f>SUM(O535:Q535)</f>
        <v>94</v>
      </c>
      <c r="S535" s="142">
        <v>20</v>
      </c>
      <c r="T535" s="145" t="s">
        <v>1496</v>
      </c>
    </row>
    <row r="536" spans="1:20" ht="22.5" hidden="1" customHeight="1" x14ac:dyDescent="0.25">
      <c r="A536" s="152" t="s">
        <v>2959</v>
      </c>
      <c r="B536" s="142">
        <v>2024</v>
      </c>
      <c r="C536" s="142" t="s">
        <v>20</v>
      </c>
      <c r="D536" s="142" t="s">
        <v>1657</v>
      </c>
      <c r="E536" s="143" t="s">
        <v>1658</v>
      </c>
      <c r="F536" s="144" t="s">
        <v>22</v>
      </c>
      <c r="G536" s="145" t="s">
        <v>30</v>
      </c>
      <c r="H536" s="146" t="s">
        <v>1659</v>
      </c>
      <c r="I536" s="147">
        <v>45641</v>
      </c>
      <c r="J536" s="147">
        <v>45641</v>
      </c>
      <c r="K536" s="142"/>
      <c r="L536" s="148"/>
      <c r="M536" s="149"/>
      <c r="N536" s="150"/>
      <c r="O536" s="151">
        <v>0</v>
      </c>
      <c r="P536" s="151">
        <v>0</v>
      </c>
      <c r="Q536" s="151">
        <v>0</v>
      </c>
      <c r="R536" s="151">
        <f>SUM(O536:Q536)</f>
        <v>0</v>
      </c>
      <c r="S536" s="142"/>
      <c r="T536" s="145"/>
    </row>
    <row r="537" spans="1:20" ht="22.5" hidden="1" customHeight="1" x14ac:dyDescent="0.25">
      <c r="A537" s="152" t="s">
        <v>2960</v>
      </c>
      <c r="B537" s="142">
        <v>2025</v>
      </c>
      <c r="C537" s="142" t="s">
        <v>20</v>
      </c>
      <c r="D537" s="142" t="s">
        <v>1660</v>
      </c>
      <c r="E537" s="143" t="s">
        <v>1661</v>
      </c>
      <c r="F537" s="144" t="s">
        <v>51</v>
      </c>
      <c r="G537" s="145" t="s">
        <v>59</v>
      </c>
      <c r="H537" s="142" t="s">
        <v>1662</v>
      </c>
      <c r="I537" s="178">
        <v>45684</v>
      </c>
      <c r="J537" s="147">
        <v>45688</v>
      </c>
      <c r="K537" s="142" t="s">
        <v>32</v>
      </c>
      <c r="L537" s="148">
        <v>12813.06</v>
      </c>
      <c r="M537" s="149">
        <v>4.8</v>
      </c>
      <c r="N537" s="150">
        <v>20</v>
      </c>
      <c r="O537" s="151">
        <v>7</v>
      </c>
      <c r="P537" s="151">
        <v>14</v>
      </c>
      <c r="Q537" s="151">
        <v>0</v>
      </c>
      <c r="R537" s="151">
        <f>SUM(O537:Q537)</f>
        <v>21</v>
      </c>
      <c r="S537" s="142">
        <v>20</v>
      </c>
      <c r="T537" s="145" t="s">
        <v>61</v>
      </c>
    </row>
    <row r="538" spans="1:20" ht="22.5" hidden="1" customHeight="1" x14ac:dyDescent="0.25">
      <c r="A538" s="152" t="s">
        <v>2961</v>
      </c>
      <c r="B538" s="142">
        <v>2025</v>
      </c>
      <c r="C538" s="142" t="s">
        <v>20</v>
      </c>
      <c r="D538" s="142" t="s">
        <v>1663</v>
      </c>
      <c r="E538" s="143" t="s">
        <v>1658</v>
      </c>
      <c r="F538" s="144" t="s">
        <v>22</v>
      </c>
      <c r="G538" s="145" t="s">
        <v>30</v>
      </c>
      <c r="H538" s="146" t="s">
        <v>1664</v>
      </c>
      <c r="I538" s="147">
        <v>45689</v>
      </c>
      <c r="J538" s="147">
        <v>45689</v>
      </c>
      <c r="K538" s="142"/>
      <c r="L538" s="148"/>
      <c r="M538" s="149"/>
      <c r="N538" s="150">
        <v>49</v>
      </c>
      <c r="O538" s="151">
        <v>49</v>
      </c>
      <c r="P538" s="151">
        <v>0</v>
      </c>
      <c r="Q538" s="151">
        <v>0</v>
      </c>
      <c r="R538" s="151">
        <f>SUM(O538:Q538)</f>
        <v>49</v>
      </c>
      <c r="S538" s="142"/>
      <c r="T538" s="145"/>
    </row>
    <row r="539" spans="1:20" ht="22.5" hidden="1" customHeight="1" x14ac:dyDescent="0.25">
      <c r="A539" s="152" t="s">
        <v>2962</v>
      </c>
      <c r="B539" s="142">
        <v>2025</v>
      </c>
      <c r="C539" s="179" t="s">
        <v>20</v>
      </c>
      <c r="D539" s="142" t="s">
        <v>1665</v>
      </c>
      <c r="E539" s="143" t="s">
        <v>1666</v>
      </c>
      <c r="F539" s="144" t="s">
        <v>51</v>
      </c>
      <c r="G539" s="145" t="s">
        <v>59</v>
      </c>
      <c r="H539" s="146" t="s">
        <v>1667</v>
      </c>
      <c r="I539" s="147">
        <v>45691</v>
      </c>
      <c r="J539" s="147">
        <v>45694</v>
      </c>
      <c r="K539" s="142" t="s">
        <v>32</v>
      </c>
      <c r="L539" s="148">
        <v>9067.76</v>
      </c>
      <c r="M539" s="149">
        <v>4.7</v>
      </c>
      <c r="N539" s="150">
        <v>30</v>
      </c>
      <c r="O539" s="151">
        <v>0</v>
      </c>
      <c r="P539" s="151">
        <v>26</v>
      </c>
      <c r="Q539" s="151">
        <v>0</v>
      </c>
      <c r="R539" s="151">
        <f>SUM(O539:Q539)</f>
        <v>26</v>
      </c>
      <c r="S539" s="142">
        <v>16</v>
      </c>
      <c r="T539" s="145" t="s">
        <v>1306</v>
      </c>
    </row>
    <row r="540" spans="1:20" ht="22.5" hidden="1" customHeight="1" x14ac:dyDescent="0.25">
      <c r="A540" s="152" t="s">
        <v>2963</v>
      </c>
      <c r="B540" s="142">
        <v>2025</v>
      </c>
      <c r="C540" s="142" t="s">
        <v>20</v>
      </c>
      <c r="D540" s="142" t="s">
        <v>1668</v>
      </c>
      <c r="E540" s="143" t="s">
        <v>1669</v>
      </c>
      <c r="F540" s="144" t="s">
        <v>22</v>
      </c>
      <c r="G540" s="145" t="s">
        <v>283</v>
      </c>
      <c r="H540" s="146" t="s">
        <v>1670</v>
      </c>
      <c r="I540" s="147">
        <v>45691</v>
      </c>
      <c r="J540" s="147">
        <v>45692</v>
      </c>
      <c r="K540" s="142" t="s">
        <v>32</v>
      </c>
      <c r="L540" s="148">
        <v>0</v>
      </c>
      <c r="M540" s="149">
        <v>4.9000000000000004</v>
      </c>
      <c r="N540" s="150">
        <v>10</v>
      </c>
      <c r="O540" s="151">
        <v>8</v>
      </c>
      <c r="P540" s="151">
        <v>0</v>
      </c>
      <c r="Q540" s="151">
        <v>0</v>
      </c>
      <c r="R540" s="151">
        <f>SUM(O540:Q540)</f>
        <v>8</v>
      </c>
      <c r="S540" s="142">
        <v>8</v>
      </c>
      <c r="T540" s="145" t="s">
        <v>365</v>
      </c>
    </row>
    <row r="541" spans="1:20" ht="22.5" hidden="1" customHeight="1" x14ac:dyDescent="0.25">
      <c r="A541" s="152" t="s">
        <v>2964</v>
      </c>
      <c r="B541" s="142">
        <v>2025</v>
      </c>
      <c r="C541" s="142" t="s">
        <v>20</v>
      </c>
      <c r="D541" s="142" t="s">
        <v>1671</v>
      </c>
      <c r="E541" s="143" t="s">
        <v>1672</v>
      </c>
      <c r="F541" s="144" t="s">
        <v>22</v>
      </c>
      <c r="G541" s="145" t="s">
        <v>23</v>
      </c>
      <c r="H541" s="142" t="s">
        <v>1673</v>
      </c>
      <c r="I541" s="147">
        <v>45691</v>
      </c>
      <c r="J541" s="147">
        <v>45693</v>
      </c>
      <c r="K541" s="142" t="s">
        <v>32</v>
      </c>
      <c r="L541" s="148">
        <v>9416.4599999999991</v>
      </c>
      <c r="M541" s="149">
        <v>5</v>
      </c>
      <c r="N541" s="150">
        <v>20</v>
      </c>
      <c r="O541" s="151">
        <v>14</v>
      </c>
      <c r="P541" s="151">
        <v>0</v>
      </c>
      <c r="Q541" s="151">
        <v>0</v>
      </c>
      <c r="R541" s="151">
        <f>SUM(O541:Q541)</f>
        <v>14</v>
      </c>
      <c r="S541" s="142">
        <v>12</v>
      </c>
      <c r="T541" s="145" t="s">
        <v>1450</v>
      </c>
    </row>
    <row r="542" spans="1:20" ht="22.5" hidden="1" customHeight="1" x14ac:dyDescent="0.25">
      <c r="A542" s="152" t="s">
        <v>2965</v>
      </c>
      <c r="B542" s="142">
        <v>2025</v>
      </c>
      <c r="C542" s="179" t="s">
        <v>20</v>
      </c>
      <c r="D542" s="142" t="s">
        <v>1674</v>
      </c>
      <c r="E542" s="143" t="s">
        <v>1675</v>
      </c>
      <c r="F542" s="144" t="s">
        <v>66</v>
      </c>
      <c r="G542" s="145" t="s">
        <v>59</v>
      </c>
      <c r="H542" s="142" t="s">
        <v>1676</v>
      </c>
      <c r="I542" s="147">
        <v>45691</v>
      </c>
      <c r="J542" s="147">
        <v>45705</v>
      </c>
      <c r="K542" s="142" t="s">
        <v>32</v>
      </c>
      <c r="L542" s="148">
        <v>11334.7</v>
      </c>
      <c r="M542" s="149">
        <v>4.7</v>
      </c>
      <c r="N542" s="150">
        <v>20</v>
      </c>
      <c r="O542" s="151">
        <v>0</v>
      </c>
      <c r="P542" s="151">
        <v>0</v>
      </c>
      <c r="Q542" s="151">
        <v>30</v>
      </c>
      <c r="R542" s="151">
        <f>SUM(O542:Q542)</f>
        <v>30</v>
      </c>
      <c r="S542" s="142">
        <v>20</v>
      </c>
      <c r="T542" s="145" t="s">
        <v>1327</v>
      </c>
    </row>
    <row r="543" spans="1:20" ht="22.5" hidden="1" customHeight="1" x14ac:dyDescent="0.25">
      <c r="A543" s="152" t="s">
        <v>2966</v>
      </c>
      <c r="B543" s="142">
        <v>2025</v>
      </c>
      <c r="C543" s="179" t="s">
        <v>20</v>
      </c>
      <c r="D543" s="142" t="s">
        <v>1677</v>
      </c>
      <c r="E543" s="143" t="s">
        <v>1678</v>
      </c>
      <c r="F543" s="144" t="s">
        <v>22</v>
      </c>
      <c r="G543" s="145" t="s">
        <v>34</v>
      </c>
      <c r="H543" s="146" t="s">
        <v>1679</v>
      </c>
      <c r="I543" s="147">
        <v>45694</v>
      </c>
      <c r="J543" s="147">
        <v>45702</v>
      </c>
      <c r="K543" s="142" t="s">
        <v>32</v>
      </c>
      <c r="L543" s="148">
        <v>15277.08</v>
      </c>
      <c r="M543" s="149">
        <v>5</v>
      </c>
      <c r="N543" s="150">
        <v>11</v>
      </c>
      <c r="O543" s="151">
        <v>11</v>
      </c>
      <c r="P543" s="151">
        <v>0</v>
      </c>
      <c r="Q543" s="151">
        <v>0</v>
      </c>
      <c r="R543" s="151">
        <f>SUM(O543:Q543)</f>
        <v>11</v>
      </c>
      <c r="S543" s="142">
        <v>20</v>
      </c>
      <c r="T543" s="145" t="s">
        <v>1359</v>
      </c>
    </row>
    <row r="544" spans="1:20" ht="22.5" hidden="1" customHeight="1" x14ac:dyDescent="0.25">
      <c r="A544" s="152" t="s">
        <v>2967</v>
      </c>
      <c r="B544" s="142">
        <v>2025</v>
      </c>
      <c r="C544" s="179" t="s">
        <v>20</v>
      </c>
      <c r="D544" s="142" t="s">
        <v>1680</v>
      </c>
      <c r="E544" s="143" t="s">
        <v>1681</v>
      </c>
      <c r="F544" s="144" t="s">
        <v>22</v>
      </c>
      <c r="G544" s="145" t="s">
        <v>1316</v>
      </c>
      <c r="H544" s="146" t="s">
        <v>1682</v>
      </c>
      <c r="I544" s="147">
        <v>45698</v>
      </c>
      <c r="J544" s="147">
        <v>45702</v>
      </c>
      <c r="K544" s="142" t="s">
        <v>25</v>
      </c>
      <c r="L544" s="148">
        <f>402.17*12</f>
        <v>4826.04</v>
      </c>
      <c r="M544" s="149">
        <v>4.8</v>
      </c>
      <c r="N544" s="150">
        <v>40</v>
      </c>
      <c r="O544" s="151">
        <v>43</v>
      </c>
      <c r="P544" s="151">
        <v>0</v>
      </c>
      <c r="Q544" s="151">
        <v>0</v>
      </c>
      <c r="R544" s="151">
        <f>SUM(O544:Q544)</f>
        <v>43</v>
      </c>
      <c r="S544" s="142">
        <v>12</v>
      </c>
      <c r="T544" s="145" t="s">
        <v>1334</v>
      </c>
    </row>
    <row r="545" spans="1:20" ht="22.5" hidden="1" customHeight="1" x14ac:dyDescent="0.25">
      <c r="A545" s="152" t="s">
        <v>2968</v>
      </c>
      <c r="B545" s="142">
        <v>2025</v>
      </c>
      <c r="C545" s="179" t="s">
        <v>20</v>
      </c>
      <c r="D545" s="142" t="s">
        <v>1683</v>
      </c>
      <c r="E545" s="143" t="s">
        <v>1684</v>
      </c>
      <c r="F545" s="144" t="s">
        <v>51</v>
      </c>
      <c r="G545" s="145" t="s">
        <v>59</v>
      </c>
      <c r="H545" s="142" t="s">
        <v>1685</v>
      </c>
      <c r="I545" s="147">
        <v>45699</v>
      </c>
      <c r="J545" s="147">
        <v>45708</v>
      </c>
      <c r="K545" s="142" t="s">
        <v>32</v>
      </c>
      <c r="L545" s="148">
        <v>16717.68</v>
      </c>
      <c r="M545" s="149">
        <v>4.8</v>
      </c>
      <c r="N545" s="150">
        <v>40</v>
      </c>
      <c r="O545" s="151">
        <v>6</v>
      </c>
      <c r="P545" s="151">
        <v>48</v>
      </c>
      <c r="Q545" s="151">
        <v>0</v>
      </c>
      <c r="R545" s="151">
        <f>SUM(O545:Q545)</f>
        <v>54</v>
      </c>
      <c r="S545" s="142">
        <v>20</v>
      </c>
      <c r="T545" s="145" t="s">
        <v>729</v>
      </c>
    </row>
    <row r="546" spans="1:20" ht="22.5" hidden="1" customHeight="1" x14ac:dyDescent="0.25">
      <c r="A546" s="152" t="s">
        <v>2969</v>
      </c>
      <c r="B546" s="142">
        <v>2025</v>
      </c>
      <c r="C546" s="142" t="s">
        <v>20</v>
      </c>
      <c r="D546" s="142" t="s">
        <v>1686</v>
      </c>
      <c r="E546" s="143" t="s">
        <v>1687</v>
      </c>
      <c r="F546" s="144" t="s">
        <v>22</v>
      </c>
      <c r="G546" s="145" t="s">
        <v>34</v>
      </c>
      <c r="H546" s="146" t="s">
        <v>1688</v>
      </c>
      <c r="I546" s="147">
        <v>45706</v>
      </c>
      <c r="J546" s="147">
        <v>45707</v>
      </c>
      <c r="K546" s="142" t="s">
        <v>25</v>
      </c>
      <c r="L546" s="148">
        <v>8954.4</v>
      </c>
      <c r="M546" s="149">
        <v>5</v>
      </c>
      <c r="N546" s="150">
        <v>3</v>
      </c>
      <c r="O546" s="151">
        <v>3</v>
      </c>
      <c r="P546" s="151">
        <v>0</v>
      </c>
      <c r="Q546" s="151">
        <v>0</v>
      </c>
      <c r="R546" s="151">
        <f>SUM(O546:Q546)</f>
        <v>3</v>
      </c>
      <c r="S546" s="142">
        <v>16</v>
      </c>
      <c r="T546" s="145" t="s">
        <v>1070</v>
      </c>
    </row>
    <row r="547" spans="1:20" ht="22.5" hidden="1" customHeight="1" x14ac:dyDescent="0.25">
      <c r="A547" s="152" t="s">
        <v>2970</v>
      </c>
      <c r="B547" s="142">
        <v>2025</v>
      </c>
      <c r="C547" s="142" t="s">
        <v>20</v>
      </c>
      <c r="D547" s="142" t="s">
        <v>1689</v>
      </c>
      <c r="E547" s="143" t="s">
        <v>1690</v>
      </c>
      <c r="F547" s="144" t="s">
        <v>22</v>
      </c>
      <c r="G547" s="145" t="s">
        <v>23</v>
      </c>
      <c r="H547" s="142" t="s">
        <v>1691</v>
      </c>
      <c r="I547" s="147">
        <v>45706</v>
      </c>
      <c r="J547" s="147">
        <v>45708</v>
      </c>
      <c r="K547" s="142" t="s">
        <v>32</v>
      </c>
      <c r="L547" s="148">
        <v>4533.88</v>
      </c>
      <c r="M547" s="149">
        <v>4.8</v>
      </c>
      <c r="N547" s="150">
        <v>25</v>
      </c>
      <c r="O547" s="151">
        <v>21</v>
      </c>
      <c r="P547" s="151">
        <v>0</v>
      </c>
      <c r="Q547" s="151">
        <v>0</v>
      </c>
      <c r="R547" s="151">
        <f>SUM(O547:Q547)</f>
        <v>21</v>
      </c>
      <c r="S547" s="142">
        <v>8</v>
      </c>
      <c r="T547" s="145" t="s">
        <v>1524</v>
      </c>
    </row>
    <row r="548" spans="1:20" ht="22.5" hidden="1" customHeight="1" x14ac:dyDescent="0.25">
      <c r="A548" s="152" t="s">
        <v>2971</v>
      </c>
      <c r="B548" s="142">
        <v>2025</v>
      </c>
      <c r="C548" s="142" t="s">
        <v>20</v>
      </c>
      <c r="D548" s="142" t="s">
        <v>1692</v>
      </c>
      <c r="E548" s="143" t="s">
        <v>1693</v>
      </c>
      <c r="F548" s="144" t="s">
        <v>66</v>
      </c>
      <c r="G548" s="145" t="s">
        <v>59</v>
      </c>
      <c r="H548" s="146" t="s">
        <v>1694</v>
      </c>
      <c r="I548" s="147">
        <v>45709</v>
      </c>
      <c r="J548" s="147">
        <v>45709</v>
      </c>
      <c r="K548" s="142" t="s">
        <v>32</v>
      </c>
      <c r="L548" s="148">
        <v>2677.79</v>
      </c>
      <c r="M548" s="149">
        <v>4.8</v>
      </c>
      <c r="N548" s="150">
        <v>30</v>
      </c>
      <c r="O548" s="151">
        <v>0</v>
      </c>
      <c r="P548" s="151">
        <v>0</v>
      </c>
      <c r="Q548" s="151">
        <v>44</v>
      </c>
      <c r="R548" s="151">
        <f>SUM(O548:Q548)</f>
        <v>44</v>
      </c>
      <c r="S548" s="142">
        <v>4</v>
      </c>
      <c r="T548" s="145" t="s">
        <v>365</v>
      </c>
    </row>
    <row r="549" spans="1:20" ht="22.5" hidden="1" customHeight="1" x14ac:dyDescent="0.25">
      <c r="A549" s="152" t="s">
        <v>2972</v>
      </c>
      <c r="B549" s="142">
        <v>2025</v>
      </c>
      <c r="C549" s="179" t="s">
        <v>20</v>
      </c>
      <c r="D549" s="142" t="s">
        <v>1695</v>
      </c>
      <c r="E549" s="143" t="s">
        <v>1696</v>
      </c>
      <c r="F549" s="144" t="s">
        <v>51</v>
      </c>
      <c r="G549" s="145" t="s">
        <v>59</v>
      </c>
      <c r="H549" s="146" t="s">
        <v>1697</v>
      </c>
      <c r="I549" s="147">
        <v>45712</v>
      </c>
      <c r="J549" s="147">
        <v>45716</v>
      </c>
      <c r="K549" s="142" t="s">
        <v>32</v>
      </c>
      <c r="L549" s="148">
        <v>12813.06</v>
      </c>
      <c r="M549" s="149">
        <v>4.7</v>
      </c>
      <c r="N549" s="150">
        <v>40</v>
      </c>
      <c r="O549" s="151">
        <v>7</v>
      </c>
      <c r="P549" s="151">
        <v>42</v>
      </c>
      <c r="Q549" s="151">
        <v>0</v>
      </c>
      <c r="R549" s="151">
        <f>SUM(O549:Q549)</f>
        <v>49</v>
      </c>
      <c r="S549" s="142">
        <v>20</v>
      </c>
      <c r="T549" s="145" t="s">
        <v>61</v>
      </c>
    </row>
    <row r="550" spans="1:20" ht="22.5" hidden="1" customHeight="1" x14ac:dyDescent="0.25">
      <c r="A550" s="152" t="s">
        <v>2973</v>
      </c>
      <c r="B550" s="142">
        <v>2025</v>
      </c>
      <c r="C550" s="142" t="s">
        <v>20</v>
      </c>
      <c r="D550" s="142" t="s">
        <v>1698</v>
      </c>
      <c r="E550" s="143" t="s">
        <v>1699</v>
      </c>
      <c r="F550" s="144" t="s">
        <v>22</v>
      </c>
      <c r="G550" s="145" t="s">
        <v>34</v>
      </c>
      <c r="H550" s="146" t="s">
        <v>1700</v>
      </c>
      <c r="I550" s="147">
        <v>45726</v>
      </c>
      <c r="J550" s="147">
        <v>45728</v>
      </c>
      <c r="K550" s="142" t="s">
        <v>25</v>
      </c>
      <c r="L550" s="148">
        <v>4800</v>
      </c>
      <c r="M550" s="149">
        <v>4.8</v>
      </c>
      <c r="N550" s="150">
        <v>20</v>
      </c>
      <c r="O550" s="151">
        <v>16</v>
      </c>
      <c r="P550" s="151">
        <v>0</v>
      </c>
      <c r="Q550" s="151">
        <v>0</v>
      </c>
      <c r="R550" s="151">
        <f>SUM(O550:Q550)</f>
        <v>16</v>
      </c>
      <c r="S550" s="142">
        <v>16</v>
      </c>
      <c r="T550" s="145" t="s">
        <v>1701</v>
      </c>
    </row>
    <row r="551" spans="1:20" ht="22.5" hidden="1" customHeight="1" x14ac:dyDescent="0.25">
      <c r="A551" s="152" t="s">
        <v>2974</v>
      </c>
      <c r="B551" s="142">
        <v>2025</v>
      </c>
      <c r="C551" s="179" t="s">
        <v>20</v>
      </c>
      <c r="D551" s="142" t="s">
        <v>1702</v>
      </c>
      <c r="E551" s="143" t="s">
        <v>1703</v>
      </c>
      <c r="F551" s="144" t="s">
        <v>22</v>
      </c>
      <c r="G551" s="145" t="s">
        <v>23</v>
      </c>
      <c r="H551" s="180" t="s">
        <v>1704</v>
      </c>
      <c r="I551" s="147">
        <v>45727</v>
      </c>
      <c r="J551" s="147">
        <v>45751</v>
      </c>
      <c r="K551" s="142" t="s">
        <v>25</v>
      </c>
      <c r="L551" s="148">
        <v>32000</v>
      </c>
      <c r="M551" s="149">
        <v>4.7</v>
      </c>
      <c r="N551" s="150">
        <v>30</v>
      </c>
      <c r="O551" s="151">
        <v>27</v>
      </c>
      <c r="P551" s="151">
        <v>0</v>
      </c>
      <c r="Q551" s="151">
        <v>0</v>
      </c>
      <c r="R551" s="151">
        <f>SUM(O551:Q551)</f>
        <v>27</v>
      </c>
      <c r="S551" s="142">
        <v>40</v>
      </c>
      <c r="T551" s="145" t="s">
        <v>1705</v>
      </c>
    </row>
    <row r="552" spans="1:20" ht="22.5" hidden="1" customHeight="1" x14ac:dyDescent="0.25">
      <c r="A552" s="152" t="s">
        <v>2975</v>
      </c>
      <c r="B552" s="142">
        <v>2025</v>
      </c>
      <c r="C552" s="142" t="s">
        <v>20</v>
      </c>
      <c r="D552" s="142" t="s">
        <v>1706</v>
      </c>
      <c r="E552" s="143" t="s">
        <v>1707</v>
      </c>
      <c r="F552" s="144" t="s">
        <v>66</v>
      </c>
      <c r="G552" s="145" t="s">
        <v>59</v>
      </c>
      <c r="H552" s="146" t="s">
        <v>1708</v>
      </c>
      <c r="I552" s="147">
        <v>45727</v>
      </c>
      <c r="J552" s="147">
        <v>45727</v>
      </c>
      <c r="K552" s="142" t="s">
        <v>174</v>
      </c>
      <c r="L552" s="148">
        <v>0</v>
      </c>
      <c r="M552" s="149">
        <v>5</v>
      </c>
      <c r="N552" s="150">
        <v>170</v>
      </c>
      <c r="O552" s="151">
        <v>29</v>
      </c>
      <c r="P552" s="151">
        <v>25</v>
      </c>
      <c r="Q552" s="151">
        <v>60</v>
      </c>
      <c r="R552" s="151">
        <f>SUM(O552:Q552)</f>
        <v>114</v>
      </c>
      <c r="S552" s="142">
        <v>2</v>
      </c>
      <c r="T552" s="145" t="s">
        <v>365</v>
      </c>
    </row>
    <row r="553" spans="1:20" ht="22.5" hidden="1" customHeight="1" x14ac:dyDescent="0.25">
      <c r="A553" s="152" t="s">
        <v>2976</v>
      </c>
      <c r="B553" s="142">
        <v>2025</v>
      </c>
      <c r="C553" s="142" t="s">
        <v>20</v>
      </c>
      <c r="D553" s="142" t="s">
        <v>1689</v>
      </c>
      <c r="E553" s="143" t="s">
        <v>1709</v>
      </c>
      <c r="F553" s="144" t="s">
        <v>51</v>
      </c>
      <c r="G553" s="145" t="s">
        <v>59</v>
      </c>
      <c r="H553" s="145" t="s">
        <v>1710</v>
      </c>
      <c r="I553" s="147">
        <v>45729</v>
      </c>
      <c r="J553" s="147">
        <v>45730</v>
      </c>
      <c r="K553" s="142" t="s">
        <v>32</v>
      </c>
      <c r="L553" s="148">
        <v>4533.88</v>
      </c>
      <c r="M553" s="149">
        <v>4.8</v>
      </c>
      <c r="N553" s="150">
        <v>25</v>
      </c>
      <c r="O553" s="151">
        <v>11</v>
      </c>
      <c r="P553" s="151">
        <v>12</v>
      </c>
      <c r="Q553" s="151">
        <v>1</v>
      </c>
      <c r="R553" s="151">
        <f>SUM(O553:Q553)</f>
        <v>24</v>
      </c>
      <c r="S553" s="142">
        <v>8</v>
      </c>
      <c r="T553" s="145" t="s">
        <v>1524</v>
      </c>
    </row>
    <row r="554" spans="1:20" ht="22.5" hidden="1" customHeight="1" x14ac:dyDescent="0.25">
      <c r="A554" s="152" t="s">
        <v>2977</v>
      </c>
      <c r="B554" s="142">
        <v>2025</v>
      </c>
      <c r="C554" s="179" t="s">
        <v>20</v>
      </c>
      <c r="D554" s="142" t="s">
        <v>1711</v>
      </c>
      <c r="E554" s="143" t="s">
        <v>1712</v>
      </c>
      <c r="F554" s="144" t="s">
        <v>22</v>
      </c>
      <c r="G554" s="145" t="s">
        <v>30</v>
      </c>
      <c r="H554" s="145" t="s">
        <v>1713</v>
      </c>
      <c r="I554" s="147">
        <v>45733</v>
      </c>
      <c r="J554" s="147">
        <v>45737</v>
      </c>
      <c r="K554" s="142" t="s">
        <v>32</v>
      </c>
      <c r="L554" s="148">
        <v>12813.06</v>
      </c>
      <c r="M554" s="149">
        <v>4.8</v>
      </c>
      <c r="N554" s="150">
        <v>20</v>
      </c>
      <c r="O554" s="151">
        <v>21</v>
      </c>
      <c r="P554" s="151">
        <v>0</v>
      </c>
      <c r="Q554" s="151">
        <v>0</v>
      </c>
      <c r="R554" s="151">
        <f>SUM(O554:Q554)</f>
        <v>21</v>
      </c>
      <c r="S554" s="142">
        <v>20</v>
      </c>
      <c r="T554" s="145" t="s">
        <v>167</v>
      </c>
    </row>
    <row r="555" spans="1:20" ht="22.5" hidden="1" customHeight="1" x14ac:dyDescent="0.25">
      <c r="A555" s="152" t="s">
        <v>2978</v>
      </c>
      <c r="B555" s="142">
        <v>2025</v>
      </c>
      <c r="C555" s="179" t="s">
        <v>20</v>
      </c>
      <c r="D555" s="142" t="s">
        <v>1714</v>
      </c>
      <c r="E555" s="143" t="s">
        <v>1715</v>
      </c>
      <c r="F555" s="144" t="s">
        <v>66</v>
      </c>
      <c r="G555" s="145" t="s">
        <v>59</v>
      </c>
      <c r="H555" s="146" t="s">
        <v>1716</v>
      </c>
      <c r="I555" s="147">
        <v>45733</v>
      </c>
      <c r="J555" s="147">
        <v>45737</v>
      </c>
      <c r="K555" s="142" t="s">
        <v>174</v>
      </c>
      <c r="L555" s="148">
        <f>4708.23+830.87</f>
        <v>5539.0999999999995</v>
      </c>
      <c r="M555" s="149">
        <v>4.8</v>
      </c>
      <c r="N555" s="150">
        <v>30</v>
      </c>
      <c r="O555" s="151">
        <v>0</v>
      </c>
      <c r="P555" s="151">
        <v>0</v>
      </c>
      <c r="Q555" s="151">
        <v>38</v>
      </c>
      <c r="R555" s="151">
        <f>SUM(O555:Q555)</f>
        <v>38</v>
      </c>
      <c r="S555" s="142">
        <v>12</v>
      </c>
      <c r="T555" s="145" t="s">
        <v>1633</v>
      </c>
    </row>
    <row r="556" spans="1:20" ht="22.5" hidden="1" customHeight="1" x14ac:dyDescent="0.25">
      <c r="A556" s="152" t="s">
        <v>2979</v>
      </c>
      <c r="B556" s="142">
        <v>2025</v>
      </c>
      <c r="C556" s="142" t="s">
        <v>20</v>
      </c>
      <c r="D556" s="142"/>
      <c r="E556" s="143" t="s">
        <v>1717</v>
      </c>
      <c r="F556" s="144" t="s">
        <v>66</v>
      </c>
      <c r="G556" s="145" t="s">
        <v>59</v>
      </c>
      <c r="H556" s="146" t="s">
        <v>1718</v>
      </c>
      <c r="I556" s="147">
        <v>45736</v>
      </c>
      <c r="J556" s="147">
        <v>45737</v>
      </c>
      <c r="K556" s="142" t="s">
        <v>25</v>
      </c>
      <c r="L556" s="148">
        <v>0</v>
      </c>
      <c r="M556" s="149">
        <v>4.9000000000000004</v>
      </c>
      <c r="N556" s="150">
        <v>170</v>
      </c>
      <c r="O556" s="151">
        <v>0</v>
      </c>
      <c r="P556" s="151">
        <v>0</v>
      </c>
      <c r="Q556" s="151">
        <v>97</v>
      </c>
      <c r="R556" s="151">
        <f>SUM(O556:Q556)</f>
        <v>97</v>
      </c>
      <c r="S556" s="142">
        <v>16</v>
      </c>
      <c r="T556" s="145" t="s">
        <v>1719</v>
      </c>
    </row>
    <row r="557" spans="1:20" ht="22.5" hidden="1" customHeight="1" x14ac:dyDescent="0.25">
      <c r="A557" s="152" t="s">
        <v>2980</v>
      </c>
      <c r="B557" s="142">
        <v>2025</v>
      </c>
      <c r="C557" s="142" t="s">
        <v>20</v>
      </c>
      <c r="D557" s="142" t="s">
        <v>1720</v>
      </c>
      <c r="E557" s="143" t="s">
        <v>1721</v>
      </c>
      <c r="F557" s="144" t="s">
        <v>66</v>
      </c>
      <c r="G557" s="145" t="s">
        <v>59</v>
      </c>
      <c r="H557" s="146" t="s">
        <v>1722</v>
      </c>
      <c r="I557" s="147">
        <v>45740</v>
      </c>
      <c r="J557" s="147">
        <v>45744</v>
      </c>
      <c r="K557" s="142" t="s">
        <v>174</v>
      </c>
      <c r="L557" s="148">
        <f>4708.23+830.87</f>
        <v>5539.0999999999995</v>
      </c>
      <c r="M557" s="149">
        <v>4.7</v>
      </c>
      <c r="N557" s="150">
        <v>30</v>
      </c>
      <c r="O557" s="151">
        <v>0</v>
      </c>
      <c r="P557" s="151">
        <v>0</v>
      </c>
      <c r="Q557" s="151">
        <v>38</v>
      </c>
      <c r="R557" s="151">
        <f>SUM(O557:Q557)</f>
        <v>38</v>
      </c>
      <c r="S557" s="142">
        <v>12</v>
      </c>
      <c r="T557" s="145" t="s">
        <v>1633</v>
      </c>
    </row>
    <row r="558" spans="1:20" ht="22.5" hidden="1" customHeight="1" x14ac:dyDescent="0.25">
      <c r="A558" s="152" t="s">
        <v>2981</v>
      </c>
      <c r="B558" s="142">
        <v>2025</v>
      </c>
      <c r="C558" s="179" t="s">
        <v>20</v>
      </c>
      <c r="D558" s="142" t="s">
        <v>1723</v>
      </c>
      <c r="E558" s="143" t="s">
        <v>1724</v>
      </c>
      <c r="F558" s="144" t="s">
        <v>22</v>
      </c>
      <c r="G558" s="145" t="s">
        <v>283</v>
      </c>
      <c r="H558" s="146" t="s">
        <v>1725</v>
      </c>
      <c r="I558" s="147">
        <v>45743</v>
      </c>
      <c r="J558" s="147">
        <v>45744</v>
      </c>
      <c r="K558" s="142" t="s">
        <v>32</v>
      </c>
      <c r="L558" s="148">
        <v>0</v>
      </c>
      <c r="M558" s="149">
        <v>5</v>
      </c>
      <c r="N558" s="150">
        <v>12</v>
      </c>
      <c r="O558" s="151">
        <v>8</v>
      </c>
      <c r="P558" s="151">
        <v>0</v>
      </c>
      <c r="Q558" s="151">
        <v>0</v>
      </c>
      <c r="R558" s="151">
        <f>SUM(O558:Q558)</f>
        <v>8</v>
      </c>
      <c r="S558" s="142">
        <v>8</v>
      </c>
      <c r="T558" s="145" t="s">
        <v>365</v>
      </c>
    </row>
    <row r="559" spans="1:20" ht="22.5" hidden="1" customHeight="1" x14ac:dyDescent="0.25">
      <c r="A559" s="152" t="s">
        <v>2982</v>
      </c>
      <c r="B559" s="142">
        <v>2025</v>
      </c>
      <c r="C559" s="179" t="s">
        <v>20</v>
      </c>
      <c r="D559" s="142" t="s">
        <v>1660</v>
      </c>
      <c r="E559" s="143" t="s">
        <v>1019</v>
      </c>
      <c r="F559" s="144" t="s">
        <v>51</v>
      </c>
      <c r="G559" s="145" t="s">
        <v>59</v>
      </c>
      <c r="H559" s="146" t="s">
        <v>1726</v>
      </c>
      <c r="I559" s="147">
        <v>45747</v>
      </c>
      <c r="J559" s="147">
        <v>45751</v>
      </c>
      <c r="K559" s="142" t="s">
        <v>32</v>
      </c>
      <c r="L559" s="148">
        <v>12813.06</v>
      </c>
      <c r="M559" s="149">
        <v>4.5999999999999996</v>
      </c>
      <c r="N559" s="150">
        <v>20</v>
      </c>
      <c r="O559" s="151">
        <v>1</v>
      </c>
      <c r="P559" s="151">
        <v>22</v>
      </c>
      <c r="Q559" s="151">
        <v>0</v>
      </c>
      <c r="R559" s="151">
        <f>SUM(O559:Q559)</f>
        <v>23</v>
      </c>
      <c r="S559" s="142">
        <v>20</v>
      </c>
      <c r="T559" s="145" t="s">
        <v>61</v>
      </c>
    </row>
    <row r="560" spans="1:20" ht="22.5" hidden="1" customHeight="1" x14ac:dyDescent="0.25">
      <c r="A560" s="152" t="s">
        <v>2983</v>
      </c>
      <c r="B560" s="142">
        <v>2025</v>
      </c>
      <c r="C560" s="179" t="s">
        <v>20</v>
      </c>
      <c r="D560" s="142" t="s">
        <v>1727</v>
      </c>
      <c r="E560" s="143" t="s">
        <v>1728</v>
      </c>
      <c r="F560" s="144" t="s">
        <v>22</v>
      </c>
      <c r="G560" s="145" t="s">
        <v>23</v>
      </c>
      <c r="H560" s="146" t="s">
        <v>1729</v>
      </c>
      <c r="I560" s="147">
        <v>45748</v>
      </c>
      <c r="J560" s="147">
        <v>45758</v>
      </c>
      <c r="K560" s="142" t="s">
        <v>32</v>
      </c>
      <c r="L560" s="148">
        <v>13374.14</v>
      </c>
      <c r="M560" s="149">
        <v>4.8</v>
      </c>
      <c r="N560" s="150">
        <v>20</v>
      </c>
      <c r="O560" s="151">
        <v>20</v>
      </c>
      <c r="P560" s="151">
        <v>0</v>
      </c>
      <c r="Q560" s="151">
        <v>0</v>
      </c>
      <c r="R560" s="151">
        <f>SUM(O560:Q560)</f>
        <v>20</v>
      </c>
      <c r="S560" s="142">
        <v>16</v>
      </c>
      <c r="T560" s="145" t="s">
        <v>1730</v>
      </c>
    </row>
    <row r="561" spans="1:20" ht="22.5" hidden="1" customHeight="1" x14ac:dyDescent="0.25">
      <c r="A561" s="152" t="s">
        <v>2984</v>
      </c>
      <c r="B561" s="142">
        <v>2025</v>
      </c>
      <c r="C561" s="142" t="s">
        <v>20</v>
      </c>
      <c r="D561" s="142" t="s">
        <v>1731</v>
      </c>
      <c r="E561" s="143" t="s">
        <v>1732</v>
      </c>
      <c r="F561" s="144" t="s">
        <v>22</v>
      </c>
      <c r="G561" s="145" t="s">
        <v>34</v>
      </c>
      <c r="H561" s="146" t="s">
        <v>1733</v>
      </c>
      <c r="I561" s="147">
        <v>45748</v>
      </c>
      <c r="J561" s="147">
        <v>45870</v>
      </c>
      <c r="K561" s="142" t="s">
        <v>25</v>
      </c>
      <c r="L561" s="148">
        <v>40716</v>
      </c>
      <c r="M561" s="149">
        <v>5</v>
      </c>
      <c r="N561" s="150">
        <v>13</v>
      </c>
      <c r="O561" s="151">
        <v>13</v>
      </c>
      <c r="P561" s="151">
        <v>0</v>
      </c>
      <c r="Q561" s="151">
        <v>0</v>
      </c>
      <c r="R561" s="151">
        <f>SUM(O561:Q561)</f>
        <v>13</v>
      </c>
      <c r="S561" s="142">
        <v>16</v>
      </c>
      <c r="T561" s="145" t="s">
        <v>1734</v>
      </c>
    </row>
    <row r="562" spans="1:20" ht="22.5" hidden="1" customHeight="1" x14ac:dyDescent="0.25">
      <c r="A562" s="152" t="s">
        <v>2985</v>
      </c>
      <c r="B562" s="142">
        <v>2025</v>
      </c>
      <c r="C562" s="142" t="s">
        <v>20</v>
      </c>
      <c r="D562" s="142" t="s">
        <v>1735</v>
      </c>
      <c r="E562" s="143" t="s">
        <v>1736</v>
      </c>
      <c r="F562" s="144" t="s">
        <v>51</v>
      </c>
      <c r="G562" s="145" t="s">
        <v>59</v>
      </c>
      <c r="H562" s="146" t="s">
        <v>1737</v>
      </c>
      <c r="I562" s="147">
        <v>45750</v>
      </c>
      <c r="J562" s="147">
        <v>45751</v>
      </c>
      <c r="K562" s="142" t="s">
        <v>174</v>
      </c>
      <c r="L562" s="148">
        <v>0</v>
      </c>
      <c r="M562" s="149">
        <v>4.9000000000000004</v>
      </c>
      <c r="N562" s="150">
        <v>170</v>
      </c>
      <c r="O562" s="151">
        <v>20</v>
      </c>
      <c r="P562" s="151">
        <v>151</v>
      </c>
      <c r="Q562" s="151">
        <v>79</v>
      </c>
      <c r="R562" s="151">
        <f>SUM(O562:Q562)</f>
        <v>250</v>
      </c>
      <c r="S562" s="142">
        <v>12</v>
      </c>
      <c r="T562" s="145" t="s">
        <v>365</v>
      </c>
    </row>
    <row r="563" spans="1:20" ht="22.5" hidden="1" customHeight="1" x14ac:dyDescent="0.25">
      <c r="A563" s="152" t="s">
        <v>2986</v>
      </c>
      <c r="B563" s="142">
        <v>2025</v>
      </c>
      <c r="C563" s="142" t="s">
        <v>20</v>
      </c>
      <c r="D563" s="142" t="s">
        <v>1738</v>
      </c>
      <c r="E563" s="143" t="s">
        <v>1631</v>
      </c>
      <c r="F563" s="144" t="s">
        <v>51</v>
      </c>
      <c r="G563" s="145" t="s">
        <v>59</v>
      </c>
      <c r="H563" s="146" t="s">
        <v>1739</v>
      </c>
      <c r="I563" s="147">
        <v>45754</v>
      </c>
      <c r="J563" s="147">
        <v>45757</v>
      </c>
      <c r="K563" s="142" t="s">
        <v>32</v>
      </c>
      <c r="L563" s="148">
        <v>9067.76</v>
      </c>
      <c r="M563" s="149">
        <v>5</v>
      </c>
      <c r="N563" s="150">
        <v>30</v>
      </c>
      <c r="O563" s="151">
        <v>0</v>
      </c>
      <c r="P563" s="151">
        <v>32</v>
      </c>
      <c r="Q563" s="151">
        <v>0</v>
      </c>
      <c r="R563" s="151">
        <f>SUM(O563:Q563)</f>
        <v>32</v>
      </c>
      <c r="S563" s="142">
        <v>16</v>
      </c>
      <c r="T563" s="145" t="s">
        <v>546</v>
      </c>
    </row>
    <row r="564" spans="1:20" ht="22.5" hidden="1" customHeight="1" x14ac:dyDescent="0.25">
      <c r="A564" s="152" t="s">
        <v>2987</v>
      </c>
      <c r="B564" s="142">
        <v>2025</v>
      </c>
      <c r="C564" s="142" t="s">
        <v>20</v>
      </c>
      <c r="D564" s="142" t="s">
        <v>1740</v>
      </c>
      <c r="E564" s="143" t="s">
        <v>1741</v>
      </c>
      <c r="F564" s="144" t="s">
        <v>51</v>
      </c>
      <c r="G564" s="145" t="s">
        <v>59</v>
      </c>
      <c r="H564" s="180" t="s">
        <v>1742</v>
      </c>
      <c r="I564" s="147">
        <v>45757</v>
      </c>
      <c r="J564" s="147">
        <v>45762</v>
      </c>
      <c r="K564" s="142" t="s">
        <v>25</v>
      </c>
      <c r="L564" s="148">
        <v>10400</v>
      </c>
      <c r="M564" s="149">
        <v>4.9000000000000004</v>
      </c>
      <c r="N564" s="150">
        <v>40</v>
      </c>
      <c r="O564" s="151">
        <v>4</v>
      </c>
      <c r="P564" s="151">
        <v>37</v>
      </c>
      <c r="Q564" s="151">
        <v>0</v>
      </c>
      <c r="R564" s="151">
        <f>SUM(O564:Q564)</f>
        <v>41</v>
      </c>
      <c r="S564" s="142">
        <v>16</v>
      </c>
      <c r="T564" s="145" t="s">
        <v>1630</v>
      </c>
    </row>
    <row r="565" spans="1:20" ht="22.5" hidden="1" customHeight="1" x14ac:dyDescent="0.25">
      <c r="A565" s="152" t="s">
        <v>2988</v>
      </c>
      <c r="B565" s="142">
        <v>2025</v>
      </c>
      <c r="C565" s="142" t="s">
        <v>20</v>
      </c>
      <c r="D565" s="142" t="s">
        <v>1743</v>
      </c>
      <c r="E565" s="143" t="s">
        <v>1744</v>
      </c>
      <c r="F565" s="144" t="s">
        <v>22</v>
      </c>
      <c r="G565" s="145" t="s">
        <v>30</v>
      </c>
      <c r="H565" s="146" t="s">
        <v>1745</v>
      </c>
      <c r="I565" s="147">
        <v>45757</v>
      </c>
      <c r="J565" s="147">
        <v>45757</v>
      </c>
      <c r="K565" s="142" t="s">
        <v>25</v>
      </c>
      <c r="L565" s="148">
        <v>0</v>
      </c>
      <c r="M565" s="149">
        <v>4.5999999999999996</v>
      </c>
      <c r="N565" s="150">
        <v>75</v>
      </c>
      <c r="O565" s="151">
        <v>75</v>
      </c>
      <c r="P565" s="151">
        <v>0</v>
      </c>
      <c r="Q565" s="151">
        <v>0</v>
      </c>
      <c r="R565" s="151">
        <f>SUM(O565:Q565)</f>
        <v>75</v>
      </c>
      <c r="S565" s="142">
        <v>2</v>
      </c>
      <c r="T565" s="145" t="s">
        <v>1746</v>
      </c>
    </row>
    <row r="566" spans="1:20" ht="22.5" hidden="1" customHeight="1" x14ac:dyDescent="0.25">
      <c r="A566" s="152" t="s">
        <v>2989</v>
      </c>
      <c r="B566" s="142">
        <v>2025</v>
      </c>
      <c r="C566" s="179" t="s">
        <v>20</v>
      </c>
      <c r="D566" s="142" t="s">
        <v>1747</v>
      </c>
      <c r="E566" s="143" t="s">
        <v>1748</v>
      </c>
      <c r="F566" s="144" t="s">
        <v>51</v>
      </c>
      <c r="G566" s="145" t="s">
        <v>30</v>
      </c>
      <c r="H566" s="146" t="s">
        <v>1749</v>
      </c>
      <c r="I566" s="147">
        <v>45758</v>
      </c>
      <c r="J566" s="147">
        <v>45758</v>
      </c>
      <c r="K566" s="142" t="s">
        <v>25</v>
      </c>
      <c r="L566" s="148">
        <v>0</v>
      </c>
      <c r="M566" s="149"/>
      <c r="N566" s="150">
        <v>150</v>
      </c>
      <c r="O566" s="151">
        <v>0</v>
      </c>
      <c r="P566" s="151">
        <v>100</v>
      </c>
      <c r="Q566" s="151">
        <v>0</v>
      </c>
      <c r="R566" s="151">
        <f>SUM(O566:Q566)</f>
        <v>100</v>
      </c>
      <c r="S566" s="142">
        <v>1</v>
      </c>
      <c r="T566" s="145" t="s">
        <v>1750</v>
      </c>
    </row>
    <row r="567" spans="1:20" ht="22.5" hidden="1" customHeight="1" x14ac:dyDescent="0.25">
      <c r="A567" s="152" t="s">
        <v>2990</v>
      </c>
      <c r="B567" s="142">
        <v>2025</v>
      </c>
      <c r="C567" s="142" t="s">
        <v>20</v>
      </c>
      <c r="D567" s="142" t="s">
        <v>1698</v>
      </c>
      <c r="E567" s="143" t="s">
        <v>1751</v>
      </c>
      <c r="F567" s="144" t="s">
        <v>22</v>
      </c>
      <c r="G567" s="145" t="s">
        <v>34</v>
      </c>
      <c r="H567" s="146" t="s">
        <v>1752</v>
      </c>
      <c r="I567" s="147">
        <v>45761</v>
      </c>
      <c r="J567" s="147">
        <v>45762</v>
      </c>
      <c r="K567" s="142" t="s">
        <v>25</v>
      </c>
      <c r="L567" s="148">
        <v>4800</v>
      </c>
      <c r="M567" s="149">
        <v>4.8</v>
      </c>
      <c r="N567" s="150">
        <v>20</v>
      </c>
      <c r="O567" s="151">
        <v>20</v>
      </c>
      <c r="P567" s="151">
        <v>0</v>
      </c>
      <c r="Q567" s="151">
        <v>0</v>
      </c>
      <c r="R567" s="151">
        <f>SUM(O567:Q567)</f>
        <v>20</v>
      </c>
      <c r="S567" s="142">
        <v>8</v>
      </c>
      <c r="T567" s="145" t="s">
        <v>1701</v>
      </c>
    </row>
    <row r="568" spans="1:20" ht="22.5" hidden="1" customHeight="1" x14ac:dyDescent="0.25">
      <c r="A568" s="152" t="s">
        <v>2991</v>
      </c>
      <c r="B568" s="142">
        <v>2025</v>
      </c>
      <c r="C568" s="142" t="s">
        <v>20</v>
      </c>
      <c r="D568" s="142" t="s">
        <v>1740</v>
      </c>
      <c r="E568" s="143" t="s">
        <v>1753</v>
      </c>
      <c r="F568" s="144" t="s">
        <v>51</v>
      </c>
      <c r="G568" s="145" t="s">
        <v>59</v>
      </c>
      <c r="H568" s="180" t="s">
        <v>1754</v>
      </c>
      <c r="I568" s="147">
        <v>45769</v>
      </c>
      <c r="J568" s="147">
        <v>45777</v>
      </c>
      <c r="K568" s="142" t="s">
        <v>25</v>
      </c>
      <c r="L568" s="148">
        <v>10400</v>
      </c>
      <c r="M568" s="149">
        <v>4.8</v>
      </c>
      <c r="N568" s="150">
        <v>40</v>
      </c>
      <c r="O568" s="151">
        <v>6</v>
      </c>
      <c r="P568" s="151">
        <v>34</v>
      </c>
      <c r="Q568" s="151">
        <v>0</v>
      </c>
      <c r="R568" s="151">
        <f>SUM(O568:Q568)</f>
        <v>40</v>
      </c>
      <c r="S568" s="142">
        <v>16</v>
      </c>
      <c r="T568" s="145" t="s">
        <v>1630</v>
      </c>
    </row>
    <row r="569" spans="1:20" ht="22.5" hidden="1" customHeight="1" x14ac:dyDescent="0.25">
      <c r="A569" s="152" t="s">
        <v>2992</v>
      </c>
      <c r="B569" s="142">
        <v>2025</v>
      </c>
      <c r="C569" s="142" t="s">
        <v>20</v>
      </c>
      <c r="D569" s="142" t="s">
        <v>1755</v>
      </c>
      <c r="E569" s="143" t="s">
        <v>1756</v>
      </c>
      <c r="F569" s="144" t="s">
        <v>51</v>
      </c>
      <c r="G569" s="145" t="s">
        <v>59</v>
      </c>
      <c r="H569" s="146" t="s">
        <v>1757</v>
      </c>
      <c r="I569" s="147">
        <v>45770</v>
      </c>
      <c r="J569" s="147">
        <v>45772</v>
      </c>
      <c r="K569" s="142" t="s">
        <v>32</v>
      </c>
      <c r="L569" s="148">
        <v>6800.82</v>
      </c>
      <c r="M569" s="149">
        <v>4.7</v>
      </c>
      <c r="N569" s="150">
        <v>30</v>
      </c>
      <c r="O569" s="151">
        <v>1</v>
      </c>
      <c r="P569" s="151">
        <v>47</v>
      </c>
      <c r="Q569" s="151">
        <v>0</v>
      </c>
      <c r="R569" s="151">
        <f>SUM(O569:Q569)</f>
        <v>48</v>
      </c>
      <c r="S569" s="142">
        <v>12</v>
      </c>
      <c r="T569" s="145" t="s">
        <v>808</v>
      </c>
    </row>
    <row r="570" spans="1:20" ht="22.5" hidden="1" customHeight="1" x14ac:dyDescent="0.25">
      <c r="A570" s="152" t="s">
        <v>2993</v>
      </c>
      <c r="B570" s="142">
        <v>2025</v>
      </c>
      <c r="C570" s="179" t="s">
        <v>20</v>
      </c>
      <c r="D570" s="142" t="s">
        <v>1758</v>
      </c>
      <c r="E570" s="143" t="s">
        <v>1759</v>
      </c>
      <c r="F570" s="144" t="s">
        <v>22</v>
      </c>
      <c r="G570" s="145" t="s">
        <v>34</v>
      </c>
      <c r="H570" s="146" t="s">
        <v>1760</v>
      </c>
      <c r="I570" s="147">
        <v>45771</v>
      </c>
      <c r="J570" s="147">
        <v>45777</v>
      </c>
      <c r="K570" s="142" t="s">
        <v>32</v>
      </c>
      <c r="L570" s="148">
        <v>15277.08</v>
      </c>
      <c r="M570" s="149">
        <v>4.84</v>
      </c>
      <c r="N570" s="150">
        <v>20</v>
      </c>
      <c r="O570" s="151">
        <v>16</v>
      </c>
      <c r="P570" s="151">
        <v>0</v>
      </c>
      <c r="Q570" s="151">
        <v>0</v>
      </c>
      <c r="R570" s="151">
        <f>SUM(O570:Q570)</f>
        <v>16</v>
      </c>
      <c r="S570" s="142">
        <v>20</v>
      </c>
      <c r="T570" s="145" t="s">
        <v>1359</v>
      </c>
    </row>
    <row r="571" spans="1:20" ht="22.5" hidden="1" customHeight="1" x14ac:dyDescent="0.25">
      <c r="A571" s="152" t="s">
        <v>2994</v>
      </c>
      <c r="B571" s="142">
        <v>2025</v>
      </c>
      <c r="C571" s="142" t="s">
        <v>20</v>
      </c>
      <c r="D571" s="142" t="s">
        <v>1761</v>
      </c>
      <c r="E571" s="143" t="s">
        <v>1762</v>
      </c>
      <c r="F571" s="144" t="s">
        <v>22</v>
      </c>
      <c r="G571" s="159" t="s">
        <v>157</v>
      </c>
      <c r="H571" s="146" t="s">
        <v>1763</v>
      </c>
      <c r="I571" s="147">
        <v>45772</v>
      </c>
      <c r="J571" s="147">
        <v>45772</v>
      </c>
      <c r="K571" s="142" t="s">
        <v>32</v>
      </c>
      <c r="L571" s="148"/>
      <c r="M571" s="149">
        <v>5</v>
      </c>
      <c r="N571" s="150">
        <v>170</v>
      </c>
      <c r="O571" s="151">
        <v>170</v>
      </c>
      <c r="P571" s="151">
        <v>0</v>
      </c>
      <c r="Q571" s="151">
        <v>0</v>
      </c>
      <c r="R571" s="151">
        <f>SUM(O571:Q571)</f>
        <v>170</v>
      </c>
      <c r="S571" s="142">
        <v>2</v>
      </c>
      <c r="T571" s="145" t="s">
        <v>1764</v>
      </c>
    </row>
    <row r="572" spans="1:20" ht="22.5" hidden="1" customHeight="1" x14ac:dyDescent="0.25">
      <c r="A572" s="152" t="s">
        <v>2995</v>
      </c>
      <c r="B572" s="142">
        <v>2025</v>
      </c>
      <c r="C572" s="142" t="s">
        <v>20</v>
      </c>
      <c r="D572" s="142" t="s">
        <v>1765</v>
      </c>
      <c r="E572" s="143" t="s">
        <v>1766</v>
      </c>
      <c r="F572" s="144" t="s">
        <v>22</v>
      </c>
      <c r="G572" s="159" t="s">
        <v>157</v>
      </c>
      <c r="H572" s="146" t="s">
        <v>1767</v>
      </c>
      <c r="I572" s="147">
        <v>45775</v>
      </c>
      <c r="J572" s="147">
        <v>45775</v>
      </c>
      <c r="K572" s="142" t="s">
        <v>32</v>
      </c>
      <c r="L572" s="148"/>
      <c r="M572" s="149">
        <v>4.9000000000000004</v>
      </c>
      <c r="N572" s="150">
        <v>80</v>
      </c>
      <c r="O572" s="151">
        <v>80</v>
      </c>
      <c r="P572" s="151">
        <v>0</v>
      </c>
      <c r="Q572" s="151">
        <v>0</v>
      </c>
      <c r="R572" s="151">
        <f>SUM(O572:Q572)</f>
        <v>80</v>
      </c>
      <c r="S572" s="142">
        <v>1</v>
      </c>
      <c r="T572" s="145"/>
    </row>
    <row r="573" spans="1:20" ht="22.5" hidden="1" customHeight="1" x14ac:dyDescent="0.25">
      <c r="A573" s="152" t="s">
        <v>2996</v>
      </c>
      <c r="B573" s="142">
        <v>2025</v>
      </c>
      <c r="C573" s="142" t="s">
        <v>20</v>
      </c>
      <c r="D573" s="179" t="s">
        <v>1768</v>
      </c>
      <c r="E573" s="143" t="s">
        <v>1311</v>
      </c>
      <c r="F573" s="144" t="s">
        <v>51</v>
      </c>
      <c r="G573" s="145" t="s">
        <v>59</v>
      </c>
      <c r="H573" s="146" t="s">
        <v>1769</v>
      </c>
      <c r="I573" s="147">
        <v>45776</v>
      </c>
      <c r="J573" s="147">
        <v>45776</v>
      </c>
      <c r="K573" s="142" t="s">
        <v>25</v>
      </c>
      <c r="L573" s="148">
        <v>8000</v>
      </c>
      <c r="M573" s="149">
        <v>4.9000000000000004</v>
      </c>
      <c r="N573" s="150">
        <v>170</v>
      </c>
      <c r="O573" s="151">
        <v>27</v>
      </c>
      <c r="P573" s="151">
        <v>131</v>
      </c>
      <c r="Q573" s="151">
        <v>18</v>
      </c>
      <c r="R573" s="151">
        <f>SUM(O573:Q573)</f>
        <v>176</v>
      </c>
      <c r="S573" s="142">
        <v>4</v>
      </c>
      <c r="T573" s="145" t="s">
        <v>365</v>
      </c>
    </row>
    <row r="574" spans="1:20" ht="22.5" hidden="1" customHeight="1" x14ac:dyDescent="0.25">
      <c r="A574" s="152" t="s">
        <v>2997</v>
      </c>
      <c r="B574" s="142">
        <v>2025</v>
      </c>
      <c r="C574" s="179" t="s">
        <v>20</v>
      </c>
      <c r="D574" s="142" t="s">
        <v>1770</v>
      </c>
      <c r="E574" s="143" t="s">
        <v>1771</v>
      </c>
      <c r="F574" s="144" t="s">
        <v>22</v>
      </c>
      <c r="G574" s="145" t="s">
        <v>353</v>
      </c>
      <c r="H574" s="146" t="s">
        <v>1772</v>
      </c>
      <c r="I574" s="147">
        <v>45778</v>
      </c>
      <c r="J574" s="147">
        <v>45778</v>
      </c>
      <c r="K574" s="142" t="s">
        <v>25</v>
      </c>
      <c r="L574" s="148">
        <v>12000</v>
      </c>
      <c r="M574" s="149"/>
      <c r="N574" s="150"/>
      <c r="O574" s="151">
        <v>0</v>
      </c>
      <c r="P574" s="151">
        <v>0</v>
      </c>
      <c r="Q574" s="151">
        <v>0</v>
      </c>
      <c r="R574" s="151">
        <f>SUM(O574:Q574)</f>
        <v>0</v>
      </c>
      <c r="S574" s="142"/>
      <c r="T574" s="145" t="s">
        <v>741</v>
      </c>
    </row>
    <row r="575" spans="1:20" ht="22.5" hidden="1" customHeight="1" x14ac:dyDescent="0.25">
      <c r="A575" s="152" t="s">
        <v>2998</v>
      </c>
      <c r="B575" s="142">
        <v>2025</v>
      </c>
      <c r="C575" s="142" t="s">
        <v>20</v>
      </c>
      <c r="D575" s="142" t="s">
        <v>1695</v>
      </c>
      <c r="E575" s="143" t="s">
        <v>1773</v>
      </c>
      <c r="F575" s="144" t="s">
        <v>51</v>
      </c>
      <c r="G575" s="145" t="s">
        <v>59</v>
      </c>
      <c r="H575" s="146" t="s">
        <v>1774</v>
      </c>
      <c r="I575" s="147">
        <v>45782</v>
      </c>
      <c r="J575" s="147">
        <v>45786</v>
      </c>
      <c r="K575" s="142" t="s">
        <v>32</v>
      </c>
      <c r="L575" s="148">
        <v>12813.06</v>
      </c>
      <c r="M575" s="149">
        <v>4.7</v>
      </c>
      <c r="N575" s="150">
        <v>40</v>
      </c>
      <c r="O575" s="151">
        <v>6</v>
      </c>
      <c r="P575" s="151">
        <v>38</v>
      </c>
      <c r="Q575" s="151">
        <v>0</v>
      </c>
      <c r="R575" s="151">
        <f>SUM(O575:Q575)</f>
        <v>44</v>
      </c>
      <c r="S575" s="142">
        <v>20</v>
      </c>
      <c r="T575" s="145" t="s">
        <v>61</v>
      </c>
    </row>
    <row r="576" spans="1:20" ht="22.5" hidden="1" customHeight="1" x14ac:dyDescent="0.25">
      <c r="A576" s="152" t="s">
        <v>2999</v>
      </c>
      <c r="B576" s="142">
        <v>2025</v>
      </c>
      <c r="C576" s="142" t="s">
        <v>20</v>
      </c>
      <c r="D576" s="142" t="s">
        <v>1775</v>
      </c>
      <c r="E576" s="143" t="s">
        <v>1776</v>
      </c>
      <c r="F576" s="144" t="s">
        <v>66</v>
      </c>
      <c r="G576" s="145" t="s">
        <v>59</v>
      </c>
      <c r="H576" s="146" t="s">
        <v>1777</v>
      </c>
      <c r="I576" s="147">
        <v>45789</v>
      </c>
      <c r="J576" s="147">
        <v>45793</v>
      </c>
      <c r="K576" s="142" t="s">
        <v>32</v>
      </c>
      <c r="L576" s="148">
        <f>4708.23+830.87</f>
        <v>5539.0999999999995</v>
      </c>
      <c r="M576" s="149">
        <v>4.7</v>
      </c>
      <c r="N576" s="150">
        <v>30</v>
      </c>
      <c r="O576" s="151">
        <v>0</v>
      </c>
      <c r="P576" s="151">
        <v>8</v>
      </c>
      <c r="Q576" s="151">
        <v>33</v>
      </c>
      <c r="R576" s="151">
        <f>SUM(O576:Q576)</f>
        <v>41</v>
      </c>
      <c r="S576" s="142">
        <v>12</v>
      </c>
      <c r="T576" s="145" t="s">
        <v>1633</v>
      </c>
    </row>
    <row r="577" spans="1:20" ht="22.5" hidden="1" customHeight="1" x14ac:dyDescent="0.25">
      <c r="A577" s="152" t="s">
        <v>3000</v>
      </c>
      <c r="B577" s="142">
        <v>2025</v>
      </c>
      <c r="C577" s="142" t="s">
        <v>20</v>
      </c>
      <c r="D577" s="142" t="s">
        <v>1778</v>
      </c>
      <c r="E577" s="143" t="s">
        <v>1779</v>
      </c>
      <c r="F577" s="144" t="s">
        <v>22</v>
      </c>
      <c r="G577" s="159" t="s">
        <v>157</v>
      </c>
      <c r="H577" s="146" t="s">
        <v>1780</v>
      </c>
      <c r="I577" s="147">
        <v>45797</v>
      </c>
      <c r="J577" s="147">
        <v>45797</v>
      </c>
      <c r="K577" s="142" t="s">
        <v>32</v>
      </c>
      <c r="L577" s="148"/>
      <c r="M577" s="149">
        <v>5</v>
      </c>
      <c r="N577" s="150">
        <v>170</v>
      </c>
      <c r="O577" s="151">
        <v>170</v>
      </c>
      <c r="P577" s="151">
        <v>0</v>
      </c>
      <c r="Q577" s="151">
        <v>0</v>
      </c>
      <c r="R577" s="151">
        <f>SUM(O577:Q577)</f>
        <v>170</v>
      </c>
      <c r="S577" s="142">
        <v>2</v>
      </c>
      <c r="T577" s="145" t="s">
        <v>1781</v>
      </c>
    </row>
    <row r="578" spans="1:20" ht="22.5" hidden="1" customHeight="1" x14ac:dyDescent="0.25">
      <c r="A578" s="152" t="s">
        <v>3001</v>
      </c>
      <c r="B578" s="142">
        <v>2025</v>
      </c>
      <c r="C578" s="142" t="s">
        <v>20</v>
      </c>
      <c r="D578" s="142" t="s">
        <v>1782</v>
      </c>
      <c r="E578" s="143" t="s">
        <v>1783</v>
      </c>
      <c r="F578" s="144" t="s">
        <v>66</v>
      </c>
      <c r="G578" s="145" t="s">
        <v>59</v>
      </c>
      <c r="H578" s="146" t="s">
        <v>1784</v>
      </c>
      <c r="I578" s="147">
        <v>45799</v>
      </c>
      <c r="J578" s="147">
        <v>45799</v>
      </c>
      <c r="K578" s="142" t="s">
        <v>32</v>
      </c>
      <c r="L578" s="148"/>
      <c r="M578" s="149"/>
      <c r="N578" s="150">
        <v>40</v>
      </c>
      <c r="O578" s="151">
        <v>0</v>
      </c>
      <c r="P578" s="151">
        <v>0</v>
      </c>
      <c r="Q578" s="151">
        <v>40</v>
      </c>
      <c r="R578" s="151">
        <f>SUM(O578:Q578)</f>
        <v>40</v>
      </c>
      <c r="S578" s="142">
        <v>3</v>
      </c>
      <c r="T578" s="181" t="s">
        <v>1785</v>
      </c>
    </row>
    <row r="579" spans="1:20" ht="22.5" hidden="1" customHeight="1" x14ac:dyDescent="0.25">
      <c r="A579" s="152" t="s">
        <v>3002</v>
      </c>
      <c r="B579" s="142">
        <v>2025</v>
      </c>
      <c r="C579" s="142" t="s">
        <v>20</v>
      </c>
      <c r="D579" s="142" t="s">
        <v>1782</v>
      </c>
      <c r="E579" s="143" t="s">
        <v>1786</v>
      </c>
      <c r="F579" s="144" t="s">
        <v>66</v>
      </c>
      <c r="G579" s="145" t="s">
        <v>59</v>
      </c>
      <c r="H579" s="180" t="s">
        <v>1787</v>
      </c>
      <c r="I579" s="147">
        <v>45800</v>
      </c>
      <c r="J579" s="147">
        <v>45800</v>
      </c>
      <c r="K579" s="142" t="s">
        <v>32</v>
      </c>
      <c r="L579" s="148"/>
      <c r="M579" s="149"/>
      <c r="N579" s="150">
        <v>40</v>
      </c>
      <c r="O579" s="151">
        <v>0</v>
      </c>
      <c r="P579" s="151">
        <v>0</v>
      </c>
      <c r="Q579" s="151">
        <v>40</v>
      </c>
      <c r="R579" s="151">
        <f>SUM(O579:Q579)</f>
        <v>40</v>
      </c>
      <c r="S579" s="142">
        <v>3</v>
      </c>
      <c r="T579" s="181" t="s">
        <v>1785</v>
      </c>
    </row>
    <row r="580" spans="1:20" ht="22.5" hidden="1" customHeight="1" x14ac:dyDescent="0.25">
      <c r="A580" s="152" t="s">
        <v>3003</v>
      </c>
      <c r="B580" s="142">
        <v>2025</v>
      </c>
      <c r="C580" s="142" t="s">
        <v>20</v>
      </c>
      <c r="D580" s="142" t="s">
        <v>1788</v>
      </c>
      <c r="E580" s="143" t="s">
        <v>1789</v>
      </c>
      <c r="F580" s="144" t="s">
        <v>22</v>
      </c>
      <c r="G580" s="145" t="s">
        <v>34</v>
      </c>
      <c r="H580" s="146" t="s">
        <v>1790</v>
      </c>
      <c r="I580" s="147">
        <v>45803</v>
      </c>
      <c r="J580" s="147">
        <v>45807</v>
      </c>
      <c r="K580" s="142" t="s">
        <v>32</v>
      </c>
      <c r="L580" s="148">
        <v>6800.66</v>
      </c>
      <c r="M580" s="149">
        <v>4.9000000000000004</v>
      </c>
      <c r="N580" s="150">
        <v>15</v>
      </c>
      <c r="O580" s="151">
        <v>18</v>
      </c>
      <c r="P580" s="151">
        <v>0</v>
      </c>
      <c r="Q580" s="151">
        <v>0</v>
      </c>
      <c r="R580" s="151">
        <f>SUM(O580:Q580)</f>
        <v>18</v>
      </c>
      <c r="S580" s="142">
        <v>12</v>
      </c>
      <c r="T580" s="145" t="s">
        <v>1791</v>
      </c>
    </row>
    <row r="581" spans="1:20" ht="22.5" hidden="1" customHeight="1" x14ac:dyDescent="0.25">
      <c r="A581" s="152" t="s">
        <v>3004</v>
      </c>
      <c r="B581" s="142">
        <v>2025</v>
      </c>
      <c r="C581" s="179" t="s">
        <v>20</v>
      </c>
      <c r="D581" s="142" t="s">
        <v>1792</v>
      </c>
      <c r="E581" s="143" t="s">
        <v>1793</v>
      </c>
      <c r="F581" s="144" t="s">
        <v>22</v>
      </c>
      <c r="G581" s="159" t="s">
        <v>56</v>
      </c>
      <c r="H581" s="146" t="s">
        <v>1794</v>
      </c>
      <c r="I581" s="147">
        <v>45804</v>
      </c>
      <c r="J581" s="147">
        <v>45807</v>
      </c>
      <c r="K581" s="142" t="s">
        <v>32</v>
      </c>
      <c r="L581" s="148">
        <v>6800.82</v>
      </c>
      <c r="M581" s="149">
        <v>4.9000000000000004</v>
      </c>
      <c r="N581" s="150">
        <v>30</v>
      </c>
      <c r="O581" s="151">
        <v>18</v>
      </c>
      <c r="P581" s="151">
        <v>0</v>
      </c>
      <c r="Q581" s="151">
        <v>0</v>
      </c>
      <c r="R581" s="151">
        <f>SUM(O581:Q581)</f>
        <v>18</v>
      </c>
      <c r="S581" s="142">
        <v>12</v>
      </c>
      <c r="T581" s="145" t="s">
        <v>1591</v>
      </c>
    </row>
    <row r="582" spans="1:20" ht="22.5" hidden="1" customHeight="1" x14ac:dyDescent="0.25">
      <c r="A582" s="152" t="s">
        <v>3005</v>
      </c>
      <c r="B582" s="142">
        <v>2025</v>
      </c>
      <c r="C582" s="142" t="s">
        <v>20</v>
      </c>
      <c r="D582" s="142" t="s">
        <v>1795</v>
      </c>
      <c r="E582" s="143" t="s">
        <v>1796</v>
      </c>
      <c r="F582" s="144" t="s">
        <v>22</v>
      </c>
      <c r="G582" s="145" t="s">
        <v>353</v>
      </c>
      <c r="H582" s="146" t="s">
        <v>1797</v>
      </c>
      <c r="I582" s="147">
        <v>45805</v>
      </c>
      <c r="J582" s="147">
        <v>45811</v>
      </c>
      <c r="K582" s="142" t="s">
        <v>25</v>
      </c>
      <c r="L582" s="148">
        <v>19200</v>
      </c>
      <c r="M582" s="149">
        <v>4.7</v>
      </c>
      <c r="N582" s="150">
        <v>30</v>
      </c>
      <c r="O582" s="151">
        <v>38</v>
      </c>
      <c r="P582" s="151">
        <v>0</v>
      </c>
      <c r="Q582" s="151">
        <v>0</v>
      </c>
      <c r="R582" s="151">
        <f>SUM(O582:Q582)</f>
        <v>38</v>
      </c>
      <c r="S582" s="142">
        <v>16</v>
      </c>
      <c r="T582" s="145" t="s">
        <v>741</v>
      </c>
    </row>
    <row r="583" spans="1:20" ht="22.5" hidden="1" customHeight="1" x14ac:dyDescent="0.25">
      <c r="A583" s="152" t="s">
        <v>3006</v>
      </c>
      <c r="B583" s="142">
        <v>2025</v>
      </c>
      <c r="C583" s="179" t="s">
        <v>20</v>
      </c>
      <c r="D583" s="142" t="s">
        <v>1680</v>
      </c>
      <c r="E583" s="143" t="s">
        <v>1798</v>
      </c>
      <c r="F583" s="144" t="s">
        <v>22</v>
      </c>
      <c r="G583" s="145" t="s">
        <v>1316</v>
      </c>
      <c r="H583" s="146" t="s">
        <v>1799</v>
      </c>
      <c r="I583" s="147">
        <v>45809</v>
      </c>
      <c r="J583" s="147">
        <v>45809</v>
      </c>
      <c r="K583" s="142" t="s">
        <v>25</v>
      </c>
      <c r="L583" s="148">
        <v>13673.78</v>
      </c>
      <c r="M583" s="149">
        <v>4.8</v>
      </c>
      <c r="N583" s="150">
        <v>15</v>
      </c>
      <c r="O583" s="151">
        <v>15</v>
      </c>
      <c r="P583" s="151">
        <v>0</v>
      </c>
      <c r="Q583" s="151">
        <v>0</v>
      </c>
      <c r="R583" s="151">
        <f>SUM(O583:Q583)</f>
        <v>15</v>
      </c>
      <c r="S583" s="142">
        <v>12</v>
      </c>
      <c r="T583" s="145" t="s">
        <v>1334</v>
      </c>
    </row>
    <row r="584" spans="1:20" ht="22.5" hidden="1" customHeight="1" x14ac:dyDescent="0.25">
      <c r="A584" s="152" t="s">
        <v>3007</v>
      </c>
      <c r="B584" s="142">
        <v>2025</v>
      </c>
      <c r="C584" s="142" t="s">
        <v>20</v>
      </c>
      <c r="D584" s="142" t="s">
        <v>1800</v>
      </c>
      <c r="E584" s="143" t="s">
        <v>1801</v>
      </c>
      <c r="F584" s="144" t="s">
        <v>66</v>
      </c>
      <c r="G584" s="145" t="s">
        <v>59</v>
      </c>
      <c r="H584" s="146" t="s">
        <v>1802</v>
      </c>
      <c r="I584" s="147">
        <v>45810</v>
      </c>
      <c r="J584" s="147">
        <v>45814</v>
      </c>
      <c r="K584" s="142" t="s">
        <v>32</v>
      </c>
      <c r="L584" s="148">
        <v>5539.1</v>
      </c>
      <c r="M584" s="149">
        <v>4.8</v>
      </c>
      <c r="N584" s="150">
        <v>30</v>
      </c>
      <c r="O584" s="151">
        <v>0</v>
      </c>
      <c r="P584" s="151">
        <v>0</v>
      </c>
      <c r="Q584" s="151">
        <v>31</v>
      </c>
      <c r="R584" s="151">
        <f>SUM(O584:Q584)</f>
        <v>31</v>
      </c>
      <c r="S584" s="142">
        <v>12</v>
      </c>
      <c r="T584" s="145" t="s">
        <v>1633</v>
      </c>
    </row>
    <row r="585" spans="1:20" ht="22.5" hidden="1" customHeight="1" x14ac:dyDescent="0.25">
      <c r="A585" s="152" t="s">
        <v>3008</v>
      </c>
      <c r="B585" s="142">
        <v>2025</v>
      </c>
      <c r="C585" s="179" t="s">
        <v>20</v>
      </c>
      <c r="D585" s="142" t="s">
        <v>1803</v>
      </c>
      <c r="E585" s="143" t="s">
        <v>1804</v>
      </c>
      <c r="F585" s="144" t="s">
        <v>22</v>
      </c>
      <c r="G585" s="159" t="s">
        <v>56</v>
      </c>
      <c r="H585" s="146" t="s">
        <v>1805</v>
      </c>
      <c r="I585" s="147">
        <v>45810</v>
      </c>
      <c r="J585" s="147">
        <v>45820</v>
      </c>
      <c r="K585" s="142" t="s">
        <v>25</v>
      </c>
      <c r="L585" s="148">
        <v>45000</v>
      </c>
      <c r="M585" s="149">
        <v>4.84</v>
      </c>
      <c r="N585" s="150">
        <v>30</v>
      </c>
      <c r="O585" s="151">
        <v>21</v>
      </c>
      <c r="P585" s="151">
        <v>4</v>
      </c>
      <c r="Q585" s="151">
        <v>4</v>
      </c>
      <c r="R585" s="151">
        <f>SUM(O585:Q585)</f>
        <v>29</v>
      </c>
      <c r="S585" s="142">
        <v>25</v>
      </c>
      <c r="T585" s="145" t="s">
        <v>57</v>
      </c>
    </row>
    <row r="586" spans="1:20" ht="22.5" hidden="1" customHeight="1" x14ac:dyDescent="0.25">
      <c r="A586" s="152" t="s">
        <v>3009</v>
      </c>
      <c r="B586" s="142">
        <v>2025</v>
      </c>
      <c r="C586" s="142" t="s">
        <v>20</v>
      </c>
      <c r="D586" s="142" t="s">
        <v>1806</v>
      </c>
      <c r="E586" s="143" t="s">
        <v>1548</v>
      </c>
      <c r="F586" s="144" t="s">
        <v>66</v>
      </c>
      <c r="G586" s="145" t="s">
        <v>59</v>
      </c>
      <c r="H586" s="146" t="s">
        <v>1807</v>
      </c>
      <c r="I586" s="147">
        <v>45812</v>
      </c>
      <c r="J586" s="147">
        <v>45812</v>
      </c>
      <c r="K586" s="142" t="s">
        <v>32</v>
      </c>
      <c r="L586" s="148">
        <v>1700.2</v>
      </c>
      <c r="M586" s="149">
        <v>5</v>
      </c>
      <c r="N586" s="150">
        <v>33</v>
      </c>
      <c r="O586" s="151">
        <v>0</v>
      </c>
      <c r="P586" s="151">
        <v>0</v>
      </c>
      <c r="Q586" s="151">
        <v>30</v>
      </c>
      <c r="R586" s="151">
        <f>SUM(O586:Q586)</f>
        <v>30</v>
      </c>
      <c r="S586" s="142">
        <v>3</v>
      </c>
      <c r="T586" s="162" t="s">
        <v>1550</v>
      </c>
    </row>
    <row r="587" spans="1:20" ht="22.5" hidden="1" customHeight="1" x14ac:dyDescent="0.25">
      <c r="A587" s="152" t="s">
        <v>3010</v>
      </c>
      <c r="B587" s="142">
        <v>2025</v>
      </c>
      <c r="C587" s="179" t="s">
        <v>20</v>
      </c>
      <c r="D587" s="142" t="s">
        <v>1758</v>
      </c>
      <c r="E587" s="143" t="s">
        <v>1808</v>
      </c>
      <c r="F587" s="144" t="s">
        <v>22</v>
      </c>
      <c r="G587" s="145" t="s">
        <v>34</v>
      </c>
      <c r="H587" s="146" t="s">
        <v>1809</v>
      </c>
      <c r="I587" s="147">
        <v>45817</v>
      </c>
      <c r="J587" s="147">
        <v>45825</v>
      </c>
      <c r="K587" s="142" t="s">
        <v>32</v>
      </c>
      <c r="L587" s="148">
        <v>15277.08</v>
      </c>
      <c r="M587" s="149">
        <v>4.9000000000000004</v>
      </c>
      <c r="N587" s="150">
        <v>20</v>
      </c>
      <c r="O587" s="151">
        <v>14</v>
      </c>
      <c r="P587" s="151">
        <v>0</v>
      </c>
      <c r="Q587" s="151">
        <v>0</v>
      </c>
      <c r="R587" s="151">
        <f>SUM(O587:Q587)</f>
        <v>14</v>
      </c>
      <c r="S587" s="142">
        <v>20</v>
      </c>
      <c r="T587" s="162" t="s">
        <v>1359</v>
      </c>
    </row>
    <row r="588" spans="1:20" ht="22.5" hidden="1" customHeight="1" x14ac:dyDescent="0.25">
      <c r="A588" s="152" t="s">
        <v>3011</v>
      </c>
      <c r="B588" s="142">
        <v>2025</v>
      </c>
      <c r="C588" s="179" t="s">
        <v>20</v>
      </c>
      <c r="D588" s="142" t="s">
        <v>1810</v>
      </c>
      <c r="E588" s="143" t="s">
        <v>1811</v>
      </c>
      <c r="F588" s="144" t="s">
        <v>22</v>
      </c>
      <c r="G588" s="145" t="s">
        <v>283</v>
      </c>
      <c r="H588" s="146" t="s">
        <v>1812</v>
      </c>
      <c r="I588" s="147">
        <v>45817</v>
      </c>
      <c r="J588" s="147">
        <v>45818</v>
      </c>
      <c r="K588" s="142" t="s">
        <v>25</v>
      </c>
      <c r="L588" s="148">
        <v>3040.75</v>
      </c>
      <c r="M588" s="149">
        <v>4.8</v>
      </c>
      <c r="N588" s="150">
        <v>30</v>
      </c>
      <c r="O588" s="151">
        <v>0</v>
      </c>
      <c r="P588" s="151">
        <v>0</v>
      </c>
      <c r="Q588" s="151">
        <v>27</v>
      </c>
      <c r="R588" s="151">
        <f>SUM(O588:Q588)</f>
        <v>27</v>
      </c>
      <c r="S588" s="142">
        <v>8</v>
      </c>
      <c r="T588" s="162" t="s">
        <v>1813</v>
      </c>
    </row>
    <row r="589" spans="1:20" ht="22.5" hidden="1" customHeight="1" x14ac:dyDescent="0.25">
      <c r="A589" s="152" t="s">
        <v>3012</v>
      </c>
      <c r="B589" s="142">
        <v>2025</v>
      </c>
      <c r="C589" s="179" t="s">
        <v>20</v>
      </c>
      <c r="D589" s="142" t="s">
        <v>1814</v>
      </c>
      <c r="E589" s="143" t="s">
        <v>1815</v>
      </c>
      <c r="F589" s="144" t="s">
        <v>22</v>
      </c>
      <c r="G589" s="159" t="s">
        <v>56</v>
      </c>
      <c r="H589" s="146" t="s">
        <v>1816</v>
      </c>
      <c r="I589" s="147">
        <v>45820</v>
      </c>
      <c r="J589" s="147">
        <v>45821</v>
      </c>
      <c r="K589" s="142" t="s">
        <v>32</v>
      </c>
      <c r="L589" s="148">
        <v>5125.22</v>
      </c>
      <c r="M589" s="149">
        <v>4.9000000000000004</v>
      </c>
      <c r="N589" s="150">
        <v>20</v>
      </c>
      <c r="O589" s="151">
        <v>14</v>
      </c>
      <c r="P589" s="151">
        <v>0</v>
      </c>
      <c r="Q589" s="151">
        <v>0</v>
      </c>
      <c r="R589" s="151">
        <f>SUM(O589:Q589)</f>
        <v>14</v>
      </c>
      <c r="S589" s="142">
        <v>8</v>
      </c>
      <c r="T589" s="162" t="s">
        <v>167</v>
      </c>
    </row>
    <row r="590" spans="1:20" ht="22.5" hidden="1" customHeight="1" x14ac:dyDescent="0.25">
      <c r="A590" s="152" t="s">
        <v>3013</v>
      </c>
      <c r="B590" s="142">
        <v>2025</v>
      </c>
      <c r="C590" s="179" t="s">
        <v>20</v>
      </c>
      <c r="D590" s="142" t="s">
        <v>1817</v>
      </c>
      <c r="E590" s="143" t="s">
        <v>1818</v>
      </c>
      <c r="F590" s="144" t="s">
        <v>22</v>
      </c>
      <c r="G590" s="159" t="s">
        <v>56</v>
      </c>
      <c r="H590" s="146" t="s">
        <v>1819</v>
      </c>
      <c r="I590" s="147">
        <v>45824</v>
      </c>
      <c r="J590" s="147">
        <v>45826</v>
      </c>
      <c r="K590" s="142" t="s">
        <v>25</v>
      </c>
      <c r="L590" s="148">
        <v>15025</v>
      </c>
      <c r="M590" s="149">
        <v>4.5999999999999996</v>
      </c>
      <c r="N590" s="150">
        <v>30</v>
      </c>
      <c r="O590" s="151">
        <v>33</v>
      </c>
      <c r="P590" s="151">
        <v>0</v>
      </c>
      <c r="Q590" s="151">
        <v>0</v>
      </c>
      <c r="R590" s="151">
        <f>SUM(O590:Q590)</f>
        <v>33</v>
      </c>
      <c r="S590" s="142">
        <v>15</v>
      </c>
      <c r="T590" s="145" t="s">
        <v>1820</v>
      </c>
    </row>
    <row r="591" spans="1:20" ht="22.5" hidden="1" customHeight="1" x14ac:dyDescent="0.25">
      <c r="A591" s="152" t="s">
        <v>3014</v>
      </c>
      <c r="B591" s="142">
        <v>2025</v>
      </c>
      <c r="C591" s="142" t="s">
        <v>20</v>
      </c>
      <c r="D591" s="142" t="s">
        <v>1821</v>
      </c>
      <c r="E591" s="143" t="s">
        <v>1822</v>
      </c>
      <c r="F591" s="144" t="s">
        <v>66</v>
      </c>
      <c r="G591" s="145" t="s">
        <v>59</v>
      </c>
      <c r="H591" s="146" t="s">
        <v>1823</v>
      </c>
      <c r="I591" s="147">
        <v>45831</v>
      </c>
      <c r="J591" s="147">
        <v>45835</v>
      </c>
      <c r="K591" s="142" t="s">
        <v>32</v>
      </c>
      <c r="L591" s="148">
        <v>11334.44</v>
      </c>
      <c r="M591" s="149">
        <v>4.8</v>
      </c>
      <c r="N591" s="150">
        <v>40</v>
      </c>
      <c r="O591" s="151">
        <v>0</v>
      </c>
      <c r="P591" s="151">
        <v>0</v>
      </c>
      <c r="Q591" s="151">
        <v>42</v>
      </c>
      <c r="R591" s="151">
        <f>SUM(O591:Q591)</f>
        <v>42</v>
      </c>
      <c r="S591" s="142">
        <v>20</v>
      </c>
      <c r="T591" s="145" t="s">
        <v>324</v>
      </c>
    </row>
    <row r="592" spans="1:20" ht="22.5" hidden="1" customHeight="1" x14ac:dyDescent="0.25">
      <c r="A592" s="152" t="s">
        <v>3015</v>
      </c>
      <c r="B592" s="142">
        <v>2025</v>
      </c>
      <c r="C592" s="179" t="s">
        <v>20</v>
      </c>
      <c r="D592" s="142" t="s">
        <v>1824</v>
      </c>
      <c r="E592" s="143" t="s">
        <v>1825</v>
      </c>
      <c r="F592" s="144" t="s">
        <v>22</v>
      </c>
      <c r="G592" s="145" t="s">
        <v>30</v>
      </c>
      <c r="H592" s="146" t="s">
        <v>1826</v>
      </c>
      <c r="I592" s="147">
        <v>45832</v>
      </c>
      <c r="J592" s="147">
        <v>45834</v>
      </c>
      <c r="K592" s="142" t="s">
        <v>32</v>
      </c>
      <c r="L592" s="148">
        <v>4533.88</v>
      </c>
      <c r="M592" s="149">
        <v>4.8</v>
      </c>
      <c r="N592" s="150">
        <v>20</v>
      </c>
      <c r="O592" s="151">
        <v>22</v>
      </c>
      <c r="P592" s="151">
        <v>0</v>
      </c>
      <c r="Q592" s="151">
        <v>0</v>
      </c>
      <c r="R592" s="151">
        <f>SUM(O592:Q592)</f>
        <v>22</v>
      </c>
      <c r="S592" s="142">
        <v>8</v>
      </c>
      <c r="T592" s="145" t="s">
        <v>1827</v>
      </c>
    </row>
    <row r="593" spans="1:20" ht="22.5" hidden="1" customHeight="1" x14ac:dyDescent="0.25">
      <c r="A593" s="152" t="s">
        <v>3016</v>
      </c>
      <c r="B593" s="142">
        <v>2025</v>
      </c>
      <c r="C593" s="142" t="s">
        <v>20</v>
      </c>
      <c r="D593" s="142" t="s">
        <v>1828</v>
      </c>
      <c r="E593" s="143" t="s">
        <v>1829</v>
      </c>
      <c r="F593" s="144" t="s">
        <v>22</v>
      </c>
      <c r="G593" s="145" t="s">
        <v>34</v>
      </c>
      <c r="H593" s="163" t="s">
        <v>1830</v>
      </c>
      <c r="I593" s="147">
        <v>45832</v>
      </c>
      <c r="J593" s="147">
        <v>45841</v>
      </c>
      <c r="K593" s="142" t="s">
        <v>32</v>
      </c>
      <c r="L593" s="148">
        <v>12555.28</v>
      </c>
      <c r="M593" s="149">
        <v>4.9000000000000004</v>
      </c>
      <c r="N593" s="150">
        <v>20</v>
      </c>
      <c r="O593" s="151">
        <v>9</v>
      </c>
      <c r="P593" s="151">
        <v>0</v>
      </c>
      <c r="Q593" s="151">
        <v>0</v>
      </c>
      <c r="R593" s="151">
        <f>SUM(O593:Q593)</f>
        <v>9</v>
      </c>
      <c r="S593" s="142">
        <v>16</v>
      </c>
      <c r="T593" s="145" t="s">
        <v>1831</v>
      </c>
    </row>
    <row r="594" spans="1:20" ht="22.5" hidden="1" customHeight="1" x14ac:dyDescent="0.25">
      <c r="A594" s="152" t="s">
        <v>3017</v>
      </c>
      <c r="B594" s="142">
        <v>2025</v>
      </c>
      <c r="C594" s="179" t="s">
        <v>20</v>
      </c>
      <c r="D594" s="142" t="s">
        <v>1832</v>
      </c>
      <c r="E594" s="143" t="s">
        <v>1833</v>
      </c>
      <c r="F594" s="144" t="s">
        <v>51</v>
      </c>
      <c r="G594" s="145" t="s">
        <v>59</v>
      </c>
      <c r="H594" s="146" t="s">
        <v>1834</v>
      </c>
      <c r="I594" s="147">
        <v>45833</v>
      </c>
      <c r="J594" s="147">
        <v>45833</v>
      </c>
      <c r="K594" s="142" t="s">
        <v>32</v>
      </c>
      <c r="L594" s="148">
        <v>0</v>
      </c>
      <c r="M594" s="149">
        <v>5</v>
      </c>
      <c r="N594" s="150">
        <v>20</v>
      </c>
      <c r="O594" s="151">
        <v>0</v>
      </c>
      <c r="P594" s="151">
        <v>20</v>
      </c>
      <c r="Q594" s="151">
        <v>0</v>
      </c>
      <c r="R594" s="151">
        <f>SUM(O594:Q594)</f>
        <v>20</v>
      </c>
      <c r="S594" s="142">
        <v>4</v>
      </c>
      <c r="T594" s="145" t="s">
        <v>1835</v>
      </c>
    </row>
    <row r="595" spans="1:20" ht="22.5" hidden="1" customHeight="1" x14ac:dyDescent="0.25">
      <c r="A595" s="152" t="s">
        <v>3018</v>
      </c>
      <c r="B595" s="142">
        <v>2025</v>
      </c>
      <c r="C595" s="142" t="s">
        <v>20</v>
      </c>
      <c r="D595" s="142" t="s">
        <v>1836</v>
      </c>
      <c r="E595" s="143" t="s">
        <v>1837</v>
      </c>
      <c r="F595" s="144" t="s">
        <v>66</v>
      </c>
      <c r="G595" s="145" t="s">
        <v>59</v>
      </c>
      <c r="H595" s="146" t="s">
        <v>1838</v>
      </c>
      <c r="I595" s="147">
        <v>45838</v>
      </c>
      <c r="J595" s="147">
        <v>45842</v>
      </c>
      <c r="K595" s="142" t="s">
        <v>32</v>
      </c>
      <c r="L595" s="148"/>
      <c r="M595" s="149">
        <v>4.8</v>
      </c>
      <c r="N595" s="150">
        <v>25</v>
      </c>
      <c r="O595" s="151">
        <v>0</v>
      </c>
      <c r="P595" s="151">
        <v>0</v>
      </c>
      <c r="Q595" s="151">
        <v>25</v>
      </c>
      <c r="R595" s="151">
        <f>SUM(O595:Q595)</f>
        <v>25</v>
      </c>
      <c r="S595" s="142">
        <v>5</v>
      </c>
      <c r="T595" s="145" t="s">
        <v>784</v>
      </c>
    </row>
    <row r="596" spans="1:20" ht="22.5" hidden="1" customHeight="1" x14ac:dyDescent="0.25">
      <c r="A596" s="152" t="s">
        <v>3019</v>
      </c>
      <c r="B596" s="142">
        <v>2025</v>
      </c>
      <c r="C596" s="167" t="s">
        <v>20</v>
      </c>
      <c r="D596" s="167" t="s">
        <v>1839</v>
      </c>
      <c r="E596" s="168" t="s">
        <v>1653</v>
      </c>
      <c r="F596" s="144" t="s">
        <v>66</v>
      </c>
      <c r="G596" s="169" t="s">
        <v>59</v>
      </c>
      <c r="H596" s="170" t="s">
        <v>1840</v>
      </c>
      <c r="I596" s="171">
        <v>45842</v>
      </c>
      <c r="J596" s="171">
        <v>45842</v>
      </c>
      <c r="K596" s="167" t="s">
        <v>32</v>
      </c>
      <c r="L596" s="172">
        <v>5834.98</v>
      </c>
      <c r="M596" s="173">
        <v>4.87</v>
      </c>
      <c r="N596" s="174">
        <v>30</v>
      </c>
      <c r="O596" s="175">
        <v>0</v>
      </c>
      <c r="P596" s="175">
        <v>0</v>
      </c>
      <c r="Q596" s="175">
        <v>24</v>
      </c>
      <c r="R596" s="175">
        <f>SUM(O596:Q596)</f>
        <v>24</v>
      </c>
      <c r="S596" s="167">
        <v>4</v>
      </c>
      <c r="T596" s="182" t="s">
        <v>1841</v>
      </c>
    </row>
    <row r="597" spans="1:20" ht="22.5" hidden="1" customHeight="1" x14ac:dyDescent="0.25">
      <c r="A597" s="152" t="s">
        <v>3020</v>
      </c>
      <c r="B597" s="142">
        <v>2025</v>
      </c>
      <c r="C597" s="167" t="s">
        <v>20</v>
      </c>
      <c r="D597" s="142" t="s">
        <v>1842</v>
      </c>
      <c r="E597" s="143" t="s">
        <v>1843</v>
      </c>
      <c r="F597" s="144" t="s">
        <v>51</v>
      </c>
      <c r="G597" s="145" t="s">
        <v>59</v>
      </c>
      <c r="H597" s="146" t="s">
        <v>1844</v>
      </c>
      <c r="I597" s="147">
        <v>45842</v>
      </c>
      <c r="J597" s="147">
        <v>45904</v>
      </c>
      <c r="K597" s="142" t="s">
        <v>32</v>
      </c>
      <c r="L597" s="148">
        <v>6800.82</v>
      </c>
      <c r="M597" s="149">
        <v>4.7</v>
      </c>
      <c r="N597" s="150">
        <v>30</v>
      </c>
      <c r="O597" s="151">
        <v>0</v>
      </c>
      <c r="P597" s="151">
        <v>46</v>
      </c>
      <c r="Q597" s="151">
        <v>0</v>
      </c>
      <c r="R597" s="151">
        <f>SUM(O597:Q597)</f>
        <v>46</v>
      </c>
      <c r="S597" s="142">
        <v>12</v>
      </c>
      <c r="T597" s="145" t="s">
        <v>1125</v>
      </c>
    </row>
    <row r="598" spans="1:20" ht="22.5" hidden="1" customHeight="1" x14ac:dyDescent="0.25">
      <c r="A598" s="152" t="s">
        <v>3021</v>
      </c>
      <c r="B598" s="142">
        <v>2025</v>
      </c>
      <c r="C598" s="183" t="s">
        <v>20</v>
      </c>
      <c r="D598" s="167" t="s">
        <v>1845</v>
      </c>
      <c r="E598" s="168" t="s">
        <v>1846</v>
      </c>
      <c r="F598" s="176" t="s">
        <v>66</v>
      </c>
      <c r="G598" s="169" t="s">
        <v>59</v>
      </c>
      <c r="H598" s="170" t="s">
        <v>1847</v>
      </c>
      <c r="I598" s="171">
        <v>45845</v>
      </c>
      <c r="J598" s="171">
        <v>45849</v>
      </c>
      <c r="K598" s="167" t="s">
        <v>32</v>
      </c>
      <c r="L598" s="172">
        <v>7687.84</v>
      </c>
      <c r="M598" s="173">
        <v>4.9000000000000004</v>
      </c>
      <c r="N598" s="174">
        <v>30</v>
      </c>
      <c r="O598" s="175">
        <v>0</v>
      </c>
      <c r="P598" s="175">
        <v>37</v>
      </c>
      <c r="Q598" s="175">
        <v>0</v>
      </c>
      <c r="R598" s="151">
        <f>SUM(O598:Q598)</f>
        <v>37</v>
      </c>
      <c r="S598" s="167">
        <v>12</v>
      </c>
      <c r="T598" s="169" t="s">
        <v>1848</v>
      </c>
    </row>
    <row r="599" spans="1:20" ht="22.5" hidden="1" customHeight="1" x14ac:dyDescent="0.25">
      <c r="A599" s="152" t="s">
        <v>3022</v>
      </c>
      <c r="B599" s="142">
        <v>2025</v>
      </c>
      <c r="C599" s="167" t="s">
        <v>20</v>
      </c>
      <c r="D599" s="167" t="s">
        <v>1849</v>
      </c>
      <c r="E599" s="168" t="s">
        <v>1850</v>
      </c>
      <c r="F599" s="176" t="s">
        <v>22</v>
      </c>
      <c r="G599" s="182" t="s">
        <v>56</v>
      </c>
      <c r="H599" s="170" t="s">
        <v>1851</v>
      </c>
      <c r="I599" s="171">
        <v>45848</v>
      </c>
      <c r="J599" s="171">
        <v>45945</v>
      </c>
      <c r="K599" s="167" t="s">
        <v>25</v>
      </c>
      <c r="L599" s="172"/>
      <c r="M599" s="173">
        <v>4.63</v>
      </c>
      <c r="N599" s="174">
        <v>30</v>
      </c>
      <c r="O599" s="175">
        <v>20</v>
      </c>
      <c r="P599" s="175">
        <v>4</v>
      </c>
      <c r="Q599" s="175">
        <v>0</v>
      </c>
      <c r="R599" s="151">
        <f>SUM(O599:Q599)</f>
        <v>24</v>
      </c>
      <c r="S599" s="167">
        <v>20</v>
      </c>
      <c r="T599" s="169" t="s">
        <v>1852</v>
      </c>
    </row>
    <row r="600" spans="1:20" ht="22.5" hidden="1" customHeight="1" x14ac:dyDescent="0.25">
      <c r="A600" s="152" t="s">
        <v>3023</v>
      </c>
      <c r="B600" s="142">
        <v>2025</v>
      </c>
      <c r="C600" s="183" t="s">
        <v>20</v>
      </c>
      <c r="D600" s="167" t="s">
        <v>1853</v>
      </c>
      <c r="E600" s="168" t="s">
        <v>1854</v>
      </c>
      <c r="F600" s="176" t="s">
        <v>51</v>
      </c>
      <c r="G600" s="169" t="s">
        <v>59</v>
      </c>
      <c r="H600" s="164" t="s">
        <v>1855</v>
      </c>
      <c r="I600" s="171">
        <v>45859</v>
      </c>
      <c r="J600" s="171">
        <v>45867</v>
      </c>
      <c r="K600" s="167" t="s">
        <v>32</v>
      </c>
      <c r="L600" s="172">
        <v>12555.28</v>
      </c>
      <c r="M600" s="173">
        <v>4.8</v>
      </c>
      <c r="N600" s="174">
        <v>30</v>
      </c>
      <c r="O600" s="175">
        <v>0</v>
      </c>
      <c r="P600" s="175">
        <v>30</v>
      </c>
      <c r="Q600" s="175">
        <v>0</v>
      </c>
      <c r="R600" s="151">
        <f>SUM(O600:Q600)</f>
        <v>30</v>
      </c>
      <c r="S600" s="167">
        <v>16</v>
      </c>
      <c r="T600" s="169" t="s">
        <v>1856</v>
      </c>
    </row>
    <row r="601" spans="1:20" ht="22.5" hidden="1" customHeight="1" x14ac:dyDescent="0.25">
      <c r="A601" s="152" t="s">
        <v>3024</v>
      </c>
      <c r="B601" s="142">
        <v>2025</v>
      </c>
      <c r="C601" s="183" t="s">
        <v>20</v>
      </c>
      <c r="D601" s="167" t="s">
        <v>1824</v>
      </c>
      <c r="E601" s="168" t="s">
        <v>1857</v>
      </c>
      <c r="F601" s="176" t="s">
        <v>22</v>
      </c>
      <c r="G601" s="169" t="s">
        <v>30</v>
      </c>
      <c r="H601" s="170" t="s">
        <v>1858</v>
      </c>
      <c r="I601" s="171">
        <v>45860</v>
      </c>
      <c r="J601" s="171">
        <v>45862</v>
      </c>
      <c r="K601" s="167" t="s">
        <v>32</v>
      </c>
      <c r="L601" s="172">
        <v>4533.88</v>
      </c>
      <c r="M601" s="173">
        <v>4.87</v>
      </c>
      <c r="N601" s="174">
        <v>20</v>
      </c>
      <c r="O601" s="175">
        <v>21</v>
      </c>
      <c r="P601" s="175">
        <v>0</v>
      </c>
      <c r="Q601" s="175">
        <v>0</v>
      </c>
      <c r="R601" s="151">
        <f>SUM(O601:Q601)</f>
        <v>21</v>
      </c>
      <c r="S601" s="167">
        <v>8</v>
      </c>
      <c r="T601" s="169" t="s">
        <v>1827</v>
      </c>
    </row>
    <row r="602" spans="1:20" ht="22.5" hidden="1" customHeight="1" x14ac:dyDescent="0.25">
      <c r="A602" s="152" t="s">
        <v>3025</v>
      </c>
      <c r="B602" s="142">
        <v>2025</v>
      </c>
      <c r="C602" s="183" t="s">
        <v>20</v>
      </c>
      <c r="D602" s="142" t="s">
        <v>1859</v>
      </c>
      <c r="E602" s="143" t="s">
        <v>1860</v>
      </c>
      <c r="F602" s="176" t="s">
        <v>22</v>
      </c>
      <c r="G602" s="182" t="s">
        <v>56</v>
      </c>
      <c r="H602" s="146" t="s">
        <v>1861</v>
      </c>
      <c r="I602" s="147">
        <v>45869</v>
      </c>
      <c r="J602" s="147">
        <v>45870</v>
      </c>
      <c r="K602" s="167" t="s">
        <v>32</v>
      </c>
      <c r="L602" s="148">
        <v>4533.88</v>
      </c>
      <c r="M602" s="149">
        <v>4.8499999999999996</v>
      </c>
      <c r="N602" s="150">
        <v>20</v>
      </c>
      <c r="O602" s="151">
        <v>14</v>
      </c>
      <c r="P602" s="151">
        <v>13</v>
      </c>
      <c r="Q602" s="151">
        <v>0</v>
      </c>
      <c r="R602" s="151">
        <f>SUM(O602:Q602)</f>
        <v>27</v>
      </c>
      <c r="S602" s="142">
        <v>8</v>
      </c>
      <c r="T602" s="145" t="s">
        <v>1524</v>
      </c>
    </row>
    <row r="603" spans="1:20" ht="22.5" hidden="1" customHeight="1" x14ac:dyDescent="0.25">
      <c r="A603" s="152" t="s">
        <v>3026</v>
      </c>
      <c r="B603" s="142">
        <v>2025</v>
      </c>
      <c r="C603" s="183" t="s">
        <v>20</v>
      </c>
      <c r="D603" s="142" t="s">
        <v>1862</v>
      </c>
      <c r="E603" s="143" t="s">
        <v>1863</v>
      </c>
      <c r="F603" s="176" t="s">
        <v>22</v>
      </c>
      <c r="G603" s="169" t="s">
        <v>56</v>
      </c>
      <c r="H603" s="180" t="s">
        <v>1864</v>
      </c>
      <c r="I603" s="147">
        <v>45873</v>
      </c>
      <c r="J603" s="147">
        <v>45898</v>
      </c>
      <c r="K603" s="167" t="s">
        <v>32</v>
      </c>
      <c r="L603" s="148"/>
      <c r="M603" s="149">
        <v>4.8600000000000003</v>
      </c>
      <c r="N603" s="150">
        <v>20</v>
      </c>
      <c r="O603" s="151">
        <v>14</v>
      </c>
      <c r="P603" s="151">
        <v>12</v>
      </c>
      <c r="Q603" s="151">
        <v>0</v>
      </c>
      <c r="R603" s="151">
        <f>SUM(O603:Q603)</f>
        <v>26</v>
      </c>
      <c r="S603" s="142">
        <v>36</v>
      </c>
      <c r="T603" s="145" t="s">
        <v>441</v>
      </c>
    </row>
    <row r="604" spans="1:20" ht="22.5" hidden="1" customHeight="1" x14ac:dyDescent="0.25">
      <c r="A604" s="152" t="s">
        <v>3027</v>
      </c>
      <c r="B604" s="142">
        <v>2025</v>
      </c>
      <c r="C604" s="183" t="s">
        <v>20</v>
      </c>
      <c r="D604" s="142" t="s">
        <v>1865</v>
      </c>
      <c r="E604" s="143" t="s">
        <v>1866</v>
      </c>
      <c r="F604" s="176" t="s">
        <v>22</v>
      </c>
      <c r="G604" s="169" t="s">
        <v>34</v>
      </c>
      <c r="H604" s="180" t="s">
        <v>1867</v>
      </c>
      <c r="I604" s="147">
        <v>45874</v>
      </c>
      <c r="J604" s="147">
        <v>45904</v>
      </c>
      <c r="K604" s="167" t="s">
        <v>25</v>
      </c>
      <c r="L604" s="148">
        <v>37800</v>
      </c>
      <c r="M604" s="149">
        <v>4.4800000000000004</v>
      </c>
      <c r="N604" s="150">
        <v>30</v>
      </c>
      <c r="O604" s="151">
        <v>28</v>
      </c>
      <c r="P604" s="151">
        <v>0</v>
      </c>
      <c r="Q604" s="151">
        <v>0</v>
      </c>
      <c r="R604" s="151">
        <f>SUM(O604:Q604)</f>
        <v>28</v>
      </c>
      <c r="S604" s="142">
        <v>40</v>
      </c>
      <c r="T604" s="145" t="s">
        <v>1868</v>
      </c>
    </row>
    <row r="605" spans="1:20" ht="22.5" hidden="1" customHeight="1" x14ac:dyDescent="0.25">
      <c r="A605" s="152" t="s">
        <v>3028</v>
      </c>
      <c r="B605" s="142">
        <v>2025</v>
      </c>
      <c r="C605" s="179" t="s">
        <v>20</v>
      </c>
      <c r="D605" s="142" t="s">
        <v>1832</v>
      </c>
      <c r="E605" s="143" t="s">
        <v>1869</v>
      </c>
      <c r="F605" s="144" t="s">
        <v>51</v>
      </c>
      <c r="G605" s="145" t="s">
        <v>59</v>
      </c>
      <c r="H605" s="146" t="s">
        <v>1870</v>
      </c>
      <c r="I605" s="147">
        <v>45876</v>
      </c>
      <c r="J605" s="147">
        <v>45876</v>
      </c>
      <c r="K605" s="167" t="s">
        <v>32</v>
      </c>
      <c r="L605" s="148">
        <v>0</v>
      </c>
      <c r="M605" s="149">
        <v>4.8</v>
      </c>
      <c r="N605" s="150">
        <v>20</v>
      </c>
      <c r="O605" s="151">
        <v>0</v>
      </c>
      <c r="P605" s="151">
        <v>20</v>
      </c>
      <c r="Q605" s="151">
        <v>0</v>
      </c>
      <c r="R605" s="151">
        <f>SUM(O605:Q605)</f>
        <v>20</v>
      </c>
      <c r="S605" s="142">
        <v>4</v>
      </c>
      <c r="T605" s="145" t="s">
        <v>1871</v>
      </c>
    </row>
    <row r="606" spans="1:20" ht="22.5" hidden="1" customHeight="1" x14ac:dyDescent="0.25">
      <c r="A606" s="152" t="s">
        <v>3029</v>
      </c>
      <c r="B606" s="142">
        <v>2025</v>
      </c>
      <c r="C606" s="179" t="s">
        <v>20</v>
      </c>
      <c r="D606" s="142" t="s">
        <v>1872</v>
      </c>
      <c r="E606" s="143" t="s">
        <v>1873</v>
      </c>
      <c r="F606" s="144" t="s">
        <v>22</v>
      </c>
      <c r="G606" s="159" t="s">
        <v>157</v>
      </c>
      <c r="H606" s="146" t="s">
        <v>1874</v>
      </c>
      <c r="I606" s="147">
        <v>45877</v>
      </c>
      <c r="J606" s="147">
        <v>45877</v>
      </c>
      <c r="K606" s="167" t="s">
        <v>32</v>
      </c>
      <c r="L606" s="148"/>
      <c r="M606" s="149">
        <v>4.9000000000000004</v>
      </c>
      <c r="N606" s="150">
        <v>170</v>
      </c>
      <c r="O606" s="151">
        <v>170</v>
      </c>
      <c r="P606" s="151">
        <v>0</v>
      </c>
      <c r="Q606" s="151">
        <v>0</v>
      </c>
      <c r="R606" s="151">
        <f>SUM(O606:Q606)</f>
        <v>170</v>
      </c>
      <c r="S606" s="142">
        <v>2</v>
      </c>
      <c r="T606" s="159" t="s">
        <v>1875</v>
      </c>
    </row>
    <row r="607" spans="1:20" ht="22.5" hidden="1" customHeight="1" x14ac:dyDescent="0.25">
      <c r="A607" s="152" t="s">
        <v>3030</v>
      </c>
      <c r="B607" s="142">
        <v>2025</v>
      </c>
      <c r="C607" s="179" t="s">
        <v>20</v>
      </c>
      <c r="D607" s="142" t="s">
        <v>1872</v>
      </c>
      <c r="E607" s="143" t="s">
        <v>1876</v>
      </c>
      <c r="F607" s="144" t="s">
        <v>22</v>
      </c>
      <c r="G607" s="145" t="s">
        <v>157</v>
      </c>
      <c r="H607" s="156">
        <v>45877</v>
      </c>
      <c r="I607" s="147">
        <v>45877</v>
      </c>
      <c r="J607" s="147">
        <v>45877</v>
      </c>
      <c r="K607" s="142" t="s">
        <v>32</v>
      </c>
      <c r="L607" s="148"/>
      <c r="M607" s="149">
        <v>4.9000000000000004</v>
      </c>
      <c r="N607" s="150">
        <v>170</v>
      </c>
      <c r="O607" s="151">
        <v>170</v>
      </c>
      <c r="P607" s="151">
        <v>0</v>
      </c>
      <c r="Q607" s="151">
        <v>0</v>
      </c>
      <c r="R607" s="151">
        <f>SUM(O607:Q607)</f>
        <v>170</v>
      </c>
      <c r="S607" s="142">
        <v>2</v>
      </c>
      <c r="T607" s="159" t="s">
        <v>1877</v>
      </c>
    </row>
    <row r="608" spans="1:20" ht="22.5" hidden="1" customHeight="1" x14ac:dyDescent="0.25">
      <c r="A608" s="152" t="s">
        <v>3031</v>
      </c>
      <c r="B608" s="142">
        <v>2025</v>
      </c>
      <c r="C608" s="179" t="s">
        <v>20</v>
      </c>
      <c r="D608" s="142" t="s">
        <v>1878</v>
      </c>
      <c r="E608" s="143" t="s">
        <v>1879</v>
      </c>
      <c r="F608" s="144" t="s">
        <v>22</v>
      </c>
      <c r="G608" s="159" t="s">
        <v>157</v>
      </c>
      <c r="H608" s="146" t="s">
        <v>1880</v>
      </c>
      <c r="I608" s="147">
        <v>45880</v>
      </c>
      <c r="J608" s="147">
        <v>45884</v>
      </c>
      <c r="K608" s="167" t="s">
        <v>25</v>
      </c>
      <c r="L608" s="148">
        <v>16500</v>
      </c>
      <c r="M608" s="149">
        <v>4.9000000000000004</v>
      </c>
      <c r="N608" s="150">
        <v>20</v>
      </c>
      <c r="O608" s="151">
        <v>19</v>
      </c>
      <c r="P608" s="151">
        <v>0</v>
      </c>
      <c r="Q608" s="151">
        <v>0</v>
      </c>
      <c r="R608" s="151">
        <f>SUM(O608:Q608)</f>
        <v>19</v>
      </c>
      <c r="S608" s="142">
        <v>20</v>
      </c>
      <c r="T608" s="145" t="s">
        <v>611</v>
      </c>
    </row>
    <row r="609" spans="1:20" ht="22.5" hidden="1" customHeight="1" x14ac:dyDescent="0.25">
      <c r="A609" s="152" t="s">
        <v>3032</v>
      </c>
      <c r="B609" s="142">
        <v>2025</v>
      </c>
      <c r="C609" s="179" t="s">
        <v>20</v>
      </c>
      <c r="D609" s="142" t="s">
        <v>1881</v>
      </c>
      <c r="E609" s="143" t="s">
        <v>1882</v>
      </c>
      <c r="F609" s="144" t="s">
        <v>22</v>
      </c>
      <c r="G609" s="145" t="s">
        <v>23</v>
      </c>
      <c r="H609" s="146" t="s">
        <v>1883</v>
      </c>
      <c r="I609" s="147">
        <v>45881</v>
      </c>
      <c r="J609" s="147">
        <v>45884</v>
      </c>
      <c r="K609" s="167" t="s">
        <v>32</v>
      </c>
      <c r="L609" s="148">
        <v>10030.61</v>
      </c>
      <c r="M609" s="149">
        <v>4.9000000000000004</v>
      </c>
      <c r="N609" s="150">
        <v>20</v>
      </c>
      <c r="O609" s="151">
        <v>19</v>
      </c>
      <c r="P609" s="151">
        <v>0</v>
      </c>
      <c r="Q609" s="151">
        <v>0</v>
      </c>
      <c r="R609" s="151">
        <f>SUM(O609:Q609)</f>
        <v>19</v>
      </c>
      <c r="S609" s="142">
        <v>12</v>
      </c>
      <c r="T609" s="145" t="s">
        <v>1884</v>
      </c>
    </row>
    <row r="610" spans="1:20" ht="22.5" hidden="1" customHeight="1" x14ac:dyDescent="0.25">
      <c r="A610" s="152" t="s">
        <v>3033</v>
      </c>
      <c r="B610" s="142">
        <v>2025</v>
      </c>
      <c r="C610" s="142" t="s">
        <v>20</v>
      </c>
      <c r="D610" s="142" t="s">
        <v>1806</v>
      </c>
      <c r="E610" s="177" t="s">
        <v>1885</v>
      </c>
      <c r="F610" s="144" t="s">
        <v>66</v>
      </c>
      <c r="G610" s="145" t="s">
        <v>59</v>
      </c>
      <c r="H610" s="146" t="s">
        <v>1886</v>
      </c>
      <c r="I610" s="147">
        <v>45881</v>
      </c>
      <c r="J610" s="147">
        <v>45881</v>
      </c>
      <c r="K610" s="142" t="s">
        <v>32</v>
      </c>
      <c r="L610" s="148">
        <v>1700.2</v>
      </c>
      <c r="M610" s="149"/>
      <c r="N610" s="150">
        <v>0</v>
      </c>
      <c r="O610" s="151">
        <v>0</v>
      </c>
      <c r="P610" s="151">
        <v>0</v>
      </c>
      <c r="Q610" s="151">
        <v>31</v>
      </c>
      <c r="R610" s="151">
        <f>SUM(O610:Q610)</f>
        <v>31</v>
      </c>
      <c r="S610" s="142">
        <v>3</v>
      </c>
      <c r="T610" s="145" t="s">
        <v>1550</v>
      </c>
    </row>
    <row r="611" spans="1:20" ht="22.5" hidden="1" customHeight="1" x14ac:dyDescent="0.25">
      <c r="A611" s="152" t="s">
        <v>3034</v>
      </c>
      <c r="B611" s="142">
        <v>2025</v>
      </c>
      <c r="C611" s="142" t="s">
        <v>20</v>
      </c>
      <c r="D611" s="142" t="s">
        <v>1887</v>
      </c>
      <c r="E611" s="143" t="s">
        <v>1888</v>
      </c>
      <c r="F611" s="176" t="s">
        <v>22</v>
      </c>
      <c r="G611" s="169" t="s">
        <v>34</v>
      </c>
      <c r="H611" s="146" t="s">
        <v>1889</v>
      </c>
      <c r="I611" s="147">
        <v>45885</v>
      </c>
      <c r="J611" s="147">
        <v>45886</v>
      </c>
      <c r="K611" s="142" t="s">
        <v>25</v>
      </c>
      <c r="L611" s="148">
        <v>43500</v>
      </c>
      <c r="M611" s="149">
        <v>5</v>
      </c>
      <c r="N611" s="150">
        <v>15</v>
      </c>
      <c r="O611" s="151">
        <v>15</v>
      </c>
      <c r="P611" s="151">
        <v>0</v>
      </c>
      <c r="Q611" s="151">
        <v>0</v>
      </c>
      <c r="R611" s="151">
        <f>SUM(O611:Q611)</f>
        <v>15</v>
      </c>
      <c r="S611" s="142">
        <v>16</v>
      </c>
      <c r="T611" s="162" t="s">
        <v>1890</v>
      </c>
    </row>
    <row r="612" spans="1:20" ht="22.5" hidden="1" customHeight="1" x14ac:dyDescent="0.25">
      <c r="A612" s="152" t="s">
        <v>3035</v>
      </c>
      <c r="B612" s="142">
        <v>2025</v>
      </c>
      <c r="C612" s="179" t="s">
        <v>20</v>
      </c>
      <c r="D612" s="142" t="s">
        <v>1891</v>
      </c>
      <c r="E612" s="143" t="s">
        <v>1892</v>
      </c>
      <c r="F612" s="184" t="s">
        <v>22</v>
      </c>
      <c r="G612" s="159" t="s">
        <v>157</v>
      </c>
      <c r="H612" s="146" t="s">
        <v>1893</v>
      </c>
      <c r="I612" s="147">
        <v>45887</v>
      </c>
      <c r="J612" s="147">
        <v>45887</v>
      </c>
      <c r="K612" s="142" t="s">
        <v>25</v>
      </c>
      <c r="L612" s="148">
        <v>13081.64</v>
      </c>
      <c r="M612" s="149"/>
      <c r="N612" s="150">
        <v>100</v>
      </c>
      <c r="O612" s="151">
        <v>100</v>
      </c>
      <c r="P612" s="151">
        <v>0</v>
      </c>
      <c r="Q612" s="151">
        <v>0</v>
      </c>
      <c r="R612" s="151">
        <f>SUM(O612:Q612)</f>
        <v>100</v>
      </c>
      <c r="S612" s="142">
        <v>1.5</v>
      </c>
      <c r="T612" s="145" t="s">
        <v>1894</v>
      </c>
    </row>
    <row r="613" spans="1:20" ht="22.5" hidden="1" customHeight="1" x14ac:dyDescent="0.25">
      <c r="A613" s="152" t="s">
        <v>3036</v>
      </c>
      <c r="B613" s="142">
        <v>2025</v>
      </c>
      <c r="C613" s="179" t="s">
        <v>20</v>
      </c>
      <c r="D613" s="142" t="s">
        <v>1891</v>
      </c>
      <c r="E613" s="143" t="s">
        <v>1895</v>
      </c>
      <c r="F613" s="144" t="s">
        <v>22</v>
      </c>
      <c r="G613" s="145" t="s">
        <v>157</v>
      </c>
      <c r="H613" s="142" t="s">
        <v>1893</v>
      </c>
      <c r="I613" s="147">
        <v>45887</v>
      </c>
      <c r="J613" s="147">
        <v>45887</v>
      </c>
      <c r="K613" s="142" t="s">
        <v>174</v>
      </c>
      <c r="L613" s="148"/>
      <c r="M613" s="149">
        <v>4.8899999999999997</v>
      </c>
      <c r="N613" s="150">
        <v>114</v>
      </c>
      <c r="O613" s="151">
        <v>114</v>
      </c>
      <c r="P613" s="151">
        <v>0</v>
      </c>
      <c r="Q613" s="151">
        <v>0</v>
      </c>
      <c r="R613" s="151">
        <f>SUM(O613:Q613)</f>
        <v>114</v>
      </c>
      <c r="S613" s="142">
        <v>3</v>
      </c>
      <c r="T613" s="159" t="s">
        <v>1896</v>
      </c>
    </row>
    <row r="614" spans="1:20" ht="22.5" hidden="1" customHeight="1" x14ac:dyDescent="0.25">
      <c r="A614" s="152" t="s">
        <v>3037</v>
      </c>
      <c r="B614" s="142">
        <v>2025</v>
      </c>
      <c r="C614" s="179" t="s">
        <v>20</v>
      </c>
      <c r="D614" s="142" t="s">
        <v>1897</v>
      </c>
      <c r="E614" s="143" t="s">
        <v>1898</v>
      </c>
      <c r="F614" s="144" t="s">
        <v>51</v>
      </c>
      <c r="G614" s="145" t="s">
        <v>59</v>
      </c>
      <c r="H614" s="146" t="s">
        <v>1899</v>
      </c>
      <c r="I614" s="147">
        <v>45890</v>
      </c>
      <c r="J614" s="147">
        <v>45891</v>
      </c>
      <c r="K614" s="142" t="s">
        <v>32</v>
      </c>
      <c r="L614" s="148">
        <v>4500</v>
      </c>
      <c r="M614" s="149">
        <v>4.7</v>
      </c>
      <c r="N614" s="150">
        <v>400</v>
      </c>
      <c r="O614" s="151">
        <v>132</v>
      </c>
      <c r="P614" s="151">
        <v>359</v>
      </c>
      <c r="Q614" s="151">
        <v>0</v>
      </c>
      <c r="R614" s="151">
        <f>SUM(O614:Q614)</f>
        <v>491</v>
      </c>
      <c r="S614" s="142">
        <v>8</v>
      </c>
      <c r="T614" s="145" t="s">
        <v>365</v>
      </c>
    </row>
    <row r="615" spans="1:20" ht="22.5" hidden="1" customHeight="1" x14ac:dyDescent="0.25">
      <c r="A615" s="152" t="s">
        <v>3038</v>
      </c>
      <c r="B615" s="142">
        <v>2025</v>
      </c>
      <c r="C615" s="179" t="s">
        <v>20</v>
      </c>
      <c r="D615" s="142" t="s">
        <v>1900</v>
      </c>
      <c r="E615" s="177" t="s">
        <v>1901</v>
      </c>
      <c r="F615" s="144" t="s">
        <v>51</v>
      </c>
      <c r="G615" s="145" t="s">
        <v>59</v>
      </c>
      <c r="H615" s="146" t="s">
        <v>1902</v>
      </c>
      <c r="I615" s="147">
        <v>45894</v>
      </c>
      <c r="J615" s="147">
        <v>45895</v>
      </c>
      <c r="K615" s="142" t="s">
        <v>32</v>
      </c>
      <c r="L615" s="148">
        <v>4000</v>
      </c>
      <c r="M615" s="149">
        <v>4.7</v>
      </c>
      <c r="N615" s="150">
        <v>20</v>
      </c>
      <c r="O615" s="151">
        <v>0</v>
      </c>
      <c r="P615" s="151">
        <v>27</v>
      </c>
      <c r="Q615" s="151">
        <v>0</v>
      </c>
      <c r="R615" s="151">
        <f>SUM(O615:Q615)</f>
        <v>27</v>
      </c>
      <c r="S615" s="142">
        <v>8</v>
      </c>
      <c r="T615" s="145" t="s">
        <v>1125</v>
      </c>
    </row>
    <row r="616" spans="1:20" ht="22.5" hidden="1" customHeight="1" x14ac:dyDescent="0.25">
      <c r="A616" s="152" t="s">
        <v>3039</v>
      </c>
      <c r="B616" s="142">
        <v>2025</v>
      </c>
      <c r="C616" s="179" t="s">
        <v>20</v>
      </c>
      <c r="D616" s="142" t="s">
        <v>1853</v>
      </c>
      <c r="E616" s="177" t="s">
        <v>1903</v>
      </c>
      <c r="F616" s="144" t="s">
        <v>51</v>
      </c>
      <c r="G616" s="145" t="s">
        <v>59</v>
      </c>
      <c r="H616" s="146" t="s">
        <v>1904</v>
      </c>
      <c r="I616" s="147">
        <v>45894</v>
      </c>
      <c r="J616" s="147">
        <v>45905</v>
      </c>
      <c r="K616" s="142" t="s">
        <v>32</v>
      </c>
      <c r="L616" s="148"/>
      <c r="M616" s="149">
        <v>4.7699999999999996</v>
      </c>
      <c r="N616" s="150">
        <v>30</v>
      </c>
      <c r="O616" s="151">
        <v>0</v>
      </c>
      <c r="P616" s="151">
        <v>63</v>
      </c>
      <c r="Q616" s="151">
        <v>0</v>
      </c>
      <c r="R616" s="151">
        <f>SUM(O616:Q616)</f>
        <v>63</v>
      </c>
      <c r="S616" s="142">
        <v>16</v>
      </c>
      <c r="T616" s="145" t="s">
        <v>1856</v>
      </c>
    </row>
    <row r="617" spans="1:20" ht="22.5" hidden="1" customHeight="1" x14ac:dyDescent="0.25">
      <c r="A617" s="152" t="s">
        <v>3040</v>
      </c>
      <c r="B617" s="142">
        <v>2025</v>
      </c>
      <c r="C617" s="179" t="s">
        <v>20</v>
      </c>
      <c r="D617" s="142" t="s">
        <v>1905</v>
      </c>
      <c r="E617" s="143" t="s">
        <v>1906</v>
      </c>
      <c r="F617" s="144" t="s">
        <v>51</v>
      </c>
      <c r="G617" s="145" t="s">
        <v>59</v>
      </c>
      <c r="H617" s="146" t="s">
        <v>1907</v>
      </c>
      <c r="I617" s="147">
        <v>45896</v>
      </c>
      <c r="J617" s="147">
        <v>45896</v>
      </c>
      <c r="K617" s="142" t="s">
        <v>32</v>
      </c>
      <c r="L617" s="148">
        <v>2000</v>
      </c>
      <c r="M617" s="149">
        <v>4.5999999999999996</v>
      </c>
      <c r="N617" s="150">
        <v>50</v>
      </c>
      <c r="O617" s="151">
        <v>0</v>
      </c>
      <c r="P617" s="151">
        <v>42</v>
      </c>
      <c r="Q617" s="151">
        <v>0</v>
      </c>
      <c r="R617" s="151">
        <f>SUM(O617:Q617)</f>
        <v>42</v>
      </c>
      <c r="S617" s="142">
        <v>4</v>
      </c>
      <c r="T617" s="145" t="s">
        <v>1908</v>
      </c>
    </row>
    <row r="618" spans="1:20" ht="22.5" hidden="1" customHeight="1" x14ac:dyDescent="0.25">
      <c r="A618" s="152" t="s">
        <v>3041</v>
      </c>
      <c r="B618" s="142">
        <v>2025</v>
      </c>
      <c r="C618" s="142" t="s">
        <v>20</v>
      </c>
      <c r="D618" s="142" t="s">
        <v>1909</v>
      </c>
      <c r="E618" s="143" t="s">
        <v>1910</v>
      </c>
      <c r="F618" s="144" t="s">
        <v>51</v>
      </c>
      <c r="G618" s="145" t="s">
        <v>59</v>
      </c>
      <c r="H618" s="146" t="s">
        <v>1911</v>
      </c>
      <c r="I618" s="147">
        <v>45897</v>
      </c>
      <c r="J618" s="147">
        <v>45897</v>
      </c>
      <c r="K618" s="142" t="s">
        <v>32</v>
      </c>
      <c r="L618" s="148">
        <v>2000</v>
      </c>
      <c r="M618" s="149">
        <v>4.8899999999999997</v>
      </c>
      <c r="N618" s="150">
        <v>27</v>
      </c>
      <c r="O618" s="151">
        <v>8</v>
      </c>
      <c r="P618" s="151">
        <v>19</v>
      </c>
      <c r="Q618" s="151">
        <v>0</v>
      </c>
      <c r="R618" s="151">
        <f>SUM(O618:Q618)</f>
        <v>27</v>
      </c>
      <c r="S618" s="142">
        <v>4</v>
      </c>
      <c r="T618" s="145" t="s">
        <v>1912</v>
      </c>
    </row>
    <row r="619" spans="1:20" ht="22.5" hidden="1" customHeight="1" x14ac:dyDescent="0.25">
      <c r="A619" s="152" t="s">
        <v>3042</v>
      </c>
      <c r="B619" s="142">
        <v>2025</v>
      </c>
      <c r="C619" s="179" t="s">
        <v>20</v>
      </c>
      <c r="D619" s="142" t="s">
        <v>1913</v>
      </c>
      <c r="E619" s="143" t="s">
        <v>1914</v>
      </c>
      <c r="F619" s="144" t="s">
        <v>51</v>
      </c>
      <c r="G619" s="145" t="s">
        <v>59</v>
      </c>
      <c r="H619" s="146" t="s">
        <v>1911</v>
      </c>
      <c r="I619" s="147">
        <v>45897</v>
      </c>
      <c r="J619" s="147">
        <v>45897</v>
      </c>
      <c r="K619" s="142" t="s">
        <v>32</v>
      </c>
      <c r="L619" s="148">
        <v>2000</v>
      </c>
      <c r="M619" s="149">
        <v>4.5</v>
      </c>
      <c r="N619" s="150">
        <v>50</v>
      </c>
      <c r="O619" s="151">
        <v>0</v>
      </c>
      <c r="P619" s="151">
        <v>40</v>
      </c>
      <c r="Q619" s="151">
        <v>0</v>
      </c>
      <c r="R619" s="151">
        <f>SUM(O619:Q619)</f>
        <v>40</v>
      </c>
      <c r="S619" s="142">
        <v>4</v>
      </c>
      <c r="T619" s="145" t="s">
        <v>1478</v>
      </c>
    </row>
    <row r="620" spans="1:20" ht="22.5" hidden="1" customHeight="1" x14ac:dyDescent="0.25">
      <c r="A620" s="152" t="s">
        <v>3043</v>
      </c>
      <c r="B620" s="142">
        <v>2025</v>
      </c>
      <c r="C620" s="179" t="s">
        <v>20</v>
      </c>
      <c r="D620" s="142" t="s">
        <v>1915</v>
      </c>
      <c r="E620" s="143" t="s">
        <v>1916</v>
      </c>
      <c r="F620" s="144" t="s">
        <v>51</v>
      </c>
      <c r="G620" s="145" t="s">
        <v>59</v>
      </c>
      <c r="H620" s="146" t="s">
        <v>1917</v>
      </c>
      <c r="I620" s="147">
        <v>45902</v>
      </c>
      <c r="J620" s="147">
        <v>45904</v>
      </c>
      <c r="K620" s="142" t="s">
        <v>32</v>
      </c>
      <c r="L620" s="148"/>
      <c r="M620" s="149">
        <v>4.8</v>
      </c>
      <c r="N620" s="150">
        <v>40</v>
      </c>
      <c r="O620" s="151">
        <v>0</v>
      </c>
      <c r="P620" s="151">
        <v>47</v>
      </c>
      <c r="Q620" s="151">
        <v>0</v>
      </c>
      <c r="R620" s="151">
        <f>SUM(O620:Q620)</f>
        <v>47</v>
      </c>
      <c r="S620" s="142">
        <v>12</v>
      </c>
      <c r="T620" s="145" t="s">
        <v>1591</v>
      </c>
    </row>
    <row r="621" spans="1:20" ht="22.5" hidden="1" customHeight="1" x14ac:dyDescent="0.25">
      <c r="A621" s="152" t="s">
        <v>3044</v>
      </c>
      <c r="B621" s="142">
        <v>2025</v>
      </c>
      <c r="C621" s="142" t="s">
        <v>20</v>
      </c>
      <c r="D621" s="142" t="s">
        <v>1918</v>
      </c>
      <c r="E621" s="143" t="s">
        <v>1919</v>
      </c>
      <c r="F621" s="144" t="s">
        <v>22</v>
      </c>
      <c r="G621" s="159" t="s">
        <v>157</v>
      </c>
      <c r="H621" s="146" t="s">
        <v>1920</v>
      </c>
      <c r="I621" s="147">
        <v>45905</v>
      </c>
      <c r="J621" s="147">
        <v>45905</v>
      </c>
      <c r="K621" s="142" t="s">
        <v>32</v>
      </c>
      <c r="L621" s="148"/>
      <c r="M621" s="149">
        <v>4.9000000000000004</v>
      </c>
      <c r="N621" s="150">
        <v>25</v>
      </c>
      <c r="O621" s="151">
        <v>23</v>
      </c>
      <c r="P621" s="151">
        <v>0</v>
      </c>
      <c r="Q621" s="151">
        <v>0</v>
      </c>
      <c r="R621" s="151">
        <f>SUM(O621:Q621)</f>
        <v>23</v>
      </c>
      <c r="S621" s="142">
        <v>4</v>
      </c>
      <c r="T621" s="159" t="s">
        <v>1921</v>
      </c>
    </row>
    <row r="622" spans="1:20" ht="22.5" hidden="1" customHeight="1" x14ac:dyDescent="0.25">
      <c r="A622" s="152" t="s">
        <v>3045</v>
      </c>
      <c r="B622" s="142">
        <v>2025</v>
      </c>
      <c r="C622" s="179" t="s">
        <v>20</v>
      </c>
      <c r="D622" s="142" t="s">
        <v>1810</v>
      </c>
      <c r="E622" s="143" t="s">
        <v>1922</v>
      </c>
      <c r="F622" s="144" t="s">
        <v>22</v>
      </c>
      <c r="G622" s="145" t="s">
        <v>283</v>
      </c>
      <c r="H622" s="146" t="s">
        <v>1923</v>
      </c>
      <c r="I622" s="147">
        <v>45908</v>
      </c>
      <c r="J622" s="147">
        <v>45909</v>
      </c>
      <c r="K622" s="142" t="s">
        <v>32</v>
      </c>
      <c r="L622" s="148"/>
      <c r="M622" s="149">
        <v>4.4000000000000004</v>
      </c>
      <c r="N622" s="150">
        <v>30</v>
      </c>
      <c r="O622" s="151">
        <v>21</v>
      </c>
      <c r="P622" s="151">
        <v>0</v>
      </c>
      <c r="Q622" s="151">
        <v>0</v>
      </c>
      <c r="R622" s="151">
        <f>SUM(O622:Q622)</f>
        <v>21</v>
      </c>
      <c r="S622" s="142">
        <v>8</v>
      </c>
      <c r="T622" s="145" t="s">
        <v>1813</v>
      </c>
    </row>
    <row r="623" spans="1:20" ht="22.5" hidden="1" customHeight="1" x14ac:dyDescent="0.25">
      <c r="A623" s="152" t="s">
        <v>3046</v>
      </c>
      <c r="B623" s="142">
        <v>2025</v>
      </c>
      <c r="C623" s="179" t="s">
        <v>20</v>
      </c>
      <c r="D623" s="142" t="s">
        <v>1924</v>
      </c>
      <c r="E623" s="143" t="s">
        <v>1925</v>
      </c>
      <c r="F623" s="144" t="s">
        <v>22</v>
      </c>
      <c r="G623" s="145" t="s">
        <v>34</v>
      </c>
      <c r="H623" s="146" t="s">
        <v>1926</v>
      </c>
      <c r="I623" s="147">
        <v>45910</v>
      </c>
      <c r="J623" s="147">
        <v>45911</v>
      </c>
      <c r="K623" s="142" t="s">
        <v>25</v>
      </c>
      <c r="L623" s="148">
        <v>37706.28</v>
      </c>
      <c r="M623" s="149">
        <v>4.7</v>
      </c>
      <c r="N623" s="150">
        <v>30</v>
      </c>
      <c r="O623" s="151">
        <v>26</v>
      </c>
      <c r="P623" s="151">
        <v>0</v>
      </c>
      <c r="Q623" s="151">
        <v>0</v>
      </c>
      <c r="R623" s="151">
        <f>SUM(O623:Q623)</f>
        <v>26</v>
      </c>
      <c r="S623" s="142">
        <v>6</v>
      </c>
      <c r="T623" s="145" t="s">
        <v>1927</v>
      </c>
    </row>
    <row r="624" spans="1:20" ht="22.5" hidden="1" customHeight="1" x14ac:dyDescent="0.25">
      <c r="A624" s="152" t="s">
        <v>3047</v>
      </c>
      <c r="B624" s="142">
        <v>2025</v>
      </c>
      <c r="C624" s="179" t="s">
        <v>20</v>
      </c>
      <c r="D624" s="142" t="s">
        <v>1782</v>
      </c>
      <c r="E624" s="143" t="s">
        <v>1928</v>
      </c>
      <c r="F624" s="184" t="s">
        <v>66</v>
      </c>
      <c r="G624" s="159" t="s">
        <v>59</v>
      </c>
      <c r="H624" s="146" t="s">
        <v>1929</v>
      </c>
      <c r="I624" s="147">
        <v>45911</v>
      </c>
      <c r="J624" s="147">
        <v>45911</v>
      </c>
      <c r="K624" s="142" t="s">
        <v>32</v>
      </c>
      <c r="L624" s="148"/>
      <c r="M624" s="149"/>
      <c r="N624" s="150">
        <v>88</v>
      </c>
      <c r="O624" s="151">
        <v>0</v>
      </c>
      <c r="P624" s="151">
        <v>0</v>
      </c>
      <c r="Q624" s="151">
        <v>88</v>
      </c>
      <c r="R624" s="151">
        <f>SUM(O624:Q624)</f>
        <v>88</v>
      </c>
      <c r="S624" s="142">
        <v>3</v>
      </c>
      <c r="T624" s="181" t="s">
        <v>1785</v>
      </c>
    </row>
    <row r="625" spans="1:20" ht="22.5" hidden="1" customHeight="1" x14ac:dyDescent="0.25">
      <c r="A625" s="152" t="s">
        <v>3048</v>
      </c>
      <c r="B625" s="142">
        <v>2025</v>
      </c>
      <c r="C625" s="142" t="s">
        <v>20</v>
      </c>
      <c r="D625" s="142" t="s">
        <v>1839</v>
      </c>
      <c r="E625" s="143" t="s">
        <v>1930</v>
      </c>
      <c r="F625" s="144" t="s">
        <v>66</v>
      </c>
      <c r="G625" s="145" t="s">
        <v>59</v>
      </c>
      <c r="H625" s="146" t="s">
        <v>1931</v>
      </c>
      <c r="I625" s="147">
        <v>45912</v>
      </c>
      <c r="J625" s="147">
        <v>45912</v>
      </c>
      <c r="K625" s="142" t="s">
        <v>32</v>
      </c>
      <c r="L625" s="148"/>
      <c r="M625" s="149">
        <v>4.87</v>
      </c>
      <c r="N625" s="150">
        <v>30</v>
      </c>
      <c r="O625" s="151">
        <v>0</v>
      </c>
      <c r="P625" s="151">
        <v>33</v>
      </c>
      <c r="Q625" s="151">
        <v>0</v>
      </c>
      <c r="R625" s="151">
        <f>SUM(O625:Q625)</f>
        <v>33</v>
      </c>
      <c r="S625" s="142">
        <v>4</v>
      </c>
      <c r="T625" s="159" t="s">
        <v>1841</v>
      </c>
    </row>
    <row r="626" spans="1:20" ht="22.5" hidden="1" customHeight="1" x14ac:dyDescent="0.25">
      <c r="A626" s="152" t="s">
        <v>3049</v>
      </c>
      <c r="B626" s="142">
        <v>2025</v>
      </c>
      <c r="C626" s="179" t="s">
        <v>20</v>
      </c>
      <c r="D626" s="142" t="s">
        <v>1782</v>
      </c>
      <c r="E626" s="143" t="s">
        <v>1932</v>
      </c>
      <c r="F626" s="144" t="s">
        <v>66</v>
      </c>
      <c r="G626" s="159" t="s">
        <v>59</v>
      </c>
      <c r="H626" s="146" t="s">
        <v>1931</v>
      </c>
      <c r="I626" s="147">
        <v>45912</v>
      </c>
      <c r="J626" s="147">
        <v>45912</v>
      </c>
      <c r="K626" s="142" t="s">
        <v>32</v>
      </c>
      <c r="L626" s="148"/>
      <c r="M626" s="149"/>
      <c r="N626" s="150">
        <v>128</v>
      </c>
      <c r="O626" s="151">
        <v>0</v>
      </c>
      <c r="P626" s="151">
        <v>0</v>
      </c>
      <c r="Q626" s="151">
        <v>128</v>
      </c>
      <c r="R626" s="151">
        <f>SUM(O626:Q626)</f>
        <v>128</v>
      </c>
      <c r="S626" s="142">
        <v>3</v>
      </c>
      <c r="T626" s="181" t="s">
        <v>1785</v>
      </c>
    </row>
    <row r="627" spans="1:20" ht="22.5" hidden="1" customHeight="1" x14ac:dyDescent="0.25">
      <c r="A627" s="152" t="s">
        <v>3050</v>
      </c>
      <c r="B627" s="142">
        <v>2025</v>
      </c>
      <c r="C627" s="179" t="s">
        <v>1933</v>
      </c>
      <c r="D627" s="142" t="s">
        <v>1934</v>
      </c>
      <c r="E627" s="143" t="s">
        <v>1658</v>
      </c>
      <c r="F627" s="144" t="s">
        <v>22</v>
      </c>
      <c r="G627" s="145" t="s">
        <v>30</v>
      </c>
      <c r="H627" s="146" t="s">
        <v>1935</v>
      </c>
      <c r="I627" s="147">
        <v>45915</v>
      </c>
      <c r="J627" s="147">
        <v>46280</v>
      </c>
      <c r="K627" s="142" t="s">
        <v>25</v>
      </c>
      <c r="L627" s="148"/>
      <c r="M627" s="149"/>
      <c r="N627" s="150"/>
      <c r="O627" s="151">
        <v>0</v>
      </c>
      <c r="P627" s="151">
        <v>0</v>
      </c>
      <c r="Q627" s="151">
        <v>0</v>
      </c>
      <c r="R627" s="151">
        <f>SUM(O627:Q627)</f>
        <v>0</v>
      </c>
      <c r="S627" s="142"/>
      <c r="T627" s="145" t="s">
        <v>365</v>
      </c>
    </row>
    <row r="628" spans="1:20" ht="22.5" hidden="1" customHeight="1" x14ac:dyDescent="0.25">
      <c r="A628" s="152" t="s">
        <v>3051</v>
      </c>
      <c r="B628" s="142">
        <v>2025</v>
      </c>
      <c r="C628" s="179" t="s">
        <v>20</v>
      </c>
      <c r="D628" s="142" t="s">
        <v>1936</v>
      </c>
      <c r="E628" s="143" t="s">
        <v>1937</v>
      </c>
      <c r="F628" s="184" t="s">
        <v>22</v>
      </c>
      <c r="G628" s="159" t="s">
        <v>157</v>
      </c>
      <c r="H628" s="146" t="s">
        <v>1938</v>
      </c>
      <c r="I628" s="147">
        <v>45916</v>
      </c>
      <c r="J628" s="147">
        <v>45916</v>
      </c>
      <c r="K628" s="142" t="s">
        <v>32</v>
      </c>
      <c r="L628" s="148"/>
      <c r="M628" s="149">
        <v>4.9000000000000004</v>
      </c>
      <c r="N628" s="150">
        <v>80</v>
      </c>
      <c r="O628" s="151">
        <v>80</v>
      </c>
      <c r="P628" s="151">
        <v>0</v>
      </c>
      <c r="Q628" s="151">
        <v>0</v>
      </c>
      <c r="R628" s="151">
        <f>SUM(O628:Q628)</f>
        <v>80</v>
      </c>
      <c r="S628" s="142">
        <v>2</v>
      </c>
      <c r="T628" s="145"/>
    </row>
    <row r="629" spans="1:20" ht="22.5" hidden="1" customHeight="1" x14ac:dyDescent="0.25">
      <c r="A629" s="152" t="s">
        <v>3052</v>
      </c>
      <c r="B629" s="142">
        <v>2025</v>
      </c>
      <c r="C629" s="142" t="s">
        <v>20</v>
      </c>
      <c r="D629" s="142" t="s">
        <v>1939</v>
      </c>
      <c r="E629" s="143" t="s">
        <v>1940</v>
      </c>
      <c r="F629" s="144" t="s">
        <v>22</v>
      </c>
      <c r="G629" s="145" t="s">
        <v>34</v>
      </c>
      <c r="H629" s="146" t="s">
        <v>1941</v>
      </c>
      <c r="I629" s="147">
        <v>45922</v>
      </c>
      <c r="J629" s="147">
        <v>45926</v>
      </c>
      <c r="K629" s="142" t="s">
        <v>25</v>
      </c>
      <c r="L629" s="148">
        <v>18925</v>
      </c>
      <c r="M629" s="149">
        <v>4.9000000000000004</v>
      </c>
      <c r="N629" s="150">
        <v>20</v>
      </c>
      <c r="O629" s="151">
        <v>18</v>
      </c>
      <c r="P629" s="151">
        <v>5</v>
      </c>
      <c r="Q629" s="151">
        <v>0</v>
      </c>
      <c r="R629" s="151">
        <f>SUM(O629:Q629)</f>
        <v>23</v>
      </c>
      <c r="S629" s="142" t="s">
        <v>1942</v>
      </c>
      <c r="T629" s="145" t="s">
        <v>1943</v>
      </c>
    </row>
    <row r="630" spans="1:20" ht="22.5" hidden="1" customHeight="1" x14ac:dyDescent="0.25">
      <c r="A630" s="152" t="s">
        <v>3053</v>
      </c>
      <c r="B630" s="142">
        <v>2025</v>
      </c>
      <c r="C630" s="179" t="s">
        <v>20</v>
      </c>
      <c r="D630" s="142" t="s">
        <v>1944</v>
      </c>
      <c r="E630" s="143" t="s">
        <v>1945</v>
      </c>
      <c r="F630" s="144" t="s">
        <v>51</v>
      </c>
      <c r="G630" s="145" t="s">
        <v>59</v>
      </c>
      <c r="H630" s="146" t="s">
        <v>1946</v>
      </c>
      <c r="I630" s="147">
        <v>45924</v>
      </c>
      <c r="J630" s="147">
        <v>45931</v>
      </c>
      <c r="K630" s="142" t="s">
        <v>32</v>
      </c>
      <c r="L630" s="148">
        <v>0</v>
      </c>
      <c r="M630" s="149">
        <v>4.4000000000000004</v>
      </c>
      <c r="N630" s="150">
        <v>40</v>
      </c>
      <c r="O630" s="151">
        <v>0</v>
      </c>
      <c r="P630" s="151">
        <v>49</v>
      </c>
      <c r="Q630" s="151">
        <v>0</v>
      </c>
      <c r="R630" s="151">
        <f>SUM(O630:Q630)</f>
        <v>49</v>
      </c>
      <c r="S630" s="142">
        <v>16</v>
      </c>
      <c r="T630" s="145" t="s">
        <v>1947</v>
      </c>
    </row>
    <row r="631" spans="1:20" ht="22.5" hidden="1" customHeight="1" x14ac:dyDescent="0.25">
      <c r="A631" s="152" t="s">
        <v>3054</v>
      </c>
      <c r="B631" s="142">
        <v>2025</v>
      </c>
      <c r="C631" s="179" t="s">
        <v>20</v>
      </c>
      <c r="D631" s="142" t="s">
        <v>1948</v>
      </c>
      <c r="E631" s="143" t="s">
        <v>1949</v>
      </c>
      <c r="F631" s="144" t="s">
        <v>66</v>
      </c>
      <c r="G631" s="145" t="s">
        <v>59</v>
      </c>
      <c r="H631" s="146" t="s">
        <v>1950</v>
      </c>
      <c r="I631" s="147">
        <v>45925</v>
      </c>
      <c r="J631" s="147">
        <v>45926</v>
      </c>
      <c r="K631" s="142" t="s">
        <v>174</v>
      </c>
      <c r="L631" s="148"/>
      <c r="M631" s="149">
        <v>4.9000000000000004</v>
      </c>
      <c r="N631" s="150">
        <v>170</v>
      </c>
      <c r="O631" s="151">
        <v>43</v>
      </c>
      <c r="P631" s="151">
        <v>139</v>
      </c>
      <c r="Q631" s="151">
        <v>46</v>
      </c>
      <c r="R631" s="151">
        <f>SUM(O631:Q631)</f>
        <v>228</v>
      </c>
      <c r="S631" s="142">
        <v>14</v>
      </c>
      <c r="T631" s="145" t="s">
        <v>365</v>
      </c>
    </row>
    <row r="632" spans="1:20" ht="22.5" hidden="1" customHeight="1" x14ac:dyDescent="0.25">
      <c r="A632" s="152" t="s">
        <v>3055</v>
      </c>
      <c r="B632" s="142">
        <v>2025</v>
      </c>
      <c r="C632" s="179" t="s">
        <v>20</v>
      </c>
      <c r="D632" s="142" t="s">
        <v>1859</v>
      </c>
      <c r="E632" s="143" t="s">
        <v>1951</v>
      </c>
      <c r="F632" s="144" t="s">
        <v>22</v>
      </c>
      <c r="G632" s="159" t="s">
        <v>56</v>
      </c>
      <c r="H632" s="146" t="s">
        <v>1952</v>
      </c>
      <c r="I632" s="147">
        <v>45932</v>
      </c>
      <c r="J632" s="147">
        <v>45933</v>
      </c>
      <c r="K632" s="142" t="s">
        <v>32</v>
      </c>
      <c r="L632" s="148"/>
      <c r="M632" s="149">
        <v>4.8499999999999996</v>
      </c>
      <c r="N632" s="150">
        <v>20</v>
      </c>
      <c r="O632" s="151">
        <v>6</v>
      </c>
      <c r="P632" s="151">
        <v>22</v>
      </c>
      <c r="Q632" s="151">
        <v>0</v>
      </c>
      <c r="R632" s="151">
        <f>SUM(O632:Q632)</f>
        <v>28</v>
      </c>
      <c r="S632" s="142">
        <v>8</v>
      </c>
      <c r="T632" s="145" t="s">
        <v>1524</v>
      </c>
    </row>
    <row r="633" spans="1:20" ht="22.5" hidden="1" customHeight="1" x14ac:dyDescent="0.25">
      <c r="A633" s="152" t="s">
        <v>3056</v>
      </c>
      <c r="B633" s="142">
        <v>2025</v>
      </c>
      <c r="C633" s="142" t="s">
        <v>20</v>
      </c>
      <c r="D633" s="142" t="s">
        <v>1953</v>
      </c>
      <c r="E633" s="177" t="s">
        <v>1954</v>
      </c>
      <c r="F633" s="144" t="s">
        <v>22</v>
      </c>
      <c r="G633" s="145" t="s">
        <v>34</v>
      </c>
      <c r="H633" s="180" t="s">
        <v>1955</v>
      </c>
      <c r="I633" s="147">
        <v>45932</v>
      </c>
      <c r="J633" s="147">
        <v>45947</v>
      </c>
      <c r="K633" s="142" t="s">
        <v>32</v>
      </c>
      <c r="L633" s="148">
        <v>0</v>
      </c>
      <c r="M633" s="149"/>
      <c r="N633" s="150">
        <v>20</v>
      </c>
      <c r="O633" s="151">
        <v>16</v>
      </c>
      <c r="P633" s="151">
        <v>0</v>
      </c>
      <c r="Q633" s="151">
        <v>0</v>
      </c>
      <c r="R633" s="151">
        <f>SUM(O633:Q633)</f>
        <v>16</v>
      </c>
      <c r="S633" s="142">
        <v>48</v>
      </c>
      <c r="T633" s="159" t="s">
        <v>1956</v>
      </c>
    </row>
    <row r="634" spans="1:20" ht="22.5" hidden="1" customHeight="1" x14ac:dyDescent="0.25">
      <c r="A634" s="152" t="s">
        <v>3057</v>
      </c>
      <c r="B634" s="142">
        <v>2025</v>
      </c>
      <c r="C634" s="142" t="s">
        <v>20</v>
      </c>
      <c r="D634" s="142" t="s">
        <v>1957</v>
      </c>
      <c r="E634" s="143" t="s">
        <v>1958</v>
      </c>
      <c r="F634" s="144" t="s">
        <v>51</v>
      </c>
      <c r="G634" s="145" t="s">
        <v>59</v>
      </c>
      <c r="H634" s="146" t="s">
        <v>1959</v>
      </c>
      <c r="I634" s="147">
        <v>45932</v>
      </c>
      <c r="J634" s="147">
        <v>45936</v>
      </c>
      <c r="K634" s="142" t="s">
        <v>32</v>
      </c>
      <c r="L634" s="148"/>
      <c r="M634" s="149">
        <v>4.5999999999999996</v>
      </c>
      <c r="N634" s="150">
        <v>30</v>
      </c>
      <c r="O634" s="151">
        <v>0</v>
      </c>
      <c r="P634" s="151">
        <v>40</v>
      </c>
      <c r="Q634" s="151">
        <v>0</v>
      </c>
      <c r="R634" s="151">
        <f>SUM(O634:Q634)</f>
        <v>40</v>
      </c>
      <c r="S634" s="142">
        <v>12</v>
      </c>
      <c r="T634" s="145" t="s">
        <v>1848</v>
      </c>
    </row>
    <row r="635" spans="1:20" ht="22.5" hidden="1" customHeight="1" x14ac:dyDescent="0.25">
      <c r="A635" s="152" t="s">
        <v>3058</v>
      </c>
      <c r="B635" s="142">
        <v>2025</v>
      </c>
      <c r="C635" s="179" t="s">
        <v>20</v>
      </c>
      <c r="D635" s="142" t="s">
        <v>1960</v>
      </c>
      <c r="E635" s="143" t="s">
        <v>1961</v>
      </c>
      <c r="F635" s="184" t="s">
        <v>22</v>
      </c>
      <c r="G635" s="159" t="s">
        <v>157</v>
      </c>
      <c r="H635" s="146" t="s">
        <v>1962</v>
      </c>
      <c r="I635" s="147">
        <v>45933</v>
      </c>
      <c r="J635" s="147">
        <v>45933</v>
      </c>
      <c r="K635" s="142" t="s">
        <v>25</v>
      </c>
      <c r="L635" s="148">
        <v>0</v>
      </c>
      <c r="M635" s="149">
        <v>4.76</v>
      </c>
      <c r="N635" s="150">
        <v>80</v>
      </c>
      <c r="O635" s="151">
        <v>80</v>
      </c>
      <c r="P635" s="151">
        <v>0</v>
      </c>
      <c r="Q635" s="151">
        <v>0</v>
      </c>
      <c r="R635" s="151">
        <f>SUM(O635:Q635)</f>
        <v>80</v>
      </c>
      <c r="S635" s="142">
        <v>4</v>
      </c>
      <c r="T635" s="162"/>
    </row>
    <row r="636" spans="1:20" ht="22.5" hidden="1" customHeight="1" x14ac:dyDescent="0.25">
      <c r="A636" s="152" t="s">
        <v>3059</v>
      </c>
      <c r="B636" s="142">
        <v>2025</v>
      </c>
      <c r="C636" s="179" t="s">
        <v>20</v>
      </c>
      <c r="D636" s="142" t="s">
        <v>1747</v>
      </c>
      <c r="E636" s="143" t="s">
        <v>1963</v>
      </c>
      <c r="F636" s="144" t="s">
        <v>51</v>
      </c>
      <c r="G636" s="145" t="s">
        <v>30</v>
      </c>
      <c r="H636" s="146" t="s">
        <v>1964</v>
      </c>
      <c r="I636" s="147">
        <v>45936</v>
      </c>
      <c r="J636" s="147">
        <v>45936</v>
      </c>
      <c r="K636" s="142" t="s">
        <v>25</v>
      </c>
      <c r="L636" s="148">
        <v>0</v>
      </c>
      <c r="M636" s="149">
        <v>4.9000000000000004</v>
      </c>
      <c r="N636" s="150">
        <v>150</v>
      </c>
      <c r="O636" s="151">
        <v>20</v>
      </c>
      <c r="P636" s="151">
        <v>50</v>
      </c>
      <c r="Q636" s="151">
        <v>0</v>
      </c>
      <c r="R636" s="151">
        <f>SUM(O636:Q636)</f>
        <v>70</v>
      </c>
      <c r="S636" s="142">
        <v>1</v>
      </c>
      <c r="T636" s="145" t="s">
        <v>1750</v>
      </c>
    </row>
    <row r="637" spans="1:20" ht="22.5" hidden="1" customHeight="1" x14ac:dyDescent="0.25">
      <c r="A637" s="152" t="s">
        <v>3060</v>
      </c>
      <c r="B637" s="142">
        <v>2025</v>
      </c>
      <c r="C637" s="142" t="s">
        <v>20</v>
      </c>
      <c r="D637" s="142" t="s">
        <v>1965</v>
      </c>
      <c r="E637" s="177" t="s">
        <v>1966</v>
      </c>
      <c r="F637" s="144" t="s">
        <v>51</v>
      </c>
      <c r="G637" s="145" t="s">
        <v>59</v>
      </c>
      <c r="H637" s="164" t="s">
        <v>1967</v>
      </c>
      <c r="I637" s="147">
        <v>45938</v>
      </c>
      <c r="J637" s="147">
        <v>45940</v>
      </c>
      <c r="K637" s="142" t="s">
        <v>32</v>
      </c>
      <c r="L637" s="148"/>
      <c r="M637" s="149">
        <v>4.9000000000000004</v>
      </c>
      <c r="N637" s="150">
        <v>20</v>
      </c>
      <c r="O637" s="151">
        <v>0</v>
      </c>
      <c r="P637" s="151">
        <v>28</v>
      </c>
      <c r="Q637" s="151">
        <v>0</v>
      </c>
      <c r="R637" s="151">
        <f>SUM(O637:Q637)</f>
        <v>28</v>
      </c>
      <c r="S637" s="142">
        <v>12</v>
      </c>
      <c r="T637" s="145" t="s">
        <v>1968</v>
      </c>
    </row>
    <row r="638" spans="1:20" ht="22.5" hidden="1" customHeight="1" x14ac:dyDescent="0.25">
      <c r="A638" s="152" t="s">
        <v>3061</v>
      </c>
      <c r="B638" s="142">
        <v>2025</v>
      </c>
      <c r="C638" s="142" t="s">
        <v>20</v>
      </c>
      <c r="D638" s="142" t="s">
        <v>1969</v>
      </c>
      <c r="E638" s="143" t="s">
        <v>1970</v>
      </c>
      <c r="F638" s="144" t="s">
        <v>66</v>
      </c>
      <c r="G638" s="145" t="s">
        <v>59</v>
      </c>
      <c r="H638" s="146" t="s">
        <v>1971</v>
      </c>
      <c r="I638" s="147">
        <v>45944</v>
      </c>
      <c r="J638" s="147">
        <v>45946</v>
      </c>
      <c r="K638" s="142" t="s">
        <v>32</v>
      </c>
      <c r="L638" s="148"/>
      <c r="M638" s="149">
        <v>4.8099999999999996</v>
      </c>
      <c r="N638" s="150">
        <v>20</v>
      </c>
      <c r="O638" s="151">
        <v>0</v>
      </c>
      <c r="P638" s="151">
        <v>0</v>
      </c>
      <c r="Q638" s="151">
        <v>30</v>
      </c>
      <c r="R638" s="151">
        <f>SUM(O638:Q638)</f>
        <v>30</v>
      </c>
      <c r="S638" s="142">
        <v>12</v>
      </c>
      <c r="T638" s="145" t="s">
        <v>1972</v>
      </c>
    </row>
    <row r="639" spans="1:20" ht="22.5" hidden="1" customHeight="1" x14ac:dyDescent="0.25">
      <c r="A639" s="152" t="s">
        <v>3062</v>
      </c>
      <c r="B639" s="142">
        <v>2025</v>
      </c>
      <c r="C639" s="142" t="s">
        <v>20</v>
      </c>
      <c r="D639" s="142" t="s">
        <v>1973</v>
      </c>
      <c r="E639" s="143" t="s">
        <v>1974</v>
      </c>
      <c r="F639" s="144" t="s">
        <v>22</v>
      </c>
      <c r="G639" s="145" t="s">
        <v>30</v>
      </c>
      <c r="H639" s="146" t="s">
        <v>1975</v>
      </c>
      <c r="I639" s="147">
        <v>45950</v>
      </c>
      <c r="J639" s="147">
        <v>45954</v>
      </c>
      <c r="K639" s="142" t="s">
        <v>25</v>
      </c>
      <c r="L639" s="148">
        <v>18925</v>
      </c>
      <c r="M639" s="149">
        <v>4.9800000000000004</v>
      </c>
      <c r="N639" s="150">
        <v>20</v>
      </c>
      <c r="O639" s="151">
        <v>18</v>
      </c>
      <c r="P639" s="151">
        <v>3</v>
      </c>
      <c r="Q639" s="151">
        <v>0</v>
      </c>
      <c r="R639" s="151">
        <f>SUM(O639:Q639)</f>
        <v>21</v>
      </c>
      <c r="S639" s="142" t="s">
        <v>1942</v>
      </c>
      <c r="T639" s="145" t="s">
        <v>1943</v>
      </c>
    </row>
    <row r="640" spans="1:20" ht="22.5" hidden="1" customHeight="1" x14ac:dyDescent="0.25">
      <c r="A640" s="152" t="s">
        <v>3063</v>
      </c>
      <c r="B640" s="142">
        <v>2025</v>
      </c>
      <c r="C640" s="142" t="s">
        <v>20</v>
      </c>
      <c r="D640" s="142" t="s">
        <v>1976</v>
      </c>
      <c r="E640" s="143" t="s">
        <v>1977</v>
      </c>
      <c r="F640" s="144" t="s">
        <v>66</v>
      </c>
      <c r="G640" s="159" t="s">
        <v>59</v>
      </c>
      <c r="H640" s="146" t="s">
        <v>1978</v>
      </c>
      <c r="I640" s="147">
        <v>45950</v>
      </c>
      <c r="J640" s="147">
        <v>45951</v>
      </c>
      <c r="K640" s="142" t="s">
        <v>174</v>
      </c>
      <c r="L640" s="148">
        <v>0</v>
      </c>
      <c r="M640" s="149">
        <v>4.9000000000000004</v>
      </c>
      <c r="N640" s="150">
        <v>170</v>
      </c>
      <c r="O640" s="151">
        <v>35</v>
      </c>
      <c r="P640" s="151">
        <v>104</v>
      </c>
      <c r="Q640" s="151">
        <v>40</v>
      </c>
      <c r="R640" s="151">
        <f>SUM(O640:Q640)</f>
        <v>179</v>
      </c>
      <c r="S640" s="142">
        <v>14</v>
      </c>
      <c r="T640" s="145" t="s">
        <v>365</v>
      </c>
    </row>
    <row r="641" spans="1:20" ht="22.5" hidden="1" customHeight="1" x14ac:dyDescent="0.25">
      <c r="A641" s="152" t="s">
        <v>3064</v>
      </c>
      <c r="B641" s="142">
        <v>2025</v>
      </c>
      <c r="C641" s="179" t="s">
        <v>20</v>
      </c>
      <c r="D641" s="142" t="s">
        <v>1979</v>
      </c>
      <c r="E641" s="143" t="s">
        <v>1980</v>
      </c>
      <c r="F641" s="184" t="s">
        <v>22</v>
      </c>
      <c r="G641" s="159" t="s">
        <v>157</v>
      </c>
      <c r="H641" s="146" t="s">
        <v>1981</v>
      </c>
      <c r="I641" s="147">
        <v>45953</v>
      </c>
      <c r="J641" s="147">
        <v>45953</v>
      </c>
      <c r="K641" s="142" t="s">
        <v>32</v>
      </c>
      <c r="L641" s="148"/>
      <c r="M641" s="149"/>
      <c r="N641" s="150"/>
      <c r="O641" s="151">
        <v>0</v>
      </c>
      <c r="P641" s="151">
        <v>0</v>
      </c>
      <c r="Q641" s="151">
        <v>0</v>
      </c>
      <c r="R641" s="151">
        <f>SUM(O641:Q641)</f>
        <v>0</v>
      </c>
      <c r="S641" s="142">
        <v>2</v>
      </c>
      <c r="T641" s="145"/>
    </row>
    <row r="642" spans="1:20" ht="22.5" hidden="1" customHeight="1" x14ac:dyDescent="0.25">
      <c r="A642" s="152" t="s">
        <v>3065</v>
      </c>
      <c r="B642" s="142">
        <v>2025</v>
      </c>
      <c r="C642" s="142" t="s">
        <v>20</v>
      </c>
      <c r="D642" s="142" t="s">
        <v>1982</v>
      </c>
      <c r="E642" s="143" t="s">
        <v>1837</v>
      </c>
      <c r="F642" s="144" t="s">
        <v>66</v>
      </c>
      <c r="G642" s="163" t="s">
        <v>59</v>
      </c>
      <c r="H642" s="180" t="s">
        <v>1983</v>
      </c>
      <c r="I642" s="147">
        <v>45954</v>
      </c>
      <c r="J642" s="147">
        <v>45989</v>
      </c>
      <c r="K642" s="142" t="s">
        <v>32</v>
      </c>
      <c r="L642" s="148"/>
      <c r="M642" s="149">
        <v>4.92</v>
      </c>
      <c r="N642" s="150">
        <v>25</v>
      </c>
      <c r="O642" s="151">
        <v>0</v>
      </c>
      <c r="P642" s="151">
        <v>0</v>
      </c>
      <c r="Q642" s="151">
        <v>25</v>
      </c>
      <c r="R642" s="151">
        <f>SUM(Tabela2[[#This Row],[P. Servidores]:[P. Sociedade]])</f>
        <v>25</v>
      </c>
      <c r="S642" s="142">
        <v>6</v>
      </c>
      <c r="T642" s="145" t="s">
        <v>1984</v>
      </c>
    </row>
    <row r="643" spans="1:20" ht="22.5" hidden="1" customHeight="1" x14ac:dyDescent="0.25">
      <c r="A643" s="152" t="s">
        <v>3066</v>
      </c>
      <c r="B643" s="142">
        <v>2025</v>
      </c>
      <c r="C643" s="142" t="s">
        <v>20</v>
      </c>
      <c r="D643" s="142" t="s">
        <v>1985</v>
      </c>
      <c r="E643" s="143" t="s">
        <v>1715</v>
      </c>
      <c r="F643" s="144" t="s">
        <v>66</v>
      </c>
      <c r="G643" s="145" t="s">
        <v>59</v>
      </c>
      <c r="H643" s="146" t="s">
        <v>1986</v>
      </c>
      <c r="I643" s="147">
        <v>45964</v>
      </c>
      <c r="J643" s="147">
        <v>45968</v>
      </c>
      <c r="K643" s="142" t="s">
        <v>32</v>
      </c>
      <c r="L643" s="148"/>
      <c r="M643" s="149">
        <v>4.93</v>
      </c>
      <c r="N643" s="150">
        <v>30</v>
      </c>
      <c r="O643" s="151">
        <v>0</v>
      </c>
      <c r="P643" s="151">
        <v>0</v>
      </c>
      <c r="Q643" s="151">
        <v>33</v>
      </c>
      <c r="R643" s="151">
        <f>SUM(O643:Q643)</f>
        <v>33</v>
      </c>
      <c r="S643" s="142">
        <v>20</v>
      </c>
      <c r="T643" s="145" t="s">
        <v>1633</v>
      </c>
    </row>
    <row r="644" spans="1:20" ht="22.5" hidden="1" customHeight="1" x14ac:dyDescent="0.25">
      <c r="A644" s="152" t="s">
        <v>3067</v>
      </c>
      <c r="B644" s="142">
        <v>2025</v>
      </c>
      <c r="C644" s="179" t="s">
        <v>20</v>
      </c>
      <c r="D644" s="142" t="s">
        <v>1782</v>
      </c>
      <c r="E644" s="143" t="s">
        <v>1987</v>
      </c>
      <c r="F644" s="144" t="s">
        <v>66</v>
      </c>
      <c r="G644" s="145" t="s">
        <v>59</v>
      </c>
      <c r="H644" s="146" t="s">
        <v>1988</v>
      </c>
      <c r="I644" s="147">
        <v>45967</v>
      </c>
      <c r="J644" s="147">
        <v>45967</v>
      </c>
      <c r="K644" s="142" t="s">
        <v>32</v>
      </c>
      <c r="L644" s="148"/>
      <c r="M644" s="149"/>
      <c r="N644" s="150">
        <v>39</v>
      </c>
      <c r="O644" s="151">
        <v>0</v>
      </c>
      <c r="P644" s="151">
        <v>0</v>
      </c>
      <c r="Q644" s="151">
        <v>39</v>
      </c>
      <c r="R644" s="151">
        <f>SUM(O644:Q644)</f>
        <v>39</v>
      </c>
      <c r="S644" s="142">
        <v>4</v>
      </c>
      <c r="T644" s="181" t="s">
        <v>1785</v>
      </c>
    </row>
    <row r="645" spans="1:20" ht="22.5" hidden="1" customHeight="1" x14ac:dyDescent="0.25">
      <c r="A645" s="152" t="s">
        <v>3068</v>
      </c>
      <c r="B645" s="142">
        <v>2025</v>
      </c>
      <c r="C645" s="142" t="s">
        <v>20</v>
      </c>
      <c r="D645" s="142" t="s">
        <v>1989</v>
      </c>
      <c r="E645" s="143" t="s">
        <v>1928</v>
      </c>
      <c r="F645" s="144" t="s">
        <v>66</v>
      </c>
      <c r="G645" s="145" t="s">
        <v>59</v>
      </c>
      <c r="H645" s="146" t="s">
        <v>1988</v>
      </c>
      <c r="I645" s="147">
        <v>45967</v>
      </c>
      <c r="J645" s="147">
        <v>45967</v>
      </c>
      <c r="K645" s="142" t="s">
        <v>32</v>
      </c>
      <c r="L645" s="148">
        <f>2350.32+1971.21+1743.77+1169.53+730.8</f>
        <v>7965.630000000001</v>
      </c>
      <c r="M645" s="149"/>
      <c r="N645" s="150">
        <v>39</v>
      </c>
      <c r="O645" s="151">
        <v>0</v>
      </c>
      <c r="P645" s="151">
        <v>0</v>
      </c>
      <c r="Q645" s="151">
        <v>39</v>
      </c>
      <c r="R645" s="151">
        <f>SUM(O645:Q645)</f>
        <v>39</v>
      </c>
      <c r="S645" s="142">
        <v>4</v>
      </c>
      <c r="T645" s="181" t="s">
        <v>1990</v>
      </c>
    </row>
    <row r="646" spans="1:20" ht="22.5" hidden="1" customHeight="1" x14ac:dyDescent="0.25">
      <c r="A646" s="152" t="s">
        <v>3069</v>
      </c>
      <c r="B646" s="142">
        <v>2025</v>
      </c>
      <c r="C646" s="179" t="s">
        <v>20</v>
      </c>
      <c r="D646" s="142" t="s">
        <v>1991</v>
      </c>
      <c r="E646" s="143" t="s">
        <v>1992</v>
      </c>
      <c r="F646" s="184" t="s">
        <v>22</v>
      </c>
      <c r="G646" s="159" t="s">
        <v>157</v>
      </c>
      <c r="H646" s="146" t="s">
        <v>1993</v>
      </c>
      <c r="I646" s="147">
        <v>45968</v>
      </c>
      <c r="J646" s="147">
        <v>45968</v>
      </c>
      <c r="K646" s="142" t="s">
        <v>32</v>
      </c>
      <c r="L646" s="148"/>
      <c r="M646" s="149">
        <v>5</v>
      </c>
      <c r="N646" s="150">
        <v>170</v>
      </c>
      <c r="O646" s="151">
        <v>170</v>
      </c>
      <c r="P646" s="151">
        <v>0</v>
      </c>
      <c r="Q646" s="151">
        <v>0</v>
      </c>
      <c r="R646" s="151">
        <f>SUM(O646:Q646)</f>
        <v>170</v>
      </c>
      <c r="S646" s="142">
        <v>2</v>
      </c>
      <c r="T646" s="159" t="s">
        <v>1972</v>
      </c>
    </row>
    <row r="647" spans="1:20" ht="22.5" hidden="1" customHeight="1" x14ac:dyDescent="0.25">
      <c r="A647" s="152" t="s">
        <v>3070</v>
      </c>
      <c r="B647" s="142">
        <v>2025</v>
      </c>
      <c r="C647" s="179" t="s">
        <v>20</v>
      </c>
      <c r="D647" s="142" t="s">
        <v>1878</v>
      </c>
      <c r="E647" s="143" t="s">
        <v>1994</v>
      </c>
      <c r="F647" s="144" t="s">
        <v>22</v>
      </c>
      <c r="G647" s="159" t="s">
        <v>157</v>
      </c>
      <c r="H647" s="146" t="s">
        <v>1995</v>
      </c>
      <c r="I647" s="147">
        <v>45971</v>
      </c>
      <c r="J647" s="147">
        <v>45975</v>
      </c>
      <c r="K647" s="142" t="s">
        <v>25</v>
      </c>
      <c r="L647" s="148">
        <v>16000</v>
      </c>
      <c r="M647" s="149">
        <v>5</v>
      </c>
      <c r="N647" s="150">
        <v>20</v>
      </c>
      <c r="O647" s="151">
        <v>13</v>
      </c>
      <c r="P647" s="151">
        <v>0</v>
      </c>
      <c r="Q647" s="151">
        <v>0</v>
      </c>
      <c r="R647" s="151">
        <f>SUM(O647:Q647)</f>
        <v>13</v>
      </c>
      <c r="S647" s="142">
        <v>20</v>
      </c>
      <c r="T647" s="145" t="s">
        <v>611</v>
      </c>
    </row>
    <row r="648" spans="1:20" ht="22.5" hidden="1" customHeight="1" x14ac:dyDescent="0.25">
      <c r="A648" s="152" t="s">
        <v>3071</v>
      </c>
      <c r="B648" s="142">
        <v>2025</v>
      </c>
      <c r="C648" s="142" t="s">
        <v>20</v>
      </c>
      <c r="D648" s="166" t="s">
        <v>1996</v>
      </c>
      <c r="E648" s="143" t="s">
        <v>1684</v>
      </c>
      <c r="F648" s="144" t="s">
        <v>51</v>
      </c>
      <c r="G648" s="145" t="s">
        <v>59</v>
      </c>
      <c r="H648" s="185" t="s">
        <v>1997</v>
      </c>
      <c r="I648" s="147">
        <v>45972</v>
      </c>
      <c r="J648" s="147">
        <v>45980</v>
      </c>
      <c r="K648" s="142" t="s">
        <v>32</v>
      </c>
      <c r="L648" s="148"/>
      <c r="M648" s="149">
        <v>4.76</v>
      </c>
      <c r="N648" s="150">
        <v>25</v>
      </c>
      <c r="O648" s="151">
        <v>0</v>
      </c>
      <c r="P648" s="151">
        <v>34</v>
      </c>
      <c r="Q648" s="151">
        <v>0</v>
      </c>
      <c r="R648" s="151">
        <f>SUM(O648:Q648)</f>
        <v>34</v>
      </c>
      <c r="S648" s="142">
        <v>20</v>
      </c>
      <c r="T648" s="145" t="s">
        <v>1528</v>
      </c>
    </row>
    <row r="649" spans="1:20" ht="22.5" hidden="1" customHeight="1" x14ac:dyDescent="0.25">
      <c r="A649" s="152" t="s">
        <v>3072</v>
      </c>
      <c r="B649" s="142">
        <v>2025</v>
      </c>
      <c r="C649" s="142" t="s">
        <v>20</v>
      </c>
      <c r="D649" s="142" t="s">
        <v>1998</v>
      </c>
      <c r="E649" s="143" t="s">
        <v>1999</v>
      </c>
      <c r="F649" s="144" t="s">
        <v>51</v>
      </c>
      <c r="G649" s="145" t="s">
        <v>59</v>
      </c>
      <c r="H649" s="164" t="s">
        <v>2000</v>
      </c>
      <c r="I649" s="147">
        <v>45978</v>
      </c>
      <c r="J649" s="147">
        <v>45980</v>
      </c>
      <c r="K649" s="142" t="s">
        <v>32</v>
      </c>
      <c r="L649" s="148"/>
      <c r="M649" s="149">
        <v>4.8600000000000003</v>
      </c>
      <c r="N649" s="150">
        <v>30</v>
      </c>
      <c r="O649" s="151">
        <v>0</v>
      </c>
      <c r="P649" s="151">
        <v>45</v>
      </c>
      <c r="Q649" s="151">
        <v>0</v>
      </c>
      <c r="R649" s="151">
        <f>SUM(O649:Q649)</f>
        <v>45</v>
      </c>
      <c r="S649" s="142">
        <v>12</v>
      </c>
      <c r="T649" s="145" t="s">
        <v>1856</v>
      </c>
    </row>
    <row r="650" spans="1:20" ht="22.5" hidden="1" customHeight="1" x14ac:dyDescent="0.25">
      <c r="A650" s="152" t="s">
        <v>3073</v>
      </c>
      <c r="B650" s="142">
        <v>2025</v>
      </c>
      <c r="C650" s="179" t="s">
        <v>20</v>
      </c>
      <c r="D650" s="142" t="s">
        <v>2001</v>
      </c>
      <c r="E650" s="143" t="s">
        <v>2002</v>
      </c>
      <c r="F650" s="144" t="s">
        <v>22</v>
      </c>
      <c r="G650" s="159" t="s">
        <v>157</v>
      </c>
      <c r="H650" s="146" t="s">
        <v>2003</v>
      </c>
      <c r="I650" s="147">
        <v>45978</v>
      </c>
      <c r="J650" s="147">
        <v>45979</v>
      </c>
      <c r="K650" s="142" t="s">
        <v>32</v>
      </c>
      <c r="L650" s="148"/>
      <c r="M650" s="149">
        <v>4.82</v>
      </c>
      <c r="N650" s="150"/>
      <c r="O650" s="151">
        <v>72</v>
      </c>
      <c r="P650" s="151">
        <v>0</v>
      </c>
      <c r="Q650" s="151">
        <v>0</v>
      </c>
      <c r="R650" s="151">
        <f>SUM(O650:Q650)</f>
        <v>72</v>
      </c>
      <c r="S650" s="142">
        <v>8</v>
      </c>
      <c r="T650" s="159" t="s">
        <v>2004</v>
      </c>
    </row>
    <row r="651" spans="1:20" ht="22.5" hidden="1" customHeight="1" x14ac:dyDescent="0.25">
      <c r="A651" s="152" t="s">
        <v>3074</v>
      </c>
      <c r="B651" s="142">
        <v>2025</v>
      </c>
      <c r="C651" s="179" t="s">
        <v>20</v>
      </c>
      <c r="D651" s="142" t="s">
        <v>2005</v>
      </c>
      <c r="E651" s="177" t="s">
        <v>2006</v>
      </c>
      <c r="F651" s="144" t="s">
        <v>22</v>
      </c>
      <c r="G651" s="145" t="s">
        <v>34</v>
      </c>
      <c r="H651" s="146" t="s">
        <v>2007</v>
      </c>
      <c r="I651" s="147">
        <v>45985</v>
      </c>
      <c r="J651" s="147">
        <v>45987</v>
      </c>
      <c r="K651" s="142" t="s">
        <v>32</v>
      </c>
      <c r="L651" s="148"/>
      <c r="M651" s="149">
        <v>4.8</v>
      </c>
      <c r="N651" s="150">
        <v>20</v>
      </c>
      <c r="O651" s="151">
        <v>16</v>
      </c>
      <c r="P651" s="151">
        <v>0</v>
      </c>
      <c r="Q651" s="151">
        <v>0</v>
      </c>
      <c r="R651" s="151">
        <f>SUM(Tabela2[[#This Row],[P. Servidores]:[P. Sociedade]])</f>
        <v>16</v>
      </c>
      <c r="S651" s="142">
        <v>12</v>
      </c>
      <c r="T651" s="145" t="s">
        <v>2008</v>
      </c>
    </row>
    <row r="652" spans="1:20" ht="22.5" hidden="1" customHeight="1" x14ac:dyDescent="0.25">
      <c r="A652" s="152" t="s">
        <v>3075</v>
      </c>
      <c r="B652" s="142">
        <v>2025</v>
      </c>
      <c r="C652" s="179" t="s">
        <v>20</v>
      </c>
      <c r="D652" s="142" t="s">
        <v>2009</v>
      </c>
      <c r="E652" s="143" t="s">
        <v>2010</v>
      </c>
      <c r="F652" s="144" t="s">
        <v>22</v>
      </c>
      <c r="G652" s="145" t="s">
        <v>23</v>
      </c>
      <c r="H652" s="180" t="s">
        <v>2011</v>
      </c>
      <c r="I652" s="147">
        <v>45985</v>
      </c>
      <c r="J652" s="147">
        <v>45989</v>
      </c>
      <c r="K652" s="142" t="s">
        <v>25</v>
      </c>
      <c r="L652" s="148">
        <v>6600</v>
      </c>
      <c r="M652" s="149">
        <v>4.8899999999999997</v>
      </c>
      <c r="N652" s="150">
        <v>30</v>
      </c>
      <c r="O652" s="151">
        <v>20</v>
      </c>
      <c r="P652" s="151">
        <v>0</v>
      </c>
      <c r="Q652" s="151">
        <v>0</v>
      </c>
      <c r="R652" s="151">
        <f>SUM(O652:Q652)</f>
        <v>20</v>
      </c>
      <c r="S652" s="142">
        <v>12</v>
      </c>
      <c r="T652" s="163" t="s">
        <v>2012</v>
      </c>
    </row>
    <row r="653" spans="1:20" ht="23.25" hidden="1" customHeight="1" x14ac:dyDescent="0.25">
      <c r="A653" s="152" t="s">
        <v>3076</v>
      </c>
      <c r="B653" s="142">
        <v>2025</v>
      </c>
      <c r="C653" s="142" t="s">
        <v>20</v>
      </c>
      <c r="D653" s="142" t="s">
        <v>2013</v>
      </c>
      <c r="E653" s="177" t="s">
        <v>2014</v>
      </c>
      <c r="F653" s="144" t="s">
        <v>66</v>
      </c>
      <c r="G653" s="145" t="s">
        <v>59</v>
      </c>
      <c r="H653" s="180" t="s">
        <v>2011</v>
      </c>
      <c r="I653" s="147">
        <v>45985</v>
      </c>
      <c r="J653" s="147">
        <v>45989</v>
      </c>
      <c r="K653" s="142" t="s">
        <v>32</v>
      </c>
      <c r="L653" s="148"/>
      <c r="M653" s="149">
        <v>4.5199999999999996</v>
      </c>
      <c r="N653" s="150">
        <v>50</v>
      </c>
      <c r="O653" s="151">
        <v>1</v>
      </c>
      <c r="P653" s="151">
        <v>38</v>
      </c>
      <c r="Q653" s="151">
        <v>15</v>
      </c>
      <c r="R653" s="151">
        <f>SUM(O653:Q653)</f>
        <v>54</v>
      </c>
      <c r="S653" s="142">
        <v>12</v>
      </c>
      <c r="T653" s="145" t="s">
        <v>924</v>
      </c>
    </row>
    <row r="654" spans="1:20" ht="22.5" hidden="1" customHeight="1" x14ac:dyDescent="0.25">
      <c r="A654" s="152" t="s">
        <v>3077</v>
      </c>
      <c r="B654" s="142">
        <v>2025</v>
      </c>
      <c r="C654" s="142" t="s">
        <v>20</v>
      </c>
      <c r="D654" s="142" t="s">
        <v>2015</v>
      </c>
      <c r="E654" s="143" t="s">
        <v>2016</v>
      </c>
      <c r="F654" s="144" t="s">
        <v>22</v>
      </c>
      <c r="G654" s="145" t="s">
        <v>34</v>
      </c>
      <c r="H654" s="180" t="s">
        <v>2017</v>
      </c>
      <c r="I654" s="147">
        <v>45994</v>
      </c>
      <c r="J654" s="147">
        <v>46001</v>
      </c>
      <c r="K654" s="142" t="s">
        <v>32</v>
      </c>
      <c r="L654" s="148"/>
      <c r="M654" s="149">
        <v>4.93</v>
      </c>
      <c r="N654" s="150">
        <v>15</v>
      </c>
      <c r="O654" s="151">
        <v>15</v>
      </c>
      <c r="P654" s="151">
        <v>0</v>
      </c>
      <c r="Q654" s="151">
        <v>0</v>
      </c>
      <c r="R654" s="151">
        <f>SUM(Tabela2[[#This Row],[P. Servidores]:[P. Sociedade]])</f>
        <v>15</v>
      </c>
      <c r="S654" s="142">
        <v>12</v>
      </c>
      <c r="T654" s="145" t="s">
        <v>1359</v>
      </c>
    </row>
    <row r="655" spans="1:20" ht="22.5" hidden="1" customHeight="1" x14ac:dyDescent="0.25">
      <c r="A655" s="152" t="s">
        <v>3078</v>
      </c>
      <c r="B655" s="142">
        <v>2025</v>
      </c>
      <c r="C655" s="142" t="s">
        <v>20</v>
      </c>
      <c r="D655" s="142" t="s">
        <v>2018</v>
      </c>
      <c r="E655" s="143" t="s">
        <v>2019</v>
      </c>
      <c r="F655" s="144" t="s">
        <v>22</v>
      </c>
      <c r="G655" s="145" t="s">
        <v>157</v>
      </c>
      <c r="H655" s="146" t="s">
        <v>2020</v>
      </c>
      <c r="I655" s="147">
        <v>46006</v>
      </c>
      <c r="J655" s="147">
        <v>46006</v>
      </c>
      <c r="K655" s="142" t="s">
        <v>25</v>
      </c>
      <c r="L655" s="148">
        <v>9900</v>
      </c>
      <c r="M655" s="149"/>
      <c r="N655" s="150"/>
      <c r="O655" s="151">
        <v>0</v>
      </c>
      <c r="P655" s="151">
        <v>0</v>
      </c>
      <c r="Q655" s="151">
        <v>0</v>
      </c>
      <c r="R655" s="151">
        <f>SUM(O655:Q655)</f>
        <v>0</v>
      </c>
      <c r="S655" s="142"/>
      <c r="T655" s="145"/>
    </row>
    <row r="656" spans="1:20" ht="22.5" hidden="1" customHeight="1" x14ac:dyDescent="0.25">
      <c r="A656" s="152" t="s">
        <v>3079</v>
      </c>
      <c r="B656" s="142">
        <v>2025</v>
      </c>
      <c r="C656" s="142" t="s">
        <v>20</v>
      </c>
      <c r="D656" s="142" t="s">
        <v>2021</v>
      </c>
      <c r="E656" s="143" t="s">
        <v>2022</v>
      </c>
      <c r="F656" s="144" t="s">
        <v>66</v>
      </c>
      <c r="G656" s="145" t="s">
        <v>59</v>
      </c>
      <c r="H656" s="156" t="s">
        <v>2023</v>
      </c>
      <c r="I656" s="147">
        <v>46011</v>
      </c>
      <c r="J656" s="147">
        <v>46011</v>
      </c>
      <c r="K656" s="142" t="s">
        <v>32</v>
      </c>
      <c r="L656" s="148">
        <v>0</v>
      </c>
      <c r="M656" s="149">
        <v>5</v>
      </c>
      <c r="N656" s="150">
        <v>25</v>
      </c>
      <c r="O656" s="151">
        <v>0</v>
      </c>
      <c r="P656" s="151">
        <v>0</v>
      </c>
      <c r="Q656" s="151">
        <v>25</v>
      </c>
      <c r="R656" s="151">
        <f>SUM(Tabela2[[#This Row],[P. Servidores]:[P. Sociedade]])</f>
        <v>25</v>
      </c>
      <c r="S656" s="142">
        <v>1</v>
      </c>
      <c r="T656" s="145" t="s">
        <v>784</v>
      </c>
    </row>
    <row r="657" spans="1:20" ht="22.5" customHeight="1" x14ac:dyDescent="0.25">
      <c r="A657" s="152" t="s">
        <v>3080</v>
      </c>
      <c r="B657" s="142">
        <v>2026</v>
      </c>
      <c r="C657" s="142" t="s">
        <v>20</v>
      </c>
      <c r="D657" s="142" t="s">
        <v>2024</v>
      </c>
      <c r="E657" s="143" t="s">
        <v>1613</v>
      </c>
      <c r="F657" s="144" t="s">
        <v>51</v>
      </c>
      <c r="G657" s="145" t="s">
        <v>59</v>
      </c>
      <c r="H657" s="146" t="s">
        <v>2025</v>
      </c>
      <c r="I657" s="147">
        <v>46042</v>
      </c>
      <c r="J657" s="147">
        <v>46044</v>
      </c>
      <c r="K657" s="142" t="s">
        <v>32</v>
      </c>
      <c r="L657" s="186">
        <v>4533.88</v>
      </c>
      <c r="M657" s="149">
        <v>4.82</v>
      </c>
      <c r="N657" s="150">
        <v>50</v>
      </c>
      <c r="O657" s="151">
        <v>0</v>
      </c>
      <c r="P657" s="151">
        <v>55</v>
      </c>
      <c r="Q657" s="151">
        <v>0</v>
      </c>
      <c r="R657" s="151">
        <f>SUM(Tabela2[[#This Row],[P. Servidores]:[P. Sociedade]])</f>
        <v>55</v>
      </c>
      <c r="S657" s="142">
        <v>8</v>
      </c>
      <c r="T657" s="145" t="s">
        <v>1125</v>
      </c>
    </row>
    <row r="658" spans="1:20" ht="22.5" customHeight="1" x14ac:dyDescent="0.25">
      <c r="A658" s="152" t="s">
        <v>2318</v>
      </c>
      <c r="B658" s="142">
        <v>2026</v>
      </c>
      <c r="C658" s="142" t="s">
        <v>20</v>
      </c>
      <c r="D658" s="142" t="s">
        <v>2026</v>
      </c>
      <c r="E658" s="143" t="s">
        <v>2027</v>
      </c>
      <c r="F658" s="144" t="s">
        <v>22</v>
      </c>
      <c r="G658" s="145" t="s">
        <v>157</v>
      </c>
      <c r="H658" s="146" t="s">
        <v>2028</v>
      </c>
      <c r="I658" s="147">
        <v>46045</v>
      </c>
      <c r="J658" s="147">
        <v>46045</v>
      </c>
      <c r="K658" s="142" t="s">
        <v>32</v>
      </c>
      <c r="L658" s="186">
        <v>5427.88</v>
      </c>
      <c r="M658" s="149"/>
      <c r="N658" s="150">
        <v>80</v>
      </c>
      <c r="O658" s="151">
        <v>0</v>
      </c>
      <c r="P658" s="151">
        <v>0</v>
      </c>
      <c r="Q658" s="151">
        <v>25</v>
      </c>
      <c r="R658" s="151">
        <f>SUM(Tabela2[[#This Row],[P. Servidores]:[P. Sociedade]])</f>
        <v>25</v>
      </c>
      <c r="S658" s="142">
        <v>4</v>
      </c>
      <c r="T658" s="181" t="s">
        <v>2029</v>
      </c>
    </row>
    <row r="659" spans="1:20" ht="22.5" customHeight="1" x14ac:dyDescent="0.25">
      <c r="A659" s="152" t="s">
        <v>3081</v>
      </c>
      <c r="B659" s="142">
        <v>2026</v>
      </c>
      <c r="C659" s="142" t="s">
        <v>20</v>
      </c>
      <c r="D659" s="142" t="s">
        <v>2030</v>
      </c>
      <c r="E659" s="143" t="s">
        <v>2031</v>
      </c>
      <c r="F659" s="144" t="s">
        <v>22</v>
      </c>
      <c r="G659" s="145" t="s">
        <v>34</v>
      </c>
      <c r="H659" s="180" t="s">
        <v>2032</v>
      </c>
      <c r="I659" s="147">
        <v>46048</v>
      </c>
      <c r="J659" s="147">
        <v>46063</v>
      </c>
      <c r="K659" s="142" t="s">
        <v>25</v>
      </c>
      <c r="L659" s="186">
        <v>31500</v>
      </c>
      <c r="M659" s="149">
        <v>4.82</v>
      </c>
      <c r="N659" s="150">
        <v>30</v>
      </c>
      <c r="O659" s="151">
        <v>23</v>
      </c>
      <c r="P659" s="151">
        <v>0</v>
      </c>
      <c r="Q659" s="151">
        <v>0</v>
      </c>
      <c r="R659" s="151">
        <f>SUM(Tabela2[[#This Row],[P. Servidores]:[P. Sociedade]])</f>
        <v>23</v>
      </c>
      <c r="S659" s="142">
        <v>42</v>
      </c>
      <c r="T659" s="145" t="s">
        <v>2033</v>
      </c>
    </row>
    <row r="660" spans="1:20" ht="22.5" customHeight="1" x14ac:dyDescent="0.25">
      <c r="A660" s="152" t="s">
        <v>3082</v>
      </c>
      <c r="B660" s="142">
        <v>2026</v>
      </c>
      <c r="C660" s="142" t="s">
        <v>20</v>
      </c>
      <c r="D660" s="142" t="s">
        <v>2034</v>
      </c>
      <c r="E660" s="143" t="s">
        <v>2035</v>
      </c>
      <c r="F660" s="144" t="s">
        <v>51</v>
      </c>
      <c r="G660" s="145" t="s">
        <v>2036</v>
      </c>
      <c r="H660" s="146" t="s">
        <v>2037</v>
      </c>
      <c r="I660" s="147">
        <v>46078</v>
      </c>
      <c r="J660" s="147">
        <v>46080</v>
      </c>
      <c r="K660" s="142" t="s">
        <v>32</v>
      </c>
      <c r="L660" s="186">
        <v>9211.69</v>
      </c>
      <c r="M660" s="149">
        <v>4.7699999999999996</v>
      </c>
      <c r="N660" s="150">
        <v>20</v>
      </c>
      <c r="O660" s="151">
        <v>0</v>
      </c>
      <c r="P660" s="151">
        <v>44</v>
      </c>
      <c r="Q660" s="151">
        <v>0</v>
      </c>
      <c r="R660" s="151">
        <f>SUM(Tabela2[[#This Row],[P. Servidores]:[P. Sociedade]])</f>
        <v>44</v>
      </c>
      <c r="S660" s="142">
        <v>12</v>
      </c>
      <c r="T660" s="145" t="s">
        <v>2038</v>
      </c>
    </row>
    <row r="661" spans="1:20" ht="22.5" customHeight="1" x14ac:dyDescent="0.25">
      <c r="A661" s="152" t="s">
        <v>2317</v>
      </c>
      <c r="B661" s="142">
        <v>2026</v>
      </c>
      <c r="C661" s="142" t="s">
        <v>20</v>
      </c>
      <c r="D661" s="146" t="s">
        <v>2039</v>
      </c>
      <c r="E661" s="143" t="s">
        <v>2040</v>
      </c>
      <c r="F661" s="144" t="s">
        <v>22</v>
      </c>
      <c r="G661" s="159" t="s">
        <v>2041</v>
      </c>
      <c r="H661" s="146" t="s">
        <v>2042</v>
      </c>
      <c r="I661" s="147">
        <v>46078</v>
      </c>
      <c r="J661" s="147">
        <v>46083</v>
      </c>
      <c r="K661" s="142" t="s">
        <v>32</v>
      </c>
      <c r="L661" s="186">
        <v>0</v>
      </c>
      <c r="M661" s="149">
        <v>4.76</v>
      </c>
      <c r="N661" s="150">
        <v>20</v>
      </c>
      <c r="O661" s="151">
        <v>18</v>
      </c>
      <c r="P661" s="151">
        <v>0</v>
      </c>
      <c r="Q661" s="151">
        <v>0</v>
      </c>
      <c r="R661" s="151">
        <f>SUM(Tabela2[[#This Row],[P. Servidores]:[P. Sociedade]])</f>
        <v>18</v>
      </c>
      <c r="S661" s="142">
        <v>16</v>
      </c>
      <c r="T661" s="145" t="s">
        <v>2043</v>
      </c>
    </row>
    <row r="662" spans="1:20" ht="22.5" customHeight="1" x14ac:dyDescent="0.25">
      <c r="A662" s="152" t="s">
        <v>3083</v>
      </c>
      <c r="B662" s="142">
        <v>2026</v>
      </c>
      <c r="C662" s="142" t="s">
        <v>20</v>
      </c>
      <c r="D662" s="142" t="s">
        <v>2044</v>
      </c>
      <c r="E662" s="143" t="s">
        <v>2045</v>
      </c>
      <c r="F662" s="144" t="s">
        <v>51</v>
      </c>
      <c r="G662" s="145" t="s">
        <v>2036</v>
      </c>
      <c r="H662" s="187" t="s">
        <v>2046</v>
      </c>
      <c r="I662" s="147">
        <v>46085</v>
      </c>
      <c r="J662" s="147">
        <v>46087</v>
      </c>
      <c r="K662" s="142" t="s">
        <v>32</v>
      </c>
      <c r="L662" s="186">
        <v>9416</v>
      </c>
      <c r="M662" s="149">
        <v>4.9000000000000004</v>
      </c>
      <c r="N662" s="151">
        <v>20</v>
      </c>
      <c r="O662" s="151">
        <v>0</v>
      </c>
      <c r="P662" s="151">
        <v>20</v>
      </c>
      <c r="Q662" s="151">
        <v>0</v>
      </c>
      <c r="R662" s="151">
        <f>SUM(O662:Q662)</f>
        <v>20</v>
      </c>
      <c r="S662" s="142">
        <v>12</v>
      </c>
      <c r="T662" s="159" t="s">
        <v>2047</v>
      </c>
    </row>
    <row r="663" spans="1:20" ht="22.5" customHeight="1" x14ac:dyDescent="0.25">
      <c r="A663" s="152" t="s">
        <v>3084</v>
      </c>
      <c r="B663" s="142">
        <v>2026</v>
      </c>
      <c r="C663" s="142" t="s">
        <v>20</v>
      </c>
      <c r="D663" s="146" t="s">
        <v>2048</v>
      </c>
      <c r="E663" s="143" t="s">
        <v>2049</v>
      </c>
      <c r="F663" s="144" t="s">
        <v>51</v>
      </c>
      <c r="G663" s="145" t="s">
        <v>59</v>
      </c>
      <c r="H663" s="146" t="s">
        <v>2050</v>
      </c>
      <c r="I663" s="147">
        <v>46090</v>
      </c>
      <c r="J663" s="147">
        <v>46094</v>
      </c>
      <c r="K663" s="142" t="s">
        <v>32</v>
      </c>
      <c r="L663" s="186">
        <v>12813.06</v>
      </c>
      <c r="M663" s="149">
        <v>4.93</v>
      </c>
      <c r="N663" s="150">
        <v>20</v>
      </c>
      <c r="O663" s="151">
        <v>8</v>
      </c>
      <c r="P663" s="151">
        <v>11</v>
      </c>
      <c r="Q663" s="151">
        <v>0</v>
      </c>
      <c r="R663" s="151">
        <f>SUM(O663:Q663)</f>
        <v>19</v>
      </c>
      <c r="S663" s="142">
        <v>20</v>
      </c>
      <c r="T663" s="145" t="s">
        <v>61</v>
      </c>
    </row>
    <row r="664" spans="1:20" ht="22.5" customHeight="1" x14ac:dyDescent="0.25">
      <c r="A664" s="152" t="s">
        <v>3085</v>
      </c>
      <c r="B664" s="142">
        <v>2026</v>
      </c>
      <c r="C664" s="142" t="s">
        <v>20</v>
      </c>
      <c r="D664" s="142" t="s">
        <v>2051</v>
      </c>
      <c r="E664" s="143" t="s">
        <v>2052</v>
      </c>
      <c r="F664" s="144" t="s">
        <v>22</v>
      </c>
      <c r="G664" s="159" t="s">
        <v>283</v>
      </c>
      <c r="H664" s="146" t="s">
        <v>2053</v>
      </c>
      <c r="I664" s="147">
        <v>46097</v>
      </c>
      <c r="J664" s="147">
        <v>46101</v>
      </c>
      <c r="K664" s="142" t="s">
        <v>32</v>
      </c>
      <c r="L664" s="186">
        <v>16717.68</v>
      </c>
      <c r="M664" s="149">
        <v>4.8600000000000003</v>
      </c>
      <c r="N664" s="150">
        <v>33</v>
      </c>
      <c r="O664" s="151">
        <v>33</v>
      </c>
      <c r="P664" s="151">
        <v>0</v>
      </c>
      <c r="Q664" s="151">
        <v>0</v>
      </c>
      <c r="R664" s="151">
        <f>SUM(O664:Q664)</f>
        <v>33</v>
      </c>
      <c r="S664" s="142">
        <v>20</v>
      </c>
      <c r="T664" s="159" t="s">
        <v>2054</v>
      </c>
    </row>
    <row r="665" spans="1:20" ht="22.5" customHeight="1" x14ac:dyDescent="0.25">
      <c r="A665" s="152" t="s">
        <v>3086</v>
      </c>
      <c r="B665" s="142">
        <v>2026</v>
      </c>
      <c r="C665" s="142" t="s">
        <v>20</v>
      </c>
      <c r="D665" s="142" t="s">
        <v>2055</v>
      </c>
      <c r="E665" s="143" t="s">
        <v>2056</v>
      </c>
      <c r="F665" s="144" t="s">
        <v>22</v>
      </c>
      <c r="G665" s="159" t="s">
        <v>2057</v>
      </c>
      <c r="H665" s="146" t="s">
        <v>2058</v>
      </c>
      <c r="I665" s="147">
        <v>46098</v>
      </c>
      <c r="J665" s="147">
        <v>46100</v>
      </c>
      <c r="K665" s="142" t="s">
        <v>32</v>
      </c>
      <c r="L665" s="186">
        <v>4533.88</v>
      </c>
      <c r="M665" s="149">
        <v>4.9000000000000004</v>
      </c>
      <c r="N665" s="150">
        <v>20</v>
      </c>
      <c r="O665" s="151">
        <v>20</v>
      </c>
      <c r="P665" s="151">
        <v>0</v>
      </c>
      <c r="Q665" s="151">
        <v>0</v>
      </c>
      <c r="R665" s="151">
        <f>SUM(O665:Q665)</f>
        <v>20</v>
      </c>
      <c r="S665" s="142">
        <v>8</v>
      </c>
      <c r="T665" s="145" t="s">
        <v>2059</v>
      </c>
    </row>
    <row r="666" spans="1:20" ht="22.5" customHeight="1" x14ac:dyDescent="0.25">
      <c r="A666" s="152" t="s">
        <v>3087</v>
      </c>
      <c r="B666" s="142">
        <v>2026</v>
      </c>
      <c r="C666" s="142" t="s">
        <v>20</v>
      </c>
      <c r="D666" s="146" t="s">
        <v>2048</v>
      </c>
      <c r="E666" s="143" t="s">
        <v>2060</v>
      </c>
      <c r="F666" s="144" t="s">
        <v>51</v>
      </c>
      <c r="G666" s="145" t="s">
        <v>59</v>
      </c>
      <c r="H666" s="146" t="s">
        <v>2061</v>
      </c>
      <c r="I666" s="147">
        <v>46104</v>
      </c>
      <c r="J666" s="147">
        <v>46108</v>
      </c>
      <c r="K666" s="142" t="s">
        <v>32</v>
      </c>
      <c r="L666" s="186">
        <v>12813.06</v>
      </c>
      <c r="M666" s="149">
        <v>4.79</v>
      </c>
      <c r="N666" s="150">
        <v>20</v>
      </c>
      <c r="O666" s="151">
        <v>0</v>
      </c>
      <c r="P666" s="151">
        <v>20</v>
      </c>
      <c r="Q666" s="151">
        <v>0</v>
      </c>
      <c r="R666" s="151">
        <f>SUM(O666:Q666)</f>
        <v>20</v>
      </c>
      <c r="S666" s="142">
        <v>20</v>
      </c>
      <c r="T666" s="145" t="s">
        <v>61</v>
      </c>
    </row>
    <row r="667" spans="1:20" ht="22.5" customHeight="1" x14ac:dyDescent="0.25">
      <c r="A667" s="152" t="s">
        <v>3088</v>
      </c>
      <c r="B667" s="142">
        <v>2026</v>
      </c>
      <c r="C667" s="142" t="s">
        <v>20</v>
      </c>
      <c r="D667" s="142" t="s">
        <v>2062</v>
      </c>
      <c r="E667" s="143" t="s">
        <v>2063</v>
      </c>
      <c r="F667" s="144" t="s">
        <v>51</v>
      </c>
      <c r="G667" s="145" t="s">
        <v>59</v>
      </c>
      <c r="H667" s="142" t="s">
        <v>2064</v>
      </c>
      <c r="I667" s="147">
        <v>46105</v>
      </c>
      <c r="J667" s="147">
        <v>46105</v>
      </c>
      <c r="K667" s="142" t="s">
        <v>25</v>
      </c>
      <c r="L667" s="186">
        <v>0</v>
      </c>
      <c r="M667" s="149"/>
      <c r="N667" s="151">
        <v>170</v>
      </c>
      <c r="O667" s="151">
        <v>42</v>
      </c>
      <c r="P667" s="151">
        <v>71</v>
      </c>
      <c r="Q667" s="151">
        <v>14</v>
      </c>
      <c r="R667" s="151">
        <f>SUM(O667:Q667)</f>
        <v>127</v>
      </c>
      <c r="S667" s="142">
        <v>4</v>
      </c>
      <c r="T667" s="145" t="s">
        <v>365</v>
      </c>
    </row>
    <row r="668" spans="1:20" ht="22.5" customHeight="1" x14ac:dyDescent="0.25">
      <c r="A668" s="152" t="s">
        <v>3089</v>
      </c>
      <c r="B668" s="142">
        <v>2026</v>
      </c>
      <c r="C668" s="166" t="s">
        <v>20</v>
      </c>
      <c r="D668" s="142" t="s">
        <v>2065</v>
      </c>
      <c r="E668" s="143" t="s">
        <v>2066</v>
      </c>
      <c r="F668" s="144" t="s">
        <v>51</v>
      </c>
      <c r="G668" s="145" t="s">
        <v>59</v>
      </c>
      <c r="H668" s="146" t="s">
        <v>2067</v>
      </c>
      <c r="I668" s="147">
        <v>46111</v>
      </c>
      <c r="J668" s="147">
        <v>46112</v>
      </c>
      <c r="K668" s="142" t="s">
        <v>25</v>
      </c>
      <c r="L668" s="186"/>
      <c r="M668" s="149">
        <v>4.8899999999999997</v>
      </c>
      <c r="N668" s="150">
        <v>200</v>
      </c>
      <c r="O668" s="151">
        <v>58</v>
      </c>
      <c r="P668" s="151">
        <v>100</v>
      </c>
      <c r="Q668" s="151">
        <v>34</v>
      </c>
      <c r="R668" s="151">
        <f>SUM(O668:Q668)</f>
        <v>192</v>
      </c>
      <c r="S668" s="142">
        <v>14</v>
      </c>
      <c r="T668" s="145" t="s">
        <v>365</v>
      </c>
    </row>
    <row r="669" spans="1:20" ht="22.5" customHeight="1" x14ac:dyDescent="0.25">
      <c r="A669" s="152" t="s">
        <v>3090</v>
      </c>
      <c r="B669" s="142">
        <v>2026</v>
      </c>
      <c r="C669" s="142" t="s">
        <v>20</v>
      </c>
      <c r="D669" s="188" t="s">
        <v>2068</v>
      </c>
      <c r="E669" s="143" t="s">
        <v>2069</v>
      </c>
      <c r="F669" s="144" t="s">
        <v>51</v>
      </c>
      <c r="G669" s="189" t="s">
        <v>2036</v>
      </c>
      <c r="H669" s="190" t="s">
        <v>2070</v>
      </c>
      <c r="I669" s="191">
        <v>46120</v>
      </c>
      <c r="J669" s="191">
        <v>46122</v>
      </c>
      <c r="K669" s="142" t="s">
        <v>32</v>
      </c>
      <c r="L669" s="186">
        <v>9211.69</v>
      </c>
      <c r="M669" s="192">
        <v>4.95</v>
      </c>
      <c r="N669" s="193">
        <v>20</v>
      </c>
      <c r="O669" s="194">
        <v>0</v>
      </c>
      <c r="P669" s="194">
        <v>27</v>
      </c>
      <c r="Q669" s="194">
        <v>0</v>
      </c>
      <c r="R669" s="194">
        <v>27</v>
      </c>
      <c r="S669" s="188">
        <v>12</v>
      </c>
      <c r="T669" s="159" t="s">
        <v>2047</v>
      </c>
    </row>
    <row r="670" spans="1:20" ht="22.5" customHeight="1" x14ac:dyDescent="0.25">
      <c r="A670" s="152" t="s">
        <v>3091</v>
      </c>
      <c r="B670" s="142">
        <v>2026</v>
      </c>
      <c r="C670" s="142" t="s">
        <v>20</v>
      </c>
      <c r="D670" s="188" t="s">
        <v>2071</v>
      </c>
      <c r="E670" s="195" t="s">
        <v>2072</v>
      </c>
      <c r="F670" s="144" t="s">
        <v>66</v>
      </c>
      <c r="G670" s="145" t="s">
        <v>2073</v>
      </c>
      <c r="H670" s="190" t="s">
        <v>2074</v>
      </c>
      <c r="I670" s="191">
        <v>46125</v>
      </c>
      <c r="J670" s="191">
        <v>46128</v>
      </c>
      <c r="K670" s="142" t="s">
        <v>25</v>
      </c>
      <c r="L670" s="196">
        <v>10500</v>
      </c>
      <c r="M670" s="192">
        <v>4.75</v>
      </c>
      <c r="N670" s="193">
        <v>80</v>
      </c>
      <c r="O670" s="194">
        <v>0</v>
      </c>
      <c r="P670" s="194">
        <v>0</v>
      </c>
      <c r="Q670" s="194">
        <v>57</v>
      </c>
      <c r="R670" s="194">
        <v>57</v>
      </c>
      <c r="S670" s="188">
        <v>16</v>
      </c>
      <c r="T670" s="189" t="s">
        <v>1601</v>
      </c>
    </row>
    <row r="671" spans="1:20" ht="22.5" customHeight="1" x14ac:dyDescent="0.25">
      <c r="A671" s="152" t="s">
        <v>2321</v>
      </c>
      <c r="B671" s="142">
        <v>2026</v>
      </c>
      <c r="C671" s="142" t="s">
        <v>20</v>
      </c>
      <c r="D671" s="142" t="s">
        <v>2055</v>
      </c>
      <c r="E671" s="143" t="s">
        <v>2075</v>
      </c>
      <c r="F671" s="144" t="s">
        <v>22</v>
      </c>
      <c r="G671" s="159" t="s">
        <v>2057</v>
      </c>
      <c r="H671" s="146" t="s">
        <v>2076</v>
      </c>
      <c r="I671" s="147">
        <v>46127</v>
      </c>
      <c r="J671" s="147">
        <v>46129</v>
      </c>
      <c r="K671" s="142" t="s">
        <v>32</v>
      </c>
      <c r="L671" s="186">
        <v>9067.76</v>
      </c>
      <c r="M671" s="149">
        <v>4.78</v>
      </c>
      <c r="N671" s="150">
        <v>20</v>
      </c>
      <c r="O671" s="151">
        <v>22</v>
      </c>
      <c r="P671" s="151">
        <v>0</v>
      </c>
      <c r="Q671" s="151">
        <v>0</v>
      </c>
      <c r="R671" s="151">
        <f>SUM(O671:Q671)</f>
        <v>22</v>
      </c>
      <c r="S671" s="142">
        <v>8</v>
      </c>
      <c r="T671" s="145" t="s">
        <v>2077</v>
      </c>
    </row>
    <row r="672" spans="1:20" ht="22.5" customHeight="1" x14ac:dyDescent="0.25">
      <c r="A672" s="152" t="s">
        <v>2314</v>
      </c>
      <c r="B672" s="142">
        <v>2026</v>
      </c>
      <c r="C672" s="142" t="s">
        <v>20</v>
      </c>
      <c r="D672" s="188" t="s">
        <v>2078</v>
      </c>
      <c r="E672" s="195" t="s">
        <v>2079</v>
      </c>
      <c r="F672" s="144" t="s">
        <v>22</v>
      </c>
      <c r="G672" s="159" t="s">
        <v>2057</v>
      </c>
      <c r="H672" s="190" t="s">
        <v>2080</v>
      </c>
      <c r="I672" s="191">
        <v>46128</v>
      </c>
      <c r="J672" s="191">
        <v>46128</v>
      </c>
      <c r="K672" s="142" t="s">
        <v>32</v>
      </c>
      <c r="L672" s="196">
        <v>1133.47</v>
      </c>
      <c r="M672" s="192">
        <v>5</v>
      </c>
      <c r="N672" s="193">
        <v>1</v>
      </c>
      <c r="O672" s="194">
        <v>1</v>
      </c>
      <c r="P672" s="194">
        <v>0</v>
      </c>
      <c r="Q672" s="194">
        <v>0</v>
      </c>
      <c r="R672" s="194">
        <f>SUM(O672:Q672)</f>
        <v>1</v>
      </c>
      <c r="S672" s="188">
        <v>2</v>
      </c>
      <c r="T672" s="145" t="s">
        <v>2077</v>
      </c>
    </row>
    <row r="673" spans="1:20" ht="22.5" customHeight="1" x14ac:dyDescent="0.25">
      <c r="A673" s="152" t="s">
        <v>3092</v>
      </c>
      <c r="B673" s="142">
        <v>2026</v>
      </c>
      <c r="C673" s="142" t="s">
        <v>20</v>
      </c>
      <c r="D673" s="142" t="s">
        <v>2081</v>
      </c>
      <c r="E673" s="143" t="s">
        <v>2082</v>
      </c>
      <c r="F673" s="144" t="s">
        <v>22</v>
      </c>
      <c r="G673" s="145" t="s">
        <v>157</v>
      </c>
      <c r="H673" s="170" t="s">
        <v>2083</v>
      </c>
      <c r="I673" s="147">
        <v>46132</v>
      </c>
      <c r="J673" s="147">
        <v>46142</v>
      </c>
      <c r="K673" s="142" t="s">
        <v>32</v>
      </c>
      <c r="L673" s="186"/>
      <c r="M673" s="149"/>
      <c r="N673" s="150"/>
      <c r="O673" s="151"/>
      <c r="P673" s="151"/>
      <c r="Q673" s="151"/>
      <c r="R673" s="151">
        <f>SUM(O673:Q673)</f>
        <v>0</v>
      </c>
      <c r="S673" s="142"/>
      <c r="T673" s="159" t="s">
        <v>2084</v>
      </c>
    </row>
    <row r="674" spans="1:20" ht="22.5" customHeight="1" x14ac:dyDescent="0.25">
      <c r="A674" s="152" t="s">
        <v>2320</v>
      </c>
      <c r="B674" s="142">
        <v>2026</v>
      </c>
      <c r="C674" s="142" t="s">
        <v>20</v>
      </c>
      <c r="D674" s="142" t="s">
        <v>2085</v>
      </c>
      <c r="E674" s="143" t="s">
        <v>2086</v>
      </c>
      <c r="F674" s="144" t="s">
        <v>66</v>
      </c>
      <c r="G674" s="179" t="s">
        <v>2073</v>
      </c>
      <c r="H674" s="146" t="s">
        <v>2087</v>
      </c>
      <c r="I674" s="147">
        <v>46136</v>
      </c>
      <c r="J674" s="147">
        <v>46136</v>
      </c>
      <c r="K674" s="142" t="s">
        <v>32</v>
      </c>
      <c r="L674" s="197"/>
      <c r="M674" s="149"/>
      <c r="N674" s="142">
        <v>80</v>
      </c>
      <c r="O674" s="151">
        <v>0</v>
      </c>
      <c r="P674" s="179">
        <v>0</v>
      </c>
      <c r="Q674" s="142">
        <v>80</v>
      </c>
      <c r="R674" s="151">
        <f>SUM(O674:Q674)</f>
        <v>80</v>
      </c>
      <c r="S674" s="142">
        <v>4</v>
      </c>
      <c r="T674" s="181" t="s">
        <v>2088</v>
      </c>
    </row>
    <row r="675" spans="1:20" ht="22.5" customHeight="1" x14ac:dyDescent="0.25">
      <c r="A675" s="152" t="s">
        <v>3093</v>
      </c>
      <c r="B675" s="142">
        <v>2026</v>
      </c>
      <c r="C675" s="198" t="s">
        <v>20</v>
      </c>
      <c r="D675" s="198" t="s">
        <v>2089</v>
      </c>
      <c r="E675" s="199" t="s">
        <v>2090</v>
      </c>
      <c r="F675" s="200" t="s">
        <v>22</v>
      </c>
      <c r="G675" s="201" t="s">
        <v>283</v>
      </c>
      <c r="H675" s="202" t="s">
        <v>2091</v>
      </c>
      <c r="I675" s="203">
        <v>46140</v>
      </c>
      <c r="J675" s="203">
        <v>46147</v>
      </c>
      <c r="K675" s="198" t="s">
        <v>32</v>
      </c>
      <c r="L675" s="204">
        <v>0</v>
      </c>
      <c r="M675" s="205">
        <v>4.9400000000000004</v>
      </c>
      <c r="N675" s="206">
        <v>30</v>
      </c>
      <c r="O675" s="207">
        <v>30</v>
      </c>
      <c r="P675" s="207">
        <v>0</v>
      </c>
      <c r="Q675" s="207">
        <v>0</v>
      </c>
      <c r="R675" s="207">
        <f>IF(B675="","",SUM(O675:Q675))</f>
        <v>30</v>
      </c>
      <c r="S675" s="198">
        <v>20</v>
      </c>
      <c r="T675" s="201" t="s">
        <v>365</v>
      </c>
    </row>
    <row r="676" spans="1:20" ht="23.25" customHeight="1" x14ac:dyDescent="0.25">
      <c r="A676" s="152" t="s">
        <v>2319</v>
      </c>
      <c r="B676" s="142">
        <v>2026</v>
      </c>
      <c r="C676" s="198" t="s">
        <v>2092</v>
      </c>
      <c r="D676" s="198" t="s">
        <v>2093</v>
      </c>
      <c r="E676" s="199" t="s">
        <v>2094</v>
      </c>
      <c r="F676" s="200" t="s">
        <v>22</v>
      </c>
      <c r="G676" s="201" t="s">
        <v>2057</v>
      </c>
      <c r="H676" s="208" t="s">
        <v>2095</v>
      </c>
      <c r="I676" s="209">
        <v>46143</v>
      </c>
      <c r="J676" s="209"/>
      <c r="K676" s="198" t="s">
        <v>25</v>
      </c>
      <c r="L676" s="204">
        <v>203112</v>
      </c>
      <c r="M676" s="205"/>
      <c r="N676" s="206">
        <v>78</v>
      </c>
      <c r="O676" s="207">
        <v>78</v>
      </c>
      <c r="P676" s="207"/>
      <c r="Q676" s="207"/>
      <c r="R676" s="207">
        <f>IF(B676="","",SUM(O676:Q676))</f>
        <v>78</v>
      </c>
      <c r="S676" s="198"/>
      <c r="T676" s="201"/>
    </row>
    <row r="677" spans="1:20" ht="22.5" customHeight="1" x14ac:dyDescent="0.25">
      <c r="A677" s="152" t="s">
        <v>2312</v>
      </c>
      <c r="B677" s="142">
        <v>2026</v>
      </c>
      <c r="C677" s="210" t="s">
        <v>20</v>
      </c>
      <c r="D677" s="210" t="s">
        <v>2096</v>
      </c>
      <c r="E677" s="199" t="s">
        <v>2097</v>
      </c>
      <c r="F677" s="200" t="s">
        <v>22</v>
      </c>
      <c r="G677" s="211" t="s">
        <v>23</v>
      </c>
      <c r="H677" s="212" t="s">
        <v>2098</v>
      </c>
      <c r="I677" s="213">
        <v>46148</v>
      </c>
      <c r="J677" s="213">
        <v>46150</v>
      </c>
      <c r="K677" s="198" t="s">
        <v>32</v>
      </c>
      <c r="L677" s="214">
        <v>9454.4</v>
      </c>
      <c r="M677" s="215">
        <v>4.9400000000000004</v>
      </c>
      <c r="N677" s="216">
        <v>30</v>
      </c>
      <c r="O677" s="217">
        <v>30</v>
      </c>
      <c r="P677" s="217">
        <v>0</v>
      </c>
      <c r="Q677" s="217">
        <v>0</v>
      </c>
      <c r="R677" s="217">
        <f>IF(B677="","",SUM(O677:Q677))</f>
        <v>30</v>
      </c>
      <c r="S677" s="210">
        <v>12</v>
      </c>
      <c r="T677" s="201" t="s">
        <v>2099</v>
      </c>
    </row>
    <row r="678" spans="1:20" ht="22.5" customHeight="1" x14ac:dyDescent="0.25">
      <c r="A678" s="152" t="s">
        <v>3094</v>
      </c>
      <c r="B678" s="142">
        <v>2026</v>
      </c>
      <c r="C678" s="210" t="s">
        <v>20</v>
      </c>
      <c r="D678" s="210" t="s">
        <v>2100</v>
      </c>
      <c r="E678" s="199" t="s">
        <v>2101</v>
      </c>
      <c r="F678" s="200" t="s">
        <v>66</v>
      </c>
      <c r="G678" s="211" t="s">
        <v>2073</v>
      </c>
      <c r="H678" s="212" t="s">
        <v>2102</v>
      </c>
      <c r="I678" s="213">
        <v>46148</v>
      </c>
      <c r="J678" s="213">
        <v>46148</v>
      </c>
      <c r="K678" s="198" t="s">
        <v>32</v>
      </c>
      <c r="L678" s="204">
        <v>2342.36</v>
      </c>
      <c r="M678" s="215">
        <v>4.9000000000000004</v>
      </c>
      <c r="N678" s="216">
        <v>25</v>
      </c>
      <c r="O678" s="217"/>
      <c r="P678" s="217"/>
      <c r="Q678" s="217">
        <v>50</v>
      </c>
      <c r="R678" s="217">
        <f>IF(B678="","",SUM(O678:Q678))</f>
        <v>50</v>
      </c>
      <c r="S678" s="210">
        <v>3</v>
      </c>
      <c r="T678" s="201" t="s">
        <v>2103</v>
      </c>
    </row>
    <row r="679" spans="1:20" ht="22.5" customHeight="1" x14ac:dyDescent="0.25">
      <c r="A679" s="152" t="s">
        <v>3095</v>
      </c>
      <c r="B679" s="142">
        <v>2026</v>
      </c>
      <c r="C679" s="167" t="s">
        <v>20</v>
      </c>
      <c r="D679" s="167" t="s">
        <v>2085</v>
      </c>
      <c r="E679" s="168" t="s">
        <v>2104</v>
      </c>
      <c r="F679" s="144" t="s">
        <v>66</v>
      </c>
      <c r="G679" s="179" t="s">
        <v>2073</v>
      </c>
      <c r="H679" s="170" t="s">
        <v>2105</v>
      </c>
      <c r="I679" s="171">
        <v>46150</v>
      </c>
      <c r="J679" s="171">
        <v>46150</v>
      </c>
      <c r="K679" s="142" t="s">
        <v>32</v>
      </c>
      <c r="L679" s="218"/>
      <c r="M679" s="173"/>
      <c r="N679" s="167">
        <v>80</v>
      </c>
      <c r="O679" s="175">
        <v>0</v>
      </c>
      <c r="P679" s="183">
        <v>0</v>
      </c>
      <c r="Q679" s="167">
        <v>80</v>
      </c>
      <c r="R679" s="175">
        <f>SUM(O679:Q679)</f>
        <v>80</v>
      </c>
      <c r="S679" s="167">
        <v>4</v>
      </c>
      <c r="T679" s="219" t="s">
        <v>2088</v>
      </c>
    </row>
    <row r="680" spans="1:20" ht="22.5" customHeight="1" x14ac:dyDescent="0.25">
      <c r="A680" s="152" t="s">
        <v>2313</v>
      </c>
      <c r="B680" s="142">
        <v>2026</v>
      </c>
      <c r="C680" s="210" t="s">
        <v>20</v>
      </c>
      <c r="D680" s="210" t="s">
        <v>2106</v>
      </c>
      <c r="E680" s="220" t="s">
        <v>2107</v>
      </c>
      <c r="F680" s="200" t="s">
        <v>22</v>
      </c>
      <c r="G680" s="201" t="s">
        <v>2057</v>
      </c>
      <c r="H680" s="212" t="s">
        <v>2108</v>
      </c>
      <c r="I680" s="213">
        <v>46154</v>
      </c>
      <c r="J680" s="213">
        <v>46156</v>
      </c>
      <c r="K680" s="198" t="s">
        <v>32</v>
      </c>
      <c r="L680" s="221">
        <v>6497.28</v>
      </c>
      <c r="M680" s="215">
        <v>4.88</v>
      </c>
      <c r="N680" s="216">
        <v>20</v>
      </c>
      <c r="O680" s="217">
        <v>22</v>
      </c>
      <c r="P680" s="217">
        <v>0</v>
      </c>
      <c r="Q680" s="217">
        <v>0</v>
      </c>
      <c r="R680" s="217">
        <f>IF(B680="","",SUM(O680:Q680))</f>
        <v>22</v>
      </c>
      <c r="S680" s="210">
        <v>8</v>
      </c>
      <c r="T680" s="222" t="s">
        <v>2077</v>
      </c>
    </row>
    <row r="681" spans="1:20" ht="22.5" customHeight="1" x14ac:dyDescent="0.25">
      <c r="A681" s="152" t="s">
        <v>2328</v>
      </c>
      <c r="B681" s="142">
        <v>2026</v>
      </c>
      <c r="C681" s="210" t="s">
        <v>2092</v>
      </c>
      <c r="D681" s="210" t="s">
        <v>2109</v>
      </c>
      <c r="E681" s="220" t="s">
        <v>2110</v>
      </c>
      <c r="F681" s="200" t="s">
        <v>51</v>
      </c>
      <c r="G681" s="211" t="s">
        <v>2036</v>
      </c>
      <c r="H681" s="212" t="s">
        <v>2095</v>
      </c>
      <c r="I681" s="213">
        <v>46157</v>
      </c>
      <c r="J681" s="213">
        <v>46387</v>
      </c>
      <c r="K681" s="198" t="s">
        <v>32</v>
      </c>
      <c r="L681" s="214"/>
      <c r="M681" s="215"/>
      <c r="N681" s="216"/>
      <c r="O681" s="217"/>
      <c r="P681" s="217"/>
      <c r="Q681" s="217"/>
      <c r="R681" s="217">
        <f>IF(B681="","",SUM(O681:Q681))</f>
        <v>0</v>
      </c>
      <c r="S681" s="210">
        <v>65</v>
      </c>
      <c r="T681" s="201" t="s">
        <v>2038</v>
      </c>
    </row>
    <row r="682" spans="1:20" ht="22.5" customHeight="1" x14ac:dyDescent="0.25">
      <c r="A682" s="152" t="s">
        <v>3096</v>
      </c>
      <c r="B682" s="142">
        <v>2026</v>
      </c>
      <c r="C682" s="183" t="s">
        <v>2111</v>
      </c>
      <c r="D682" s="167" t="s">
        <v>2112</v>
      </c>
      <c r="E682" s="168" t="s">
        <v>2113</v>
      </c>
      <c r="F682" s="144" t="s">
        <v>22</v>
      </c>
      <c r="G682" s="169" t="s">
        <v>2041</v>
      </c>
      <c r="H682" s="170" t="s">
        <v>2114</v>
      </c>
      <c r="I682" s="171">
        <v>46160</v>
      </c>
      <c r="J682" s="171">
        <v>46163</v>
      </c>
      <c r="K682" s="142" t="s">
        <v>32</v>
      </c>
      <c r="L682" s="223">
        <v>0</v>
      </c>
      <c r="M682" s="173"/>
      <c r="N682" s="175"/>
      <c r="O682" s="175"/>
      <c r="P682" s="175"/>
      <c r="Q682" s="175"/>
      <c r="R682" s="175">
        <f>SUM(O682:Q682)</f>
        <v>0</v>
      </c>
      <c r="S682" s="167">
        <v>16</v>
      </c>
      <c r="T682" s="145" t="s">
        <v>2043</v>
      </c>
    </row>
    <row r="683" spans="1:20" ht="23.25" customHeight="1" x14ac:dyDescent="0.25">
      <c r="A683" s="152" t="s">
        <v>3097</v>
      </c>
      <c r="B683" s="142">
        <v>2026</v>
      </c>
      <c r="C683" s="210" t="s">
        <v>20</v>
      </c>
      <c r="D683" s="210" t="s">
        <v>2115</v>
      </c>
      <c r="E683" s="220" t="s">
        <v>2016</v>
      </c>
      <c r="F683" s="200" t="s">
        <v>22</v>
      </c>
      <c r="G683" s="201" t="s">
        <v>34</v>
      </c>
      <c r="H683" s="212" t="s">
        <v>2116</v>
      </c>
      <c r="I683" s="213">
        <v>46160</v>
      </c>
      <c r="J683" s="213">
        <v>46167</v>
      </c>
      <c r="K683" s="198" t="s">
        <v>32</v>
      </c>
      <c r="L683" s="214">
        <v>12221.73</v>
      </c>
      <c r="M683" s="215">
        <v>4.93</v>
      </c>
      <c r="N683" s="216">
        <v>20</v>
      </c>
      <c r="O683" s="217">
        <v>21</v>
      </c>
      <c r="P683" s="217">
        <v>0</v>
      </c>
      <c r="Q683" s="217">
        <v>0</v>
      </c>
      <c r="R683" s="217">
        <f>IF(B683="","",SUM(O683:Q683))</f>
        <v>21</v>
      </c>
      <c r="S683" s="210">
        <v>16</v>
      </c>
      <c r="T683" s="201" t="s">
        <v>1359</v>
      </c>
    </row>
    <row r="684" spans="1:20" ht="22.5" customHeight="1" x14ac:dyDescent="0.25">
      <c r="A684" s="208" t="s">
        <v>3098</v>
      </c>
      <c r="B684" s="167">
        <v>2026</v>
      </c>
      <c r="C684" s="167" t="s">
        <v>20</v>
      </c>
      <c r="D684" s="224" t="s">
        <v>2117</v>
      </c>
      <c r="E684" s="225" t="s">
        <v>2118</v>
      </c>
      <c r="F684" s="226" t="s">
        <v>22</v>
      </c>
      <c r="G684" s="227" t="s">
        <v>34</v>
      </c>
      <c r="H684" s="228" t="s">
        <v>2119</v>
      </c>
      <c r="I684" s="229">
        <v>46163</v>
      </c>
      <c r="J684" s="229">
        <v>46164</v>
      </c>
      <c r="K684" s="224" t="s">
        <v>25</v>
      </c>
      <c r="L684" s="230">
        <v>72500</v>
      </c>
      <c r="M684" s="231"/>
      <c r="N684" s="232">
        <v>150</v>
      </c>
      <c r="O684" s="233">
        <v>72</v>
      </c>
      <c r="P684" s="233">
        <v>23</v>
      </c>
      <c r="Q684" s="233">
        <v>5</v>
      </c>
      <c r="R684" s="233">
        <f>SUM(O684:Q684)</f>
        <v>100</v>
      </c>
      <c r="S684" s="224">
        <v>8</v>
      </c>
      <c r="T684" s="227" t="s">
        <v>365</v>
      </c>
    </row>
    <row r="685" spans="1:20" ht="22.5" customHeight="1" x14ac:dyDescent="0.25">
      <c r="A685" s="208" t="s">
        <v>3099</v>
      </c>
      <c r="B685" s="167">
        <v>2026</v>
      </c>
      <c r="C685" s="198" t="s">
        <v>20</v>
      </c>
      <c r="D685" s="198" t="s">
        <v>2120</v>
      </c>
      <c r="E685" s="199" t="s">
        <v>2121</v>
      </c>
      <c r="F685" s="200" t="s">
        <v>66</v>
      </c>
      <c r="G685" s="201" t="s">
        <v>2073</v>
      </c>
      <c r="H685" s="208" t="s">
        <v>2122</v>
      </c>
      <c r="I685" s="209">
        <v>46167</v>
      </c>
      <c r="J685" s="209">
        <v>46171</v>
      </c>
      <c r="K685" s="198" t="s">
        <v>32</v>
      </c>
      <c r="L685" s="204"/>
      <c r="M685" s="205"/>
      <c r="N685" s="206"/>
      <c r="O685" s="207"/>
      <c r="P685" s="207"/>
      <c r="Q685" s="207">
        <v>25</v>
      </c>
      <c r="R685" s="207">
        <f>IF(B685="","",SUM(O685:Q685))</f>
        <v>25</v>
      </c>
      <c r="S685" s="198">
        <v>4</v>
      </c>
      <c r="T685" s="201" t="s">
        <v>784</v>
      </c>
    </row>
    <row r="686" spans="1:20" ht="22.5" customHeight="1" x14ac:dyDescent="0.25">
      <c r="A686" s="208" t="s">
        <v>3100</v>
      </c>
      <c r="B686" s="167">
        <v>2026</v>
      </c>
      <c r="C686" s="198" t="s">
        <v>2111</v>
      </c>
      <c r="D686" s="198" t="s">
        <v>2123</v>
      </c>
      <c r="E686" s="199" t="s">
        <v>2124</v>
      </c>
      <c r="F686" s="200" t="s">
        <v>22</v>
      </c>
      <c r="G686" s="201" t="s">
        <v>56</v>
      </c>
      <c r="H686" s="208" t="s">
        <v>2125</v>
      </c>
      <c r="I686" s="209">
        <v>46174</v>
      </c>
      <c r="J686" s="209">
        <v>46387</v>
      </c>
      <c r="K686" s="198" t="s">
        <v>25</v>
      </c>
      <c r="L686" s="204">
        <v>105000</v>
      </c>
      <c r="M686" s="205"/>
      <c r="N686" s="206"/>
      <c r="O686" s="207"/>
      <c r="P686" s="207"/>
      <c r="Q686" s="207"/>
      <c r="R686" s="207">
        <f>IF(B686="","",SUM(O686:Q686))</f>
        <v>0</v>
      </c>
      <c r="S686" s="198">
        <v>25</v>
      </c>
      <c r="T686" s="201" t="s">
        <v>2126</v>
      </c>
    </row>
    <row r="687" spans="1:20" ht="22.5" customHeight="1" x14ac:dyDescent="0.25">
      <c r="A687" s="208" t="s">
        <v>3101</v>
      </c>
      <c r="B687" s="167">
        <v>2026</v>
      </c>
      <c r="C687" s="179" t="s">
        <v>20</v>
      </c>
      <c r="D687" s="142" t="s">
        <v>2127</v>
      </c>
      <c r="E687" s="143" t="s">
        <v>2128</v>
      </c>
      <c r="F687" s="144" t="s">
        <v>22</v>
      </c>
      <c r="G687" s="145" t="s">
        <v>23</v>
      </c>
      <c r="H687" s="190" t="s">
        <v>2129</v>
      </c>
      <c r="I687" s="147">
        <v>46181</v>
      </c>
      <c r="J687" s="147">
        <v>46185</v>
      </c>
      <c r="K687" s="142" t="s">
        <v>32</v>
      </c>
      <c r="L687" s="186">
        <v>16717.689999999999</v>
      </c>
      <c r="M687" s="149">
        <v>4.93</v>
      </c>
      <c r="N687" s="150">
        <v>20</v>
      </c>
      <c r="O687" s="151">
        <v>17</v>
      </c>
      <c r="P687" s="151">
        <v>0</v>
      </c>
      <c r="Q687" s="151">
        <v>0</v>
      </c>
      <c r="R687" s="151">
        <f>SUM(O687:Q687)</f>
        <v>17</v>
      </c>
      <c r="S687" s="142">
        <v>20</v>
      </c>
      <c r="T687" s="159" t="s">
        <v>2130</v>
      </c>
    </row>
    <row r="688" spans="1:20" ht="22.5" customHeight="1" x14ac:dyDescent="0.25">
      <c r="A688" s="208" t="s">
        <v>2322</v>
      </c>
      <c r="B688" s="167">
        <v>2026</v>
      </c>
      <c r="C688" s="142" t="s">
        <v>20</v>
      </c>
      <c r="D688" s="188" t="s">
        <v>2131</v>
      </c>
      <c r="E688" s="195" t="s">
        <v>2132</v>
      </c>
      <c r="F688" s="144" t="s">
        <v>51</v>
      </c>
      <c r="G688" s="189" t="s">
        <v>2036</v>
      </c>
      <c r="H688" s="190" t="s">
        <v>2133</v>
      </c>
      <c r="I688" s="191">
        <v>46182</v>
      </c>
      <c r="J688" s="191">
        <v>46184</v>
      </c>
      <c r="K688" s="142" t="s">
        <v>32</v>
      </c>
      <c r="L688" s="186">
        <v>9211.69</v>
      </c>
      <c r="M688" s="192">
        <v>4.82</v>
      </c>
      <c r="N688" s="193">
        <v>30</v>
      </c>
      <c r="O688" s="194">
        <v>0</v>
      </c>
      <c r="P688" s="194">
        <v>32</v>
      </c>
      <c r="Q688" s="194">
        <v>0</v>
      </c>
      <c r="R688" s="194">
        <f>SUM(O688:Q688)</f>
        <v>32</v>
      </c>
      <c r="S688" s="188">
        <v>12</v>
      </c>
      <c r="T688" s="145" t="s">
        <v>2038</v>
      </c>
    </row>
    <row r="689" spans="1:20" ht="22.5" customHeight="1" x14ac:dyDescent="0.25">
      <c r="A689" s="208" t="s">
        <v>2323</v>
      </c>
      <c r="B689" s="167">
        <v>2026</v>
      </c>
      <c r="C689" s="142" t="s">
        <v>20</v>
      </c>
      <c r="D689" s="188" t="s">
        <v>2131</v>
      </c>
      <c r="E689" s="234" t="s">
        <v>2134</v>
      </c>
      <c r="F689" s="144" t="s">
        <v>51</v>
      </c>
      <c r="G689" s="189" t="s">
        <v>2036</v>
      </c>
      <c r="H689" s="190" t="s">
        <v>2135</v>
      </c>
      <c r="I689" s="191">
        <v>46189</v>
      </c>
      <c r="J689" s="191">
        <v>46191</v>
      </c>
      <c r="K689" s="142" t="s">
        <v>32</v>
      </c>
      <c r="L689" s="186">
        <v>9211.69</v>
      </c>
      <c r="M689" s="192">
        <v>4.84</v>
      </c>
      <c r="N689" s="193">
        <v>30</v>
      </c>
      <c r="O689" s="194">
        <v>0</v>
      </c>
      <c r="P689" s="194">
        <v>44</v>
      </c>
      <c r="Q689" s="194">
        <v>0</v>
      </c>
      <c r="R689" s="194">
        <f>SUM(O689:Q689)</f>
        <v>44</v>
      </c>
      <c r="S689" s="188">
        <v>12</v>
      </c>
      <c r="T689" s="145" t="s">
        <v>2038</v>
      </c>
    </row>
    <row r="690" spans="1:20" ht="22.5" customHeight="1" x14ac:dyDescent="0.25">
      <c r="A690" s="208" t="s">
        <v>2324</v>
      </c>
      <c r="B690" s="167">
        <v>2026</v>
      </c>
      <c r="C690" s="198" t="s">
        <v>20</v>
      </c>
      <c r="D690" s="198" t="s">
        <v>2136</v>
      </c>
      <c r="E690" s="199" t="s">
        <v>2137</v>
      </c>
      <c r="F690" s="200" t="s">
        <v>22</v>
      </c>
      <c r="G690" s="201" t="s">
        <v>23</v>
      </c>
      <c r="H690" s="208" t="s">
        <v>2138</v>
      </c>
      <c r="I690" s="209">
        <v>46189</v>
      </c>
      <c r="J690" s="209">
        <v>46191</v>
      </c>
      <c r="K690" s="198" t="s">
        <v>32</v>
      </c>
      <c r="L690" s="204">
        <v>9745.9500000000007</v>
      </c>
      <c r="M690" s="205">
        <v>4.67</v>
      </c>
      <c r="N690" s="206">
        <v>20</v>
      </c>
      <c r="O690" s="207">
        <v>20</v>
      </c>
      <c r="P690" s="207">
        <v>0</v>
      </c>
      <c r="Q690" s="207">
        <v>0</v>
      </c>
      <c r="R690" s="207">
        <f>IF(B690="","",SUM(O690:Q690))</f>
        <v>20</v>
      </c>
      <c r="S690" s="198">
        <v>12</v>
      </c>
      <c r="T690" s="201" t="s">
        <v>2139</v>
      </c>
    </row>
    <row r="691" spans="1:20" ht="22.5" customHeight="1" x14ac:dyDescent="0.25">
      <c r="A691" s="208" t="s">
        <v>3102</v>
      </c>
      <c r="B691" s="167">
        <v>2026</v>
      </c>
      <c r="C691" s="142" t="s">
        <v>20</v>
      </c>
      <c r="D691" s="188" t="s">
        <v>2140</v>
      </c>
      <c r="E691" s="177" t="s">
        <v>2141</v>
      </c>
      <c r="F691" s="144" t="s">
        <v>51</v>
      </c>
      <c r="G691" s="189" t="s">
        <v>2036</v>
      </c>
      <c r="H691" s="190" t="s">
        <v>2142</v>
      </c>
      <c r="I691" s="191">
        <v>46195</v>
      </c>
      <c r="J691" s="191">
        <v>46196</v>
      </c>
      <c r="K691" s="142" t="s">
        <v>25</v>
      </c>
      <c r="L691" s="196"/>
      <c r="M691" s="192">
        <v>4.8600000000000003</v>
      </c>
      <c r="N691" s="193">
        <v>200</v>
      </c>
      <c r="O691" s="194">
        <v>41</v>
      </c>
      <c r="P691" s="194">
        <v>114</v>
      </c>
      <c r="Q691" s="194">
        <v>41</v>
      </c>
      <c r="R691" s="194">
        <f>SUM(O691:Q691)</f>
        <v>196</v>
      </c>
      <c r="S691" s="188">
        <v>14</v>
      </c>
      <c r="T691" s="145" t="s">
        <v>365</v>
      </c>
    </row>
    <row r="692" spans="1:20" ht="22.5" customHeight="1" x14ac:dyDescent="0.25">
      <c r="A692" s="208" t="s">
        <v>2325</v>
      </c>
      <c r="B692" s="167">
        <v>2026</v>
      </c>
      <c r="C692" s="198" t="s">
        <v>20</v>
      </c>
      <c r="D692" s="198" t="s">
        <v>2106</v>
      </c>
      <c r="E692" s="199" t="s">
        <v>2143</v>
      </c>
      <c r="F692" s="200" t="s">
        <v>22</v>
      </c>
      <c r="G692" s="201" t="s">
        <v>2057</v>
      </c>
      <c r="H692" s="208" t="s">
        <v>2144</v>
      </c>
      <c r="I692" s="209">
        <v>46196</v>
      </c>
      <c r="J692" s="209">
        <v>46198</v>
      </c>
      <c r="K692" s="198" t="s">
        <v>32</v>
      </c>
      <c r="L692" s="221">
        <v>6497.28</v>
      </c>
      <c r="M692" s="205">
        <v>4.8899999999999997</v>
      </c>
      <c r="N692" s="206">
        <v>20</v>
      </c>
      <c r="O692" s="207">
        <v>24</v>
      </c>
      <c r="P692" s="207">
        <v>0</v>
      </c>
      <c r="Q692" s="207">
        <v>0</v>
      </c>
      <c r="R692" s="207">
        <f>IF(B692="","",SUM(O692:Q692))</f>
        <v>24</v>
      </c>
      <c r="S692" s="198">
        <v>8</v>
      </c>
      <c r="T692" s="222" t="s">
        <v>2077</v>
      </c>
    </row>
    <row r="693" spans="1:20" ht="22.5" customHeight="1" x14ac:dyDescent="0.25">
      <c r="A693" s="208" t="s">
        <v>2326</v>
      </c>
      <c r="B693" s="167">
        <v>2026</v>
      </c>
      <c r="C693" s="198" t="s">
        <v>20</v>
      </c>
      <c r="D693" s="198" t="s">
        <v>2145</v>
      </c>
      <c r="E693" s="199" t="s">
        <v>2146</v>
      </c>
      <c r="F693" s="200" t="s">
        <v>51</v>
      </c>
      <c r="G693" s="201" t="s">
        <v>59</v>
      </c>
      <c r="H693" s="208" t="s">
        <v>2147</v>
      </c>
      <c r="I693" s="209">
        <v>46203</v>
      </c>
      <c r="J693" s="209">
        <v>46205</v>
      </c>
      <c r="K693" s="198" t="s">
        <v>32</v>
      </c>
      <c r="L693" s="221">
        <v>6497.28</v>
      </c>
      <c r="M693" s="205">
        <v>4.8899999999999997</v>
      </c>
      <c r="N693" s="206">
        <v>20</v>
      </c>
      <c r="O693" s="207">
        <v>2</v>
      </c>
      <c r="P693" s="207">
        <v>26</v>
      </c>
      <c r="Q693" s="207">
        <v>0</v>
      </c>
      <c r="R693" s="207">
        <f>IF(B693="","",SUM(O693:Q693))</f>
        <v>28</v>
      </c>
      <c r="S693" s="198">
        <v>8</v>
      </c>
      <c r="T693" s="222" t="s">
        <v>2077</v>
      </c>
    </row>
    <row r="694" spans="1:20" ht="22.5" customHeight="1" x14ac:dyDescent="0.25">
      <c r="A694" s="208" t="s">
        <v>3103</v>
      </c>
      <c r="B694" s="167">
        <v>2026</v>
      </c>
      <c r="C694" s="198" t="s">
        <v>2092</v>
      </c>
      <c r="D694" s="198" t="s">
        <v>2148</v>
      </c>
      <c r="E694" s="199" t="s">
        <v>2149</v>
      </c>
      <c r="F694" s="200" t="s">
        <v>22</v>
      </c>
      <c r="G694" s="201" t="s">
        <v>23</v>
      </c>
      <c r="H694" s="208" t="s">
        <v>2095</v>
      </c>
      <c r="I694" s="209">
        <v>46204</v>
      </c>
      <c r="J694" s="209">
        <v>46387</v>
      </c>
      <c r="K694" s="198" t="s">
        <v>32</v>
      </c>
      <c r="L694" s="204"/>
      <c r="M694" s="205"/>
      <c r="N694" s="206"/>
      <c r="O694" s="207"/>
      <c r="P694" s="207"/>
      <c r="Q694" s="207"/>
      <c r="R694" s="207">
        <f>IF(B694="","",SUM(O694:Q694))</f>
        <v>0</v>
      </c>
      <c r="S694" s="198">
        <v>16</v>
      </c>
      <c r="T694" s="201" t="s">
        <v>425</v>
      </c>
    </row>
    <row r="695" spans="1:20" ht="22.5" customHeight="1" x14ac:dyDescent="0.25">
      <c r="A695" s="208" t="s">
        <v>3104</v>
      </c>
      <c r="B695" s="167">
        <v>2026</v>
      </c>
      <c r="C695" s="198" t="s">
        <v>20</v>
      </c>
      <c r="D695" s="198" t="s">
        <v>2150</v>
      </c>
      <c r="E695" s="199" t="s">
        <v>2151</v>
      </c>
      <c r="F695" s="200" t="s">
        <v>66</v>
      </c>
      <c r="G695" s="201" t="s">
        <v>2073</v>
      </c>
      <c r="H695" s="208" t="s">
        <v>2152</v>
      </c>
      <c r="I695" s="209">
        <v>46204</v>
      </c>
      <c r="J695" s="209">
        <v>46206</v>
      </c>
      <c r="K695" s="198" t="s">
        <v>32</v>
      </c>
      <c r="L695" s="204">
        <v>7956.94</v>
      </c>
      <c r="M695" s="205">
        <v>4.6900000000000004</v>
      </c>
      <c r="N695" s="206">
        <v>30</v>
      </c>
      <c r="O695" s="207">
        <v>0</v>
      </c>
      <c r="P695" s="207">
        <v>42</v>
      </c>
      <c r="Q695" s="207">
        <v>0</v>
      </c>
      <c r="R695" s="207">
        <f>IF(B695="","",SUM(O695:Q695))</f>
        <v>42</v>
      </c>
      <c r="S695" s="198">
        <v>12</v>
      </c>
      <c r="T695" s="201" t="s">
        <v>1848</v>
      </c>
    </row>
    <row r="696" spans="1:20" ht="22.5" customHeight="1" x14ac:dyDescent="0.25">
      <c r="A696" s="208" t="s">
        <v>3105</v>
      </c>
      <c r="B696" s="167">
        <v>2026</v>
      </c>
      <c r="C696" s="179" t="s">
        <v>20</v>
      </c>
      <c r="D696" s="142" t="s">
        <v>2112</v>
      </c>
      <c r="E696" s="143" t="s">
        <v>2153</v>
      </c>
      <c r="F696" s="144" t="s">
        <v>22</v>
      </c>
      <c r="G696" s="145" t="s">
        <v>2041</v>
      </c>
      <c r="H696" s="146" t="s">
        <v>2154</v>
      </c>
      <c r="I696" s="147">
        <v>46210</v>
      </c>
      <c r="J696" s="147">
        <v>46212</v>
      </c>
      <c r="K696" s="142" t="s">
        <v>32</v>
      </c>
      <c r="L696" s="186">
        <v>0</v>
      </c>
      <c r="M696" s="149">
        <v>4.79</v>
      </c>
      <c r="N696" s="151">
        <v>15</v>
      </c>
      <c r="O696" s="151">
        <v>12</v>
      </c>
      <c r="P696" s="151">
        <v>0</v>
      </c>
      <c r="Q696" s="151">
        <v>0</v>
      </c>
      <c r="R696" s="151">
        <f>SUM(O696:Q696)</f>
        <v>12</v>
      </c>
      <c r="S696" s="142">
        <v>12</v>
      </c>
      <c r="T696" s="145" t="s">
        <v>2043</v>
      </c>
    </row>
    <row r="697" spans="1:20" ht="22.5" customHeight="1" x14ac:dyDescent="0.25">
      <c r="A697" s="208" t="s">
        <v>3106</v>
      </c>
      <c r="B697" s="167">
        <v>2026</v>
      </c>
      <c r="C697" s="198" t="s">
        <v>1933</v>
      </c>
      <c r="D697" s="198" t="s">
        <v>2155</v>
      </c>
      <c r="E697" s="199" t="s">
        <v>2156</v>
      </c>
      <c r="F697" s="200" t="s">
        <v>22</v>
      </c>
      <c r="G697" s="201" t="s">
        <v>56</v>
      </c>
      <c r="H697" s="208" t="s">
        <v>2157</v>
      </c>
      <c r="I697" s="209">
        <v>46223</v>
      </c>
      <c r="J697" s="209">
        <v>46233</v>
      </c>
      <c r="K697" s="198" t="s">
        <v>32</v>
      </c>
      <c r="L697" s="204">
        <v>20061.23</v>
      </c>
      <c r="M697" s="205"/>
      <c r="N697" s="206">
        <v>20</v>
      </c>
      <c r="O697" s="207"/>
      <c r="P697" s="207"/>
      <c r="Q697" s="207"/>
      <c r="R697" s="207">
        <f>IF(B697="","",SUM(O697:Q697))</f>
        <v>0</v>
      </c>
      <c r="S697" s="198">
        <v>24</v>
      </c>
      <c r="T697" s="201" t="s">
        <v>2130</v>
      </c>
    </row>
    <row r="698" spans="1:20" ht="22.5" customHeight="1" x14ac:dyDescent="0.25">
      <c r="A698" s="208" t="s">
        <v>2329</v>
      </c>
      <c r="B698" s="167">
        <v>2026</v>
      </c>
      <c r="C698" s="198" t="s">
        <v>20</v>
      </c>
      <c r="D698" s="198" t="s">
        <v>2158</v>
      </c>
      <c r="E698" s="199" t="s">
        <v>2159</v>
      </c>
      <c r="F698" s="200" t="s">
        <v>66</v>
      </c>
      <c r="G698" s="201" t="s">
        <v>2073</v>
      </c>
      <c r="H698" s="208" t="s">
        <v>2160</v>
      </c>
      <c r="I698" s="209">
        <v>46223</v>
      </c>
      <c r="J698" s="209">
        <v>46227</v>
      </c>
      <c r="K698" s="198" t="s">
        <v>32</v>
      </c>
      <c r="L698" s="221">
        <v>11334.44</v>
      </c>
      <c r="M698" s="205">
        <v>4.9000000000000004</v>
      </c>
      <c r="N698" s="206">
        <v>30</v>
      </c>
      <c r="O698" s="207">
        <v>0</v>
      </c>
      <c r="P698" s="151">
        <v>0</v>
      </c>
      <c r="Q698" s="207">
        <v>48</v>
      </c>
      <c r="R698" s="207">
        <f>IF(B698="","",SUM(O698:Q698))</f>
        <v>48</v>
      </c>
      <c r="S698" s="198">
        <v>20</v>
      </c>
      <c r="T698" s="201" t="s">
        <v>324</v>
      </c>
    </row>
    <row r="699" spans="1:20" ht="22.5" customHeight="1" x14ac:dyDescent="0.25">
      <c r="A699" s="208" t="s">
        <v>3107</v>
      </c>
      <c r="B699" s="167">
        <v>2026</v>
      </c>
      <c r="C699" s="198" t="s">
        <v>20</v>
      </c>
      <c r="D699" s="198" t="s">
        <v>2161</v>
      </c>
      <c r="E699" s="199" t="s">
        <v>2162</v>
      </c>
      <c r="F699" s="200" t="s">
        <v>51</v>
      </c>
      <c r="G699" s="201" t="s">
        <v>59</v>
      </c>
      <c r="H699" s="208" t="s">
        <v>2163</v>
      </c>
      <c r="I699" s="209">
        <v>46223</v>
      </c>
      <c r="J699" s="209">
        <v>46223</v>
      </c>
      <c r="K699" s="198" t="s">
        <v>32</v>
      </c>
      <c r="L699" s="204">
        <v>0</v>
      </c>
      <c r="M699" s="205">
        <v>4.66</v>
      </c>
      <c r="N699" s="206">
        <v>180</v>
      </c>
      <c r="O699" s="207">
        <v>19</v>
      </c>
      <c r="P699" s="207">
        <v>179</v>
      </c>
      <c r="Q699" s="207">
        <v>22</v>
      </c>
      <c r="R699" s="207">
        <f>IF(B699="","",SUM(O699:Q699))</f>
        <v>220</v>
      </c>
      <c r="S699" s="198">
        <v>4</v>
      </c>
      <c r="T699" s="201" t="s">
        <v>365</v>
      </c>
    </row>
    <row r="700" spans="1:20" ht="22.5" customHeight="1" x14ac:dyDescent="0.25">
      <c r="A700" s="208" t="s">
        <v>2330</v>
      </c>
      <c r="B700" s="167">
        <v>2026</v>
      </c>
      <c r="C700" s="198" t="s">
        <v>2092</v>
      </c>
      <c r="D700" s="198" t="s">
        <v>2164</v>
      </c>
      <c r="E700" s="199" t="s">
        <v>2165</v>
      </c>
      <c r="F700" s="200" t="s">
        <v>51</v>
      </c>
      <c r="G700" s="201" t="s">
        <v>59</v>
      </c>
      <c r="H700" s="208" t="s">
        <v>2166</v>
      </c>
      <c r="I700" s="209">
        <v>46237</v>
      </c>
      <c r="J700" s="209">
        <v>46238</v>
      </c>
      <c r="K700" s="198" t="s">
        <v>32</v>
      </c>
      <c r="L700" s="204"/>
      <c r="M700" s="205"/>
      <c r="N700" s="206">
        <v>400</v>
      </c>
      <c r="O700" s="207"/>
      <c r="P700" s="207"/>
      <c r="Q700" s="207"/>
      <c r="R700" s="207">
        <f>IF(B700="","",SUM(O700:Q700))</f>
        <v>0</v>
      </c>
      <c r="S700" s="198">
        <v>8</v>
      </c>
      <c r="T700" s="201" t="s">
        <v>2167</v>
      </c>
    </row>
    <row r="701" spans="1:20" ht="22.5" customHeight="1" x14ac:dyDescent="0.25">
      <c r="A701" s="208" t="s">
        <v>2333</v>
      </c>
      <c r="B701" s="167">
        <v>2026</v>
      </c>
      <c r="C701" s="198" t="s">
        <v>2111</v>
      </c>
      <c r="D701" s="142" t="s">
        <v>2112</v>
      </c>
      <c r="E701" s="143" t="s">
        <v>2153</v>
      </c>
      <c r="F701" s="200" t="s">
        <v>22</v>
      </c>
      <c r="G701" s="201" t="s">
        <v>2041</v>
      </c>
      <c r="H701" s="208" t="s">
        <v>2168</v>
      </c>
      <c r="I701" s="209">
        <v>46237</v>
      </c>
      <c r="J701" s="209">
        <v>46239</v>
      </c>
      <c r="K701" s="198" t="s">
        <v>32</v>
      </c>
      <c r="L701" s="204">
        <v>0</v>
      </c>
      <c r="M701" s="205"/>
      <c r="N701" s="206">
        <v>15</v>
      </c>
      <c r="O701" s="207"/>
      <c r="P701" s="207"/>
      <c r="Q701" s="207"/>
      <c r="R701" s="207">
        <f>IF(B701="","",SUM(O701:Q701))</f>
        <v>0</v>
      </c>
      <c r="S701" s="198">
        <v>15</v>
      </c>
      <c r="T701" s="201" t="s">
        <v>2043</v>
      </c>
    </row>
    <row r="702" spans="1:20" ht="22.5" customHeight="1" x14ac:dyDescent="0.25">
      <c r="A702" s="208" t="s">
        <v>3108</v>
      </c>
      <c r="B702" s="167">
        <v>2026</v>
      </c>
      <c r="C702" s="198" t="s">
        <v>2092</v>
      </c>
      <c r="D702" s="198" t="s">
        <v>2169</v>
      </c>
      <c r="E702" s="199" t="s">
        <v>2170</v>
      </c>
      <c r="F702" s="200" t="s">
        <v>51</v>
      </c>
      <c r="G702" s="201" t="s">
        <v>59</v>
      </c>
      <c r="H702" s="208" t="s">
        <v>2171</v>
      </c>
      <c r="I702" s="209">
        <v>46244</v>
      </c>
      <c r="J702" s="209">
        <v>46245</v>
      </c>
      <c r="K702" s="198" t="s">
        <v>32</v>
      </c>
      <c r="L702" s="204"/>
      <c r="M702" s="205"/>
      <c r="N702" s="206">
        <v>40</v>
      </c>
      <c r="O702" s="207"/>
      <c r="P702" s="207"/>
      <c r="Q702" s="207"/>
      <c r="R702" s="207">
        <f>IF(B702="","",SUM(O702:Q702))</f>
        <v>0</v>
      </c>
      <c r="S702" s="198">
        <v>8</v>
      </c>
      <c r="T702" s="222" t="s">
        <v>2172</v>
      </c>
    </row>
    <row r="703" spans="1:20" ht="22.5" customHeight="1" x14ac:dyDescent="0.25">
      <c r="A703" s="208" t="s">
        <v>2331</v>
      </c>
      <c r="B703" s="167">
        <v>2026</v>
      </c>
      <c r="C703" s="198" t="s">
        <v>2092</v>
      </c>
      <c r="D703" s="198" t="s">
        <v>2173</v>
      </c>
      <c r="E703" s="199" t="s">
        <v>2174</v>
      </c>
      <c r="F703" s="200" t="s">
        <v>51</v>
      </c>
      <c r="G703" s="201" t="s">
        <v>59</v>
      </c>
      <c r="H703" s="208" t="s">
        <v>2175</v>
      </c>
      <c r="I703" s="209">
        <v>46244</v>
      </c>
      <c r="J703" s="209">
        <v>46244</v>
      </c>
      <c r="K703" s="198" t="s">
        <v>32</v>
      </c>
      <c r="L703" s="204">
        <v>1990</v>
      </c>
      <c r="M703" s="205"/>
      <c r="N703" s="206">
        <v>20</v>
      </c>
      <c r="O703" s="207"/>
      <c r="P703" s="207"/>
      <c r="Q703" s="207"/>
      <c r="R703" s="207">
        <f>IF(B703="","",SUM(O703:Q703))</f>
        <v>0</v>
      </c>
      <c r="S703" s="198">
        <v>4</v>
      </c>
      <c r="T703" s="201" t="s">
        <v>1848</v>
      </c>
    </row>
    <row r="704" spans="1:20" ht="22.5" customHeight="1" x14ac:dyDescent="0.25">
      <c r="A704" s="208" t="s">
        <v>2332</v>
      </c>
      <c r="B704" s="167">
        <v>2026</v>
      </c>
      <c r="C704" s="198" t="s">
        <v>2092</v>
      </c>
      <c r="D704" s="198" t="s">
        <v>2176</v>
      </c>
      <c r="E704" s="199" t="s">
        <v>2177</v>
      </c>
      <c r="F704" s="200" t="s">
        <v>51</v>
      </c>
      <c r="G704" s="201" t="s">
        <v>59</v>
      </c>
      <c r="H704" s="208" t="s">
        <v>2175</v>
      </c>
      <c r="I704" s="209">
        <v>46244</v>
      </c>
      <c r="J704" s="209">
        <v>46244</v>
      </c>
      <c r="K704" s="198" t="s">
        <v>32</v>
      </c>
      <c r="L704" s="204">
        <v>3520</v>
      </c>
      <c r="M704" s="205"/>
      <c r="N704" s="206">
        <v>30</v>
      </c>
      <c r="O704" s="207"/>
      <c r="P704" s="207"/>
      <c r="Q704" s="207"/>
      <c r="R704" s="207">
        <f>IF(B704="","",SUM(O704:Q704))</f>
        <v>0</v>
      </c>
      <c r="S704" s="198">
        <v>4</v>
      </c>
      <c r="T704" s="201" t="s">
        <v>2178</v>
      </c>
    </row>
    <row r="705" spans="1:21" ht="22.5" customHeight="1" x14ac:dyDescent="0.25">
      <c r="A705" s="208" t="s">
        <v>3109</v>
      </c>
      <c r="B705" s="167">
        <v>2026</v>
      </c>
      <c r="C705" s="198" t="s">
        <v>2092</v>
      </c>
      <c r="D705" s="198" t="s">
        <v>2179</v>
      </c>
      <c r="E705" s="199" t="s">
        <v>2180</v>
      </c>
      <c r="F705" s="200" t="s">
        <v>51</v>
      </c>
      <c r="G705" s="201" t="s">
        <v>59</v>
      </c>
      <c r="H705" s="208" t="s">
        <v>2181</v>
      </c>
      <c r="I705" s="209">
        <v>46245</v>
      </c>
      <c r="J705" s="209">
        <v>46245</v>
      </c>
      <c r="K705" s="198" t="s">
        <v>32</v>
      </c>
      <c r="L705" s="204">
        <v>3520</v>
      </c>
      <c r="M705" s="205"/>
      <c r="N705" s="206">
        <v>30</v>
      </c>
      <c r="O705" s="207"/>
      <c r="P705" s="207"/>
      <c r="Q705" s="207"/>
      <c r="R705" s="207">
        <f>IF(B705="","",SUM(O705:Q705))</f>
        <v>0</v>
      </c>
      <c r="S705" s="198">
        <v>4</v>
      </c>
      <c r="T705" s="201" t="s">
        <v>1856</v>
      </c>
    </row>
    <row r="706" spans="1:21" ht="22.5" customHeight="1" x14ac:dyDescent="0.25">
      <c r="A706" s="208" t="s">
        <v>3110</v>
      </c>
      <c r="B706" s="167">
        <v>2026</v>
      </c>
      <c r="C706" s="198" t="s">
        <v>2092</v>
      </c>
      <c r="D706" s="198" t="s">
        <v>2182</v>
      </c>
      <c r="E706" s="199" t="s">
        <v>2183</v>
      </c>
      <c r="F706" s="200" t="s">
        <v>51</v>
      </c>
      <c r="G706" s="201" t="s">
        <v>59</v>
      </c>
      <c r="H706" s="208" t="s">
        <v>2184</v>
      </c>
      <c r="I706" s="209">
        <v>46246</v>
      </c>
      <c r="J706" s="209">
        <v>46246</v>
      </c>
      <c r="K706" s="198" t="s">
        <v>32</v>
      </c>
      <c r="L706" s="204">
        <v>2347</v>
      </c>
      <c r="M706" s="205"/>
      <c r="N706" s="206">
        <v>50</v>
      </c>
      <c r="O706" s="207"/>
      <c r="P706" s="207"/>
      <c r="Q706" s="207"/>
      <c r="R706" s="207">
        <f>IF(B706="","",SUM(O706:Q706))</f>
        <v>0</v>
      </c>
      <c r="S706" s="198">
        <v>4</v>
      </c>
      <c r="T706" s="201" t="s">
        <v>1478</v>
      </c>
    </row>
    <row r="707" spans="1:21" ht="22.5" customHeight="1" x14ac:dyDescent="0.25">
      <c r="A707" s="208" t="s">
        <v>3111</v>
      </c>
      <c r="B707" s="167">
        <v>2026</v>
      </c>
      <c r="C707" s="198" t="s">
        <v>2092</v>
      </c>
      <c r="D707" s="198" t="s">
        <v>2185</v>
      </c>
      <c r="E707" s="199" t="s">
        <v>2186</v>
      </c>
      <c r="F707" s="200" t="s">
        <v>51</v>
      </c>
      <c r="G707" s="201" t="s">
        <v>59</v>
      </c>
      <c r="H707" s="208" t="s">
        <v>2184</v>
      </c>
      <c r="I707" s="209">
        <v>46246</v>
      </c>
      <c r="J707" s="209">
        <v>46246</v>
      </c>
      <c r="K707" s="198" t="s">
        <v>32</v>
      </c>
      <c r="L707" s="204">
        <v>3520</v>
      </c>
      <c r="M707" s="205"/>
      <c r="N707" s="206">
        <v>30</v>
      </c>
      <c r="O707" s="207"/>
      <c r="P707" s="207"/>
      <c r="Q707" s="207"/>
      <c r="R707" s="207">
        <f>IF(B707="","",SUM(O707:Q707))</f>
        <v>0</v>
      </c>
      <c r="S707" s="198">
        <v>4</v>
      </c>
      <c r="T707" s="201" t="s">
        <v>2187</v>
      </c>
    </row>
    <row r="708" spans="1:21" ht="22.5" customHeight="1" x14ac:dyDescent="0.25">
      <c r="A708" s="208" t="s">
        <v>3112</v>
      </c>
      <c r="B708" s="167">
        <v>2026</v>
      </c>
      <c r="C708" s="198" t="s">
        <v>2092</v>
      </c>
      <c r="D708" s="198" t="s">
        <v>2188</v>
      </c>
      <c r="E708" s="199" t="s">
        <v>2189</v>
      </c>
      <c r="F708" s="200" t="s">
        <v>51</v>
      </c>
      <c r="G708" s="201" t="s">
        <v>59</v>
      </c>
      <c r="H708" s="208" t="s">
        <v>2190</v>
      </c>
      <c r="I708" s="209">
        <v>46247</v>
      </c>
      <c r="J708" s="209">
        <v>46247</v>
      </c>
      <c r="K708" s="198" t="s">
        <v>32</v>
      </c>
      <c r="L708" s="204">
        <v>1770</v>
      </c>
      <c r="M708" s="205"/>
      <c r="N708" s="206">
        <v>50</v>
      </c>
      <c r="O708" s="207"/>
      <c r="P708" s="207"/>
      <c r="Q708" s="207"/>
      <c r="R708" s="207">
        <f>IF(B708="","",SUM(O708:Q708))</f>
        <v>0</v>
      </c>
      <c r="S708" s="198">
        <v>4</v>
      </c>
      <c r="T708" s="201" t="s">
        <v>2191</v>
      </c>
    </row>
    <row r="709" spans="1:21" ht="22.5" customHeight="1" x14ac:dyDescent="0.25">
      <c r="A709" s="208" t="s">
        <v>3113</v>
      </c>
      <c r="B709" s="167">
        <v>2026</v>
      </c>
      <c r="C709" s="198" t="s">
        <v>2092</v>
      </c>
      <c r="D709" s="198" t="s">
        <v>2192</v>
      </c>
      <c r="E709" s="199" t="s">
        <v>2193</v>
      </c>
      <c r="F709" s="200" t="s">
        <v>51</v>
      </c>
      <c r="G709" s="201" t="s">
        <v>59</v>
      </c>
      <c r="H709" s="208" t="s">
        <v>2190</v>
      </c>
      <c r="I709" s="209">
        <v>46247</v>
      </c>
      <c r="J709" s="209">
        <v>46247</v>
      </c>
      <c r="K709" s="198" t="s">
        <v>32</v>
      </c>
      <c r="L709" s="204">
        <v>3520</v>
      </c>
      <c r="M709" s="205"/>
      <c r="N709" s="206">
        <v>30</v>
      </c>
      <c r="O709" s="207"/>
      <c r="P709" s="207"/>
      <c r="Q709" s="207"/>
      <c r="R709" s="207">
        <f>IF(B709="","",SUM(O709:Q709))</f>
        <v>0</v>
      </c>
      <c r="S709" s="198">
        <v>4</v>
      </c>
      <c r="T709" s="201" t="s">
        <v>2194</v>
      </c>
      <c r="U709" s="108"/>
    </row>
    <row r="710" spans="1:21" ht="22.5" customHeight="1" x14ac:dyDescent="0.25">
      <c r="A710" s="208" t="s">
        <v>2343</v>
      </c>
      <c r="B710" s="167">
        <v>2026</v>
      </c>
      <c r="C710" s="198" t="s">
        <v>2092</v>
      </c>
      <c r="D710" s="198" t="s">
        <v>2195</v>
      </c>
      <c r="E710" s="199" t="s">
        <v>2196</v>
      </c>
      <c r="F710" s="200" t="s">
        <v>22</v>
      </c>
      <c r="G710" s="201" t="s">
        <v>157</v>
      </c>
      <c r="H710" s="208" t="s">
        <v>2197</v>
      </c>
      <c r="I710" s="209">
        <v>46248</v>
      </c>
      <c r="J710" s="209">
        <v>46248</v>
      </c>
      <c r="K710" s="198" t="s">
        <v>32</v>
      </c>
      <c r="L710" s="204"/>
      <c r="M710" s="205"/>
      <c r="N710" s="206">
        <v>170</v>
      </c>
      <c r="O710" s="207"/>
      <c r="P710" s="207"/>
      <c r="Q710" s="207"/>
      <c r="R710" s="207">
        <f>IF(B710="","",SUM(O710:Q710))</f>
        <v>0</v>
      </c>
      <c r="S710" s="198">
        <v>2</v>
      </c>
      <c r="T710" s="222" t="s">
        <v>2198</v>
      </c>
    </row>
    <row r="711" spans="1:21" ht="22.5" customHeight="1" x14ac:dyDescent="0.25">
      <c r="A711" s="208" t="s">
        <v>3114</v>
      </c>
      <c r="B711" s="167">
        <v>2026</v>
      </c>
      <c r="C711" s="198" t="s">
        <v>2092</v>
      </c>
      <c r="D711" s="198" t="s">
        <v>2085</v>
      </c>
      <c r="E711" s="199" t="s">
        <v>2199</v>
      </c>
      <c r="F711" s="200" t="s">
        <v>66</v>
      </c>
      <c r="G711" s="201" t="s">
        <v>2073</v>
      </c>
      <c r="H711" s="208" t="s">
        <v>2200</v>
      </c>
      <c r="I711" s="209">
        <v>46254</v>
      </c>
      <c r="J711" s="209">
        <v>46254</v>
      </c>
      <c r="K711" s="198" t="s">
        <v>32</v>
      </c>
      <c r="L711" s="204"/>
      <c r="M711" s="205"/>
      <c r="N711" s="206">
        <v>80</v>
      </c>
      <c r="O711" s="207"/>
      <c r="P711" s="207"/>
      <c r="Q711" s="207"/>
      <c r="R711" s="207">
        <f>IF(B711="","",SUM(O711:Q711))</f>
        <v>0</v>
      </c>
      <c r="S711" s="198">
        <v>4</v>
      </c>
      <c r="T711" s="222" t="s">
        <v>2201</v>
      </c>
    </row>
    <row r="712" spans="1:21" ht="22.5" customHeight="1" x14ac:dyDescent="0.25">
      <c r="A712" s="208" t="s">
        <v>2342</v>
      </c>
      <c r="B712" s="167">
        <v>2026</v>
      </c>
      <c r="C712" s="198" t="s">
        <v>2092</v>
      </c>
      <c r="D712" s="198" t="s">
        <v>2085</v>
      </c>
      <c r="E712" s="199" t="s">
        <v>2199</v>
      </c>
      <c r="F712" s="200" t="s">
        <v>66</v>
      </c>
      <c r="G712" s="201" t="s">
        <v>2073</v>
      </c>
      <c r="H712" s="208" t="s">
        <v>2202</v>
      </c>
      <c r="I712" s="209">
        <v>46255</v>
      </c>
      <c r="J712" s="209">
        <v>46255</v>
      </c>
      <c r="K712" s="198" t="s">
        <v>32</v>
      </c>
      <c r="L712" s="204"/>
      <c r="M712" s="205"/>
      <c r="N712" s="206">
        <v>80</v>
      </c>
      <c r="O712" s="207"/>
      <c r="P712" s="207"/>
      <c r="Q712" s="207"/>
      <c r="R712" s="207">
        <f>IF(B712="","",SUM(O712:Q712))</f>
        <v>0</v>
      </c>
      <c r="S712" s="198">
        <v>4</v>
      </c>
      <c r="T712" s="222" t="s">
        <v>2203</v>
      </c>
    </row>
    <row r="713" spans="1:21" ht="22.5" customHeight="1" x14ac:dyDescent="0.25">
      <c r="A713" s="208" t="s">
        <v>2298</v>
      </c>
      <c r="B713" s="167">
        <v>2026</v>
      </c>
      <c r="C713" s="198" t="s">
        <v>2092</v>
      </c>
      <c r="D713" s="198" t="s">
        <v>2204</v>
      </c>
      <c r="E713" s="199" t="s">
        <v>2205</v>
      </c>
      <c r="F713" s="200" t="s">
        <v>51</v>
      </c>
      <c r="G713" s="201" t="s">
        <v>59</v>
      </c>
      <c r="H713" s="235" t="s">
        <v>2206</v>
      </c>
      <c r="I713" s="209">
        <v>46259</v>
      </c>
      <c r="J713" s="209">
        <v>46268</v>
      </c>
      <c r="K713" s="198" t="s">
        <v>32</v>
      </c>
      <c r="L713" s="204"/>
      <c r="M713" s="205"/>
      <c r="N713" s="206">
        <v>30</v>
      </c>
      <c r="O713" s="207"/>
      <c r="P713" s="207"/>
      <c r="Q713" s="207"/>
      <c r="R713" s="207">
        <f>IF(B713="","",SUM(O713:Q713))</f>
        <v>0</v>
      </c>
      <c r="S713" s="198">
        <v>20</v>
      </c>
      <c r="T713" s="201" t="s">
        <v>2207</v>
      </c>
    </row>
    <row r="714" spans="1:21" ht="22.5" customHeight="1" x14ac:dyDescent="0.25">
      <c r="A714" s="208" t="s">
        <v>3115</v>
      </c>
      <c r="B714" s="167">
        <v>2026</v>
      </c>
      <c r="C714" s="179" t="s">
        <v>2092</v>
      </c>
      <c r="D714" s="142" t="s">
        <v>2208</v>
      </c>
      <c r="E714" s="177" t="s">
        <v>2209</v>
      </c>
      <c r="F714" s="144" t="s">
        <v>66</v>
      </c>
      <c r="G714" s="145" t="s">
        <v>2073</v>
      </c>
      <c r="H714" s="146" t="s">
        <v>2210</v>
      </c>
      <c r="I714" s="147">
        <v>46273</v>
      </c>
      <c r="J714" s="147">
        <v>46283</v>
      </c>
      <c r="K714" s="142" t="s">
        <v>25</v>
      </c>
      <c r="L714" s="186">
        <v>25200</v>
      </c>
      <c r="M714" s="149"/>
      <c r="N714" s="150">
        <v>60</v>
      </c>
      <c r="O714" s="151"/>
      <c r="P714" s="151"/>
      <c r="Q714" s="151"/>
      <c r="R714" s="151">
        <f>SUM(O714:Q714)</f>
        <v>0</v>
      </c>
      <c r="S714" s="142">
        <v>32</v>
      </c>
      <c r="T714" s="145" t="s">
        <v>2211</v>
      </c>
    </row>
    <row r="715" spans="1:21" ht="22.5" customHeight="1" x14ac:dyDescent="0.25">
      <c r="A715" s="208" t="s">
        <v>2341</v>
      </c>
      <c r="B715" s="167">
        <v>2026</v>
      </c>
      <c r="C715" s="198" t="s">
        <v>2092</v>
      </c>
      <c r="D715" s="198" t="s">
        <v>2085</v>
      </c>
      <c r="E715" s="199" t="s">
        <v>2199</v>
      </c>
      <c r="F715" s="200" t="s">
        <v>66</v>
      </c>
      <c r="G715" s="201" t="s">
        <v>2073</v>
      </c>
      <c r="H715" s="208" t="s">
        <v>2212</v>
      </c>
      <c r="I715" s="209">
        <v>46289</v>
      </c>
      <c r="J715" s="209">
        <v>46289</v>
      </c>
      <c r="K715" s="198" t="s">
        <v>32</v>
      </c>
      <c r="L715" s="204"/>
      <c r="M715" s="205"/>
      <c r="N715" s="206">
        <v>80</v>
      </c>
      <c r="O715" s="207"/>
      <c r="P715" s="207"/>
      <c r="Q715" s="207"/>
      <c r="R715" s="207">
        <f>IF(B715="","",SUM(O715:Q715))</f>
        <v>0</v>
      </c>
      <c r="S715" s="198">
        <v>4</v>
      </c>
      <c r="T715" s="222" t="s">
        <v>2203</v>
      </c>
    </row>
    <row r="716" spans="1:21" ht="22.5" customHeight="1" x14ac:dyDescent="0.25">
      <c r="A716" s="208" t="s">
        <v>3116</v>
      </c>
      <c r="B716" s="167">
        <v>2026</v>
      </c>
      <c r="C716" s="198" t="s">
        <v>2092</v>
      </c>
      <c r="D716" s="198" t="s">
        <v>2085</v>
      </c>
      <c r="E716" s="199" t="s">
        <v>2199</v>
      </c>
      <c r="F716" s="200" t="s">
        <v>66</v>
      </c>
      <c r="G716" s="201" t="s">
        <v>2073</v>
      </c>
      <c r="H716" s="208" t="s">
        <v>2213</v>
      </c>
      <c r="I716" s="209">
        <v>46290</v>
      </c>
      <c r="J716" s="209">
        <v>46290</v>
      </c>
      <c r="K716" s="198" t="s">
        <v>32</v>
      </c>
      <c r="L716" s="204"/>
      <c r="M716" s="205"/>
      <c r="N716" s="206">
        <v>80</v>
      </c>
      <c r="O716" s="207"/>
      <c r="P716" s="207"/>
      <c r="Q716" s="207"/>
      <c r="R716" s="207">
        <f>IF(B716="","",SUM(O716:Q716))</f>
        <v>0</v>
      </c>
      <c r="S716" s="198">
        <v>4</v>
      </c>
      <c r="T716" s="222" t="s">
        <v>2203</v>
      </c>
    </row>
    <row r="717" spans="1:21" ht="22.5" customHeight="1" x14ac:dyDescent="0.25">
      <c r="A717" s="208" t="s">
        <v>3117</v>
      </c>
      <c r="B717" s="167">
        <v>2026</v>
      </c>
      <c r="C717" s="198" t="s">
        <v>2092</v>
      </c>
      <c r="D717" s="198" t="s">
        <v>2085</v>
      </c>
      <c r="E717" s="199" t="s">
        <v>2199</v>
      </c>
      <c r="F717" s="200" t="s">
        <v>66</v>
      </c>
      <c r="G717" s="201" t="s">
        <v>2073</v>
      </c>
      <c r="H717" s="208" t="s">
        <v>2214</v>
      </c>
      <c r="I717" s="209">
        <v>46303</v>
      </c>
      <c r="J717" s="209">
        <v>46303</v>
      </c>
      <c r="K717" s="198" t="s">
        <v>32</v>
      </c>
      <c r="L717" s="204"/>
      <c r="M717" s="205"/>
      <c r="N717" s="206"/>
      <c r="O717" s="207"/>
      <c r="P717" s="207"/>
      <c r="Q717" s="207"/>
      <c r="R717" s="207">
        <f>IF(B717="","",SUM(O717:Q717))</f>
        <v>0</v>
      </c>
      <c r="S717" s="198">
        <v>4</v>
      </c>
      <c r="T717" s="222" t="s">
        <v>2203</v>
      </c>
    </row>
    <row r="718" spans="1:21" ht="22.5" customHeight="1" x14ac:dyDescent="0.25">
      <c r="A718" s="208" t="s">
        <v>3118</v>
      </c>
      <c r="B718" s="167">
        <v>2026</v>
      </c>
      <c r="C718" s="198" t="s">
        <v>2092</v>
      </c>
      <c r="D718" s="198" t="s">
        <v>2085</v>
      </c>
      <c r="E718" s="199" t="s">
        <v>2199</v>
      </c>
      <c r="F718" s="200" t="s">
        <v>66</v>
      </c>
      <c r="G718" s="201" t="s">
        <v>2073</v>
      </c>
      <c r="H718" s="208" t="s">
        <v>2215</v>
      </c>
      <c r="I718" s="209">
        <v>46304</v>
      </c>
      <c r="J718" s="209">
        <v>46274</v>
      </c>
      <c r="K718" s="198" t="s">
        <v>32</v>
      </c>
      <c r="L718" s="204"/>
      <c r="M718" s="205"/>
      <c r="N718" s="206"/>
      <c r="O718" s="207"/>
      <c r="P718" s="207"/>
      <c r="Q718" s="207"/>
      <c r="R718" s="207">
        <f>IF(B718="","",SUM(O718:Q718))</f>
        <v>0</v>
      </c>
      <c r="S718" s="198">
        <v>4</v>
      </c>
      <c r="T718" s="222" t="s">
        <v>2203</v>
      </c>
    </row>
    <row r="719" spans="1:21" ht="22.5" customHeight="1" x14ac:dyDescent="0.25">
      <c r="A719" s="208" t="s">
        <v>3119</v>
      </c>
      <c r="B719" s="167">
        <v>2026</v>
      </c>
      <c r="C719" s="198" t="s">
        <v>2092</v>
      </c>
      <c r="D719" s="198" t="s">
        <v>2216</v>
      </c>
      <c r="E719" s="199" t="s">
        <v>2217</v>
      </c>
      <c r="F719" s="200" t="s">
        <v>51</v>
      </c>
      <c r="G719" s="201" t="s">
        <v>59</v>
      </c>
      <c r="H719" s="208" t="s">
        <v>2218</v>
      </c>
      <c r="I719" s="209">
        <v>46321</v>
      </c>
      <c r="J719" s="209">
        <v>46322</v>
      </c>
      <c r="K719" s="236" t="s">
        <v>25</v>
      </c>
      <c r="L719" s="204"/>
      <c r="M719" s="205"/>
      <c r="N719" s="206">
        <v>170</v>
      </c>
      <c r="O719" s="207"/>
      <c r="P719" s="207"/>
      <c r="Q719" s="207"/>
      <c r="R719" s="207">
        <f>IF(B719="","",SUM(O719:Q719))</f>
        <v>0</v>
      </c>
      <c r="S719" s="198">
        <v>14</v>
      </c>
      <c r="T719" s="222" t="s">
        <v>365</v>
      </c>
    </row>
    <row r="720" spans="1:21" ht="22.5" customHeight="1" x14ac:dyDescent="0.25">
      <c r="A720" s="208" t="s">
        <v>3120</v>
      </c>
      <c r="B720" s="167">
        <v>2026</v>
      </c>
      <c r="C720" s="142" t="s">
        <v>2092</v>
      </c>
      <c r="D720" s="188" t="s">
        <v>2219</v>
      </c>
      <c r="E720" s="195" t="s">
        <v>2220</v>
      </c>
      <c r="F720" s="144" t="s">
        <v>51</v>
      </c>
      <c r="G720" s="145" t="s">
        <v>59</v>
      </c>
      <c r="H720" s="190" t="s">
        <v>2221</v>
      </c>
      <c r="I720" s="191">
        <v>46335</v>
      </c>
      <c r="J720" s="191">
        <v>46335</v>
      </c>
      <c r="K720" s="142" t="s">
        <v>25</v>
      </c>
      <c r="L720" s="196"/>
      <c r="M720" s="192"/>
      <c r="N720" s="193">
        <v>170</v>
      </c>
      <c r="O720" s="194"/>
      <c r="P720" s="194"/>
      <c r="Q720" s="194"/>
      <c r="R720" s="194">
        <f>SUM(O720:Q720)</f>
        <v>0</v>
      </c>
      <c r="S720" s="188">
        <v>14</v>
      </c>
      <c r="T720" s="145" t="s">
        <v>365</v>
      </c>
    </row>
    <row r="721" spans="1:20" ht="22.5" customHeight="1" x14ac:dyDescent="0.25">
      <c r="A721" s="208" t="s">
        <v>3121</v>
      </c>
      <c r="B721" s="167">
        <v>2026</v>
      </c>
      <c r="C721" s="210" t="s">
        <v>2092</v>
      </c>
      <c r="D721" s="210" t="s">
        <v>2222</v>
      </c>
      <c r="E721" s="220" t="s">
        <v>2223</v>
      </c>
      <c r="F721" s="237" t="s">
        <v>22</v>
      </c>
      <c r="G721" s="211" t="s">
        <v>56</v>
      </c>
      <c r="H721" s="212" t="s">
        <v>2224</v>
      </c>
      <c r="I721" s="213">
        <v>46344</v>
      </c>
      <c r="J721" s="213">
        <v>46345</v>
      </c>
      <c r="K721" s="210" t="s">
        <v>25</v>
      </c>
      <c r="L721" s="214">
        <v>13000</v>
      </c>
      <c r="M721" s="215"/>
      <c r="N721" s="216"/>
      <c r="O721" s="217"/>
      <c r="P721" s="217"/>
      <c r="Q721" s="217"/>
      <c r="R721" s="217">
        <f>IF(B721="","",SUM(O721:Q721))</f>
        <v>0</v>
      </c>
      <c r="S721" s="210">
        <v>10</v>
      </c>
      <c r="T721" s="211" t="s">
        <v>2225</v>
      </c>
    </row>
    <row r="722" spans="1:20" ht="22.5" customHeight="1" x14ac:dyDescent="0.25">
      <c r="A722" s="208" t="s">
        <v>2424</v>
      </c>
      <c r="B722" s="142">
        <v>2026</v>
      </c>
      <c r="C722" s="198" t="s">
        <v>2092</v>
      </c>
      <c r="D722" s="198" t="s">
        <v>2226</v>
      </c>
      <c r="E722" s="199" t="s">
        <v>2227</v>
      </c>
      <c r="F722" s="200" t="s">
        <v>51</v>
      </c>
      <c r="G722" s="201" t="s">
        <v>59</v>
      </c>
      <c r="H722" s="208" t="s">
        <v>2095</v>
      </c>
      <c r="I722" s="209" t="s">
        <v>2228</v>
      </c>
      <c r="J722" s="209" t="s">
        <v>2229</v>
      </c>
      <c r="K722" s="198" t="s">
        <v>32</v>
      </c>
      <c r="L722" s="204"/>
      <c r="M722" s="205"/>
      <c r="N722" s="206"/>
      <c r="O722" s="207"/>
      <c r="P722" s="207"/>
      <c r="Q722" s="207"/>
      <c r="R722" s="207">
        <f>IF(B722="","",SUM(O722:Q722))</f>
        <v>0</v>
      </c>
      <c r="S722" s="198">
        <v>17.45</v>
      </c>
      <c r="T722" s="201" t="s">
        <v>2230</v>
      </c>
    </row>
    <row r="723" spans="1:20" ht="22.5" customHeight="1" x14ac:dyDescent="0.25">
      <c r="A723" s="208" t="s">
        <v>3122</v>
      </c>
      <c r="B723" s="167">
        <v>2026</v>
      </c>
      <c r="C723" s="198" t="s">
        <v>2092</v>
      </c>
      <c r="D723" s="198" t="s">
        <v>2234</v>
      </c>
      <c r="E723" s="199" t="s">
        <v>2235</v>
      </c>
      <c r="F723" s="200" t="s">
        <v>22</v>
      </c>
      <c r="G723" s="201" t="s">
        <v>157</v>
      </c>
      <c r="H723" s="208" t="s">
        <v>2175</v>
      </c>
      <c r="I723" s="208" t="s">
        <v>2175</v>
      </c>
      <c r="J723" s="208" t="s">
        <v>2175</v>
      </c>
      <c r="K723" s="198" t="s">
        <v>25</v>
      </c>
      <c r="L723" s="204">
        <v>2000</v>
      </c>
      <c r="M723" s="205"/>
      <c r="N723" s="206">
        <v>170</v>
      </c>
      <c r="O723" s="207"/>
      <c r="P723" s="207"/>
      <c r="Q723" s="207"/>
      <c r="R723" s="207">
        <f>IF(B723="","",SUM(O723:Q723))</f>
        <v>0</v>
      </c>
      <c r="S723" s="198">
        <v>1</v>
      </c>
      <c r="T723" s="201" t="s">
        <v>2236</v>
      </c>
    </row>
    <row r="724" spans="1:20" ht="22.5" customHeight="1" x14ac:dyDescent="0.25">
      <c r="A724" s="208" t="s">
        <v>3123</v>
      </c>
      <c r="B724" s="166">
        <v>2026</v>
      </c>
      <c r="C724" s="198" t="s">
        <v>2092</v>
      </c>
      <c r="D724" s="198" t="s">
        <v>2231</v>
      </c>
      <c r="E724" s="199" t="s">
        <v>2232</v>
      </c>
      <c r="F724" s="200" t="s">
        <v>51</v>
      </c>
      <c r="G724" s="201" t="s">
        <v>59</v>
      </c>
      <c r="H724" s="208" t="s">
        <v>2197</v>
      </c>
      <c r="I724" s="209" t="s">
        <v>2197</v>
      </c>
      <c r="J724" s="209" t="s">
        <v>2197</v>
      </c>
      <c r="K724" s="198" t="s">
        <v>32</v>
      </c>
      <c r="L724" s="204">
        <v>3520</v>
      </c>
      <c r="M724" s="205"/>
      <c r="N724" s="206">
        <v>30</v>
      </c>
      <c r="O724" s="207"/>
      <c r="P724" s="207"/>
      <c r="Q724" s="207"/>
      <c r="R724" s="207">
        <f>IF(B724="","",SUM(O724:Q724))</f>
        <v>0</v>
      </c>
      <c r="S724" s="198">
        <v>4</v>
      </c>
      <c r="T724" s="201" t="s">
        <v>2233</v>
      </c>
    </row>
    <row r="725" spans="1:20" ht="22.5" customHeight="1" x14ac:dyDescent="0.25">
      <c r="A725" s="208" t="s">
        <v>3131</v>
      </c>
      <c r="B725" s="238">
        <v>2026</v>
      </c>
      <c r="C725" s="198"/>
      <c r="D725" s="198"/>
      <c r="E725" s="199"/>
      <c r="F725" s="200"/>
      <c r="G725" s="201"/>
      <c r="H725" s="208"/>
      <c r="I725" s="209"/>
      <c r="J725" s="209"/>
      <c r="K725" s="198"/>
      <c r="L725" s="204"/>
      <c r="M725" s="205"/>
      <c r="N725" s="206"/>
      <c r="O725" s="207"/>
      <c r="P725" s="207"/>
      <c r="Q725" s="207"/>
      <c r="R725" s="207">
        <f>IF(B725="","",SUM(O725:Q725))</f>
        <v>0</v>
      </c>
      <c r="S725" s="198"/>
      <c r="T725" s="201"/>
    </row>
    <row r="726" spans="1:20" ht="22.5" customHeight="1" x14ac:dyDescent="0.25">
      <c r="A726" s="208" t="s">
        <v>3161</v>
      </c>
      <c r="B726" s="238">
        <v>2026</v>
      </c>
      <c r="C726" s="198"/>
      <c r="D726" s="239"/>
      <c r="E726" s="199"/>
      <c r="F726" s="200"/>
      <c r="G726" s="201"/>
      <c r="H726" s="208"/>
      <c r="I726" s="209"/>
      <c r="J726" s="209"/>
      <c r="K726" s="198"/>
      <c r="L726" s="204"/>
      <c r="M726" s="205"/>
      <c r="N726" s="206"/>
      <c r="O726" s="207"/>
      <c r="P726" s="207"/>
      <c r="Q726" s="207"/>
      <c r="R726" s="207">
        <f>IF(B726="","",SUM(O726:Q726))</f>
        <v>0</v>
      </c>
      <c r="S726" s="198"/>
      <c r="T726" s="201"/>
    </row>
    <row r="727" spans="1:20" ht="22.5" customHeight="1" x14ac:dyDescent="0.25">
      <c r="A727" s="208" t="s">
        <v>3162</v>
      </c>
      <c r="B727" s="238">
        <v>2026</v>
      </c>
      <c r="C727" s="198"/>
      <c r="D727" s="198"/>
      <c r="E727" s="199"/>
      <c r="F727" s="200"/>
      <c r="G727" s="201"/>
      <c r="H727" s="208"/>
      <c r="I727" s="209"/>
      <c r="J727" s="209"/>
      <c r="K727" s="198"/>
      <c r="L727" s="204"/>
      <c r="M727" s="205"/>
      <c r="N727" s="206"/>
      <c r="O727" s="207"/>
      <c r="P727" s="207"/>
      <c r="Q727" s="207"/>
      <c r="R727" s="207">
        <f>IF(B727="","",SUM(O727:Q727))</f>
        <v>0</v>
      </c>
      <c r="S727" s="198"/>
      <c r="T727" s="201"/>
    </row>
    <row r="728" spans="1:20" ht="22.5" customHeight="1" x14ac:dyDescent="0.25">
      <c r="A728" s="208" t="s">
        <v>3163</v>
      </c>
      <c r="B728" s="238">
        <v>2026</v>
      </c>
      <c r="C728" s="198"/>
      <c r="D728" s="198"/>
      <c r="E728" s="199"/>
      <c r="F728" s="200"/>
      <c r="G728" s="201"/>
      <c r="H728" s="208"/>
      <c r="I728" s="209"/>
      <c r="J728" s="209"/>
      <c r="K728" s="198"/>
      <c r="L728" s="204"/>
      <c r="M728" s="205"/>
      <c r="N728" s="206"/>
      <c r="O728" s="207"/>
      <c r="P728" s="207"/>
      <c r="Q728" s="207"/>
      <c r="R728" s="207">
        <f>IF(B728="","",SUM(O728:Q728))</f>
        <v>0</v>
      </c>
      <c r="S728" s="198"/>
      <c r="T728" s="201"/>
    </row>
    <row r="729" spans="1:20" ht="22.5" customHeight="1" x14ac:dyDescent="0.25">
      <c r="A729" s="208" t="s">
        <v>3164</v>
      </c>
      <c r="B729" s="238">
        <v>2026</v>
      </c>
      <c r="C729" s="198"/>
      <c r="D729" s="198"/>
      <c r="E729" s="199"/>
      <c r="F729" s="200"/>
      <c r="G729" s="201"/>
      <c r="H729" s="208"/>
      <c r="I729" s="209"/>
      <c r="J729" s="209"/>
      <c r="K729" s="198"/>
      <c r="L729" s="204"/>
      <c r="M729" s="205"/>
      <c r="N729" s="206"/>
      <c r="O729" s="207"/>
      <c r="P729" s="207"/>
      <c r="Q729" s="207"/>
      <c r="R729" s="207">
        <f>IF(B729="","",SUM(O729:Q729))</f>
        <v>0</v>
      </c>
      <c r="S729" s="198"/>
      <c r="T729" s="201"/>
    </row>
    <row r="730" spans="1:20" ht="22.5" hidden="1" customHeight="1" x14ac:dyDescent="0.25">
      <c r="A730" s="208"/>
      <c r="B730" s="238"/>
      <c r="C730" s="198"/>
      <c r="D730" s="198"/>
      <c r="E730" s="199"/>
      <c r="F730" s="200"/>
      <c r="G730" s="201"/>
      <c r="H730" s="208"/>
      <c r="I730" s="209"/>
      <c r="J730" s="209"/>
      <c r="K730" s="198"/>
      <c r="L730" s="204"/>
      <c r="M730" s="205"/>
      <c r="N730" s="206"/>
      <c r="O730" s="207"/>
      <c r="P730" s="207"/>
      <c r="Q730" s="207"/>
      <c r="R730" s="207" t="str">
        <f>IF(B730="","",SUM(O730:Q730))</f>
        <v/>
      </c>
      <c r="S730" s="198"/>
      <c r="T730" s="201"/>
    </row>
    <row r="731" spans="1:20" ht="22.5" hidden="1" customHeight="1" x14ac:dyDescent="0.25">
      <c r="A731" s="208"/>
      <c r="B731" s="238"/>
      <c r="C731" s="198"/>
      <c r="D731" s="198"/>
      <c r="E731" s="199"/>
      <c r="F731" s="200"/>
      <c r="G731" s="201"/>
      <c r="H731" s="208"/>
      <c r="I731" s="209"/>
      <c r="J731" s="209"/>
      <c r="K731" s="198"/>
      <c r="L731" s="204"/>
      <c r="M731" s="205"/>
      <c r="N731" s="206"/>
      <c r="O731" s="207"/>
      <c r="P731" s="207"/>
      <c r="Q731" s="207"/>
      <c r="R731" s="207" t="str">
        <f>IF(B731="","",SUM(O731:Q731))</f>
        <v/>
      </c>
      <c r="S731" s="198"/>
      <c r="T731" s="201"/>
    </row>
    <row r="732" spans="1:20" ht="22.5" hidden="1" customHeight="1" x14ac:dyDescent="0.25">
      <c r="A732" s="208"/>
      <c r="B732" s="238"/>
      <c r="C732" s="198"/>
      <c r="D732" s="198"/>
      <c r="E732" s="199"/>
      <c r="F732" s="200"/>
      <c r="G732" s="201"/>
      <c r="H732" s="208"/>
      <c r="I732" s="209"/>
      <c r="J732" s="209"/>
      <c r="K732" s="198"/>
      <c r="L732" s="204"/>
      <c r="M732" s="205"/>
      <c r="N732" s="206"/>
      <c r="O732" s="207"/>
      <c r="P732" s="207"/>
      <c r="Q732" s="207"/>
      <c r="R732" s="207" t="str">
        <f>IF(B732="","",SUM(O732:Q732))</f>
        <v/>
      </c>
      <c r="S732" s="198"/>
      <c r="T732" s="201"/>
    </row>
    <row r="733" spans="1:20" ht="22.5" hidden="1" customHeight="1" x14ac:dyDescent="0.25">
      <c r="A733" s="208"/>
      <c r="B733" s="238"/>
      <c r="C733" s="198"/>
      <c r="D733" s="198"/>
      <c r="E733" s="199"/>
      <c r="F733" s="200"/>
      <c r="G733" s="201"/>
      <c r="H733" s="208"/>
      <c r="I733" s="209"/>
      <c r="J733" s="209"/>
      <c r="K733" s="198"/>
      <c r="L733" s="204"/>
      <c r="M733" s="205"/>
      <c r="N733" s="206"/>
      <c r="O733" s="207"/>
      <c r="P733" s="207"/>
      <c r="Q733" s="207"/>
      <c r="R733" s="207" t="str">
        <f>IF(B733="","",SUM(O733:Q733))</f>
        <v/>
      </c>
      <c r="S733" s="198"/>
      <c r="T733" s="201"/>
    </row>
    <row r="734" spans="1:20" ht="22.5" hidden="1" customHeight="1" x14ac:dyDescent="0.25">
      <c r="A734" s="208"/>
      <c r="B734" s="238"/>
      <c r="C734" s="198"/>
      <c r="D734" s="198"/>
      <c r="E734" s="199"/>
      <c r="F734" s="200"/>
      <c r="G734" s="201"/>
      <c r="H734" s="208"/>
      <c r="I734" s="209"/>
      <c r="J734" s="209"/>
      <c r="K734" s="198"/>
      <c r="L734" s="204"/>
      <c r="M734" s="205"/>
      <c r="N734" s="206"/>
      <c r="O734" s="207"/>
      <c r="P734" s="207"/>
      <c r="Q734" s="207"/>
      <c r="R734" s="207" t="str">
        <f>IF(B734="","",SUM(O734:Q734))</f>
        <v/>
      </c>
      <c r="S734" s="198"/>
      <c r="T734" s="201"/>
    </row>
    <row r="735" spans="1:20" ht="22.5" hidden="1" customHeight="1" x14ac:dyDescent="0.25">
      <c r="A735" s="208"/>
      <c r="B735" s="238"/>
      <c r="C735" s="198"/>
      <c r="D735" s="198"/>
      <c r="E735" s="199"/>
      <c r="F735" s="200"/>
      <c r="G735" s="201"/>
      <c r="H735" s="208"/>
      <c r="I735" s="209"/>
      <c r="J735" s="209"/>
      <c r="K735" s="198"/>
      <c r="L735" s="204"/>
      <c r="M735" s="205"/>
      <c r="N735" s="206"/>
      <c r="O735" s="207"/>
      <c r="P735" s="207"/>
      <c r="Q735" s="207"/>
      <c r="R735" s="207" t="str">
        <f>IF(B735="","",SUM(O735:Q735))</f>
        <v/>
      </c>
      <c r="S735" s="198"/>
      <c r="T735" s="201"/>
    </row>
    <row r="736" spans="1:20" ht="22.5" hidden="1" customHeight="1" x14ac:dyDescent="0.25">
      <c r="A736" s="208"/>
      <c r="B736" s="238"/>
      <c r="C736" s="198"/>
      <c r="D736" s="198"/>
      <c r="E736" s="199"/>
      <c r="F736" s="200"/>
      <c r="G736" s="201"/>
      <c r="H736" s="208"/>
      <c r="I736" s="209"/>
      <c r="J736" s="209"/>
      <c r="K736" s="198"/>
      <c r="L736" s="204"/>
      <c r="M736" s="205"/>
      <c r="N736" s="206"/>
      <c r="O736" s="207"/>
      <c r="P736" s="207"/>
      <c r="Q736" s="207"/>
      <c r="R736" s="207" t="str">
        <f>IF(B736="","",SUM(O736:Q736))</f>
        <v/>
      </c>
      <c r="S736" s="198"/>
      <c r="T736" s="201"/>
    </row>
    <row r="737" spans="1:20" ht="22.5" hidden="1" customHeight="1" x14ac:dyDescent="0.25">
      <c r="A737" s="208"/>
      <c r="B737" s="238"/>
      <c r="C737" s="198"/>
      <c r="D737" s="198"/>
      <c r="E737" s="199"/>
      <c r="F737" s="200"/>
      <c r="G737" s="201"/>
      <c r="H737" s="208"/>
      <c r="I737" s="209"/>
      <c r="J737" s="209"/>
      <c r="K737" s="198"/>
      <c r="L737" s="204"/>
      <c r="M737" s="205"/>
      <c r="N737" s="206"/>
      <c r="O737" s="207"/>
      <c r="P737" s="207"/>
      <c r="Q737" s="207"/>
      <c r="R737" s="207" t="str">
        <f>IF(B737="","",SUM(O737:Q737))</f>
        <v/>
      </c>
      <c r="S737" s="198"/>
      <c r="T737" s="201"/>
    </row>
    <row r="738" spans="1:20" ht="22.5" hidden="1" customHeight="1" x14ac:dyDescent="0.25">
      <c r="A738" s="208"/>
      <c r="B738" s="238"/>
      <c r="C738" s="198"/>
      <c r="D738" s="198"/>
      <c r="E738" s="199"/>
      <c r="F738" s="200"/>
      <c r="G738" s="201"/>
      <c r="H738" s="208"/>
      <c r="I738" s="209"/>
      <c r="J738" s="209"/>
      <c r="K738" s="198"/>
      <c r="L738" s="204"/>
      <c r="M738" s="205"/>
      <c r="N738" s="206"/>
      <c r="O738" s="207"/>
      <c r="P738" s="207"/>
      <c r="Q738" s="207"/>
      <c r="R738" s="207" t="str">
        <f>IF(B738="","",SUM(O738:Q738))</f>
        <v/>
      </c>
      <c r="S738" s="198"/>
      <c r="T738" s="201"/>
    </row>
    <row r="739" spans="1:20" ht="22.5" hidden="1" customHeight="1" x14ac:dyDescent="0.25">
      <c r="A739" s="208"/>
      <c r="B739" s="238"/>
      <c r="C739" s="198"/>
      <c r="D739" s="198"/>
      <c r="E739" s="199"/>
      <c r="F739" s="200"/>
      <c r="G739" s="201"/>
      <c r="H739" s="208"/>
      <c r="I739" s="209"/>
      <c r="J739" s="209"/>
      <c r="K739" s="198"/>
      <c r="L739" s="204"/>
      <c r="M739" s="205"/>
      <c r="N739" s="206"/>
      <c r="O739" s="207"/>
      <c r="P739" s="207"/>
      <c r="Q739" s="207"/>
      <c r="R739" s="207" t="str">
        <f>IF(B739="","",SUM(O739:Q739))</f>
        <v/>
      </c>
      <c r="S739" s="198"/>
      <c r="T739" s="201"/>
    </row>
    <row r="740" spans="1:20" ht="22.5" hidden="1" customHeight="1" x14ac:dyDescent="0.25">
      <c r="A740" s="208"/>
      <c r="B740" s="238"/>
      <c r="C740" s="198"/>
      <c r="D740" s="198"/>
      <c r="E740" s="199"/>
      <c r="F740" s="200"/>
      <c r="G740" s="201"/>
      <c r="H740" s="208"/>
      <c r="I740" s="209"/>
      <c r="J740" s="209"/>
      <c r="K740" s="198"/>
      <c r="L740" s="204"/>
      <c r="M740" s="205"/>
      <c r="N740" s="206"/>
      <c r="O740" s="207"/>
      <c r="P740" s="207"/>
      <c r="Q740" s="207"/>
      <c r="R740" s="207" t="str">
        <f>IF(B740="","",SUM(O740:Q740))</f>
        <v/>
      </c>
      <c r="S740" s="198"/>
      <c r="T740" s="201"/>
    </row>
    <row r="741" spans="1:20" ht="22.5" hidden="1" customHeight="1" x14ac:dyDescent="0.25">
      <c r="A741" s="208"/>
      <c r="B741" s="238"/>
      <c r="C741" s="198"/>
      <c r="D741" s="198"/>
      <c r="E741" s="199"/>
      <c r="F741" s="200"/>
      <c r="G741" s="201"/>
      <c r="H741" s="208"/>
      <c r="I741" s="209"/>
      <c r="J741" s="209"/>
      <c r="K741" s="198"/>
      <c r="L741" s="204"/>
      <c r="M741" s="205"/>
      <c r="N741" s="206"/>
      <c r="O741" s="207"/>
      <c r="P741" s="207"/>
      <c r="Q741" s="207"/>
      <c r="R741" s="207" t="str">
        <f>IF(B741="","",SUM(O741:Q741))</f>
        <v/>
      </c>
      <c r="S741" s="198"/>
      <c r="T741" s="201"/>
    </row>
    <row r="742" spans="1:20" ht="22.5" hidden="1" customHeight="1" x14ac:dyDescent="0.25">
      <c r="A742" s="208"/>
      <c r="B742" s="238"/>
      <c r="C742" s="198"/>
      <c r="D742" s="198"/>
      <c r="E742" s="199"/>
      <c r="F742" s="200"/>
      <c r="G742" s="201"/>
      <c r="H742" s="208"/>
      <c r="I742" s="209"/>
      <c r="J742" s="209"/>
      <c r="K742" s="198"/>
      <c r="L742" s="204"/>
      <c r="M742" s="205"/>
      <c r="N742" s="206"/>
      <c r="O742" s="207"/>
      <c r="P742" s="207"/>
      <c r="Q742" s="207"/>
      <c r="R742" s="207" t="str">
        <f>IF(B742="","",SUM(O742:Q742))</f>
        <v/>
      </c>
      <c r="S742" s="198"/>
      <c r="T742" s="201"/>
    </row>
    <row r="743" spans="1:20" ht="22.5" hidden="1" customHeight="1" x14ac:dyDescent="0.25">
      <c r="A743" s="208"/>
      <c r="B743" s="238"/>
      <c r="C743" s="198"/>
      <c r="D743" s="198"/>
      <c r="E743" s="199"/>
      <c r="F743" s="200"/>
      <c r="G743" s="201"/>
      <c r="H743" s="208"/>
      <c r="I743" s="209"/>
      <c r="J743" s="209"/>
      <c r="K743" s="198"/>
      <c r="L743" s="204"/>
      <c r="M743" s="205"/>
      <c r="N743" s="206"/>
      <c r="O743" s="207"/>
      <c r="P743" s="207"/>
      <c r="Q743" s="207"/>
      <c r="R743" s="207" t="str">
        <f>IF(B743="","",SUM(O743:Q743))</f>
        <v/>
      </c>
      <c r="S743" s="198"/>
      <c r="T743" s="201"/>
    </row>
    <row r="744" spans="1:20" ht="22.5" hidden="1" customHeight="1" x14ac:dyDescent="0.25">
      <c r="A744" s="208"/>
      <c r="B744" s="238"/>
      <c r="C744" s="198"/>
      <c r="D744" s="198"/>
      <c r="E744" s="199"/>
      <c r="F744" s="200"/>
      <c r="G744" s="201"/>
      <c r="H744" s="208"/>
      <c r="I744" s="209"/>
      <c r="J744" s="209"/>
      <c r="K744" s="198"/>
      <c r="L744" s="204"/>
      <c r="M744" s="205"/>
      <c r="N744" s="206"/>
      <c r="O744" s="207"/>
      <c r="P744" s="207"/>
      <c r="Q744" s="207"/>
      <c r="R744" s="207" t="str">
        <f>IF(B744="","",SUM(O744:Q744))</f>
        <v/>
      </c>
      <c r="S744" s="198"/>
      <c r="T744" s="201"/>
    </row>
    <row r="745" spans="1:20" ht="22.5" hidden="1" customHeight="1" x14ac:dyDescent="0.25">
      <c r="A745" s="208"/>
      <c r="B745" s="238"/>
      <c r="C745" s="198"/>
      <c r="D745" s="198"/>
      <c r="E745" s="199"/>
      <c r="F745" s="200"/>
      <c r="G745" s="201"/>
      <c r="H745" s="208"/>
      <c r="I745" s="209"/>
      <c r="J745" s="209"/>
      <c r="K745" s="198"/>
      <c r="L745" s="204"/>
      <c r="M745" s="205"/>
      <c r="N745" s="206"/>
      <c r="O745" s="207"/>
      <c r="P745" s="207"/>
      <c r="Q745" s="207"/>
      <c r="R745" s="207" t="str">
        <f>IF(B745="","",SUM(O745:Q745))</f>
        <v/>
      </c>
      <c r="S745" s="198"/>
      <c r="T745" s="201"/>
    </row>
    <row r="746" spans="1:20" ht="22.5" hidden="1" customHeight="1" x14ac:dyDescent="0.25">
      <c r="A746" s="208"/>
      <c r="B746" s="238"/>
      <c r="C746" s="198"/>
      <c r="D746" s="198"/>
      <c r="E746" s="199"/>
      <c r="F746" s="200"/>
      <c r="G746" s="201"/>
      <c r="H746" s="208"/>
      <c r="I746" s="209"/>
      <c r="J746" s="209"/>
      <c r="K746" s="198"/>
      <c r="L746" s="204"/>
      <c r="M746" s="205"/>
      <c r="N746" s="206"/>
      <c r="O746" s="207"/>
      <c r="P746" s="207"/>
      <c r="Q746" s="207"/>
      <c r="R746" s="207" t="str">
        <f>IF(B746="","",SUM(O746:Q746))</f>
        <v/>
      </c>
      <c r="S746" s="198"/>
      <c r="T746" s="201"/>
    </row>
    <row r="747" spans="1:20" ht="22.5" hidden="1" customHeight="1" x14ac:dyDescent="0.25">
      <c r="A747" s="208"/>
      <c r="B747" s="238"/>
      <c r="C747" s="198"/>
      <c r="D747" s="198"/>
      <c r="E747" s="199"/>
      <c r="F747" s="200"/>
      <c r="G747" s="201"/>
      <c r="H747" s="208"/>
      <c r="I747" s="209"/>
      <c r="J747" s="209"/>
      <c r="K747" s="198"/>
      <c r="L747" s="204"/>
      <c r="M747" s="205"/>
      <c r="N747" s="206"/>
      <c r="O747" s="207"/>
      <c r="P747" s="207"/>
      <c r="Q747" s="207"/>
      <c r="R747" s="207" t="str">
        <f>IF(B747="","",SUM(O747:Q747))</f>
        <v/>
      </c>
      <c r="S747" s="198"/>
      <c r="T747" s="201"/>
    </row>
    <row r="748" spans="1:20" ht="22.5" hidden="1" customHeight="1" x14ac:dyDescent="0.25">
      <c r="A748" s="208"/>
      <c r="B748" s="238"/>
      <c r="C748" s="198"/>
      <c r="D748" s="198"/>
      <c r="E748" s="199"/>
      <c r="F748" s="200"/>
      <c r="G748" s="201"/>
      <c r="H748" s="208"/>
      <c r="I748" s="209"/>
      <c r="J748" s="209"/>
      <c r="K748" s="198"/>
      <c r="L748" s="204"/>
      <c r="M748" s="205"/>
      <c r="N748" s="206"/>
      <c r="O748" s="207"/>
      <c r="P748" s="207"/>
      <c r="Q748" s="207"/>
      <c r="R748" s="207" t="str">
        <f>IF(B748="","",SUM(O748:Q748))</f>
        <v/>
      </c>
      <c r="S748" s="198"/>
      <c r="T748" s="201"/>
    </row>
    <row r="749" spans="1:20" ht="22.5" hidden="1" customHeight="1" x14ac:dyDescent="0.25">
      <c r="A749" s="208"/>
      <c r="B749" s="238"/>
      <c r="C749" s="198"/>
      <c r="D749" s="198"/>
      <c r="E749" s="199"/>
      <c r="F749" s="200"/>
      <c r="G749" s="201"/>
      <c r="H749" s="208"/>
      <c r="I749" s="209"/>
      <c r="J749" s="209"/>
      <c r="K749" s="198"/>
      <c r="L749" s="204"/>
      <c r="M749" s="205"/>
      <c r="N749" s="206"/>
      <c r="O749" s="207"/>
      <c r="P749" s="207"/>
      <c r="Q749" s="207"/>
      <c r="R749" s="207" t="str">
        <f>IF(B749="","",SUM(O749:Q749))</f>
        <v/>
      </c>
      <c r="S749" s="198"/>
      <c r="T749" s="201"/>
    </row>
    <row r="750" spans="1:20" ht="22.5" hidden="1" customHeight="1" x14ac:dyDescent="0.25">
      <c r="A750" s="208"/>
      <c r="B750" s="238"/>
      <c r="C750" s="198"/>
      <c r="D750" s="198"/>
      <c r="E750" s="199"/>
      <c r="F750" s="200"/>
      <c r="G750" s="201"/>
      <c r="H750" s="208"/>
      <c r="I750" s="209"/>
      <c r="J750" s="209"/>
      <c r="K750" s="198"/>
      <c r="L750" s="204"/>
      <c r="M750" s="205"/>
      <c r="N750" s="206"/>
      <c r="O750" s="207"/>
      <c r="P750" s="207"/>
      <c r="Q750" s="207"/>
      <c r="R750" s="207"/>
      <c r="S750" s="198"/>
      <c r="T750" s="201"/>
    </row>
    <row r="751" spans="1:20" ht="22.5" hidden="1" customHeight="1" x14ac:dyDescent="0.25">
      <c r="A751" s="208"/>
      <c r="B751" s="238"/>
      <c r="C751" s="198"/>
      <c r="D751" s="198"/>
      <c r="E751" s="199"/>
      <c r="F751" s="200"/>
      <c r="G751" s="201"/>
      <c r="H751" s="208"/>
      <c r="I751" s="209"/>
      <c r="J751" s="209"/>
      <c r="K751" s="198"/>
      <c r="L751" s="204"/>
      <c r="M751" s="205"/>
      <c r="N751" s="206"/>
      <c r="O751" s="207"/>
      <c r="P751" s="207"/>
      <c r="Q751" s="207"/>
      <c r="R751" s="207"/>
      <c r="S751" s="198"/>
      <c r="T751" s="201"/>
    </row>
    <row r="752" spans="1:20" ht="22.5" hidden="1" customHeight="1" x14ac:dyDescent="0.25">
      <c r="A752" s="208"/>
      <c r="B752" s="238"/>
      <c r="C752" s="198"/>
      <c r="D752" s="198"/>
      <c r="E752" s="199"/>
      <c r="F752" s="200"/>
      <c r="G752" s="201"/>
      <c r="H752" s="208"/>
      <c r="I752" s="209"/>
      <c r="J752" s="209"/>
      <c r="K752" s="198"/>
      <c r="L752" s="204"/>
      <c r="M752" s="205"/>
      <c r="N752" s="206"/>
      <c r="O752" s="207"/>
      <c r="P752" s="207"/>
      <c r="Q752" s="207"/>
      <c r="R752" s="207"/>
      <c r="S752" s="198"/>
      <c r="T752" s="201"/>
    </row>
    <row r="753" spans="1:20" ht="22.5" hidden="1" customHeight="1" x14ac:dyDescent="0.25">
      <c r="A753" s="208"/>
      <c r="B753" s="238"/>
      <c r="C753" s="198"/>
      <c r="D753" s="198"/>
      <c r="E753" s="199"/>
      <c r="F753" s="200"/>
      <c r="G753" s="201"/>
      <c r="H753" s="208"/>
      <c r="I753" s="209"/>
      <c r="J753" s="209"/>
      <c r="K753" s="198"/>
      <c r="L753" s="204"/>
      <c r="M753" s="205"/>
      <c r="N753" s="206"/>
      <c r="O753" s="207"/>
      <c r="P753" s="207"/>
      <c r="Q753" s="207"/>
      <c r="R753" s="207"/>
      <c r="S753" s="198"/>
      <c r="T753" s="201"/>
    </row>
    <row r="754" spans="1:20" ht="22.5" hidden="1" customHeight="1" x14ac:dyDescent="0.25">
      <c r="A754" s="208"/>
      <c r="B754" s="238"/>
      <c r="C754" s="198"/>
      <c r="D754" s="198"/>
      <c r="E754" s="199"/>
      <c r="F754" s="200"/>
      <c r="G754" s="201"/>
      <c r="H754" s="208"/>
      <c r="I754" s="209"/>
      <c r="J754" s="209"/>
      <c r="K754" s="198"/>
      <c r="L754" s="204"/>
      <c r="M754" s="205"/>
      <c r="N754" s="206"/>
      <c r="O754" s="207"/>
      <c r="P754" s="207"/>
      <c r="Q754" s="207"/>
      <c r="R754" s="207"/>
      <c r="S754" s="198"/>
      <c r="T754" s="201"/>
    </row>
    <row r="755" spans="1:20" ht="22.5" hidden="1" customHeight="1" x14ac:dyDescent="0.25">
      <c r="A755" s="208"/>
      <c r="B755" s="238"/>
      <c r="C755" s="198"/>
      <c r="D755" s="198"/>
      <c r="E755" s="199"/>
      <c r="F755" s="200"/>
      <c r="G755" s="201"/>
      <c r="H755" s="208"/>
      <c r="I755" s="209"/>
      <c r="J755" s="209"/>
      <c r="K755" s="198"/>
      <c r="L755" s="204"/>
      <c r="M755" s="205"/>
      <c r="N755" s="206"/>
      <c r="O755" s="207"/>
      <c r="P755" s="207"/>
      <c r="Q755" s="207"/>
      <c r="R755" s="207"/>
      <c r="S755" s="198"/>
      <c r="T755" s="201"/>
    </row>
    <row r="756" spans="1:20" ht="22.5" hidden="1" customHeight="1" x14ac:dyDescent="0.25">
      <c r="A756" s="208"/>
      <c r="B756" s="238"/>
      <c r="C756" s="198"/>
      <c r="D756" s="198"/>
      <c r="E756" s="199"/>
      <c r="F756" s="200"/>
      <c r="G756" s="201"/>
      <c r="H756" s="208"/>
      <c r="I756" s="209"/>
      <c r="J756" s="209"/>
      <c r="K756" s="198"/>
      <c r="L756" s="204"/>
      <c r="M756" s="205"/>
      <c r="N756" s="206"/>
      <c r="O756" s="207"/>
      <c r="P756" s="207"/>
      <c r="Q756" s="207"/>
      <c r="R756" s="207"/>
      <c r="S756" s="198"/>
      <c r="T756" s="201"/>
    </row>
    <row r="757" spans="1:20" ht="22.5" hidden="1" customHeight="1" x14ac:dyDescent="0.25">
      <c r="A757" s="208"/>
      <c r="B757" s="238"/>
      <c r="C757" s="198"/>
      <c r="D757" s="198"/>
      <c r="E757" s="199"/>
      <c r="F757" s="200"/>
      <c r="G757" s="201"/>
      <c r="H757" s="208"/>
      <c r="I757" s="209"/>
      <c r="J757" s="209"/>
      <c r="K757" s="198"/>
      <c r="L757" s="204"/>
      <c r="M757" s="205"/>
      <c r="N757" s="206"/>
      <c r="O757" s="207"/>
      <c r="P757" s="207"/>
      <c r="Q757" s="207"/>
      <c r="R757" s="207"/>
      <c r="S757" s="198"/>
      <c r="T757" s="201"/>
    </row>
    <row r="758" spans="1:20" ht="22.5" hidden="1" customHeight="1" x14ac:dyDescent="0.25">
      <c r="A758" s="208"/>
      <c r="B758" s="238"/>
      <c r="C758" s="198"/>
      <c r="D758" s="198"/>
      <c r="E758" s="199"/>
      <c r="F758" s="200"/>
      <c r="G758" s="201"/>
      <c r="H758" s="208"/>
      <c r="I758" s="209"/>
      <c r="J758" s="209"/>
      <c r="K758" s="198"/>
      <c r="L758" s="204"/>
      <c r="M758" s="205"/>
      <c r="N758" s="206"/>
      <c r="O758" s="207"/>
      <c r="P758" s="207"/>
      <c r="Q758" s="207"/>
      <c r="R758" s="207"/>
      <c r="S758" s="198"/>
      <c r="T758" s="201"/>
    </row>
    <row r="759" spans="1:20" ht="22.5" hidden="1" customHeight="1" x14ac:dyDescent="0.25">
      <c r="A759" s="208"/>
      <c r="B759" s="238"/>
      <c r="C759" s="198"/>
      <c r="D759" s="198"/>
      <c r="E759" s="199"/>
      <c r="F759" s="200"/>
      <c r="G759" s="201"/>
      <c r="H759" s="208"/>
      <c r="I759" s="209"/>
      <c r="J759" s="209"/>
      <c r="K759" s="198"/>
      <c r="L759" s="204"/>
      <c r="M759" s="205"/>
      <c r="N759" s="206"/>
      <c r="O759" s="207"/>
      <c r="P759" s="207"/>
      <c r="Q759" s="207"/>
      <c r="R759" s="207"/>
      <c r="S759" s="198"/>
      <c r="T759" s="201"/>
    </row>
    <row r="760" spans="1:20" ht="22.5" hidden="1" customHeight="1" x14ac:dyDescent="0.25">
      <c r="A760" s="208"/>
      <c r="B760" s="238"/>
      <c r="C760" s="198"/>
      <c r="D760" s="198"/>
      <c r="E760" s="199"/>
      <c r="F760" s="200"/>
      <c r="G760" s="201"/>
      <c r="H760" s="208"/>
      <c r="I760" s="209"/>
      <c r="J760" s="209"/>
      <c r="K760" s="198"/>
      <c r="L760" s="204"/>
      <c r="M760" s="205"/>
      <c r="N760" s="206"/>
      <c r="O760" s="207"/>
      <c r="P760" s="207"/>
      <c r="Q760" s="207"/>
      <c r="R760" s="207"/>
      <c r="S760" s="198"/>
      <c r="T760" s="201"/>
    </row>
    <row r="761" spans="1:20" ht="22.5" hidden="1" customHeight="1" x14ac:dyDescent="0.25">
      <c r="A761" s="208"/>
      <c r="B761" s="238"/>
      <c r="C761" s="198"/>
      <c r="D761" s="198"/>
      <c r="E761" s="199"/>
      <c r="F761" s="200"/>
      <c r="G761" s="201"/>
      <c r="H761" s="208"/>
      <c r="I761" s="209"/>
      <c r="J761" s="209"/>
      <c r="K761" s="198"/>
      <c r="L761" s="204"/>
      <c r="M761" s="205"/>
      <c r="N761" s="206"/>
      <c r="O761" s="207"/>
      <c r="P761" s="207"/>
      <c r="Q761" s="207"/>
      <c r="R761" s="207"/>
      <c r="S761" s="198"/>
      <c r="T761" s="201"/>
    </row>
    <row r="762" spans="1:20" ht="22.5" hidden="1" customHeight="1" x14ac:dyDescent="0.25">
      <c r="A762" s="208"/>
      <c r="B762" s="238"/>
      <c r="C762" s="198"/>
      <c r="D762" s="198"/>
      <c r="E762" s="199"/>
      <c r="F762" s="200"/>
      <c r="G762" s="201"/>
      <c r="H762" s="208"/>
      <c r="I762" s="209"/>
      <c r="J762" s="209"/>
      <c r="K762" s="198"/>
      <c r="L762" s="204"/>
      <c r="M762" s="205"/>
      <c r="N762" s="206"/>
      <c r="O762" s="207"/>
      <c r="P762" s="207"/>
      <c r="Q762" s="207"/>
      <c r="R762" s="207"/>
      <c r="S762" s="198"/>
      <c r="T762" s="201"/>
    </row>
    <row r="763" spans="1:20" ht="22.5" hidden="1" customHeight="1" x14ac:dyDescent="0.25">
      <c r="A763" s="208"/>
      <c r="B763" s="238"/>
      <c r="C763" s="198"/>
      <c r="D763" s="198"/>
      <c r="E763" s="199"/>
      <c r="F763" s="200"/>
      <c r="G763" s="201"/>
      <c r="H763" s="208"/>
      <c r="I763" s="209"/>
      <c r="J763" s="209"/>
      <c r="K763" s="198"/>
      <c r="L763" s="204"/>
      <c r="M763" s="205"/>
      <c r="N763" s="206"/>
      <c r="O763" s="207"/>
      <c r="P763" s="207"/>
      <c r="Q763" s="207"/>
      <c r="R763" s="207"/>
      <c r="S763" s="198"/>
      <c r="T763" s="201"/>
    </row>
    <row r="764" spans="1:20" ht="22.5" hidden="1" customHeight="1" x14ac:dyDescent="0.25">
      <c r="A764" s="208"/>
      <c r="B764" s="238"/>
      <c r="C764" s="198"/>
      <c r="D764" s="198"/>
      <c r="E764" s="199"/>
      <c r="F764" s="200"/>
      <c r="G764" s="201"/>
      <c r="H764" s="208"/>
      <c r="I764" s="209"/>
      <c r="J764" s="209"/>
      <c r="K764" s="198"/>
      <c r="L764" s="204"/>
      <c r="M764" s="205"/>
      <c r="N764" s="206"/>
      <c r="O764" s="207"/>
      <c r="P764" s="207"/>
      <c r="Q764" s="207"/>
      <c r="R764" s="207"/>
      <c r="S764" s="198"/>
      <c r="T764" s="201"/>
    </row>
    <row r="765" spans="1:20" ht="22.5" hidden="1" customHeight="1" x14ac:dyDescent="0.25">
      <c r="A765" s="208"/>
      <c r="B765" s="238"/>
      <c r="C765" s="198"/>
      <c r="D765" s="198"/>
      <c r="E765" s="199"/>
      <c r="F765" s="200"/>
      <c r="G765" s="201"/>
      <c r="H765" s="208"/>
      <c r="I765" s="209"/>
      <c r="J765" s="209"/>
      <c r="K765" s="198"/>
      <c r="L765" s="204"/>
      <c r="M765" s="205"/>
      <c r="N765" s="206"/>
      <c r="O765" s="207"/>
      <c r="P765" s="207"/>
      <c r="Q765" s="207"/>
      <c r="R765" s="207"/>
      <c r="S765" s="198"/>
      <c r="T765" s="201"/>
    </row>
    <row r="766" spans="1:20" ht="22.5" hidden="1" customHeight="1" x14ac:dyDescent="0.25">
      <c r="A766" s="208"/>
      <c r="B766" s="238"/>
      <c r="C766" s="198"/>
      <c r="D766" s="198"/>
      <c r="E766" s="199"/>
      <c r="F766" s="200"/>
      <c r="G766" s="201"/>
      <c r="H766" s="208"/>
      <c r="I766" s="209"/>
      <c r="J766" s="209"/>
      <c r="K766" s="198"/>
      <c r="L766" s="204"/>
      <c r="M766" s="205"/>
      <c r="N766" s="206"/>
      <c r="O766" s="207"/>
      <c r="P766" s="207"/>
      <c r="Q766" s="207"/>
      <c r="R766" s="207"/>
      <c r="S766" s="198"/>
      <c r="T766" s="201"/>
    </row>
    <row r="767" spans="1:20" ht="22.5" hidden="1" customHeight="1" x14ac:dyDescent="0.25">
      <c r="A767" s="208"/>
      <c r="B767" s="238"/>
      <c r="C767" s="198"/>
      <c r="D767" s="198"/>
      <c r="E767" s="199"/>
      <c r="F767" s="200"/>
      <c r="G767" s="201"/>
      <c r="H767" s="208"/>
      <c r="I767" s="209"/>
      <c r="J767" s="209"/>
      <c r="K767" s="198"/>
      <c r="L767" s="204"/>
      <c r="M767" s="205"/>
      <c r="N767" s="206"/>
      <c r="O767" s="207"/>
      <c r="P767" s="207"/>
      <c r="Q767" s="207"/>
      <c r="R767" s="207"/>
      <c r="S767" s="198"/>
      <c r="T767" s="201"/>
    </row>
    <row r="768" spans="1:20" ht="22.5" hidden="1" customHeight="1" x14ac:dyDescent="0.25">
      <c r="A768" s="208"/>
      <c r="B768" s="238"/>
      <c r="C768" s="198"/>
      <c r="D768" s="198"/>
      <c r="E768" s="199"/>
      <c r="F768" s="200"/>
      <c r="G768" s="201"/>
      <c r="H768" s="208"/>
      <c r="I768" s="209"/>
      <c r="J768" s="209"/>
      <c r="K768" s="198"/>
      <c r="L768" s="204"/>
      <c r="M768" s="205"/>
      <c r="N768" s="206"/>
      <c r="O768" s="207"/>
      <c r="P768" s="207"/>
      <c r="Q768" s="207"/>
      <c r="R768" s="207"/>
      <c r="S768" s="198"/>
      <c r="T768" s="201"/>
    </row>
    <row r="769" spans="1:20" ht="22.5" hidden="1" customHeight="1" x14ac:dyDescent="0.25">
      <c r="A769" s="208"/>
      <c r="B769" s="238"/>
      <c r="C769" s="198"/>
      <c r="D769" s="198"/>
      <c r="E769" s="199"/>
      <c r="F769" s="200"/>
      <c r="G769" s="201"/>
      <c r="H769" s="208"/>
      <c r="I769" s="209"/>
      <c r="J769" s="209"/>
      <c r="K769" s="198"/>
      <c r="L769" s="204"/>
      <c r="M769" s="205"/>
      <c r="N769" s="206"/>
      <c r="O769" s="207"/>
      <c r="P769" s="207"/>
      <c r="Q769" s="207"/>
      <c r="R769" s="207"/>
      <c r="S769" s="198"/>
      <c r="T769" s="201"/>
    </row>
    <row r="770" spans="1:20" ht="22.5" hidden="1" customHeight="1" x14ac:dyDescent="0.25">
      <c r="A770" s="208"/>
      <c r="B770" s="238"/>
      <c r="C770" s="198"/>
      <c r="D770" s="198"/>
      <c r="E770" s="199"/>
      <c r="F770" s="200"/>
      <c r="G770" s="201"/>
      <c r="H770" s="208"/>
      <c r="I770" s="209"/>
      <c r="J770" s="209"/>
      <c r="K770" s="198"/>
      <c r="L770" s="204"/>
      <c r="M770" s="205"/>
      <c r="N770" s="206"/>
      <c r="O770" s="207"/>
      <c r="P770" s="207"/>
      <c r="Q770" s="207"/>
      <c r="R770" s="207"/>
      <c r="S770" s="198"/>
      <c r="T770" s="201"/>
    </row>
    <row r="771" spans="1:20" ht="22.5" hidden="1" customHeight="1" x14ac:dyDescent="0.25">
      <c r="A771" s="208"/>
      <c r="B771" s="238"/>
      <c r="C771" s="198"/>
      <c r="D771" s="198"/>
      <c r="E771" s="199"/>
      <c r="F771" s="200"/>
      <c r="G771" s="201"/>
      <c r="H771" s="208"/>
      <c r="I771" s="209"/>
      <c r="J771" s="209"/>
      <c r="K771" s="198"/>
      <c r="L771" s="204"/>
      <c r="M771" s="205"/>
      <c r="N771" s="206"/>
      <c r="O771" s="207"/>
      <c r="P771" s="207"/>
      <c r="Q771" s="207"/>
      <c r="R771" s="207"/>
      <c r="S771" s="198"/>
      <c r="T771" s="201"/>
    </row>
    <row r="772" spans="1:20" ht="22.5" hidden="1" customHeight="1" x14ac:dyDescent="0.25">
      <c r="A772" s="208"/>
      <c r="B772" s="238"/>
      <c r="C772" s="198"/>
      <c r="D772" s="198"/>
      <c r="E772" s="199"/>
      <c r="F772" s="200"/>
      <c r="G772" s="201"/>
      <c r="H772" s="208"/>
      <c r="I772" s="209"/>
      <c r="J772" s="209"/>
      <c r="K772" s="198"/>
      <c r="L772" s="204"/>
      <c r="M772" s="205"/>
      <c r="N772" s="206"/>
      <c r="O772" s="207"/>
      <c r="P772" s="207"/>
      <c r="Q772" s="207"/>
      <c r="R772" s="207"/>
      <c r="S772" s="198"/>
      <c r="T772" s="201"/>
    </row>
    <row r="773" spans="1:20" ht="22.5" hidden="1" customHeight="1" x14ac:dyDescent="0.25">
      <c r="A773" s="208"/>
      <c r="B773" s="238"/>
      <c r="C773" s="198"/>
      <c r="D773" s="198"/>
      <c r="E773" s="199"/>
      <c r="F773" s="200"/>
      <c r="G773" s="201"/>
      <c r="H773" s="208"/>
      <c r="I773" s="209"/>
      <c r="J773" s="209"/>
      <c r="K773" s="198"/>
      <c r="L773" s="204"/>
      <c r="M773" s="205"/>
      <c r="N773" s="206"/>
      <c r="O773" s="207"/>
      <c r="P773" s="207"/>
      <c r="Q773" s="207"/>
      <c r="R773" s="207"/>
      <c r="S773" s="198"/>
      <c r="T773" s="201"/>
    </row>
    <row r="774" spans="1:20" ht="22.5" hidden="1" customHeight="1" x14ac:dyDescent="0.25">
      <c r="A774" s="208"/>
      <c r="B774" s="238"/>
      <c r="C774" s="198"/>
      <c r="D774" s="198"/>
      <c r="E774" s="199"/>
      <c r="F774" s="200"/>
      <c r="G774" s="201"/>
      <c r="H774" s="208"/>
      <c r="I774" s="209"/>
      <c r="J774" s="209"/>
      <c r="K774" s="198"/>
      <c r="L774" s="204"/>
      <c r="M774" s="205"/>
      <c r="N774" s="206"/>
      <c r="O774" s="207"/>
      <c r="P774" s="207"/>
      <c r="Q774" s="207"/>
      <c r="R774" s="207"/>
      <c r="S774" s="198"/>
      <c r="T774" s="201"/>
    </row>
    <row r="775" spans="1:20" ht="22.5" hidden="1" customHeight="1" x14ac:dyDescent="0.25">
      <c r="A775" s="208"/>
      <c r="B775" s="238"/>
      <c r="C775" s="198"/>
      <c r="D775" s="198"/>
      <c r="E775" s="199"/>
      <c r="F775" s="200"/>
      <c r="G775" s="201"/>
      <c r="H775" s="208"/>
      <c r="I775" s="209"/>
      <c r="J775" s="209"/>
      <c r="K775" s="198"/>
      <c r="L775" s="204"/>
      <c r="M775" s="205"/>
      <c r="N775" s="206"/>
      <c r="O775" s="207"/>
      <c r="P775" s="207"/>
      <c r="Q775" s="207"/>
      <c r="R775" s="207"/>
      <c r="S775" s="198"/>
      <c r="T775" s="201"/>
    </row>
    <row r="776" spans="1:20" ht="22.5" hidden="1" customHeight="1" x14ac:dyDescent="0.25">
      <c r="A776" s="208"/>
      <c r="B776" s="238"/>
      <c r="C776" s="198"/>
      <c r="D776" s="198"/>
      <c r="E776" s="199"/>
      <c r="F776" s="200"/>
      <c r="G776" s="201"/>
      <c r="H776" s="208"/>
      <c r="I776" s="209"/>
      <c r="J776" s="209"/>
      <c r="K776" s="198"/>
      <c r="L776" s="204"/>
      <c r="M776" s="205"/>
      <c r="N776" s="206"/>
      <c r="O776" s="207"/>
      <c r="P776" s="207"/>
      <c r="Q776" s="207"/>
      <c r="R776" s="207"/>
      <c r="S776" s="198"/>
      <c r="T776" s="201"/>
    </row>
    <row r="777" spans="1:20" ht="22.5" hidden="1" customHeight="1" x14ac:dyDescent="0.25">
      <c r="A777" s="208"/>
      <c r="B777" s="238"/>
      <c r="C777" s="198"/>
      <c r="D777" s="198"/>
      <c r="E777" s="199"/>
      <c r="F777" s="200"/>
      <c r="G777" s="201"/>
      <c r="H777" s="208"/>
      <c r="I777" s="209"/>
      <c r="J777" s="209"/>
      <c r="K777" s="198"/>
      <c r="L777" s="204"/>
      <c r="M777" s="205"/>
      <c r="N777" s="206"/>
      <c r="O777" s="207"/>
      <c r="P777" s="207"/>
      <c r="Q777" s="207"/>
      <c r="R777" s="207"/>
      <c r="S777" s="198"/>
      <c r="T777" s="201"/>
    </row>
    <row r="778" spans="1:20" ht="22.5" hidden="1" customHeight="1" x14ac:dyDescent="0.25">
      <c r="A778" s="208"/>
      <c r="B778" s="238"/>
      <c r="C778" s="198"/>
      <c r="D778" s="198"/>
      <c r="E778" s="199"/>
      <c r="F778" s="200"/>
      <c r="G778" s="201"/>
      <c r="H778" s="208"/>
      <c r="I778" s="209"/>
      <c r="J778" s="209"/>
      <c r="K778" s="198"/>
      <c r="L778" s="204"/>
      <c r="M778" s="205"/>
      <c r="N778" s="206"/>
      <c r="O778" s="207"/>
      <c r="P778" s="207"/>
      <c r="Q778" s="207"/>
      <c r="R778" s="207"/>
      <c r="S778" s="198"/>
      <c r="T778" s="201"/>
    </row>
    <row r="779" spans="1:20" ht="22.5" hidden="1" customHeight="1" x14ac:dyDescent="0.25">
      <c r="A779" s="208"/>
      <c r="B779" s="238"/>
      <c r="C779" s="198"/>
      <c r="D779" s="198"/>
      <c r="E779" s="199"/>
      <c r="F779" s="200"/>
      <c r="G779" s="201"/>
      <c r="H779" s="208"/>
      <c r="I779" s="209"/>
      <c r="J779" s="209"/>
      <c r="K779" s="198"/>
      <c r="L779" s="204"/>
      <c r="M779" s="205"/>
      <c r="N779" s="206"/>
      <c r="O779" s="207"/>
      <c r="P779" s="207"/>
      <c r="Q779" s="207"/>
      <c r="R779" s="207"/>
      <c r="S779" s="198"/>
      <c r="T779" s="201"/>
    </row>
    <row r="780" spans="1:20" ht="22.5" hidden="1" customHeight="1" x14ac:dyDescent="0.25">
      <c r="A780" s="208"/>
      <c r="B780" s="238"/>
      <c r="C780" s="198"/>
      <c r="D780" s="198"/>
      <c r="E780" s="199"/>
      <c r="F780" s="200"/>
      <c r="G780" s="201"/>
      <c r="H780" s="208"/>
      <c r="I780" s="209"/>
      <c r="J780" s="209"/>
      <c r="K780" s="198"/>
      <c r="L780" s="204"/>
      <c r="M780" s="205"/>
      <c r="N780" s="206"/>
      <c r="O780" s="207"/>
      <c r="P780" s="207"/>
      <c r="Q780" s="207"/>
      <c r="R780" s="207"/>
      <c r="S780" s="198"/>
      <c r="T780" s="201"/>
    </row>
    <row r="781" spans="1:20" ht="22.5" hidden="1" customHeight="1" x14ac:dyDescent="0.25">
      <c r="A781" s="208"/>
      <c r="B781" s="238"/>
      <c r="C781" s="198"/>
      <c r="D781" s="198"/>
      <c r="E781" s="199"/>
      <c r="F781" s="200"/>
      <c r="G781" s="201"/>
      <c r="H781" s="208"/>
      <c r="I781" s="209"/>
      <c r="J781" s="209"/>
      <c r="K781" s="198"/>
      <c r="L781" s="204"/>
      <c r="M781" s="205"/>
      <c r="N781" s="206"/>
      <c r="O781" s="207"/>
      <c r="P781" s="207"/>
      <c r="Q781" s="207"/>
      <c r="R781" s="207"/>
      <c r="S781" s="198"/>
      <c r="T781" s="201"/>
    </row>
    <row r="782" spans="1:20" ht="22.5" hidden="1" customHeight="1" x14ac:dyDescent="0.25">
      <c r="A782" s="208"/>
      <c r="B782" s="238"/>
      <c r="C782" s="198"/>
      <c r="D782" s="198"/>
      <c r="E782" s="199"/>
      <c r="F782" s="200"/>
      <c r="G782" s="201"/>
      <c r="H782" s="208"/>
      <c r="I782" s="209"/>
      <c r="J782" s="209"/>
      <c r="K782" s="198"/>
      <c r="L782" s="204"/>
      <c r="M782" s="205"/>
      <c r="N782" s="206"/>
      <c r="O782" s="207"/>
      <c r="P782" s="207"/>
      <c r="Q782" s="207"/>
      <c r="R782" s="207"/>
      <c r="S782" s="198"/>
      <c r="T782" s="201"/>
    </row>
    <row r="783" spans="1:20" ht="22.5" hidden="1" customHeight="1" x14ac:dyDescent="0.25">
      <c r="A783" s="208"/>
      <c r="B783" s="238"/>
      <c r="C783" s="198"/>
      <c r="D783" s="198"/>
      <c r="E783" s="199"/>
      <c r="F783" s="200"/>
      <c r="G783" s="201"/>
      <c r="H783" s="208"/>
      <c r="I783" s="209"/>
      <c r="J783" s="209"/>
      <c r="K783" s="198"/>
      <c r="L783" s="204"/>
      <c r="M783" s="205"/>
      <c r="N783" s="206"/>
      <c r="O783" s="207"/>
      <c r="P783" s="207"/>
      <c r="Q783" s="207"/>
      <c r="R783" s="207"/>
      <c r="S783" s="198"/>
      <c r="T783" s="201"/>
    </row>
    <row r="784" spans="1:20" ht="22.5" hidden="1" customHeight="1" x14ac:dyDescent="0.25">
      <c r="A784" s="208"/>
      <c r="B784" s="238"/>
      <c r="C784" s="198"/>
      <c r="D784" s="198"/>
      <c r="E784" s="199"/>
      <c r="F784" s="200"/>
      <c r="G784" s="201"/>
      <c r="H784" s="208"/>
      <c r="I784" s="209"/>
      <c r="J784" s="209"/>
      <c r="K784" s="198"/>
      <c r="L784" s="204"/>
      <c r="M784" s="205"/>
      <c r="N784" s="206"/>
      <c r="O784" s="207"/>
      <c r="P784" s="207"/>
      <c r="Q784" s="207"/>
      <c r="R784" s="207"/>
      <c r="S784" s="198"/>
      <c r="T784" s="201"/>
    </row>
    <row r="785" spans="1:20" ht="22.5" hidden="1" customHeight="1" x14ac:dyDescent="0.25">
      <c r="A785" s="208"/>
      <c r="B785" s="238"/>
      <c r="C785" s="198"/>
      <c r="D785" s="198"/>
      <c r="E785" s="199"/>
      <c r="F785" s="200"/>
      <c r="G785" s="201"/>
      <c r="H785" s="208"/>
      <c r="I785" s="209"/>
      <c r="J785" s="209"/>
      <c r="K785" s="198"/>
      <c r="L785" s="204"/>
      <c r="M785" s="205"/>
      <c r="N785" s="206"/>
      <c r="O785" s="207"/>
      <c r="P785" s="207"/>
      <c r="Q785" s="207"/>
      <c r="R785" s="207"/>
      <c r="S785" s="198"/>
      <c r="T785" s="201"/>
    </row>
    <row r="786" spans="1:20" ht="22.5" hidden="1" customHeight="1" x14ac:dyDescent="0.25">
      <c r="A786" s="208"/>
      <c r="B786" s="238"/>
      <c r="C786" s="198"/>
      <c r="D786" s="198"/>
      <c r="E786" s="199"/>
      <c r="F786" s="200"/>
      <c r="G786" s="201"/>
      <c r="H786" s="208"/>
      <c r="I786" s="209"/>
      <c r="J786" s="209"/>
      <c r="K786" s="198"/>
      <c r="L786" s="204"/>
      <c r="M786" s="205"/>
      <c r="N786" s="206"/>
      <c r="O786" s="207"/>
      <c r="P786" s="207"/>
      <c r="Q786" s="207"/>
      <c r="R786" s="207"/>
      <c r="S786" s="198"/>
      <c r="T786" s="201"/>
    </row>
    <row r="787" spans="1:20" ht="22.5" hidden="1" customHeight="1" x14ac:dyDescent="0.25">
      <c r="A787" s="208"/>
      <c r="B787" s="238"/>
      <c r="C787" s="198"/>
      <c r="D787" s="198"/>
      <c r="E787" s="199"/>
      <c r="F787" s="200"/>
      <c r="G787" s="201"/>
      <c r="H787" s="208"/>
      <c r="I787" s="209"/>
      <c r="J787" s="209"/>
      <c r="K787" s="198"/>
      <c r="L787" s="204"/>
      <c r="M787" s="205"/>
      <c r="N787" s="206"/>
      <c r="O787" s="207"/>
      <c r="P787" s="207"/>
      <c r="Q787" s="207"/>
      <c r="R787" s="207"/>
      <c r="S787" s="198"/>
      <c r="T787" s="201"/>
    </row>
    <row r="788" spans="1:20" ht="22.5" hidden="1" customHeight="1" x14ac:dyDescent="0.25">
      <c r="A788" s="208"/>
      <c r="B788" s="238"/>
      <c r="C788" s="198"/>
      <c r="D788" s="198"/>
      <c r="E788" s="199"/>
      <c r="F788" s="200"/>
      <c r="G788" s="201"/>
      <c r="H788" s="208"/>
      <c r="I788" s="209"/>
      <c r="J788" s="209"/>
      <c r="K788" s="198"/>
      <c r="L788" s="204"/>
      <c r="M788" s="205"/>
      <c r="N788" s="206"/>
      <c r="O788" s="207"/>
      <c r="P788" s="207"/>
      <c r="Q788" s="207"/>
      <c r="R788" s="207"/>
      <c r="S788" s="198"/>
      <c r="T788" s="201"/>
    </row>
    <row r="789" spans="1:20" ht="22.5" hidden="1" customHeight="1" x14ac:dyDescent="0.25">
      <c r="A789" s="208"/>
      <c r="B789" s="238"/>
      <c r="C789" s="198"/>
      <c r="D789" s="198"/>
      <c r="E789" s="199"/>
      <c r="F789" s="200"/>
      <c r="G789" s="201"/>
      <c r="H789" s="208"/>
      <c r="I789" s="209"/>
      <c r="J789" s="209"/>
      <c r="K789" s="198"/>
      <c r="L789" s="204"/>
      <c r="M789" s="205"/>
      <c r="N789" s="206"/>
      <c r="O789" s="207"/>
      <c r="P789" s="207"/>
      <c r="Q789" s="207"/>
      <c r="R789" s="207"/>
      <c r="S789" s="198"/>
      <c r="T789" s="201"/>
    </row>
    <row r="790" spans="1:20" ht="22.5" hidden="1" customHeight="1" x14ac:dyDescent="0.25">
      <c r="A790" s="208"/>
      <c r="B790" s="238"/>
      <c r="C790" s="198"/>
      <c r="D790" s="198"/>
      <c r="E790" s="199"/>
      <c r="F790" s="200"/>
      <c r="G790" s="201"/>
      <c r="H790" s="208"/>
      <c r="I790" s="209"/>
      <c r="J790" s="209"/>
      <c r="K790" s="198"/>
      <c r="L790" s="204"/>
      <c r="M790" s="205"/>
      <c r="N790" s="206"/>
      <c r="O790" s="207"/>
      <c r="P790" s="207"/>
      <c r="Q790" s="207"/>
      <c r="R790" s="207"/>
      <c r="S790" s="198"/>
      <c r="T790" s="201"/>
    </row>
    <row r="791" spans="1:20" ht="22.5" hidden="1" customHeight="1" x14ac:dyDescent="0.25">
      <c r="A791" s="208"/>
      <c r="B791" s="238"/>
      <c r="C791" s="198"/>
      <c r="D791" s="198"/>
      <c r="E791" s="199"/>
      <c r="F791" s="200"/>
      <c r="G791" s="201"/>
      <c r="H791" s="208"/>
      <c r="I791" s="209"/>
      <c r="J791" s="209"/>
      <c r="K791" s="198"/>
      <c r="L791" s="204"/>
      <c r="M791" s="205"/>
      <c r="N791" s="206"/>
      <c r="O791" s="207"/>
      <c r="P791" s="207"/>
      <c r="Q791" s="207"/>
      <c r="R791" s="207"/>
      <c r="S791" s="198"/>
      <c r="T791" s="201"/>
    </row>
    <row r="792" spans="1:20" ht="22.5" hidden="1" customHeight="1" x14ac:dyDescent="0.25">
      <c r="A792" s="208"/>
      <c r="B792" s="238"/>
      <c r="C792" s="198"/>
      <c r="D792" s="198"/>
      <c r="E792" s="199"/>
      <c r="F792" s="200"/>
      <c r="G792" s="201"/>
      <c r="H792" s="208"/>
      <c r="I792" s="209"/>
      <c r="J792" s="209"/>
      <c r="K792" s="198"/>
      <c r="L792" s="204"/>
      <c r="M792" s="205"/>
      <c r="N792" s="206"/>
      <c r="O792" s="207"/>
      <c r="P792" s="207"/>
      <c r="Q792" s="207"/>
      <c r="R792" s="207"/>
      <c r="S792" s="198"/>
      <c r="T792" s="201"/>
    </row>
    <row r="793" spans="1:20" ht="22.5" hidden="1" customHeight="1" x14ac:dyDescent="0.25">
      <c r="A793" s="208"/>
      <c r="B793" s="238"/>
      <c r="C793" s="198"/>
      <c r="D793" s="198"/>
      <c r="E793" s="199"/>
      <c r="F793" s="200"/>
      <c r="G793" s="201"/>
      <c r="H793" s="208"/>
      <c r="I793" s="209"/>
      <c r="J793" s="209"/>
      <c r="K793" s="198"/>
      <c r="L793" s="204"/>
      <c r="M793" s="205"/>
      <c r="N793" s="206"/>
      <c r="O793" s="207"/>
      <c r="P793" s="207"/>
      <c r="Q793" s="207"/>
      <c r="R793" s="207"/>
      <c r="S793" s="198"/>
      <c r="T793" s="201"/>
    </row>
    <row r="794" spans="1:20" ht="22.5" hidden="1" customHeight="1" x14ac:dyDescent="0.25">
      <c r="A794" s="208"/>
      <c r="B794" s="238"/>
      <c r="C794" s="198"/>
      <c r="D794" s="198"/>
      <c r="E794" s="199"/>
      <c r="F794" s="200"/>
      <c r="G794" s="201"/>
      <c r="H794" s="208"/>
      <c r="I794" s="209"/>
      <c r="J794" s="209"/>
      <c r="K794" s="198"/>
      <c r="L794" s="204"/>
      <c r="M794" s="205"/>
      <c r="N794" s="206"/>
      <c r="O794" s="207"/>
      <c r="P794" s="207"/>
      <c r="Q794" s="207"/>
      <c r="R794" s="207"/>
      <c r="S794" s="198"/>
      <c r="T794" s="201"/>
    </row>
    <row r="795" spans="1:20" ht="22.5" hidden="1" customHeight="1" x14ac:dyDescent="0.25">
      <c r="A795" s="208"/>
      <c r="B795" s="238"/>
      <c r="C795" s="198"/>
      <c r="D795" s="198"/>
      <c r="E795" s="199"/>
      <c r="F795" s="200"/>
      <c r="G795" s="201"/>
      <c r="H795" s="208"/>
      <c r="I795" s="209"/>
      <c r="J795" s="209"/>
      <c r="K795" s="198"/>
      <c r="L795" s="204"/>
      <c r="M795" s="205"/>
      <c r="N795" s="206"/>
      <c r="O795" s="207"/>
      <c r="P795" s="207"/>
      <c r="Q795" s="207"/>
      <c r="R795" s="207"/>
      <c r="S795" s="198"/>
      <c r="T795" s="201"/>
    </row>
    <row r="796" spans="1:20" ht="22.5" hidden="1" customHeight="1" x14ac:dyDescent="0.25">
      <c r="A796" s="208"/>
      <c r="B796" s="238"/>
      <c r="C796" s="198"/>
      <c r="D796" s="198"/>
      <c r="E796" s="199"/>
      <c r="F796" s="200"/>
      <c r="G796" s="201"/>
      <c r="H796" s="208"/>
      <c r="I796" s="209"/>
      <c r="J796" s="209"/>
      <c r="K796" s="198"/>
      <c r="L796" s="204"/>
      <c r="M796" s="205"/>
      <c r="N796" s="206"/>
      <c r="O796" s="207"/>
      <c r="P796" s="207"/>
      <c r="Q796" s="207"/>
      <c r="R796" s="207"/>
      <c r="S796" s="198"/>
      <c r="T796" s="201"/>
    </row>
    <row r="797" spans="1:20" ht="22.5" hidden="1" customHeight="1" x14ac:dyDescent="0.25">
      <c r="A797" s="208"/>
      <c r="B797" s="238"/>
      <c r="C797" s="198"/>
      <c r="D797" s="198"/>
      <c r="E797" s="199"/>
      <c r="F797" s="200"/>
      <c r="G797" s="201"/>
      <c r="H797" s="208"/>
      <c r="I797" s="209"/>
      <c r="J797" s="209"/>
      <c r="K797" s="198"/>
      <c r="L797" s="204"/>
      <c r="M797" s="205"/>
      <c r="N797" s="206"/>
      <c r="O797" s="207"/>
      <c r="P797" s="207"/>
      <c r="Q797" s="207"/>
      <c r="R797" s="207"/>
      <c r="S797" s="198"/>
      <c r="T797" s="201"/>
    </row>
    <row r="798" spans="1:20" ht="22.5" hidden="1" customHeight="1" x14ac:dyDescent="0.25">
      <c r="A798" s="208"/>
      <c r="B798" s="238"/>
      <c r="C798" s="198"/>
      <c r="D798" s="198"/>
      <c r="E798" s="199"/>
      <c r="F798" s="200"/>
      <c r="G798" s="201"/>
      <c r="H798" s="208"/>
      <c r="I798" s="209"/>
      <c r="J798" s="209"/>
      <c r="K798" s="198"/>
      <c r="L798" s="204"/>
      <c r="M798" s="205"/>
      <c r="N798" s="206"/>
      <c r="O798" s="207"/>
      <c r="P798" s="207"/>
      <c r="Q798" s="207"/>
      <c r="R798" s="207"/>
      <c r="S798" s="198"/>
      <c r="T798" s="201"/>
    </row>
    <row r="799" spans="1:20" ht="22.5" hidden="1" customHeight="1" x14ac:dyDescent="0.25">
      <c r="A799" s="208"/>
      <c r="B799" s="238"/>
      <c r="C799" s="198"/>
      <c r="D799" s="198"/>
      <c r="E799" s="199"/>
      <c r="F799" s="200"/>
      <c r="G799" s="201"/>
      <c r="H799" s="208"/>
      <c r="I799" s="209"/>
      <c r="J799" s="209"/>
      <c r="K799" s="198"/>
      <c r="L799" s="204"/>
      <c r="M799" s="205"/>
      <c r="N799" s="206"/>
      <c r="O799" s="207"/>
      <c r="P799" s="207"/>
      <c r="Q799" s="207"/>
      <c r="R799" s="207"/>
      <c r="S799" s="198"/>
      <c r="T799" s="201"/>
    </row>
    <row r="800" spans="1:20" ht="22.5" hidden="1" customHeight="1" x14ac:dyDescent="0.25">
      <c r="A800" s="208"/>
      <c r="B800" s="238"/>
      <c r="C800" s="198"/>
      <c r="D800" s="198"/>
      <c r="E800" s="199"/>
      <c r="F800" s="200"/>
      <c r="G800" s="201"/>
      <c r="H800" s="208"/>
      <c r="I800" s="209"/>
      <c r="J800" s="209"/>
      <c r="K800" s="198"/>
      <c r="L800" s="204"/>
      <c r="M800" s="205"/>
      <c r="N800" s="206"/>
      <c r="O800" s="207"/>
      <c r="P800" s="207"/>
      <c r="Q800" s="207"/>
      <c r="R800" s="207"/>
      <c r="S800" s="198"/>
      <c r="T800" s="201"/>
    </row>
    <row r="801" spans="1:20" ht="22.5" hidden="1" customHeight="1" x14ac:dyDescent="0.25">
      <c r="A801" s="208"/>
      <c r="B801" s="238"/>
      <c r="C801" s="198"/>
      <c r="D801" s="198"/>
      <c r="E801" s="199"/>
      <c r="F801" s="200"/>
      <c r="G801" s="201"/>
      <c r="H801" s="208"/>
      <c r="I801" s="209"/>
      <c r="J801" s="209"/>
      <c r="K801" s="198"/>
      <c r="L801" s="204"/>
      <c r="M801" s="205"/>
      <c r="N801" s="206"/>
      <c r="O801" s="207"/>
      <c r="P801" s="207"/>
      <c r="Q801" s="207"/>
      <c r="R801" s="207"/>
      <c r="S801" s="198"/>
      <c r="T801" s="201"/>
    </row>
    <row r="802" spans="1:20" ht="22.5" hidden="1" customHeight="1" x14ac:dyDescent="0.25">
      <c r="A802" s="208"/>
      <c r="B802" s="238"/>
      <c r="C802" s="198"/>
      <c r="D802" s="198"/>
      <c r="E802" s="199"/>
      <c r="F802" s="200"/>
      <c r="G802" s="201"/>
      <c r="H802" s="208"/>
      <c r="I802" s="209"/>
      <c r="J802" s="209"/>
      <c r="K802" s="198"/>
      <c r="L802" s="204"/>
      <c r="M802" s="205"/>
      <c r="N802" s="206"/>
      <c r="O802" s="207"/>
      <c r="P802" s="207"/>
      <c r="Q802" s="207"/>
      <c r="R802" s="207"/>
      <c r="S802" s="198"/>
      <c r="T802" s="201"/>
    </row>
    <row r="803" spans="1:20" ht="22.5" hidden="1" customHeight="1" x14ac:dyDescent="0.25">
      <c r="A803" s="208"/>
      <c r="B803" s="238"/>
      <c r="C803" s="198"/>
      <c r="D803" s="198"/>
      <c r="E803" s="199"/>
      <c r="F803" s="200"/>
      <c r="G803" s="201"/>
      <c r="H803" s="208"/>
      <c r="I803" s="209"/>
      <c r="J803" s="209"/>
      <c r="K803" s="198"/>
      <c r="L803" s="204"/>
      <c r="M803" s="205"/>
      <c r="N803" s="206"/>
      <c r="O803" s="207"/>
      <c r="P803" s="207"/>
      <c r="Q803" s="207"/>
      <c r="R803" s="207"/>
      <c r="S803" s="198"/>
      <c r="T803" s="201"/>
    </row>
    <row r="804" spans="1:20" ht="22.5" hidden="1" customHeight="1" x14ac:dyDescent="0.25">
      <c r="A804" s="208"/>
      <c r="B804" s="238"/>
      <c r="C804" s="198"/>
      <c r="D804" s="198"/>
      <c r="E804" s="199"/>
      <c r="F804" s="200"/>
      <c r="G804" s="201"/>
      <c r="H804" s="208"/>
      <c r="I804" s="209"/>
      <c r="J804" s="209"/>
      <c r="K804" s="198"/>
      <c r="L804" s="204"/>
      <c r="M804" s="205"/>
      <c r="N804" s="206"/>
      <c r="O804" s="207"/>
      <c r="P804" s="207"/>
      <c r="Q804" s="207"/>
      <c r="R804" s="207"/>
      <c r="S804" s="198"/>
      <c r="T804" s="201"/>
    </row>
    <row r="805" spans="1:20" ht="22.5" hidden="1" customHeight="1" x14ac:dyDescent="0.25">
      <c r="A805" s="208"/>
      <c r="B805" s="238"/>
      <c r="C805" s="198"/>
      <c r="D805" s="198"/>
      <c r="E805" s="199"/>
      <c r="F805" s="200"/>
      <c r="G805" s="201"/>
      <c r="H805" s="208"/>
      <c r="I805" s="209"/>
      <c r="J805" s="209"/>
      <c r="K805" s="198"/>
      <c r="L805" s="204"/>
      <c r="M805" s="205"/>
      <c r="N805" s="206"/>
      <c r="O805" s="207"/>
      <c r="P805" s="207"/>
      <c r="Q805" s="207"/>
      <c r="R805" s="207"/>
      <c r="S805" s="198"/>
      <c r="T805" s="201"/>
    </row>
    <row r="806" spans="1:20" ht="22.5" hidden="1" customHeight="1" x14ac:dyDescent="0.25">
      <c r="A806" s="208"/>
      <c r="B806" s="238"/>
      <c r="C806" s="198"/>
      <c r="D806" s="198"/>
      <c r="E806" s="199"/>
      <c r="F806" s="200"/>
      <c r="G806" s="201"/>
      <c r="H806" s="208"/>
      <c r="I806" s="209"/>
      <c r="J806" s="209"/>
      <c r="K806" s="198"/>
      <c r="L806" s="204"/>
      <c r="M806" s="205"/>
      <c r="N806" s="206"/>
      <c r="O806" s="207"/>
      <c r="P806" s="207"/>
      <c r="Q806" s="207"/>
      <c r="R806" s="207"/>
      <c r="S806" s="198"/>
      <c r="T806" s="201"/>
    </row>
    <row r="807" spans="1:20" ht="22.5" hidden="1" customHeight="1" x14ac:dyDescent="0.25">
      <c r="A807" s="208"/>
      <c r="B807" s="238"/>
      <c r="C807" s="198"/>
      <c r="D807" s="198"/>
      <c r="E807" s="199"/>
      <c r="F807" s="200"/>
      <c r="G807" s="201"/>
      <c r="H807" s="208"/>
      <c r="I807" s="209"/>
      <c r="J807" s="209"/>
      <c r="K807" s="198"/>
      <c r="L807" s="204"/>
      <c r="M807" s="205"/>
      <c r="N807" s="206"/>
      <c r="O807" s="207"/>
      <c r="P807" s="207"/>
      <c r="Q807" s="207"/>
      <c r="R807" s="207"/>
      <c r="S807" s="198"/>
      <c r="T807" s="201"/>
    </row>
    <row r="808" spans="1:20" ht="22.5" hidden="1" customHeight="1" x14ac:dyDescent="0.25">
      <c r="A808" s="208"/>
      <c r="B808" s="238"/>
      <c r="C808" s="198"/>
      <c r="D808" s="198"/>
      <c r="E808" s="199"/>
      <c r="F808" s="200"/>
      <c r="G808" s="201"/>
      <c r="H808" s="208"/>
      <c r="I808" s="209"/>
      <c r="J808" s="209"/>
      <c r="K808" s="198"/>
      <c r="L808" s="204"/>
      <c r="M808" s="205"/>
      <c r="N808" s="206"/>
      <c r="O808" s="207"/>
      <c r="P808" s="207"/>
      <c r="Q808" s="207"/>
      <c r="R808" s="207"/>
      <c r="S808" s="198"/>
      <c r="T808" s="201"/>
    </row>
    <row r="809" spans="1:20" ht="22.5" hidden="1" customHeight="1" x14ac:dyDescent="0.25">
      <c r="A809" s="208"/>
      <c r="B809" s="238"/>
      <c r="C809" s="198"/>
      <c r="D809" s="198"/>
      <c r="E809" s="199"/>
      <c r="F809" s="200"/>
      <c r="G809" s="201"/>
      <c r="H809" s="208"/>
      <c r="I809" s="209"/>
      <c r="J809" s="209"/>
      <c r="K809" s="198"/>
      <c r="L809" s="204"/>
      <c r="M809" s="205"/>
      <c r="N809" s="206"/>
      <c r="O809" s="207"/>
      <c r="P809" s="207"/>
      <c r="Q809" s="207"/>
      <c r="R809" s="207"/>
      <c r="S809" s="198"/>
      <c r="T809" s="201"/>
    </row>
    <row r="810" spans="1:20" ht="22.5" hidden="1" customHeight="1" x14ac:dyDescent="0.25">
      <c r="A810" s="208"/>
      <c r="B810" s="238"/>
      <c r="C810" s="198"/>
      <c r="D810" s="198"/>
      <c r="E810" s="199"/>
      <c r="F810" s="200"/>
      <c r="G810" s="201"/>
      <c r="H810" s="208"/>
      <c r="I810" s="209"/>
      <c r="J810" s="209"/>
      <c r="K810" s="198"/>
      <c r="L810" s="204"/>
      <c r="M810" s="205"/>
      <c r="N810" s="206"/>
      <c r="O810" s="207"/>
      <c r="P810" s="207"/>
      <c r="Q810" s="207"/>
      <c r="R810" s="207"/>
      <c r="S810" s="198"/>
      <c r="T810" s="201"/>
    </row>
    <row r="811" spans="1:20" ht="22.5" hidden="1" customHeight="1" x14ac:dyDescent="0.25">
      <c r="A811" s="208"/>
      <c r="B811" s="238"/>
      <c r="C811" s="198"/>
      <c r="D811" s="198"/>
      <c r="E811" s="199"/>
      <c r="F811" s="200"/>
      <c r="G811" s="201"/>
      <c r="H811" s="208"/>
      <c r="I811" s="209"/>
      <c r="J811" s="209"/>
      <c r="K811" s="198"/>
      <c r="L811" s="204"/>
      <c r="M811" s="205"/>
      <c r="N811" s="206"/>
      <c r="O811" s="207"/>
      <c r="P811" s="207"/>
      <c r="Q811" s="207"/>
      <c r="R811" s="207"/>
      <c r="S811" s="198"/>
      <c r="T811" s="201"/>
    </row>
    <row r="812" spans="1:20" ht="22.5" hidden="1" customHeight="1" x14ac:dyDescent="0.25">
      <c r="A812" s="208"/>
      <c r="B812" s="238"/>
      <c r="C812" s="198"/>
      <c r="D812" s="198"/>
      <c r="E812" s="199"/>
      <c r="F812" s="200"/>
      <c r="G812" s="201"/>
      <c r="H812" s="208"/>
      <c r="I812" s="209"/>
      <c r="J812" s="209"/>
      <c r="K812" s="198"/>
      <c r="L812" s="204"/>
      <c r="M812" s="205"/>
      <c r="N812" s="206"/>
      <c r="O812" s="207"/>
      <c r="P812" s="207"/>
      <c r="Q812" s="207"/>
      <c r="R812" s="207"/>
      <c r="S812" s="198"/>
      <c r="T812" s="201"/>
    </row>
    <row r="813" spans="1:20" ht="22.5" hidden="1" customHeight="1" x14ac:dyDescent="0.25">
      <c r="A813" s="208"/>
      <c r="B813" s="238"/>
      <c r="C813" s="198"/>
      <c r="D813" s="198"/>
      <c r="E813" s="199"/>
      <c r="F813" s="200"/>
      <c r="G813" s="201"/>
      <c r="H813" s="208"/>
      <c r="I813" s="209"/>
      <c r="J813" s="209"/>
      <c r="K813" s="198"/>
      <c r="L813" s="204"/>
      <c r="M813" s="205"/>
      <c r="N813" s="206"/>
      <c r="O813" s="207"/>
      <c r="P813" s="207"/>
      <c r="Q813" s="207"/>
      <c r="R813" s="207"/>
      <c r="S813" s="198"/>
      <c r="T813" s="201"/>
    </row>
    <row r="814" spans="1:20" ht="22.5" hidden="1" customHeight="1" x14ac:dyDescent="0.25">
      <c r="A814" s="208"/>
      <c r="B814" s="238"/>
      <c r="C814" s="198"/>
      <c r="D814" s="198"/>
      <c r="E814" s="199"/>
      <c r="F814" s="200"/>
      <c r="G814" s="201"/>
      <c r="H814" s="208"/>
      <c r="I814" s="209"/>
      <c r="J814" s="209"/>
      <c r="K814" s="198"/>
      <c r="L814" s="204"/>
      <c r="M814" s="205"/>
      <c r="N814" s="206"/>
      <c r="O814" s="207"/>
      <c r="P814" s="207"/>
      <c r="Q814" s="207"/>
      <c r="R814" s="207"/>
      <c r="S814" s="198"/>
      <c r="T814" s="201"/>
    </row>
    <row r="815" spans="1:20" ht="22.5" hidden="1" customHeight="1" x14ac:dyDescent="0.25">
      <c r="A815" s="208"/>
      <c r="B815" s="238"/>
      <c r="C815" s="198"/>
      <c r="D815" s="198"/>
      <c r="E815" s="199"/>
      <c r="F815" s="200"/>
      <c r="G815" s="201"/>
      <c r="H815" s="208"/>
      <c r="I815" s="209"/>
      <c r="J815" s="209"/>
      <c r="K815" s="198"/>
      <c r="L815" s="204"/>
      <c r="M815" s="205"/>
      <c r="N815" s="206"/>
      <c r="O815" s="207"/>
      <c r="P815" s="207"/>
      <c r="Q815" s="207"/>
      <c r="R815" s="207"/>
      <c r="S815" s="198"/>
      <c r="T815" s="201"/>
    </row>
    <row r="816" spans="1:20" ht="22.5" hidden="1" customHeight="1" x14ac:dyDescent="0.25">
      <c r="A816" s="208"/>
      <c r="B816" s="238"/>
      <c r="C816" s="198"/>
      <c r="D816" s="198"/>
      <c r="E816" s="199"/>
      <c r="F816" s="200"/>
      <c r="G816" s="201"/>
      <c r="H816" s="208"/>
      <c r="I816" s="209"/>
      <c r="J816" s="209"/>
      <c r="K816" s="198"/>
      <c r="L816" s="204"/>
      <c r="M816" s="205"/>
      <c r="N816" s="206"/>
      <c r="O816" s="207"/>
      <c r="P816" s="207"/>
      <c r="Q816" s="207"/>
      <c r="R816" s="207"/>
      <c r="S816" s="198"/>
      <c r="T816" s="201"/>
    </row>
    <row r="817" spans="1:20" ht="22.5" hidden="1" customHeight="1" x14ac:dyDescent="0.25">
      <c r="A817" s="208"/>
      <c r="B817" s="238"/>
      <c r="C817" s="198"/>
      <c r="D817" s="198"/>
      <c r="E817" s="199"/>
      <c r="F817" s="200"/>
      <c r="G817" s="201"/>
      <c r="H817" s="208"/>
      <c r="I817" s="209"/>
      <c r="J817" s="209"/>
      <c r="K817" s="198"/>
      <c r="L817" s="204"/>
      <c r="M817" s="205"/>
      <c r="N817" s="206"/>
      <c r="O817" s="207"/>
      <c r="P817" s="207"/>
      <c r="Q817" s="207"/>
      <c r="R817" s="207"/>
      <c r="S817" s="198"/>
      <c r="T817" s="201"/>
    </row>
    <row r="818" spans="1:20" ht="22.5" hidden="1" customHeight="1" x14ac:dyDescent="0.25">
      <c r="A818" s="208"/>
      <c r="B818" s="238"/>
      <c r="C818" s="198"/>
      <c r="D818" s="198"/>
      <c r="E818" s="199"/>
      <c r="F818" s="200"/>
      <c r="G818" s="201"/>
      <c r="H818" s="208"/>
      <c r="I818" s="209"/>
      <c r="J818" s="209"/>
      <c r="K818" s="198"/>
      <c r="L818" s="204"/>
      <c r="M818" s="205"/>
      <c r="N818" s="206"/>
      <c r="O818" s="207"/>
      <c r="P818" s="207"/>
      <c r="Q818" s="207"/>
      <c r="R818" s="207"/>
      <c r="S818" s="198"/>
      <c r="T818" s="201"/>
    </row>
    <row r="819" spans="1:20" ht="22.5" hidden="1" customHeight="1" x14ac:dyDescent="0.25">
      <c r="A819" s="208"/>
      <c r="B819" s="238"/>
      <c r="C819" s="198"/>
      <c r="D819" s="198"/>
      <c r="E819" s="199"/>
      <c r="F819" s="200"/>
      <c r="G819" s="201"/>
      <c r="H819" s="208"/>
      <c r="I819" s="209"/>
      <c r="J819" s="209"/>
      <c r="K819" s="198"/>
      <c r="L819" s="204"/>
      <c r="M819" s="205"/>
      <c r="N819" s="206"/>
      <c r="O819" s="207"/>
      <c r="P819" s="207"/>
      <c r="Q819" s="207"/>
      <c r="R819" s="207"/>
      <c r="S819" s="198"/>
      <c r="T819" s="201"/>
    </row>
    <row r="820" spans="1:20" ht="22.5" hidden="1" customHeight="1" x14ac:dyDescent="0.25">
      <c r="A820" s="208"/>
      <c r="B820" s="238"/>
      <c r="C820" s="198"/>
      <c r="D820" s="198"/>
      <c r="E820" s="199"/>
      <c r="F820" s="200"/>
      <c r="G820" s="201"/>
      <c r="H820" s="208"/>
      <c r="I820" s="209"/>
      <c r="J820" s="209"/>
      <c r="K820" s="198"/>
      <c r="L820" s="204"/>
      <c r="M820" s="205"/>
      <c r="N820" s="206"/>
      <c r="O820" s="207"/>
      <c r="P820" s="207"/>
      <c r="Q820" s="207"/>
      <c r="R820" s="207"/>
      <c r="S820" s="198"/>
      <c r="T820" s="201"/>
    </row>
    <row r="821" spans="1:20" ht="22.5" hidden="1" customHeight="1" x14ac:dyDescent="0.25">
      <c r="A821" s="208"/>
      <c r="B821" s="238"/>
      <c r="C821" s="198"/>
      <c r="D821" s="198"/>
      <c r="E821" s="199"/>
      <c r="F821" s="200"/>
      <c r="G821" s="201"/>
      <c r="H821" s="208"/>
      <c r="I821" s="209"/>
      <c r="J821" s="209"/>
      <c r="K821" s="198"/>
      <c r="L821" s="204"/>
      <c r="M821" s="205"/>
      <c r="N821" s="206"/>
      <c r="O821" s="207"/>
      <c r="P821" s="207"/>
      <c r="Q821" s="207"/>
      <c r="R821" s="207"/>
      <c r="S821" s="198"/>
      <c r="T821" s="201"/>
    </row>
    <row r="822" spans="1:20" ht="22.5" hidden="1" customHeight="1" x14ac:dyDescent="0.25">
      <c r="A822" s="208"/>
      <c r="B822" s="238"/>
      <c r="C822" s="198"/>
      <c r="D822" s="198"/>
      <c r="E822" s="199"/>
      <c r="F822" s="200"/>
      <c r="G822" s="201"/>
      <c r="H822" s="208"/>
      <c r="I822" s="209"/>
      <c r="J822" s="209"/>
      <c r="K822" s="198"/>
      <c r="L822" s="204"/>
      <c r="M822" s="205"/>
      <c r="N822" s="206"/>
      <c r="O822" s="207"/>
      <c r="P822" s="207"/>
      <c r="Q822" s="207"/>
      <c r="R822" s="207"/>
      <c r="S822" s="198"/>
      <c r="T822" s="201"/>
    </row>
    <row r="823" spans="1:20" ht="22.5" hidden="1" customHeight="1" x14ac:dyDescent="0.25">
      <c r="A823" s="208"/>
      <c r="B823" s="238"/>
      <c r="C823" s="198"/>
      <c r="D823" s="198"/>
      <c r="E823" s="199"/>
      <c r="F823" s="200"/>
      <c r="G823" s="201"/>
      <c r="H823" s="208"/>
      <c r="I823" s="209"/>
      <c r="J823" s="209"/>
      <c r="K823" s="198"/>
      <c r="L823" s="204"/>
      <c r="M823" s="205"/>
      <c r="N823" s="206"/>
      <c r="O823" s="207"/>
      <c r="P823" s="207"/>
      <c r="Q823" s="207"/>
      <c r="R823" s="207"/>
      <c r="S823" s="198"/>
      <c r="T823" s="201"/>
    </row>
    <row r="824" spans="1:20" ht="22.5" hidden="1" customHeight="1" x14ac:dyDescent="0.25">
      <c r="A824" s="208"/>
      <c r="B824" s="238"/>
      <c r="C824" s="198"/>
      <c r="D824" s="198"/>
      <c r="E824" s="199"/>
      <c r="F824" s="200"/>
      <c r="G824" s="201"/>
      <c r="H824" s="208"/>
      <c r="I824" s="209"/>
      <c r="J824" s="209"/>
      <c r="K824" s="198"/>
      <c r="L824" s="204"/>
      <c r="M824" s="205"/>
      <c r="N824" s="206"/>
      <c r="O824" s="207"/>
      <c r="P824" s="207"/>
      <c r="Q824" s="207"/>
      <c r="R824" s="207"/>
      <c r="S824" s="198"/>
      <c r="T824" s="201"/>
    </row>
    <row r="825" spans="1:20" ht="22.5" hidden="1" customHeight="1" x14ac:dyDescent="0.25">
      <c r="A825" s="208"/>
      <c r="B825" s="238"/>
      <c r="C825" s="198"/>
      <c r="D825" s="198"/>
      <c r="E825" s="199"/>
      <c r="F825" s="200"/>
      <c r="G825" s="201"/>
      <c r="H825" s="208"/>
      <c r="I825" s="209"/>
      <c r="J825" s="209"/>
      <c r="K825" s="198"/>
      <c r="L825" s="204"/>
      <c r="M825" s="205"/>
      <c r="N825" s="206"/>
      <c r="O825" s="207"/>
      <c r="P825" s="207"/>
      <c r="Q825" s="207"/>
      <c r="R825" s="207"/>
      <c r="S825" s="198"/>
      <c r="T825" s="201"/>
    </row>
    <row r="826" spans="1:20" ht="22.5" hidden="1" customHeight="1" x14ac:dyDescent="0.25">
      <c r="A826" s="208"/>
      <c r="B826" s="238"/>
      <c r="C826" s="198"/>
      <c r="D826" s="198"/>
      <c r="E826" s="199"/>
      <c r="F826" s="200"/>
      <c r="G826" s="201"/>
      <c r="H826" s="208"/>
      <c r="I826" s="209"/>
      <c r="J826" s="209"/>
      <c r="K826" s="198"/>
      <c r="L826" s="204"/>
      <c r="M826" s="205"/>
      <c r="N826" s="206"/>
      <c r="O826" s="207"/>
      <c r="P826" s="207"/>
      <c r="Q826" s="207"/>
      <c r="R826" s="207"/>
      <c r="S826" s="198"/>
      <c r="T826" s="201"/>
    </row>
    <row r="827" spans="1:20" ht="22.5" hidden="1" customHeight="1" x14ac:dyDescent="0.25">
      <c r="A827" s="208"/>
      <c r="B827" s="238"/>
      <c r="C827" s="198"/>
      <c r="D827" s="198"/>
      <c r="E827" s="199"/>
      <c r="F827" s="200"/>
      <c r="G827" s="201"/>
      <c r="H827" s="208"/>
      <c r="I827" s="209"/>
      <c r="J827" s="209"/>
      <c r="K827" s="198"/>
      <c r="L827" s="204"/>
      <c r="M827" s="205"/>
      <c r="N827" s="206"/>
      <c r="O827" s="207"/>
      <c r="P827" s="207"/>
      <c r="Q827" s="207"/>
      <c r="R827" s="207"/>
      <c r="S827" s="198"/>
      <c r="T827" s="201"/>
    </row>
    <row r="828" spans="1:20" ht="22.5" hidden="1" customHeight="1" x14ac:dyDescent="0.25">
      <c r="A828" s="208"/>
      <c r="B828" s="238"/>
      <c r="C828" s="198"/>
      <c r="D828" s="198"/>
      <c r="E828" s="199"/>
      <c r="F828" s="200"/>
      <c r="G828" s="201"/>
      <c r="H828" s="208"/>
      <c r="I828" s="209"/>
      <c r="J828" s="209"/>
      <c r="K828" s="198"/>
      <c r="L828" s="204"/>
      <c r="M828" s="205"/>
      <c r="N828" s="206"/>
      <c r="O828" s="207"/>
      <c r="P828" s="207"/>
      <c r="Q828" s="207"/>
      <c r="R828" s="207"/>
      <c r="S828" s="198"/>
      <c r="T828" s="201"/>
    </row>
    <row r="829" spans="1:20" ht="22.5" hidden="1" customHeight="1" x14ac:dyDescent="0.25">
      <c r="A829" s="208"/>
      <c r="B829" s="238"/>
      <c r="C829" s="198"/>
      <c r="D829" s="198"/>
      <c r="E829" s="199"/>
      <c r="F829" s="200"/>
      <c r="G829" s="201"/>
      <c r="H829" s="208"/>
      <c r="I829" s="209"/>
      <c r="J829" s="209"/>
      <c r="K829" s="198"/>
      <c r="L829" s="204"/>
      <c r="M829" s="205"/>
      <c r="N829" s="206"/>
      <c r="O829" s="207"/>
      <c r="P829" s="207"/>
      <c r="Q829" s="207"/>
      <c r="R829" s="207"/>
      <c r="S829" s="198"/>
      <c r="T829" s="201"/>
    </row>
    <row r="830" spans="1:20" ht="22.5" hidden="1" customHeight="1" x14ac:dyDescent="0.25">
      <c r="A830" s="208"/>
      <c r="B830" s="238"/>
      <c r="C830" s="198"/>
      <c r="D830" s="198"/>
      <c r="E830" s="199"/>
      <c r="F830" s="200"/>
      <c r="G830" s="201"/>
      <c r="H830" s="208"/>
      <c r="I830" s="209"/>
      <c r="J830" s="209"/>
      <c r="K830" s="198"/>
      <c r="L830" s="204"/>
      <c r="M830" s="205"/>
      <c r="N830" s="206"/>
      <c r="O830" s="207"/>
      <c r="P830" s="207"/>
      <c r="Q830" s="207"/>
      <c r="R830" s="207"/>
      <c r="S830" s="198"/>
      <c r="T830" s="201"/>
    </row>
    <row r="831" spans="1:20" ht="22.5" hidden="1" customHeight="1" x14ac:dyDescent="0.25">
      <c r="A831" s="208"/>
      <c r="B831" s="238"/>
      <c r="C831" s="198"/>
      <c r="D831" s="198"/>
      <c r="E831" s="199"/>
      <c r="F831" s="200"/>
      <c r="G831" s="201"/>
      <c r="H831" s="208"/>
      <c r="I831" s="209"/>
      <c r="J831" s="209"/>
      <c r="K831" s="198"/>
      <c r="L831" s="204"/>
      <c r="M831" s="205"/>
      <c r="N831" s="206"/>
      <c r="O831" s="207"/>
      <c r="P831" s="207"/>
      <c r="Q831" s="207"/>
      <c r="R831" s="207"/>
      <c r="S831" s="198"/>
      <c r="T831" s="201"/>
    </row>
    <row r="832" spans="1:20" ht="22.5" hidden="1" customHeight="1" x14ac:dyDescent="0.25">
      <c r="A832" s="208"/>
      <c r="B832" s="238"/>
      <c r="C832" s="198"/>
      <c r="D832" s="198"/>
      <c r="E832" s="199"/>
      <c r="F832" s="200"/>
      <c r="G832" s="201"/>
      <c r="H832" s="208"/>
      <c r="I832" s="209"/>
      <c r="J832" s="209"/>
      <c r="K832" s="198"/>
      <c r="L832" s="204"/>
      <c r="M832" s="205"/>
      <c r="N832" s="206"/>
      <c r="O832" s="207"/>
      <c r="P832" s="207"/>
      <c r="Q832" s="207"/>
      <c r="R832" s="207"/>
      <c r="S832" s="198"/>
      <c r="T832" s="201"/>
    </row>
    <row r="833" spans="1:20" ht="22.5" hidden="1" customHeight="1" x14ac:dyDescent="0.25">
      <c r="A833" s="208"/>
      <c r="B833" s="238"/>
      <c r="C833" s="198"/>
      <c r="D833" s="198"/>
      <c r="E833" s="199"/>
      <c r="F833" s="200"/>
      <c r="G833" s="201"/>
      <c r="H833" s="208"/>
      <c r="I833" s="209"/>
      <c r="J833" s="209"/>
      <c r="K833" s="198"/>
      <c r="L833" s="204"/>
      <c r="M833" s="205"/>
      <c r="N833" s="206"/>
      <c r="O833" s="207"/>
      <c r="P833" s="207"/>
      <c r="Q833" s="207"/>
      <c r="R833" s="207"/>
      <c r="S833" s="198"/>
      <c r="T833" s="201"/>
    </row>
    <row r="834" spans="1:20" ht="22.5" hidden="1" customHeight="1" x14ac:dyDescent="0.25">
      <c r="A834" s="208"/>
      <c r="B834" s="238"/>
      <c r="C834" s="198"/>
      <c r="D834" s="198"/>
      <c r="E834" s="199"/>
      <c r="F834" s="200"/>
      <c r="G834" s="201"/>
      <c r="H834" s="208"/>
      <c r="I834" s="209"/>
      <c r="J834" s="209"/>
      <c r="K834" s="198"/>
      <c r="L834" s="204"/>
      <c r="M834" s="205"/>
      <c r="N834" s="206"/>
      <c r="O834" s="207"/>
      <c r="P834" s="207"/>
      <c r="Q834" s="207"/>
      <c r="R834" s="207"/>
      <c r="S834" s="198"/>
      <c r="T834" s="201"/>
    </row>
    <row r="835" spans="1:20" ht="22.5" hidden="1" customHeight="1" x14ac:dyDescent="0.25">
      <c r="A835" s="208"/>
      <c r="B835" s="238"/>
      <c r="C835" s="198"/>
      <c r="D835" s="198"/>
      <c r="E835" s="199"/>
      <c r="F835" s="200"/>
      <c r="G835" s="201"/>
      <c r="H835" s="208"/>
      <c r="I835" s="209"/>
      <c r="J835" s="209"/>
      <c r="K835" s="198"/>
      <c r="L835" s="204"/>
      <c r="M835" s="205"/>
      <c r="N835" s="206"/>
      <c r="O835" s="207"/>
      <c r="P835" s="207"/>
      <c r="Q835" s="207"/>
      <c r="R835" s="207"/>
      <c r="S835" s="198"/>
      <c r="T835" s="201"/>
    </row>
    <row r="836" spans="1:20" ht="22.5" hidden="1" customHeight="1" x14ac:dyDescent="0.25">
      <c r="A836" s="208"/>
      <c r="B836" s="238"/>
      <c r="C836" s="198"/>
      <c r="D836" s="198"/>
      <c r="E836" s="199"/>
      <c r="F836" s="200"/>
      <c r="G836" s="201"/>
      <c r="H836" s="208"/>
      <c r="I836" s="209"/>
      <c r="J836" s="209"/>
      <c r="K836" s="198"/>
      <c r="L836" s="204"/>
      <c r="M836" s="205"/>
      <c r="N836" s="206"/>
      <c r="O836" s="207"/>
      <c r="P836" s="207"/>
      <c r="Q836" s="207"/>
      <c r="R836" s="207"/>
      <c r="S836" s="198"/>
      <c r="T836" s="201"/>
    </row>
    <row r="837" spans="1:20" ht="22.5" hidden="1" customHeight="1" x14ac:dyDescent="0.25">
      <c r="A837" s="208"/>
      <c r="B837" s="238"/>
      <c r="C837" s="198"/>
      <c r="D837" s="198"/>
      <c r="E837" s="199"/>
      <c r="F837" s="200"/>
      <c r="G837" s="201"/>
      <c r="H837" s="208"/>
      <c r="I837" s="209"/>
      <c r="J837" s="209"/>
      <c r="K837" s="198"/>
      <c r="L837" s="204"/>
      <c r="M837" s="205"/>
      <c r="N837" s="206"/>
      <c r="O837" s="207"/>
      <c r="P837" s="207"/>
      <c r="Q837" s="207"/>
      <c r="R837" s="207"/>
      <c r="S837" s="198"/>
      <c r="T837" s="201"/>
    </row>
    <row r="838" spans="1:20" ht="22.5" hidden="1" customHeight="1" x14ac:dyDescent="0.25">
      <c r="A838" s="208"/>
      <c r="B838" s="238"/>
      <c r="C838" s="198"/>
      <c r="D838" s="198"/>
      <c r="E838" s="199"/>
      <c r="F838" s="200"/>
      <c r="G838" s="201"/>
      <c r="H838" s="208"/>
      <c r="I838" s="209"/>
      <c r="J838" s="209"/>
      <c r="K838" s="198"/>
      <c r="L838" s="204"/>
      <c r="M838" s="205"/>
      <c r="N838" s="206"/>
      <c r="O838" s="207"/>
      <c r="P838" s="207"/>
      <c r="Q838" s="207"/>
      <c r="R838" s="207"/>
      <c r="S838" s="198"/>
      <c r="T838" s="201"/>
    </row>
    <row r="839" spans="1:20" ht="22.5" hidden="1" customHeight="1" x14ac:dyDescent="0.25">
      <c r="A839" s="208"/>
      <c r="B839" s="238"/>
      <c r="C839" s="198"/>
      <c r="D839" s="198"/>
      <c r="E839" s="199"/>
      <c r="F839" s="200"/>
      <c r="G839" s="201"/>
      <c r="H839" s="208"/>
      <c r="I839" s="209"/>
      <c r="J839" s="209"/>
      <c r="K839" s="198"/>
      <c r="L839" s="204"/>
      <c r="M839" s="205"/>
      <c r="N839" s="206"/>
      <c r="O839" s="207"/>
      <c r="P839" s="207"/>
      <c r="Q839" s="207"/>
      <c r="R839" s="207"/>
      <c r="S839" s="198"/>
      <c r="T839" s="201"/>
    </row>
    <row r="840" spans="1:20" ht="22.5" hidden="1" customHeight="1" x14ac:dyDescent="0.25">
      <c r="A840" s="208"/>
      <c r="B840" s="238"/>
      <c r="C840" s="198"/>
      <c r="D840" s="198"/>
      <c r="E840" s="199"/>
      <c r="F840" s="200"/>
      <c r="G840" s="201"/>
      <c r="H840" s="208"/>
      <c r="I840" s="209"/>
      <c r="J840" s="209"/>
      <c r="K840" s="198"/>
      <c r="L840" s="204"/>
      <c r="M840" s="205"/>
      <c r="N840" s="206"/>
      <c r="O840" s="207"/>
      <c r="P840" s="207"/>
      <c r="Q840" s="207"/>
      <c r="R840" s="207"/>
      <c r="S840" s="198"/>
      <c r="T840" s="201"/>
    </row>
    <row r="841" spans="1:20" ht="22.5" hidden="1" customHeight="1" x14ac:dyDescent="0.25">
      <c r="A841" s="208"/>
      <c r="B841" s="238"/>
      <c r="C841" s="198"/>
      <c r="D841" s="198"/>
      <c r="E841" s="199"/>
      <c r="F841" s="200"/>
      <c r="G841" s="201"/>
      <c r="H841" s="208"/>
      <c r="I841" s="209"/>
      <c r="J841" s="209"/>
      <c r="K841" s="198"/>
      <c r="L841" s="204"/>
      <c r="M841" s="205"/>
      <c r="N841" s="206"/>
      <c r="O841" s="207"/>
      <c r="P841" s="207"/>
      <c r="Q841" s="207"/>
      <c r="R841" s="207"/>
      <c r="S841" s="198"/>
      <c r="T841" s="201"/>
    </row>
    <row r="842" spans="1:20" ht="22.5" hidden="1" customHeight="1" x14ac:dyDescent="0.25">
      <c r="A842" s="208"/>
      <c r="B842" s="238"/>
      <c r="C842" s="198"/>
      <c r="D842" s="198"/>
      <c r="E842" s="199"/>
      <c r="F842" s="200"/>
      <c r="G842" s="201"/>
      <c r="H842" s="208"/>
      <c r="I842" s="209"/>
      <c r="J842" s="209"/>
      <c r="K842" s="198"/>
      <c r="L842" s="204"/>
      <c r="M842" s="205"/>
      <c r="N842" s="206"/>
      <c r="O842" s="207"/>
      <c r="P842" s="207"/>
      <c r="Q842" s="207"/>
      <c r="R842" s="207"/>
      <c r="S842" s="198"/>
      <c r="T842" s="201"/>
    </row>
    <row r="843" spans="1:20" ht="22.5" hidden="1" customHeight="1" x14ac:dyDescent="0.25">
      <c r="A843" s="208"/>
      <c r="B843" s="238"/>
      <c r="C843" s="198"/>
      <c r="D843" s="198"/>
      <c r="E843" s="199"/>
      <c r="F843" s="200"/>
      <c r="G843" s="201"/>
      <c r="H843" s="208"/>
      <c r="I843" s="209"/>
      <c r="J843" s="209"/>
      <c r="K843" s="198"/>
      <c r="L843" s="204"/>
      <c r="M843" s="205"/>
      <c r="N843" s="206"/>
      <c r="O843" s="207"/>
      <c r="P843" s="207"/>
      <c r="Q843" s="207"/>
      <c r="R843" s="207"/>
      <c r="S843" s="198"/>
      <c r="T843" s="201"/>
    </row>
    <row r="844" spans="1:20" ht="22.5" hidden="1" customHeight="1" x14ac:dyDescent="0.25">
      <c r="A844" s="208"/>
      <c r="B844" s="238"/>
      <c r="C844" s="198"/>
      <c r="D844" s="198"/>
      <c r="E844" s="199"/>
      <c r="F844" s="200"/>
      <c r="G844" s="201"/>
      <c r="H844" s="208"/>
      <c r="I844" s="209"/>
      <c r="J844" s="209"/>
      <c r="K844" s="198"/>
      <c r="L844" s="204"/>
      <c r="M844" s="205"/>
      <c r="N844" s="206"/>
      <c r="O844" s="207"/>
      <c r="P844" s="207"/>
      <c r="Q844" s="207"/>
      <c r="R844" s="207"/>
      <c r="S844" s="198"/>
      <c r="T844" s="201"/>
    </row>
    <row r="845" spans="1:20" ht="22.5" hidden="1" customHeight="1" x14ac:dyDescent="0.25">
      <c r="A845" s="208"/>
      <c r="B845" s="238"/>
      <c r="C845" s="198"/>
      <c r="D845" s="198"/>
      <c r="E845" s="199"/>
      <c r="F845" s="200"/>
      <c r="G845" s="201"/>
      <c r="H845" s="208"/>
      <c r="I845" s="209"/>
      <c r="J845" s="209"/>
      <c r="K845" s="198"/>
      <c r="L845" s="204"/>
      <c r="M845" s="205"/>
      <c r="N845" s="206"/>
      <c r="O845" s="207"/>
      <c r="P845" s="207"/>
      <c r="Q845" s="207"/>
      <c r="R845" s="207"/>
      <c r="S845" s="198"/>
      <c r="T845" s="201"/>
    </row>
    <row r="846" spans="1:20" ht="22.5" hidden="1" customHeight="1" x14ac:dyDescent="0.25">
      <c r="A846" s="208"/>
      <c r="B846" s="238"/>
      <c r="C846" s="198"/>
      <c r="D846" s="198"/>
      <c r="E846" s="199"/>
      <c r="F846" s="200"/>
      <c r="G846" s="201"/>
      <c r="H846" s="208"/>
      <c r="I846" s="209"/>
      <c r="J846" s="209"/>
      <c r="K846" s="198"/>
      <c r="L846" s="204"/>
      <c r="M846" s="205"/>
      <c r="N846" s="206"/>
      <c r="O846" s="207"/>
      <c r="P846" s="207"/>
      <c r="Q846" s="207"/>
      <c r="R846" s="207"/>
      <c r="S846" s="198"/>
      <c r="T846" s="201"/>
    </row>
    <row r="847" spans="1:20" ht="22.5" hidden="1" customHeight="1" x14ac:dyDescent="0.25">
      <c r="A847" s="208"/>
      <c r="B847" s="238"/>
      <c r="C847" s="198"/>
      <c r="D847" s="198"/>
      <c r="E847" s="199"/>
      <c r="F847" s="200"/>
      <c r="G847" s="201"/>
      <c r="H847" s="208"/>
      <c r="I847" s="209"/>
      <c r="J847" s="209"/>
      <c r="K847" s="198"/>
      <c r="L847" s="204"/>
      <c r="M847" s="205"/>
      <c r="N847" s="206"/>
      <c r="O847" s="207"/>
      <c r="P847" s="207"/>
      <c r="Q847" s="207"/>
      <c r="R847" s="207"/>
      <c r="S847" s="198"/>
      <c r="T847" s="201"/>
    </row>
    <row r="848" spans="1:20" ht="22.5" hidden="1" customHeight="1" x14ac:dyDescent="0.25">
      <c r="A848" s="208"/>
      <c r="B848" s="238"/>
      <c r="C848" s="198"/>
      <c r="D848" s="198"/>
      <c r="E848" s="199"/>
      <c r="F848" s="200"/>
      <c r="G848" s="201"/>
      <c r="H848" s="208"/>
      <c r="I848" s="209"/>
      <c r="J848" s="209"/>
      <c r="K848" s="198"/>
      <c r="L848" s="204"/>
      <c r="M848" s="205"/>
      <c r="N848" s="206"/>
      <c r="O848" s="207"/>
      <c r="P848" s="207"/>
      <c r="Q848" s="207"/>
      <c r="R848" s="207"/>
      <c r="S848" s="198"/>
      <c r="T848" s="201"/>
    </row>
    <row r="849" spans="1:20" ht="22.5" hidden="1" customHeight="1" x14ac:dyDescent="0.25">
      <c r="A849" s="208"/>
      <c r="B849" s="238"/>
      <c r="C849" s="198"/>
      <c r="D849" s="198"/>
      <c r="E849" s="199"/>
      <c r="F849" s="200"/>
      <c r="G849" s="201"/>
      <c r="H849" s="208"/>
      <c r="I849" s="209"/>
      <c r="J849" s="209"/>
      <c r="K849" s="198"/>
      <c r="L849" s="204"/>
      <c r="M849" s="205"/>
      <c r="N849" s="206"/>
      <c r="O849" s="207"/>
      <c r="P849" s="207"/>
      <c r="Q849" s="207"/>
      <c r="R849" s="207"/>
      <c r="S849" s="198"/>
      <c r="T849" s="201"/>
    </row>
    <row r="850" spans="1:20" ht="22.5" hidden="1" customHeight="1" x14ac:dyDescent="0.25">
      <c r="A850" s="208"/>
      <c r="B850" s="238"/>
      <c r="C850" s="198"/>
      <c r="D850" s="198"/>
      <c r="E850" s="199"/>
      <c r="F850" s="200"/>
      <c r="G850" s="201"/>
      <c r="H850" s="208"/>
      <c r="I850" s="209"/>
      <c r="J850" s="209"/>
      <c r="K850" s="198"/>
      <c r="L850" s="204"/>
      <c r="M850" s="205"/>
      <c r="N850" s="206"/>
      <c r="O850" s="207"/>
      <c r="P850" s="207"/>
      <c r="Q850" s="207"/>
      <c r="R850" s="207"/>
      <c r="S850" s="198"/>
      <c r="T850" s="201"/>
    </row>
    <row r="851" spans="1:20" ht="22.5" hidden="1" customHeight="1" x14ac:dyDescent="0.25">
      <c r="A851" s="208"/>
      <c r="B851" s="238"/>
      <c r="C851" s="198"/>
      <c r="D851" s="198"/>
      <c r="E851" s="199"/>
      <c r="F851" s="200"/>
      <c r="G851" s="201"/>
      <c r="H851" s="208"/>
      <c r="I851" s="209"/>
      <c r="J851" s="209"/>
      <c r="K851" s="198"/>
      <c r="L851" s="204"/>
      <c r="M851" s="205"/>
      <c r="N851" s="206"/>
      <c r="O851" s="207"/>
      <c r="P851" s="207"/>
      <c r="Q851" s="207"/>
      <c r="R851" s="207"/>
      <c r="S851" s="198"/>
      <c r="T851" s="201"/>
    </row>
    <row r="852" spans="1:20" ht="22.5" hidden="1" customHeight="1" x14ac:dyDescent="0.25">
      <c r="A852" s="208"/>
      <c r="B852" s="238"/>
      <c r="C852" s="198"/>
      <c r="D852" s="198"/>
      <c r="E852" s="199"/>
      <c r="F852" s="200"/>
      <c r="G852" s="201"/>
      <c r="H852" s="208"/>
      <c r="I852" s="209"/>
      <c r="J852" s="209"/>
      <c r="K852" s="198"/>
      <c r="L852" s="204"/>
      <c r="M852" s="205"/>
      <c r="N852" s="206"/>
      <c r="O852" s="207"/>
      <c r="P852" s="207"/>
      <c r="Q852" s="207"/>
      <c r="R852" s="207"/>
      <c r="S852" s="198"/>
      <c r="T852" s="201"/>
    </row>
    <row r="853" spans="1:20" ht="22.5" hidden="1" customHeight="1" x14ac:dyDescent="0.25">
      <c r="A853" s="208"/>
      <c r="B853" s="238"/>
      <c r="C853" s="198"/>
      <c r="D853" s="198"/>
      <c r="E853" s="199"/>
      <c r="F853" s="200"/>
      <c r="G853" s="201"/>
      <c r="H853" s="208"/>
      <c r="I853" s="209"/>
      <c r="J853" s="209"/>
      <c r="K853" s="198"/>
      <c r="L853" s="204"/>
      <c r="M853" s="205"/>
      <c r="N853" s="206"/>
      <c r="O853" s="207"/>
      <c r="P853" s="207"/>
      <c r="Q853" s="207"/>
      <c r="R853" s="207"/>
      <c r="S853" s="198"/>
      <c r="T853" s="201"/>
    </row>
    <row r="854" spans="1:20" ht="22.5" hidden="1" customHeight="1" x14ac:dyDescent="0.25">
      <c r="A854" s="208"/>
      <c r="B854" s="238"/>
      <c r="C854" s="198"/>
      <c r="D854" s="198"/>
      <c r="E854" s="199"/>
      <c r="F854" s="200"/>
      <c r="G854" s="201"/>
      <c r="H854" s="208"/>
      <c r="I854" s="209"/>
      <c r="J854" s="209"/>
      <c r="K854" s="198"/>
      <c r="L854" s="204"/>
      <c r="M854" s="205"/>
      <c r="N854" s="206"/>
      <c r="O854" s="207"/>
      <c r="P854" s="207"/>
      <c r="Q854" s="207"/>
      <c r="R854" s="207"/>
      <c r="S854" s="198"/>
      <c r="T854" s="201"/>
    </row>
    <row r="855" spans="1:20" ht="22.5" hidden="1" customHeight="1" x14ac:dyDescent="0.25">
      <c r="A855" s="208"/>
      <c r="B855" s="238"/>
      <c r="C855" s="198"/>
      <c r="D855" s="198"/>
      <c r="E855" s="199"/>
      <c r="F855" s="200"/>
      <c r="G855" s="201"/>
      <c r="H855" s="208"/>
      <c r="I855" s="209"/>
      <c r="J855" s="209"/>
      <c r="K855" s="198"/>
      <c r="L855" s="204"/>
      <c r="M855" s="205"/>
      <c r="N855" s="206"/>
      <c r="O855" s="207"/>
      <c r="P855" s="207"/>
      <c r="Q855" s="207"/>
      <c r="R855" s="207"/>
      <c r="S855" s="198"/>
      <c r="T855" s="201"/>
    </row>
    <row r="856" spans="1:20" ht="22.5" hidden="1" customHeight="1" x14ac:dyDescent="0.25">
      <c r="A856" s="208"/>
      <c r="B856" s="238"/>
      <c r="C856" s="198"/>
      <c r="D856" s="198"/>
      <c r="E856" s="199"/>
      <c r="F856" s="200"/>
      <c r="G856" s="201"/>
      <c r="H856" s="208"/>
      <c r="I856" s="209"/>
      <c r="J856" s="209"/>
      <c r="K856" s="198"/>
      <c r="L856" s="204"/>
      <c r="M856" s="205"/>
      <c r="N856" s="206"/>
      <c r="O856" s="207"/>
      <c r="P856" s="207"/>
      <c r="Q856" s="207"/>
      <c r="R856" s="207"/>
      <c r="S856" s="198"/>
      <c r="T856" s="201"/>
    </row>
    <row r="857" spans="1:20" ht="22.5" hidden="1" customHeight="1" x14ac:dyDescent="0.25">
      <c r="A857" s="208"/>
      <c r="B857" s="238"/>
      <c r="C857" s="198"/>
      <c r="D857" s="198"/>
      <c r="E857" s="199"/>
      <c r="F857" s="200"/>
      <c r="G857" s="201"/>
      <c r="H857" s="208"/>
      <c r="I857" s="209"/>
      <c r="J857" s="209"/>
      <c r="K857" s="198"/>
      <c r="L857" s="204"/>
      <c r="M857" s="205"/>
      <c r="N857" s="206"/>
      <c r="O857" s="207"/>
      <c r="P857" s="207"/>
      <c r="Q857" s="207"/>
      <c r="R857" s="207"/>
      <c r="S857" s="198"/>
      <c r="T857" s="201"/>
    </row>
    <row r="858" spans="1:20" ht="22.5" hidden="1" customHeight="1" x14ac:dyDescent="0.25">
      <c r="A858" s="208"/>
      <c r="B858" s="238"/>
      <c r="C858" s="198"/>
      <c r="D858" s="198"/>
      <c r="E858" s="199"/>
      <c r="F858" s="200"/>
      <c r="G858" s="201"/>
      <c r="H858" s="208"/>
      <c r="I858" s="209"/>
      <c r="J858" s="209"/>
      <c r="K858" s="198"/>
      <c r="L858" s="204"/>
      <c r="M858" s="205"/>
      <c r="N858" s="206"/>
      <c r="O858" s="207"/>
      <c r="P858" s="207"/>
      <c r="Q858" s="207"/>
      <c r="R858" s="207"/>
      <c r="S858" s="198"/>
      <c r="T858" s="201"/>
    </row>
    <row r="859" spans="1:20" ht="22.5" hidden="1" customHeight="1" x14ac:dyDescent="0.25">
      <c r="A859" s="208"/>
      <c r="B859" s="238"/>
      <c r="C859" s="198"/>
      <c r="D859" s="198"/>
      <c r="E859" s="199"/>
      <c r="F859" s="200"/>
      <c r="G859" s="201"/>
      <c r="H859" s="208"/>
      <c r="I859" s="209"/>
      <c r="J859" s="209"/>
      <c r="K859" s="198"/>
      <c r="L859" s="204"/>
      <c r="M859" s="205"/>
      <c r="N859" s="206"/>
      <c r="O859" s="207"/>
      <c r="P859" s="207"/>
      <c r="Q859" s="207"/>
      <c r="R859" s="207"/>
      <c r="S859" s="198"/>
      <c r="T859" s="201"/>
    </row>
    <row r="860" spans="1:20" ht="22.5" hidden="1" customHeight="1" x14ac:dyDescent="0.25">
      <c r="A860" s="208"/>
      <c r="B860" s="238"/>
      <c r="C860" s="198"/>
      <c r="D860" s="198"/>
      <c r="E860" s="199"/>
      <c r="F860" s="200"/>
      <c r="G860" s="201"/>
      <c r="H860" s="208"/>
      <c r="I860" s="209"/>
      <c r="J860" s="209"/>
      <c r="K860" s="198"/>
      <c r="L860" s="204"/>
      <c r="M860" s="205"/>
      <c r="N860" s="206"/>
      <c r="O860" s="207"/>
      <c r="P860" s="207"/>
      <c r="Q860" s="207"/>
      <c r="R860" s="207"/>
      <c r="S860" s="198"/>
      <c r="T860" s="201"/>
    </row>
    <row r="861" spans="1:20" ht="22.5" hidden="1" customHeight="1" x14ac:dyDescent="0.25">
      <c r="A861" s="208"/>
      <c r="B861" s="238"/>
      <c r="C861" s="198"/>
      <c r="D861" s="198"/>
      <c r="E861" s="199"/>
      <c r="F861" s="200"/>
      <c r="G861" s="201"/>
      <c r="H861" s="208"/>
      <c r="I861" s="209"/>
      <c r="J861" s="209"/>
      <c r="K861" s="198"/>
      <c r="L861" s="204"/>
      <c r="M861" s="205"/>
      <c r="N861" s="206"/>
      <c r="O861" s="207"/>
      <c r="P861" s="207"/>
      <c r="Q861" s="207"/>
      <c r="R861" s="207"/>
      <c r="S861" s="198"/>
      <c r="T861" s="201"/>
    </row>
    <row r="862" spans="1:20" ht="22.5" hidden="1" customHeight="1" x14ac:dyDescent="0.25">
      <c r="A862" s="208"/>
      <c r="B862" s="238"/>
      <c r="C862" s="198"/>
      <c r="D862" s="198"/>
      <c r="E862" s="199"/>
      <c r="F862" s="200"/>
      <c r="G862" s="201"/>
      <c r="H862" s="208"/>
      <c r="I862" s="209"/>
      <c r="J862" s="209"/>
      <c r="K862" s="198"/>
      <c r="L862" s="204"/>
      <c r="M862" s="205"/>
      <c r="N862" s="206"/>
      <c r="O862" s="207"/>
      <c r="P862" s="207"/>
      <c r="Q862" s="207"/>
      <c r="R862" s="207"/>
      <c r="S862" s="198"/>
      <c r="T862" s="201"/>
    </row>
    <row r="863" spans="1:20" ht="22.5" hidden="1" customHeight="1" x14ac:dyDescent="0.25">
      <c r="A863" s="208"/>
      <c r="B863" s="238"/>
      <c r="C863" s="198"/>
      <c r="D863" s="198"/>
      <c r="E863" s="199"/>
      <c r="F863" s="200"/>
      <c r="G863" s="201"/>
      <c r="H863" s="208"/>
      <c r="I863" s="209"/>
      <c r="J863" s="209"/>
      <c r="K863" s="198"/>
      <c r="L863" s="204"/>
      <c r="M863" s="205"/>
      <c r="N863" s="206"/>
      <c r="O863" s="207"/>
      <c r="P863" s="207"/>
      <c r="Q863" s="207"/>
      <c r="R863" s="207"/>
      <c r="S863" s="198"/>
      <c r="T863" s="201"/>
    </row>
    <row r="864" spans="1:20" ht="22.5" hidden="1" customHeight="1" x14ac:dyDescent="0.25">
      <c r="A864" s="208"/>
      <c r="B864" s="238"/>
      <c r="C864" s="198"/>
      <c r="D864" s="198"/>
      <c r="E864" s="199"/>
      <c r="F864" s="200"/>
      <c r="G864" s="201"/>
      <c r="H864" s="208"/>
      <c r="I864" s="209"/>
      <c r="J864" s="209"/>
      <c r="K864" s="198"/>
      <c r="L864" s="204"/>
      <c r="M864" s="205"/>
      <c r="N864" s="206"/>
      <c r="O864" s="207"/>
      <c r="P864" s="207"/>
      <c r="Q864" s="207"/>
      <c r="R864" s="207"/>
      <c r="S864" s="198"/>
      <c r="T864" s="201"/>
    </row>
    <row r="865" spans="1:20" ht="22.5" hidden="1" customHeight="1" x14ac:dyDescent="0.25">
      <c r="A865" s="208"/>
      <c r="B865" s="238"/>
      <c r="C865" s="198"/>
      <c r="D865" s="198"/>
      <c r="E865" s="199"/>
      <c r="F865" s="200"/>
      <c r="G865" s="201"/>
      <c r="H865" s="208"/>
      <c r="I865" s="209"/>
      <c r="J865" s="209"/>
      <c r="K865" s="198"/>
      <c r="L865" s="204"/>
      <c r="M865" s="205"/>
      <c r="N865" s="206"/>
      <c r="O865" s="207"/>
      <c r="P865" s="207"/>
      <c r="Q865" s="207"/>
      <c r="R865" s="207"/>
      <c r="S865" s="198"/>
      <c r="T865" s="201"/>
    </row>
    <row r="866" spans="1:20" ht="22.5" hidden="1" customHeight="1" x14ac:dyDescent="0.25">
      <c r="A866" s="208"/>
      <c r="B866" s="238"/>
      <c r="C866" s="198"/>
      <c r="D866" s="198"/>
      <c r="E866" s="199"/>
      <c r="F866" s="200"/>
      <c r="G866" s="201"/>
      <c r="H866" s="208"/>
      <c r="I866" s="209"/>
      <c r="J866" s="209"/>
      <c r="K866" s="198"/>
      <c r="L866" s="204"/>
      <c r="M866" s="205"/>
      <c r="N866" s="206"/>
      <c r="O866" s="207"/>
      <c r="P866" s="207"/>
      <c r="Q866" s="207"/>
      <c r="R866" s="207"/>
      <c r="S866" s="198"/>
      <c r="T866" s="201"/>
    </row>
    <row r="867" spans="1:20" ht="22.5" hidden="1" customHeight="1" x14ac:dyDescent="0.25">
      <c r="A867" s="208"/>
      <c r="B867" s="238"/>
      <c r="C867" s="198"/>
      <c r="D867" s="198"/>
      <c r="E867" s="199"/>
      <c r="F867" s="200"/>
      <c r="G867" s="201"/>
      <c r="H867" s="208"/>
      <c r="I867" s="209"/>
      <c r="J867" s="209"/>
      <c r="K867" s="198"/>
      <c r="L867" s="204"/>
      <c r="M867" s="205"/>
      <c r="N867" s="206"/>
      <c r="O867" s="207"/>
      <c r="P867" s="207"/>
      <c r="Q867" s="207"/>
      <c r="R867" s="207"/>
      <c r="S867" s="198"/>
      <c r="T867" s="201"/>
    </row>
    <row r="868" spans="1:20" ht="22.5" hidden="1" customHeight="1" x14ac:dyDescent="0.25">
      <c r="A868" s="208"/>
      <c r="B868" s="238"/>
      <c r="C868" s="198"/>
      <c r="D868" s="198"/>
      <c r="E868" s="199"/>
      <c r="F868" s="200"/>
      <c r="G868" s="201"/>
      <c r="H868" s="208"/>
      <c r="I868" s="209"/>
      <c r="J868" s="209"/>
      <c r="K868" s="198"/>
      <c r="L868" s="204"/>
      <c r="M868" s="205"/>
      <c r="N868" s="206"/>
      <c r="O868" s="207"/>
      <c r="P868" s="207"/>
      <c r="Q868" s="207"/>
      <c r="R868" s="207"/>
      <c r="S868" s="198"/>
      <c r="T868" s="201"/>
    </row>
    <row r="869" spans="1:20" ht="22.5" hidden="1" customHeight="1" x14ac:dyDescent="0.25">
      <c r="A869" s="208"/>
      <c r="B869" s="238"/>
      <c r="C869" s="198"/>
      <c r="D869" s="198"/>
      <c r="E869" s="199"/>
      <c r="F869" s="200"/>
      <c r="G869" s="201"/>
      <c r="H869" s="208"/>
      <c r="I869" s="209"/>
      <c r="J869" s="209"/>
      <c r="K869" s="198"/>
      <c r="L869" s="204"/>
      <c r="M869" s="205"/>
      <c r="N869" s="206"/>
      <c r="O869" s="207"/>
      <c r="P869" s="207"/>
      <c r="Q869" s="207"/>
      <c r="R869" s="207"/>
      <c r="S869" s="198"/>
      <c r="T869" s="201"/>
    </row>
    <row r="870" spans="1:20" ht="22.5" hidden="1" customHeight="1" x14ac:dyDescent="0.25">
      <c r="A870" s="208"/>
      <c r="B870" s="238"/>
      <c r="C870" s="198"/>
      <c r="D870" s="198"/>
      <c r="E870" s="199"/>
      <c r="F870" s="200"/>
      <c r="G870" s="201"/>
      <c r="H870" s="208"/>
      <c r="I870" s="209"/>
      <c r="J870" s="209"/>
      <c r="K870" s="198"/>
      <c r="L870" s="204"/>
      <c r="M870" s="205"/>
      <c r="N870" s="206"/>
      <c r="O870" s="207"/>
      <c r="P870" s="207"/>
      <c r="Q870" s="207"/>
      <c r="R870" s="207"/>
      <c r="S870" s="198"/>
      <c r="T870" s="201"/>
    </row>
    <row r="871" spans="1:20" ht="22.5" hidden="1" customHeight="1" x14ac:dyDescent="0.25">
      <c r="A871" s="208"/>
      <c r="B871" s="238"/>
      <c r="C871" s="198"/>
      <c r="D871" s="198"/>
      <c r="E871" s="199"/>
      <c r="F871" s="200"/>
      <c r="G871" s="201"/>
      <c r="H871" s="208"/>
      <c r="I871" s="209"/>
      <c r="J871" s="209"/>
      <c r="K871" s="198"/>
      <c r="L871" s="204"/>
      <c r="M871" s="205"/>
      <c r="N871" s="206"/>
      <c r="O871" s="207"/>
      <c r="P871" s="207"/>
      <c r="Q871" s="207"/>
      <c r="R871" s="207"/>
      <c r="S871" s="198"/>
      <c r="T871" s="201"/>
    </row>
    <row r="872" spans="1:20" ht="22.5" hidden="1" customHeight="1" x14ac:dyDescent="0.25">
      <c r="A872" s="208"/>
      <c r="B872" s="238"/>
      <c r="C872" s="198"/>
      <c r="D872" s="198"/>
      <c r="E872" s="199"/>
      <c r="F872" s="200"/>
      <c r="G872" s="201"/>
      <c r="H872" s="208"/>
      <c r="I872" s="209"/>
      <c r="J872" s="209"/>
      <c r="K872" s="198"/>
      <c r="L872" s="204"/>
      <c r="M872" s="205"/>
      <c r="N872" s="206"/>
      <c r="O872" s="207"/>
      <c r="P872" s="207"/>
      <c r="Q872" s="207"/>
      <c r="R872" s="207"/>
      <c r="S872" s="198"/>
      <c r="T872" s="201"/>
    </row>
    <row r="873" spans="1:20" ht="22.5" hidden="1" customHeight="1" x14ac:dyDescent="0.25">
      <c r="A873" s="208"/>
      <c r="B873" s="238"/>
      <c r="C873" s="198"/>
      <c r="D873" s="198"/>
      <c r="E873" s="199"/>
      <c r="F873" s="200"/>
      <c r="G873" s="201"/>
      <c r="H873" s="208"/>
      <c r="I873" s="209"/>
      <c r="J873" s="209"/>
      <c r="K873" s="198"/>
      <c r="L873" s="204"/>
      <c r="M873" s="205"/>
      <c r="N873" s="206"/>
      <c r="O873" s="207"/>
      <c r="P873" s="207"/>
      <c r="Q873" s="207"/>
      <c r="R873" s="207"/>
      <c r="S873" s="198"/>
      <c r="T873" s="201"/>
    </row>
    <row r="874" spans="1:20" ht="22.5" hidden="1" customHeight="1" x14ac:dyDescent="0.25">
      <c r="A874" s="208"/>
      <c r="B874" s="238"/>
      <c r="C874" s="198"/>
      <c r="D874" s="198"/>
      <c r="E874" s="199"/>
      <c r="F874" s="200"/>
      <c r="G874" s="201"/>
      <c r="H874" s="208"/>
      <c r="I874" s="209"/>
      <c r="J874" s="209"/>
      <c r="K874" s="198"/>
      <c r="L874" s="204"/>
      <c r="M874" s="205"/>
      <c r="N874" s="206"/>
      <c r="O874" s="207"/>
      <c r="P874" s="207"/>
      <c r="Q874" s="207"/>
      <c r="R874" s="207"/>
      <c r="S874" s="198"/>
      <c r="T874" s="201"/>
    </row>
    <row r="875" spans="1:20" ht="22.5" hidden="1" customHeight="1" x14ac:dyDescent="0.25">
      <c r="A875" s="208"/>
      <c r="B875" s="238"/>
      <c r="C875" s="198"/>
      <c r="D875" s="198"/>
      <c r="E875" s="199"/>
      <c r="F875" s="200"/>
      <c r="G875" s="201"/>
      <c r="H875" s="208"/>
      <c r="I875" s="209"/>
      <c r="J875" s="209"/>
      <c r="K875" s="198"/>
      <c r="L875" s="204"/>
      <c r="M875" s="205"/>
      <c r="N875" s="206"/>
      <c r="O875" s="207"/>
      <c r="P875" s="207"/>
      <c r="Q875" s="207"/>
      <c r="R875" s="207"/>
      <c r="S875" s="198"/>
      <c r="T875" s="201"/>
    </row>
    <row r="876" spans="1:20" ht="22.5" hidden="1" customHeight="1" x14ac:dyDescent="0.25">
      <c r="A876" s="208"/>
      <c r="B876" s="238"/>
      <c r="C876" s="198"/>
      <c r="D876" s="198"/>
      <c r="E876" s="199"/>
      <c r="F876" s="200"/>
      <c r="G876" s="201"/>
      <c r="H876" s="208"/>
      <c r="I876" s="209"/>
      <c r="J876" s="209"/>
      <c r="K876" s="198"/>
      <c r="L876" s="204"/>
      <c r="M876" s="205"/>
      <c r="N876" s="206"/>
      <c r="O876" s="207"/>
      <c r="P876" s="207"/>
      <c r="Q876" s="207"/>
      <c r="R876" s="207"/>
      <c r="S876" s="198"/>
      <c r="T876" s="201"/>
    </row>
    <row r="877" spans="1:20" ht="22.5" hidden="1" customHeight="1" x14ac:dyDescent="0.25">
      <c r="A877" s="208"/>
      <c r="B877" s="238"/>
      <c r="C877" s="198"/>
      <c r="D877" s="198"/>
      <c r="E877" s="199"/>
      <c r="F877" s="200"/>
      <c r="G877" s="201"/>
      <c r="H877" s="208"/>
      <c r="I877" s="209"/>
      <c r="J877" s="209"/>
      <c r="K877" s="198"/>
      <c r="L877" s="204"/>
      <c r="M877" s="205"/>
      <c r="N877" s="206"/>
      <c r="O877" s="207"/>
      <c r="P877" s="207"/>
      <c r="Q877" s="207"/>
      <c r="R877" s="207"/>
      <c r="S877" s="198"/>
      <c r="T877" s="201"/>
    </row>
    <row r="878" spans="1:20" ht="22.5" hidden="1" customHeight="1" x14ac:dyDescent="0.25">
      <c r="A878" s="208"/>
      <c r="B878" s="238"/>
      <c r="C878" s="198"/>
      <c r="D878" s="198"/>
      <c r="E878" s="199"/>
      <c r="F878" s="200"/>
      <c r="G878" s="201"/>
      <c r="H878" s="208"/>
      <c r="I878" s="209"/>
      <c r="J878" s="209"/>
      <c r="K878" s="198"/>
      <c r="L878" s="204"/>
      <c r="M878" s="205"/>
      <c r="N878" s="206"/>
      <c r="O878" s="207"/>
      <c r="P878" s="207"/>
      <c r="Q878" s="207"/>
      <c r="R878" s="207"/>
      <c r="S878" s="198"/>
      <c r="T878" s="201"/>
    </row>
    <row r="879" spans="1:20" ht="22.5" hidden="1" customHeight="1" x14ac:dyDescent="0.25">
      <c r="A879" s="208"/>
      <c r="B879" s="238"/>
      <c r="C879" s="198"/>
      <c r="D879" s="198"/>
      <c r="E879" s="199"/>
      <c r="F879" s="200"/>
      <c r="G879" s="201"/>
      <c r="H879" s="208"/>
      <c r="I879" s="209"/>
      <c r="J879" s="209"/>
      <c r="K879" s="198"/>
      <c r="L879" s="204"/>
      <c r="M879" s="205"/>
      <c r="N879" s="206"/>
      <c r="O879" s="207"/>
      <c r="P879" s="207"/>
      <c r="Q879" s="207"/>
      <c r="R879" s="207"/>
      <c r="S879" s="198"/>
      <c r="T879" s="201"/>
    </row>
    <row r="880" spans="1:20" ht="22.5" hidden="1" customHeight="1" x14ac:dyDescent="0.25">
      <c r="A880" s="208"/>
      <c r="B880" s="238"/>
      <c r="C880" s="198"/>
      <c r="D880" s="198"/>
      <c r="E880" s="199"/>
      <c r="F880" s="200"/>
      <c r="G880" s="201"/>
      <c r="H880" s="208"/>
      <c r="I880" s="209"/>
      <c r="J880" s="209"/>
      <c r="K880" s="198"/>
      <c r="L880" s="204"/>
      <c r="M880" s="205"/>
      <c r="N880" s="206"/>
      <c r="O880" s="207"/>
      <c r="P880" s="207"/>
      <c r="Q880" s="207"/>
      <c r="R880" s="207"/>
      <c r="S880" s="198"/>
      <c r="T880" s="201"/>
    </row>
    <row r="881" spans="1:20" ht="22.5" hidden="1" customHeight="1" x14ac:dyDescent="0.25">
      <c r="A881" s="208"/>
      <c r="B881" s="238"/>
      <c r="C881" s="198"/>
      <c r="D881" s="198"/>
      <c r="E881" s="199"/>
      <c r="F881" s="200"/>
      <c r="G881" s="201"/>
      <c r="H881" s="208"/>
      <c r="I881" s="209"/>
      <c r="J881" s="209"/>
      <c r="K881" s="198"/>
      <c r="L881" s="204"/>
      <c r="M881" s="205"/>
      <c r="N881" s="206"/>
      <c r="O881" s="207"/>
      <c r="P881" s="207"/>
      <c r="Q881" s="207"/>
      <c r="R881" s="207"/>
      <c r="S881" s="198"/>
      <c r="T881" s="201"/>
    </row>
    <row r="882" spans="1:20" ht="22.5" hidden="1" customHeight="1" x14ac:dyDescent="0.25">
      <c r="A882" s="208"/>
      <c r="B882" s="238"/>
      <c r="C882" s="198"/>
      <c r="D882" s="198"/>
      <c r="E882" s="199"/>
      <c r="F882" s="200"/>
      <c r="G882" s="201"/>
      <c r="H882" s="208"/>
      <c r="I882" s="209"/>
      <c r="J882" s="209"/>
      <c r="K882" s="198"/>
      <c r="L882" s="204"/>
      <c r="M882" s="205"/>
      <c r="N882" s="206"/>
      <c r="O882" s="207"/>
      <c r="P882" s="207"/>
      <c r="Q882" s="207"/>
      <c r="R882" s="207"/>
      <c r="S882" s="198"/>
      <c r="T882" s="201"/>
    </row>
    <row r="883" spans="1:20" ht="22.5" hidden="1" customHeight="1" x14ac:dyDescent="0.25">
      <c r="A883" s="208"/>
      <c r="B883" s="238"/>
      <c r="C883" s="198"/>
      <c r="D883" s="198"/>
      <c r="E883" s="199"/>
      <c r="F883" s="200"/>
      <c r="G883" s="201"/>
      <c r="H883" s="208"/>
      <c r="I883" s="209"/>
      <c r="J883" s="209"/>
      <c r="K883" s="198"/>
      <c r="L883" s="204"/>
      <c r="M883" s="205"/>
      <c r="N883" s="206"/>
      <c r="O883" s="207"/>
      <c r="P883" s="207"/>
      <c r="Q883" s="207"/>
      <c r="R883" s="207"/>
      <c r="S883" s="198"/>
      <c r="T883" s="201"/>
    </row>
    <row r="884" spans="1:20" ht="22.5" hidden="1" customHeight="1" x14ac:dyDescent="0.25">
      <c r="A884" s="208"/>
      <c r="B884" s="238"/>
      <c r="C884" s="198"/>
      <c r="D884" s="198"/>
      <c r="E884" s="199"/>
      <c r="F884" s="200"/>
      <c r="G884" s="201"/>
      <c r="H884" s="208"/>
      <c r="I884" s="209"/>
      <c r="J884" s="209"/>
      <c r="K884" s="198"/>
      <c r="L884" s="204"/>
      <c r="M884" s="205"/>
      <c r="N884" s="206"/>
      <c r="O884" s="207"/>
      <c r="P884" s="207"/>
      <c r="Q884" s="207"/>
      <c r="R884" s="207"/>
      <c r="S884" s="198"/>
      <c r="T884" s="201"/>
    </row>
    <row r="885" spans="1:20" ht="22.5" hidden="1" customHeight="1" x14ac:dyDescent="0.25">
      <c r="A885" s="208"/>
      <c r="B885" s="238"/>
      <c r="C885" s="198"/>
      <c r="D885" s="198"/>
      <c r="E885" s="199"/>
      <c r="F885" s="200"/>
      <c r="G885" s="201"/>
      <c r="H885" s="208"/>
      <c r="I885" s="209"/>
      <c r="J885" s="209"/>
      <c r="K885" s="198"/>
      <c r="L885" s="204"/>
      <c r="M885" s="205"/>
      <c r="N885" s="206"/>
      <c r="O885" s="207"/>
      <c r="P885" s="207"/>
      <c r="Q885" s="207"/>
      <c r="R885" s="207"/>
      <c r="S885" s="198"/>
      <c r="T885" s="201"/>
    </row>
    <row r="886" spans="1:20" ht="22.5" hidden="1" customHeight="1" x14ac:dyDescent="0.25">
      <c r="A886" s="208"/>
      <c r="B886" s="238"/>
      <c r="C886" s="198"/>
      <c r="D886" s="198"/>
      <c r="E886" s="199"/>
      <c r="F886" s="200"/>
      <c r="G886" s="201"/>
      <c r="H886" s="208"/>
      <c r="I886" s="209"/>
      <c r="J886" s="209"/>
      <c r="K886" s="198"/>
      <c r="L886" s="204"/>
      <c r="M886" s="205"/>
      <c r="N886" s="206"/>
      <c r="O886" s="207"/>
      <c r="P886" s="207"/>
      <c r="Q886" s="207"/>
      <c r="R886" s="207"/>
      <c r="S886" s="198"/>
      <c r="T886" s="201"/>
    </row>
    <row r="887" spans="1:20" ht="22.5" hidden="1" customHeight="1" x14ac:dyDescent="0.25">
      <c r="A887" s="208"/>
      <c r="B887" s="238"/>
      <c r="C887" s="198"/>
      <c r="D887" s="198"/>
      <c r="E887" s="199"/>
      <c r="F887" s="200"/>
      <c r="G887" s="201"/>
      <c r="H887" s="208"/>
      <c r="I887" s="209"/>
      <c r="J887" s="209"/>
      <c r="K887" s="198"/>
      <c r="L887" s="204"/>
      <c r="M887" s="205"/>
      <c r="N887" s="206"/>
      <c r="O887" s="207"/>
      <c r="P887" s="207"/>
      <c r="Q887" s="207"/>
      <c r="R887" s="207"/>
      <c r="S887" s="198"/>
      <c r="T887" s="201"/>
    </row>
    <row r="888" spans="1:20" ht="22.5" hidden="1" customHeight="1" x14ac:dyDescent="0.25">
      <c r="A888" s="208"/>
      <c r="B888" s="238"/>
      <c r="C888" s="198"/>
      <c r="D888" s="198"/>
      <c r="E888" s="199"/>
      <c r="F888" s="200"/>
      <c r="G888" s="201"/>
      <c r="H888" s="208"/>
      <c r="I888" s="209"/>
      <c r="J888" s="209"/>
      <c r="K888" s="198"/>
      <c r="L888" s="204"/>
      <c r="M888" s="205"/>
      <c r="N888" s="206"/>
      <c r="O888" s="207"/>
      <c r="P888" s="207"/>
      <c r="Q888" s="207"/>
      <c r="R888" s="207"/>
      <c r="S888" s="198"/>
      <c r="T888" s="201"/>
    </row>
    <row r="889" spans="1:20" ht="22.5" hidden="1" customHeight="1" x14ac:dyDescent="0.25">
      <c r="A889" s="208"/>
      <c r="B889" s="238"/>
      <c r="C889" s="198"/>
      <c r="D889" s="198"/>
      <c r="E889" s="199"/>
      <c r="F889" s="200"/>
      <c r="G889" s="201"/>
      <c r="H889" s="208"/>
      <c r="I889" s="209"/>
      <c r="J889" s="209"/>
      <c r="K889" s="198"/>
      <c r="L889" s="204"/>
      <c r="M889" s="205"/>
      <c r="N889" s="206"/>
      <c r="O889" s="207"/>
      <c r="P889" s="207"/>
      <c r="Q889" s="207"/>
      <c r="R889" s="207"/>
      <c r="S889" s="198"/>
      <c r="T889" s="201"/>
    </row>
    <row r="890" spans="1:20" ht="22.5" hidden="1" customHeight="1" x14ac:dyDescent="0.25">
      <c r="A890" s="208"/>
      <c r="B890" s="238"/>
      <c r="C890" s="198"/>
      <c r="D890" s="198"/>
      <c r="E890" s="199"/>
      <c r="F890" s="200"/>
      <c r="G890" s="201"/>
      <c r="H890" s="208"/>
      <c r="I890" s="209"/>
      <c r="J890" s="209"/>
      <c r="K890" s="198"/>
      <c r="L890" s="204"/>
      <c r="M890" s="205"/>
      <c r="N890" s="206"/>
      <c r="O890" s="207"/>
      <c r="P890" s="207"/>
      <c r="Q890" s="207"/>
      <c r="R890" s="207"/>
      <c r="S890" s="198"/>
      <c r="T890" s="201"/>
    </row>
    <row r="891" spans="1:20" ht="22.5" hidden="1" customHeight="1" x14ac:dyDescent="0.25">
      <c r="A891" s="208"/>
      <c r="B891" s="238"/>
      <c r="C891" s="198"/>
      <c r="D891" s="198"/>
      <c r="E891" s="199"/>
      <c r="F891" s="200"/>
      <c r="G891" s="201"/>
      <c r="H891" s="208"/>
      <c r="I891" s="209"/>
      <c r="J891" s="209"/>
      <c r="K891" s="198"/>
      <c r="L891" s="204"/>
      <c r="M891" s="205"/>
      <c r="N891" s="206"/>
      <c r="O891" s="207"/>
      <c r="P891" s="207"/>
      <c r="Q891" s="207"/>
      <c r="R891" s="207"/>
      <c r="S891" s="198"/>
      <c r="T891" s="201"/>
    </row>
    <row r="892" spans="1:20" ht="22.5" hidden="1" customHeight="1" x14ac:dyDescent="0.25">
      <c r="A892" s="208"/>
      <c r="B892" s="238"/>
      <c r="C892" s="198"/>
      <c r="D892" s="198"/>
      <c r="E892" s="199"/>
      <c r="F892" s="200"/>
      <c r="G892" s="201"/>
      <c r="H892" s="208"/>
      <c r="I892" s="209"/>
      <c r="J892" s="209"/>
      <c r="K892" s="198"/>
      <c r="L892" s="204"/>
      <c r="M892" s="205"/>
      <c r="N892" s="206"/>
      <c r="O892" s="207"/>
      <c r="P892" s="207"/>
      <c r="Q892" s="207"/>
      <c r="R892" s="207"/>
      <c r="S892" s="198"/>
      <c r="T892" s="201"/>
    </row>
    <row r="893" spans="1:20" ht="22.5" hidden="1" customHeight="1" x14ac:dyDescent="0.25">
      <c r="A893" s="208"/>
      <c r="B893" s="238"/>
      <c r="C893" s="198"/>
      <c r="D893" s="198"/>
      <c r="E893" s="199"/>
      <c r="F893" s="200"/>
      <c r="G893" s="201"/>
      <c r="H893" s="208"/>
      <c r="I893" s="209"/>
      <c r="J893" s="209"/>
      <c r="K893" s="198"/>
      <c r="L893" s="204"/>
      <c r="M893" s="205"/>
      <c r="N893" s="206"/>
      <c r="O893" s="207"/>
      <c r="P893" s="207"/>
      <c r="Q893" s="207"/>
      <c r="R893" s="207"/>
      <c r="S893" s="198"/>
      <c r="T893" s="201"/>
    </row>
    <row r="894" spans="1:20" ht="22.5" hidden="1" customHeight="1" x14ac:dyDescent="0.25">
      <c r="A894" s="208"/>
      <c r="B894" s="238"/>
      <c r="C894" s="198"/>
      <c r="D894" s="198"/>
      <c r="E894" s="199"/>
      <c r="F894" s="200"/>
      <c r="G894" s="201"/>
      <c r="H894" s="208"/>
      <c r="I894" s="209"/>
      <c r="J894" s="209"/>
      <c r="K894" s="198"/>
      <c r="L894" s="204"/>
      <c r="M894" s="205"/>
      <c r="N894" s="206"/>
      <c r="O894" s="207"/>
      <c r="P894" s="207"/>
      <c r="Q894" s="207"/>
      <c r="R894" s="207"/>
      <c r="S894" s="198"/>
      <c r="T894" s="201"/>
    </row>
    <row r="895" spans="1:20" ht="22.5" hidden="1" customHeight="1" x14ac:dyDescent="0.25">
      <c r="A895" s="208"/>
      <c r="B895" s="238"/>
      <c r="C895" s="198"/>
      <c r="D895" s="198"/>
      <c r="E895" s="199"/>
      <c r="F895" s="200"/>
      <c r="G895" s="201"/>
      <c r="H895" s="208"/>
      <c r="I895" s="209"/>
      <c r="J895" s="209"/>
      <c r="K895" s="198"/>
      <c r="L895" s="204"/>
      <c r="M895" s="205"/>
      <c r="N895" s="206"/>
      <c r="O895" s="207"/>
      <c r="P895" s="207"/>
      <c r="Q895" s="207"/>
      <c r="R895" s="207"/>
      <c r="S895" s="198"/>
      <c r="T895" s="201"/>
    </row>
    <row r="896" spans="1:20" ht="22.5" hidden="1" customHeight="1" x14ac:dyDescent="0.25">
      <c r="A896" s="208"/>
      <c r="B896" s="238"/>
      <c r="C896" s="198"/>
      <c r="D896" s="198"/>
      <c r="E896" s="199"/>
      <c r="F896" s="200"/>
      <c r="G896" s="201"/>
      <c r="H896" s="208"/>
      <c r="I896" s="209"/>
      <c r="J896" s="209"/>
      <c r="K896" s="198"/>
      <c r="L896" s="204"/>
      <c r="M896" s="205"/>
      <c r="N896" s="206"/>
      <c r="O896" s="207"/>
      <c r="P896" s="207"/>
      <c r="Q896" s="207"/>
      <c r="R896" s="207"/>
      <c r="S896" s="198"/>
      <c r="T896" s="201"/>
    </row>
    <row r="897" spans="1:20" ht="22.5" hidden="1" customHeight="1" x14ac:dyDescent="0.25">
      <c r="A897" s="208"/>
      <c r="B897" s="238"/>
      <c r="C897" s="198"/>
      <c r="D897" s="198"/>
      <c r="E897" s="199"/>
      <c r="F897" s="200"/>
      <c r="G897" s="201"/>
      <c r="H897" s="208"/>
      <c r="I897" s="209"/>
      <c r="J897" s="209"/>
      <c r="K897" s="198"/>
      <c r="L897" s="204"/>
      <c r="M897" s="205"/>
      <c r="N897" s="206"/>
      <c r="O897" s="207"/>
      <c r="P897" s="207"/>
      <c r="Q897" s="207"/>
      <c r="R897" s="207"/>
      <c r="S897" s="198"/>
      <c r="T897" s="201"/>
    </row>
    <row r="898" spans="1:20" ht="22.5" hidden="1" customHeight="1" x14ac:dyDescent="0.25">
      <c r="A898" s="208"/>
      <c r="B898" s="238"/>
      <c r="C898" s="198"/>
      <c r="D898" s="198"/>
      <c r="E898" s="199"/>
      <c r="F898" s="200"/>
      <c r="G898" s="201"/>
      <c r="H898" s="208"/>
      <c r="I898" s="209"/>
      <c r="J898" s="209"/>
      <c r="K898" s="198"/>
      <c r="L898" s="204"/>
      <c r="M898" s="205"/>
      <c r="N898" s="206"/>
      <c r="O898" s="207"/>
      <c r="P898" s="207"/>
      <c r="Q898" s="207"/>
      <c r="R898" s="207"/>
      <c r="S898" s="198"/>
      <c r="T898" s="201"/>
    </row>
    <row r="899" spans="1:20" ht="22.5" hidden="1" customHeight="1" x14ac:dyDescent="0.25">
      <c r="A899" s="208"/>
      <c r="B899" s="238"/>
      <c r="C899" s="198"/>
      <c r="D899" s="198"/>
      <c r="E899" s="199"/>
      <c r="F899" s="200"/>
      <c r="G899" s="201"/>
      <c r="H899" s="208"/>
      <c r="I899" s="209"/>
      <c r="J899" s="209"/>
      <c r="K899" s="198"/>
      <c r="L899" s="204"/>
      <c r="M899" s="205"/>
      <c r="N899" s="206"/>
      <c r="O899" s="207"/>
      <c r="P899" s="207"/>
      <c r="Q899" s="207"/>
      <c r="R899" s="207"/>
      <c r="S899" s="198"/>
      <c r="T899" s="201"/>
    </row>
    <row r="900" spans="1:20" ht="22.5" hidden="1" customHeight="1" x14ac:dyDescent="0.25">
      <c r="A900" s="208"/>
      <c r="B900" s="238"/>
      <c r="C900" s="198"/>
      <c r="D900" s="198"/>
      <c r="E900" s="199"/>
      <c r="F900" s="200"/>
      <c r="G900" s="201"/>
      <c r="H900" s="208"/>
      <c r="I900" s="209"/>
      <c r="J900" s="209"/>
      <c r="K900" s="198"/>
      <c r="L900" s="204"/>
      <c r="M900" s="205"/>
      <c r="N900" s="206"/>
      <c r="O900" s="207"/>
      <c r="P900" s="207"/>
      <c r="Q900" s="207"/>
      <c r="R900" s="207"/>
      <c r="S900" s="198"/>
      <c r="T900" s="201"/>
    </row>
    <row r="901" spans="1:20" ht="22.5" hidden="1" customHeight="1" x14ac:dyDescent="0.25">
      <c r="A901" s="208"/>
      <c r="B901" s="238"/>
      <c r="C901" s="198"/>
      <c r="D901" s="198"/>
      <c r="E901" s="199"/>
      <c r="F901" s="200"/>
      <c r="G901" s="201"/>
      <c r="H901" s="208"/>
      <c r="I901" s="209"/>
      <c r="J901" s="209"/>
      <c r="K901" s="198"/>
      <c r="L901" s="204"/>
      <c r="M901" s="205"/>
      <c r="N901" s="206"/>
      <c r="O901" s="207"/>
      <c r="P901" s="207"/>
      <c r="Q901" s="207"/>
      <c r="R901" s="207"/>
      <c r="S901" s="198"/>
      <c r="T901" s="201"/>
    </row>
    <row r="902" spans="1:20" ht="22.5" hidden="1" customHeight="1" x14ac:dyDescent="0.25">
      <c r="A902" s="208"/>
      <c r="B902" s="238"/>
      <c r="C902" s="198"/>
      <c r="D902" s="198"/>
      <c r="E902" s="199"/>
      <c r="F902" s="200"/>
      <c r="G902" s="201"/>
      <c r="H902" s="208"/>
      <c r="I902" s="209"/>
      <c r="J902" s="209"/>
      <c r="K902" s="198"/>
      <c r="L902" s="204"/>
      <c r="M902" s="205"/>
      <c r="N902" s="206"/>
      <c r="O902" s="207"/>
      <c r="P902" s="207"/>
      <c r="Q902" s="207"/>
      <c r="R902" s="207"/>
      <c r="S902" s="198"/>
      <c r="T902" s="201"/>
    </row>
    <row r="903" spans="1:20" ht="22.5" hidden="1" customHeight="1" x14ac:dyDescent="0.25">
      <c r="A903" s="208"/>
      <c r="B903" s="238"/>
      <c r="C903" s="198"/>
      <c r="D903" s="198"/>
      <c r="E903" s="199"/>
      <c r="F903" s="200"/>
      <c r="G903" s="201"/>
      <c r="H903" s="208"/>
      <c r="I903" s="209"/>
      <c r="J903" s="209"/>
      <c r="K903" s="198"/>
      <c r="L903" s="204"/>
      <c r="M903" s="205"/>
      <c r="N903" s="206"/>
      <c r="O903" s="207"/>
      <c r="P903" s="207"/>
      <c r="Q903" s="207"/>
      <c r="R903" s="207"/>
      <c r="S903" s="198"/>
      <c r="T903" s="201"/>
    </row>
    <row r="904" spans="1:20" ht="22.5" hidden="1" customHeight="1" x14ac:dyDescent="0.25">
      <c r="A904" s="208"/>
      <c r="B904" s="238"/>
      <c r="C904" s="198"/>
      <c r="D904" s="198"/>
      <c r="E904" s="199"/>
      <c r="F904" s="200"/>
      <c r="G904" s="201"/>
      <c r="H904" s="208"/>
      <c r="I904" s="209"/>
      <c r="J904" s="209"/>
      <c r="K904" s="198"/>
      <c r="L904" s="204"/>
      <c r="M904" s="205"/>
      <c r="N904" s="206"/>
      <c r="O904" s="207"/>
      <c r="P904" s="207"/>
      <c r="Q904" s="207"/>
      <c r="R904" s="207"/>
      <c r="S904" s="198"/>
      <c r="T904" s="201"/>
    </row>
    <row r="905" spans="1:20" ht="22.5" hidden="1" customHeight="1" x14ac:dyDescent="0.25">
      <c r="A905" s="208"/>
      <c r="B905" s="238"/>
      <c r="C905" s="198"/>
      <c r="D905" s="198"/>
      <c r="E905" s="199"/>
      <c r="F905" s="200"/>
      <c r="G905" s="201"/>
      <c r="H905" s="208"/>
      <c r="I905" s="209"/>
      <c r="J905" s="209"/>
      <c r="K905" s="198"/>
      <c r="L905" s="204"/>
      <c r="M905" s="205"/>
      <c r="N905" s="206"/>
      <c r="O905" s="207"/>
      <c r="P905" s="207"/>
      <c r="Q905" s="207"/>
      <c r="R905" s="207"/>
      <c r="S905" s="198"/>
      <c r="T905" s="201"/>
    </row>
    <row r="906" spans="1:20" ht="22.5" hidden="1" customHeight="1" x14ac:dyDescent="0.25">
      <c r="A906" s="208"/>
      <c r="B906" s="238"/>
      <c r="C906" s="198"/>
      <c r="D906" s="198"/>
      <c r="E906" s="199"/>
      <c r="F906" s="200"/>
      <c r="G906" s="201"/>
      <c r="H906" s="208"/>
      <c r="I906" s="209"/>
      <c r="J906" s="209"/>
      <c r="K906" s="198"/>
      <c r="L906" s="204"/>
      <c r="M906" s="205"/>
      <c r="N906" s="206"/>
      <c r="O906" s="207"/>
      <c r="P906" s="207"/>
      <c r="Q906" s="207"/>
      <c r="R906" s="207"/>
      <c r="S906" s="198"/>
      <c r="T906" s="201"/>
    </row>
    <row r="907" spans="1:20" ht="22.5" hidden="1" customHeight="1" x14ac:dyDescent="0.25">
      <c r="A907" s="208"/>
      <c r="B907" s="238"/>
      <c r="C907" s="198"/>
      <c r="D907" s="198"/>
      <c r="E907" s="199"/>
      <c r="F907" s="200"/>
      <c r="G907" s="201"/>
      <c r="H907" s="208"/>
      <c r="I907" s="209"/>
      <c r="J907" s="209"/>
      <c r="K907" s="198"/>
      <c r="L907" s="204"/>
      <c r="M907" s="205"/>
      <c r="N907" s="206"/>
      <c r="O907" s="207"/>
      <c r="P907" s="207"/>
      <c r="Q907" s="207"/>
      <c r="R907" s="207"/>
      <c r="S907" s="198"/>
      <c r="T907" s="201"/>
    </row>
    <row r="908" spans="1:20" ht="22.5" hidden="1" customHeight="1" x14ac:dyDescent="0.25">
      <c r="A908" s="208"/>
      <c r="B908" s="238"/>
      <c r="C908" s="198"/>
      <c r="D908" s="198"/>
      <c r="E908" s="199"/>
      <c r="F908" s="200"/>
      <c r="G908" s="201"/>
      <c r="H908" s="208"/>
      <c r="I908" s="209"/>
      <c r="J908" s="209"/>
      <c r="K908" s="198"/>
      <c r="L908" s="204"/>
      <c r="M908" s="205"/>
      <c r="N908" s="206"/>
      <c r="O908" s="207"/>
      <c r="P908" s="207"/>
      <c r="Q908" s="207"/>
      <c r="R908" s="207"/>
      <c r="S908" s="198"/>
      <c r="T908" s="201"/>
    </row>
    <row r="909" spans="1:20" ht="22.5" hidden="1" customHeight="1" x14ac:dyDescent="0.25">
      <c r="A909" s="208"/>
      <c r="B909" s="238"/>
      <c r="C909" s="198"/>
      <c r="D909" s="198"/>
      <c r="E909" s="199"/>
      <c r="F909" s="200"/>
      <c r="G909" s="201"/>
      <c r="H909" s="208"/>
      <c r="I909" s="209"/>
      <c r="J909" s="209"/>
      <c r="K909" s="198"/>
      <c r="L909" s="204"/>
      <c r="M909" s="205"/>
      <c r="N909" s="206"/>
      <c r="O909" s="207"/>
      <c r="P909" s="207"/>
      <c r="Q909" s="207"/>
      <c r="R909" s="207"/>
      <c r="S909" s="198"/>
      <c r="T909" s="201"/>
    </row>
    <row r="910" spans="1:20" ht="22.5" hidden="1" customHeight="1" x14ac:dyDescent="0.25">
      <c r="A910" s="208"/>
      <c r="B910" s="238"/>
      <c r="C910" s="198"/>
      <c r="D910" s="198"/>
      <c r="E910" s="199"/>
      <c r="F910" s="200"/>
      <c r="G910" s="201"/>
      <c r="H910" s="208"/>
      <c r="I910" s="209"/>
      <c r="J910" s="209"/>
      <c r="K910" s="198"/>
      <c r="L910" s="204"/>
      <c r="M910" s="205"/>
      <c r="N910" s="206"/>
      <c r="O910" s="207"/>
      <c r="P910" s="207"/>
      <c r="Q910" s="207"/>
      <c r="R910" s="207"/>
      <c r="S910" s="198"/>
      <c r="T910" s="201"/>
    </row>
    <row r="911" spans="1:20" ht="22.5" hidden="1" customHeight="1" x14ac:dyDescent="0.25">
      <c r="A911" s="208"/>
      <c r="B911" s="238"/>
      <c r="C911" s="198"/>
      <c r="D911" s="198"/>
      <c r="E911" s="199"/>
      <c r="F911" s="200"/>
      <c r="G911" s="201"/>
      <c r="H911" s="208"/>
      <c r="I911" s="209"/>
      <c r="J911" s="209"/>
      <c r="K911" s="198"/>
      <c r="L911" s="204"/>
      <c r="M911" s="205"/>
      <c r="N911" s="206"/>
      <c r="O911" s="207"/>
      <c r="P911" s="207"/>
      <c r="Q911" s="207"/>
      <c r="R911" s="207"/>
      <c r="S911" s="198"/>
      <c r="T911" s="201"/>
    </row>
    <row r="912" spans="1:20" ht="22.5" hidden="1" customHeight="1" x14ac:dyDescent="0.25">
      <c r="A912" s="208"/>
      <c r="B912" s="238"/>
      <c r="C912" s="198"/>
      <c r="D912" s="198"/>
      <c r="E912" s="199"/>
      <c r="F912" s="200"/>
      <c r="G912" s="201"/>
      <c r="H912" s="208"/>
      <c r="I912" s="209"/>
      <c r="J912" s="209"/>
      <c r="K912" s="198"/>
      <c r="L912" s="204"/>
      <c r="M912" s="205"/>
      <c r="N912" s="206"/>
      <c r="O912" s="207"/>
      <c r="P912" s="207"/>
      <c r="Q912" s="207"/>
      <c r="R912" s="207"/>
      <c r="S912" s="198"/>
      <c r="T912" s="201"/>
    </row>
    <row r="913" spans="1:20" ht="22.5" hidden="1" customHeight="1" x14ac:dyDescent="0.25">
      <c r="A913" s="208"/>
      <c r="B913" s="238"/>
      <c r="C913" s="198"/>
      <c r="D913" s="198"/>
      <c r="E913" s="199"/>
      <c r="F913" s="200"/>
      <c r="G913" s="201"/>
      <c r="H913" s="208"/>
      <c r="I913" s="209"/>
      <c r="J913" s="209"/>
      <c r="K913" s="198"/>
      <c r="L913" s="204"/>
      <c r="M913" s="205"/>
      <c r="N913" s="206"/>
      <c r="O913" s="207"/>
      <c r="P913" s="207"/>
      <c r="Q913" s="207"/>
      <c r="R913" s="207"/>
      <c r="S913" s="198"/>
      <c r="T913" s="201"/>
    </row>
    <row r="914" spans="1:20" ht="22.5" hidden="1" customHeight="1" x14ac:dyDescent="0.25">
      <c r="A914" s="208"/>
      <c r="B914" s="238"/>
      <c r="C914" s="198"/>
      <c r="D914" s="198"/>
      <c r="E914" s="199"/>
      <c r="F914" s="200"/>
      <c r="G914" s="201"/>
      <c r="H914" s="208"/>
      <c r="I914" s="209"/>
      <c r="J914" s="209"/>
      <c r="K914" s="198"/>
      <c r="L914" s="204"/>
      <c r="M914" s="205"/>
      <c r="N914" s="206"/>
      <c r="O914" s="207"/>
      <c r="P914" s="207"/>
      <c r="Q914" s="207"/>
      <c r="R914" s="207"/>
      <c r="S914" s="198"/>
      <c r="T914" s="201"/>
    </row>
    <row r="915" spans="1:20" ht="22.5" hidden="1" customHeight="1" x14ac:dyDescent="0.25">
      <c r="A915" s="208"/>
      <c r="B915" s="238"/>
      <c r="C915" s="198"/>
      <c r="D915" s="198"/>
      <c r="E915" s="199"/>
      <c r="F915" s="200"/>
      <c r="G915" s="201"/>
      <c r="H915" s="208"/>
      <c r="I915" s="209"/>
      <c r="J915" s="209"/>
      <c r="K915" s="198"/>
      <c r="L915" s="204"/>
      <c r="M915" s="205"/>
      <c r="N915" s="206"/>
      <c r="O915" s="207"/>
      <c r="P915" s="207"/>
      <c r="Q915" s="207"/>
      <c r="R915" s="207"/>
      <c r="S915" s="198"/>
      <c r="T915" s="201"/>
    </row>
    <row r="916" spans="1:20" ht="22.5" hidden="1" customHeight="1" x14ac:dyDescent="0.25">
      <c r="A916" s="208"/>
      <c r="B916" s="238"/>
      <c r="C916" s="198"/>
      <c r="D916" s="198"/>
      <c r="E916" s="199"/>
      <c r="F916" s="200"/>
      <c r="G916" s="201"/>
      <c r="H916" s="208"/>
      <c r="I916" s="209"/>
      <c r="J916" s="209"/>
      <c r="K916" s="198"/>
      <c r="L916" s="204"/>
      <c r="M916" s="205"/>
      <c r="N916" s="206"/>
      <c r="O916" s="207"/>
      <c r="P916" s="207"/>
      <c r="Q916" s="207"/>
      <c r="R916" s="207"/>
      <c r="S916" s="198"/>
      <c r="T916" s="201"/>
    </row>
    <row r="917" spans="1:20" ht="22.5" hidden="1" customHeight="1" x14ac:dyDescent="0.25">
      <c r="A917" s="208"/>
      <c r="B917" s="238"/>
      <c r="C917" s="198"/>
      <c r="D917" s="198"/>
      <c r="E917" s="199"/>
      <c r="F917" s="200"/>
      <c r="G917" s="201"/>
      <c r="H917" s="208"/>
      <c r="I917" s="209"/>
      <c r="J917" s="209"/>
      <c r="K917" s="198"/>
      <c r="L917" s="204"/>
      <c r="M917" s="205"/>
      <c r="N917" s="206"/>
      <c r="O917" s="207"/>
      <c r="P917" s="207"/>
      <c r="Q917" s="207"/>
      <c r="R917" s="207"/>
      <c r="S917" s="198"/>
      <c r="T917" s="201"/>
    </row>
    <row r="918" spans="1:20" ht="22.5" hidden="1" customHeight="1" x14ac:dyDescent="0.25">
      <c r="A918" s="208"/>
      <c r="B918" s="238"/>
      <c r="C918" s="198"/>
      <c r="D918" s="198"/>
      <c r="E918" s="199"/>
      <c r="F918" s="200"/>
      <c r="G918" s="201"/>
      <c r="H918" s="208"/>
      <c r="I918" s="209"/>
      <c r="J918" s="209"/>
      <c r="K918" s="198"/>
      <c r="L918" s="204"/>
      <c r="M918" s="205"/>
      <c r="N918" s="206"/>
      <c r="O918" s="207"/>
      <c r="P918" s="207"/>
      <c r="Q918" s="207"/>
      <c r="R918" s="207"/>
      <c r="S918" s="198"/>
      <c r="T918" s="201"/>
    </row>
    <row r="919" spans="1:20" ht="22.5" hidden="1" customHeight="1" x14ac:dyDescent="0.25">
      <c r="A919" s="208"/>
      <c r="B919" s="238"/>
      <c r="C919" s="198"/>
      <c r="D919" s="198"/>
      <c r="E919" s="199"/>
      <c r="F919" s="200"/>
      <c r="G919" s="201"/>
      <c r="H919" s="208"/>
      <c r="I919" s="209"/>
      <c r="J919" s="209"/>
      <c r="K919" s="198"/>
      <c r="L919" s="204"/>
      <c r="M919" s="205"/>
      <c r="N919" s="206"/>
      <c r="O919" s="207"/>
      <c r="P919" s="207"/>
      <c r="Q919" s="207"/>
      <c r="R919" s="207"/>
      <c r="S919" s="198"/>
      <c r="T919" s="201"/>
    </row>
    <row r="920" spans="1:20" ht="22.5" hidden="1" customHeight="1" x14ac:dyDescent="0.25">
      <c r="A920" s="208"/>
      <c r="B920" s="238"/>
      <c r="C920" s="198"/>
      <c r="D920" s="198"/>
      <c r="E920" s="199"/>
      <c r="F920" s="200"/>
      <c r="G920" s="201"/>
      <c r="H920" s="208"/>
      <c r="I920" s="209"/>
      <c r="J920" s="209"/>
      <c r="K920" s="198"/>
      <c r="L920" s="204"/>
      <c r="M920" s="205"/>
      <c r="N920" s="206"/>
      <c r="O920" s="207"/>
      <c r="P920" s="207"/>
      <c r="Q920" s="207"/>
      <c r="R920" s="207"/>
      <c r="S920" s="198"/>
      <c r="T920" s="201"/>
    </row>
    <row r="921" spans="1:20" ht="22.5" hidden="1" customHeight="1" x14ac:dyDescent="0.25">
      <c r="A921" s="208"/>
      <c r="B921" s="238"/>
      <c r="C921" s="198"/>
      <c r="D921" s="198"/>
      <c r="E921" s="199"/>
      <c r="F921" s="200"/>
      <c r="G921" s="201"/>
      <c r="H921" s="208"/>
      <c r="I921" s="209"/>
      <c r="J921" s="209"/>
      <c r="K921" s="198"/>
      <c r="L921" s="204"/>
      <c r="M921" s="205"/>
      <c r="N921" s="206"/>
      <c r="O921" s="207"/>
      <c r="P921" s="207"/>
      <c r="Q921" s="207"/>
      <c r="R921" s="207"/>
      <c r="S921" s="198"/>
      <c r="T921" s="201"/>
    </row>
    <row r="922" spans="1:20" ht="22.5" hidden="1" customHeight="1" x14ac:dyDescent="0.25">
      <c r="A922" s="208"/>
      <c r="B922" s="238"/>
      <c r="C922" s="198"/>
      <c r="D922" s="198"/>
      <c r="E922" s="199"/>
      <c r="F922" s="200"/>
      <c r="G922" s="201"/>
      <c r="H922" s="208"/>
      <c r="I922" s="209"/>
      <c r="J922" s="209"/>
      <c r="K922" s="198"/>
      <c r="L922" s="204"/>
      <c r="M922" s="205"/>
      <c r="N922" s="206"/>
      <c r="O922" s="207"/>
      <c r="P922" s="207"/>
      <c r="Q922" s="207"/>
      <c r="R922" s="207"/>
      <c r="S922" s="198"/>
      <c r="T922" s="201"/>
    </row>
    <row r="923" spans="1:20" ht="22.5" hidden="1" customHeight="1" x14ac:dyDescent="0.25">
      <c r="A923" s="208"/>
      <c r="B923" s="238"/>
      <c r="C923" s="198"/>
      <c r="D923" s="198"/>
      <c r="E923" s="199"/>
      <c r="F923" s="200"/>
      <c r="G923" s="201"/>
      <c r="H923" s="208"/>
      <c r="I923" s="209"/>
      <c r="J923" s="209"/>
      <c r="K923" s="198"/>
      <c r="L923" s="204"/>
      <c r="M923" s="205"/>
      <c r="N923" s="206"/>
      <c r="O923" s="207"/>
      <c r="P923" s="207"/>
      <c r="Q923" s="207"/>
      <c r="R923" s="207"/>
      <c r="S923" s="198"/>
      <c r="T923" s="201"/>
    </row>
    <row r="924" spans="1:20" ht="22.5" hidden="1" customHeight="1" x14ac:dyDescent="0.25">
      <c r="A924" s="208"/>
      <c r="B924" s="238"/>
      <c r="C924" s="198"/>
      <c r="D924" s="198"/>
      <c r="E924" s="199"/>
      <c r="F924" s="200"/>
      <c r="G924" s="201"/>
      <c r="H924" s="208"/>
      <c r="I924" s="209"/>
      <c r="J924" s="209"/>
      <c r="K924" s="198"/>
      <c r="L924" s="204"/>
      <c r="M924" s="205"/>
      <c r="N924" s="206"/>
      <c r="O924" s="207"/>
      <c r="P924" s="207"/>
      <c r="Q924" s="207"/>
      <c r="R924" s="207"/>
      <c r="S924" s="198"/>
      <c r="T924" s="201"/>
    </row>
    <row r="925" spans="1:20" ht="22.5" hidden="1" customHeight="1" x14ac:dyDescent="0.25">
      <c r="A925" s="208"/>
      <c r="B925" s="238"/>
      <c r="C925" s="198"/>
      <c r="D925" s="198"/>
      <c r="E925" s="199"/>
      <c r="F925" s="200"/>
      <c r="G925" s="201"/>
      <c r="H925" s="208"/>
      <c r="I925" s="209"/>
      <c r="J925" s="209"/>
      <c r="K925" s="198"/>
      <c r="L925" s="204"/>
      <c r="M925" s="205"/>
      <c r="N925" s="206"/>
      <c r="O925" s="207"/>
      <c r="P925" s="207"/>
      <c r="Q925" s="207"/>
      <c r="R925" s="207"/>
      <c r="S925" s="198"/>
      <c r="T925" s="201"/>
    </row>
    <row r="926" spans="1:20" ht="22.5" hidden="1" customHeight="1" x14ac:dyDescent="0.25">
      <c r="A926" s="208"/>
      <c r="B926" s="238"/>
      <c r="C926" s="198"/>
      <c r="D926" s="198"/>
      <c r="E926" s="199"/>
      <c r="F926" s="200"/>
      <c r="G926" s="201"/>
      <c r="H926" s="208"/>
      <c r="I926" s="209"/>
      <c r="J926" s="209"/>
      <c r="K926" s="198"/>
      <c r="L926" s="204"/>
      <c r="M926" s="205"/>
      <c r="N926" s="206"/>
      <c r="O926" s="207"/>
      <c r="P926" s="207"/>
      <c r="Q926" s="207"/>
      <c r="R926" s="207"/>
      <c r="S926" s="198"/>
      <c r="T926" s="201"/>
    </row>
    <row r="927" spans="1:20" ht="22.5" hidden="1" customHeight="1" x14ac:dyDescent="0.25">
      <c r="A927" s="208"/>
      <c r="B927" s="238"/>
      <c r="C927" s="198"/>
      <c r="D927" s="198"/>
      <c r="E927" s="199"/>
      <c r="F927" s="200"/>
      <c r="G927" s="201"/>
      <c r="H927" s="208"/>
      <c r="I927" s="209"/>
      <c r="J927" s="209"/>
      <c r="K927" s="198"/>
      <c r="L927" s="204"/>
      <c r="M927" s="205"/>
      <c r="N927" s="206"/>
      <c r="O927" s="207"/>
      <c r="P927" s="207"/>
      <c r="Q927" s="207"/>
      <c r="R927" s="207"/>
      <c r="S927" s="198"/>
      <c r="T927" s="201"/>
    </row>
    <row r="928" spans="1:20" ht="22.5" hidden="1" customHeight="1" x14ac:dyDescent="0.25">
      <c r="A928" s="208"/>
      <c r="B928" s="238"/>
      <c r="C928" s="198"/>
      <c r="D928" s="198"/>
      <c r="E928" s="199"/>
      <c r="F928" s="200"/>
      <c r="G928" s="201"/>
      <c r="H928" s="208"/>
      <c r="I928" s="209"/>
      <c r="J928" s="209"/>
      <c r="K928" s="198"/>
      <c r="L928" s="204"/>
      <c r="M928" s="205"/>
      <c r="N928" s="206"/>
      <c r="O928" s="207"/>
      <c r="P928" s="207"/>
      <c r="Q928" s="207"/>
      <c r="R928" s="207"/>
      <c r="S928" s="198"/>
      <c r="T928" s="201"/>
    </row>
    <row r="929" spans="1:20" ht="22.5" hidden="1" customHeight="1" x14ac:dyDescent="0.25">
      <c r="A929" s="208"/>
      <c r="B929" s="238"/>
      <c r="C929" s="198"/>
      <c r="D929" s="198"/>
      <c r="E929" s="199"/>
      <c r="F929" s="200"/>
      <c r="G929" s="201"/>
      <c r="H929" s="208"/>
      <c r="I929" s="209"/>
      <c r="J929" s="209"/>
      <c r="K929" s="198"/>
      <c r="L929" s="204"/>
      <c r="M929" s="205"/>
      <c r="N929" s="206"/>
      <c r="O929" s="207"/>
      <c r="P929" s="207"/>
      <c r="Q929" s="207"/>
      <c r="R929" s="207"/>
      <c r="S929" s="198"/>
      <c r="T929" s="201"/>
    </row>
    <row r="930" spans="1:20" ht="22.5" hidden="1" customHeight="1" x14ac:dyDescent="0.25">
      <c r="A930" s="208"/>
      <c r="B930" s="238"/>
      <c r="C930" s="198"/>
      <c r="D930" s="198"/>
      <c r="E930" s="199"/>
      <c r="F930" s="200"/>
      <c r="G930" s="201"/>
      <c r="H930" s="208"/>
      <c r="I930" s="209"/>
      <c r="J930" s="209"/>
      <c r="K930" s="198"/>
      <c r="L930" s="204"/>
      <c r="M930" s="205"/>
      <c r="N930" s="206"/>
      <c r="O930" s="207"/>
      <c r="P930" s="207"/>
      <c r="Q930" s="207"/>
      <c r="R930" s="207"/>
      <c r="S930" s="198"/>
      <c r="T930" s="201"/>
    </row>
    <row r="931" spans="1:20" ht="22.5" hidden="1" customHeight="1" x14ac:dyDescent="0.25">
      <c r="A931" s="208"/>
      <c r="B931" s="238"/>
      <c r="C931" s="198"/>
      <c r="D931" s="198"/>
      <c r="E931" s="199"/>
      <c r="F931" s="200"/>
      <c r="G931" s="201"/>
      <c r="H931" s="208"/>
      <c r="I931" s="209"/>
      <c r="J931" s="209"/>
      <c r="K931" s="198"/>
      <c r="L931" s="204"/>
      <c r="M931" s="205"/>
      <c r="N931" s="206"/>
      <c r="O931" s="207"/>
      <c r="P931" s="207"/>
      <c r="Q931" s="207"/>
      <c r="R931" s="207"/>
      <c r="S931" s="198"/>
      <c r="T931" s="201"/>
    </row>
    <row r="932" spans="1:20" ht="22.5" hidden="1" customHeight="1" x14ac:dyDescent="0.25">
      <c r="A932" s="208"/>
      <c r="B932" s="238"/>
      <c r="C932" s="198"/>
      <c r="D932" s="198"/>
      <c r="E932" s="199"/>
      <c r="F932" s="200"/>
      <c r="G932" s="201"/>
      <c r="H932" s="208"/>
      <c r="I932" s="209"/>
      <c r="J932" s="209"/>
      <c r="K932" s="198"/>
      <c r="L932" s="204"/>
      <c r="M932" s="205"/>
      <c r="N932" s="206"/>
      <c r="O932" s="207"/>
      <c r="P932" s="207"/>
      <c r="Q932" s="207"/>
      <c r="R932" s="207"/>
      <c r="S932" s="198"/>
      <c r="T932" s="201"/>
    </row>
    <row r="933" spans="1:20" ht="22.5" hidden="1" customHeight="1" x14ac:dyDescent="0.25">
      <c r="A933" s="208"/>
      <c r="B933" s="238"/>
      <c r="C933" s="198"/>
      <c r="D933" s="198"/>
      <c r="E933" s="199"/>
      <c r="F933" s="200"/>
      <c r="G933" s="201"/>
      <c r="H933" s="208"/>
      <c r="I933" s="209"/>
      <c r="J933" s="209"/>
      <c r="K933" s="198"/>
      <c r="L933" s="204"/>
      <c r="M933" s="205"/>
      <c r="N933" s="206"/>
      <c r="O933" s="207"/>
      <c r="P933" s="207"/>
      <c r="Q933" s="207"/>
      <c r="R933" s="207"/>
      <c r="S933" s="198"/>
      <c r="T933" s="201"/>
    </row>
    <row r="934" spans="1:20" ht="22.5" hidden="1" customHeight="1" x14ac:dyDescent="0.25">
      <c r="A934" s="208"/>
      <c r="B934" s="238"/>
      <c r="C934" s="198"/>
      <c r="D934" s="198"/>
      <c r="E934" s="199"/>
      <c r="F934" s="200"/>
      <c r="G934" s="201"/>
      <c r="H934" s="208"/>
      <c r="I934" s="209"/>
      <c r="J934" s="209"/>
      <c r="K934" s="198"/>
      <c r="L934" s="204"/>
      <c r="M934" s="205"/>
      <c r="N934" s="206"/>
      <c r="O934" s="207"/>
      <c r="P934" s="207"/>
      <c r="Q934" s="207"/>
      <c r="R934" s="207"/>
      <c r="S934" s="198"/>
      <c r="T934" s="201"/>
    </row>
    <row r="935" spans="1:20" ht="22.5" hidden="1" customHeight="1" x14ac:dyDescent="0.25">
      <c r="A935" s="208"/>
      <c r="B935" s="238"/>
      <c r="C935" s="198"/>
      <c r="D935" s="198"/>
      <c r="E935" s="199"/>
      <c r="F935" s="200"/>
      <c r="G935" s="201"/>
      <c r="H935" s="208"/>
      <c r="I935" s="209"/>
      <c r="J935" s="209"/>
      <c r="K935" s="198"/>
      <c r="L935" s="204"/>
      <c r="M935" s="205"/>
      <c r="N935" s="206"/>
      <c r="O935" s="207"/>
      <c r="P935" s="207"/>
      <c r="Q935" s="207"/>
      <c r="R935" s="207"/>
      <c r="S935" s="198"/>
      <c r="T935" s="201"/>
    </row>
    <row r="936" spans="1:20" ht="22.5" hidden="1" customHeight="1" x14ac:dyDescent="0.25">
      <c r="A936" s="208"/>
      <c r="B936" s="238"/>
      <c r="C936" s="198"/>
      <c r="D936" s="198"/>
      <c r="E936" s="199"/>
      <c r="F936" s="200"/>
      <c r="G936" s="201"/>
      <c r="H936" s="208"/>
      <c r="I936" s="209"/>
      <c r="J936" s="209"/>
      <c r="K936" s="198"/>
      <c r="L936" s="204"/>
      <c r="M936" s="205"/>
      <c r="N936" s="206"/>
      <c r="O936" s="207"/>
      <c r="P936" s="207"/>
      <c r="Q936" s="207"/>
      <c r="R936" s="207"/>
      <c r="S936" s="198"/>
      <c r="T936" s="201"/>
    </row>
    <row r="937" spans="1:20" ht="22.5" hidden="1" customHeight="1" x14ac:dyDescent="0.25">
      <c r="A937" s="208"/>
      <c r="B937" s="238"/>
      <c r="C937" s="198"/>
      <c r="D937" s="198"/>
      <c r="E937" s="199"/>
      <c r="F937" s="200"/>
      <c r="G937" s="201"/>
      <c r="H937" s="208"/>
      <c r="I937" s="209"/>
      <c r="J937" s="209"/>
      <c r="K937" s="198"/>
      <c r="L937" s="204"/>
      <c r="M937" s="205"/>
      <c r="N937" s="206"/>
      <c r="O937" s="207"/>
      <c r="P937" s="207"/>
      <c r="Q937" s="207"/>
      <c r="R937" s="207"/>
      <c r="S937" s="198"/>
      <c r="T937" s="201"/>
    </row>
    <row r="938" spans="1:20" ht="22.5" hidden="1" customHeight="1" x14ac:dyDescent="0.25">
      <c r="A938" s="208"/>
      <c r="B938" s="238"/>
      <c r="C938" s="198"/>
      <c r="D938" s="198"/>
      <c r="E938" s="199"/>
      <c r="F938" s="200"/>
      <c r="G938" s="201"/>
      <c r="H938" s="208"/>
      <c r="I938" s="209"/>
      <c r="J938" s="209"/>
      <c r="K938" s="198"/>
      <c r="L938" s="204"/>
      <c r="M938" s="205"/>
      <c r="N938" s="206"/>
      <c r="O938" s="207"/>
      <c r="P938" s="207"/>
      <c r="Q938" s="207"/>
      <c r="R938" s="207"/>
      <c r="S938" s="198"/>
      <c r="T938" s="201"/>
    </row>
    <row r="939" spans="1:20" ht="22.5" hidden="1" customHeight="1" x14ac:dyDescent="0.25">
      <c r="A939" s="208"/>
      <c r="B939" s="238"/>
      <c r="C939" s="198"/>
      <c r="D939" s="198"/>
      <c r="E939" s="199"/>
      <c r="F939" s="200"/>
      <c r="G939" s="201"/>
      <c r="H939" s="208"/>
      <c r="I939" s="209"/>
      <c r="J939" s="209"/>
      <c r="K939" s="198"/>
      <c r="L939" s="204"/>
      <c r="M939" s="205"/>
      <c r="N939" s="206"/>
      <c r="O939" s="207"/>
      <c r="P939" s="207"/>
      <c r="Q939" s="207"/>
      <c r="R939" s="207"/>
      <c r="S939" s="198"/>
      <c r="T939" s="201"/>
    </row>
    <row r="940" spans="1:20" ht="22.5" hidden="1" customHeight="1" x14ac:dyDescent="0.25">
      <c r="A940" s="208"/>
      <c r="B940" s="238"/>
      <c r="C940" s="198"/>
      <c r="D940" s="198"/>
      <c r="E940" s="199"/>
      <c r="F940" s="200"/>
      <c r="G940" s="201"/>
      <c r="H940" s="208"/>
      <c r="I940" s="209"/>
      <c r="J940" s="209"/>
      <c r="K940" s="198"/>
      <c r="L940" s="204"/>
      <c r="M940" s="205"/>
      <c r="N940" s="206"/>
      <c r="O940" s="207"/>
      <c r="P940" s="207"/>
      <c r="Q940" s="207"/>
      <c r="R940" s="207"/>
      <c r="S940" s="198"/>
      <c r="T940" s="201"/>
    </row>
    <row r="941" spans="1:20" ht="22.5" hidden="1" customHeight="1" x14ac:dyDescent="0.25">
      <c r="A941" s="208"/>
      <c r="B941" s="238"/>
      <c r="C941" s="198"/>
      <c r="D941" s="198"/>
      <c r="E941" s="199"/>
      <c r="F941" s="200"/>
      <c r="G941" s="201"/>
      <c r="H941" s="208"/>
      <c r="I941" s="209"/>
      <c r="J941" s="209"/>
      <c r="K941" s="198"/>
      <c r="L941" s="204"/>
      <c r="M941" s="205"/>
      <c r="N941" s="206"/>
      <c r="O941" s="207"/>
      <c r="P941" s="207"/>
      <c r="Q941" s="207"/>
      <c r="R941" s="207"/>
      <c r="S941" s="198"/>
      <c r="T941" s="201"/>
    </row>
    <row r="942" spans="1:20" ht="22.5" hidden="1" customHeight="1" x14ac:dyDescent="0.25">
      <c r="A942" s="208"/>
      <c r="B942" s="238"/>
      <c r="C942" s="198"/>
      <c r="D942" s="198"/>
      <c r="E942" s="199"/>
      <c r="F942" s="200"/>
      <c r="G942" s="201"/>
      <c r="H942" s="208"/>
      <c r="I942" s="209"/>
      <c r="J942" s="209"/>
      <c r="K942" s="198"/>
      <c r="L942" s="204"/>
      <c r="M942" s="205"/>
      <c r="N942" s="206"/>
      <c r="O942" s="207"/>
      <c r="P942" s="207"/>
      <c r="Q942" s="207"/>
      <c r="R942" s="207"/>
      <c r="S942" s="198"/>
      <c r="T942" s="201"/>
    </row>
    <row r="943" spans="1:20" ht="22.5" hidden="1" customHeight="1" x14ac:dyDescent="0.25">
      <c r="A943" s="208"/>
      <c r="B943" s="238"/>
      <c r="C943" s="198"/>
      <c r="D943" s="198"/>
      <c r="E943" s="199"/>
      <c r="F943" s="200"/>
      <c r="G943" s="201"/>
      <c r="H943" s="208"/>
      <c r="I943" s="209"/>
      <c r="J943" s="209"/>
      <c r="K943" s="198"/>
      <c r="L943" s="204"/>
      <c r="M943" s="205"/>
      <c r="N943" s="206"/>
      <c r="O943" s="207"/>
      <c r="P943" s="207"/>
      <c r="Q943" s="207"/>
      <c r="R943" s="207"/>
      <c r="S943" s="198"/>
      <c r="T943" s="201"/>
    </row>
    <row r="944" spans="1:20" ht="22.5" hidden="1" customHeight="1" x14ac:dyDescent="0.25">
      <c r="A944" s="208"/>
      <c r="B944" s="238"/>
      <c r="C944" s="198"/>
      <c r="D944" s="198"/>
      <c r="E944" s="199"/>
      <c r="F944" s="200"/>
      <c r="G944" s="201"/>
      <c r="H944" s="208"/>
      <c r="I944" s="209"/>
      <c r="J944" s="209"/>
      <c r="K944" s="198"/>
      <c r="L944" s="204"/>
      <c r="M944" s="205"/>
      <c r="N944" s="206"/>
      <c r="O944" s="207"/>
      <c r="P944" s="207"/>
      <c r="Q944" s="207"/>
      <c r="R944" s="207"/>
      <c r="S944" s="198"/>
      <c r="T944" s="201"/>
    </row>
    <row r="945" spans="1:20" ht="22.5" hidden="1" customHeight="1" x14ac:dyDescent="0.25">
      <c r="A945" s="208"/>
      <c r="B945" s="238"/>
      <c r="C945" s="198"/>
      <c r="D945" s="198"/>
      <c r="E945" s="199"/>
      <c r="F945" s="200"/>
      <c r="G945" s="201"/>
      <c r="H945" s="208"/>
      <c r="I945" s="209"/>
      <c r="J945" s="209"/>
      <c r="K945" s="198"/>
      <c r="L945" s="204"/>
      <c r="M945" s="205"/>
      <c r="N945" s="206"/>
      <c r="O945" s="207"/>
      <c r="P945" s="207"/>
      <c r="Q945" s="207"/>
      <c r="R945" s="207"/>
      <c r="S945" s="198"/>
      <c r="T945" s="201"/>
    </row>
    <row r="946" spans="1:20" ht="22.5" hidden="1" customHeight="1" x14ac:dyDescent="0.25">
      <c r="A946" s="208"/>
      <c r="B946" s="238"/>
      <c r="C946" s="198"/>
      <c r="D946" s="198"/>
      <c r="E946" s="199"/>
      <c r="F946" s="200"/>
      <c r="G946" s="201"/>
      <c r="H946" s="208"/>
      <c r="I946" s="209"/>
      <c r="J946" s="209"/>
      <c r="K946" s="198"/>
      <c r="L946" s="204"/>
      <c r="M946" s="205"/>
      <c r="N946" s="206"/>
      <c r="O946" s="207"/>
      <c r="P946" s="207"/>
      <c r="Q946" s="207"/>
      <c r="R946" s="207"/>
      <c r="S946" s="198"/>
      <c r="T946" s="201"/>
    </row>
    <row r="947" spans="1:20" ht="22.5" hidden="1" customHeight="1" x14ac:dyDescent="0.25">
      <c r="A947" s="208"/>
      <c r="B947" s="238"/>
      <c r="C947" s="198"/>
      <c r="D947" s="198"/>
      <c r="E947" s="199"/>
      <c r="F947" s="200"/>
      <c r="G947" s="201"/>
      <c r="H947" s="208"/>
      <c r="I947" s="209"/>
      <c r="J947" s="209"/>
      <c r="K947" s="198"/>
      <c r="L947" s="204"/>
      <c r="M947" s="205"/>
      <c r="N947" s="206"/>
      <c r="O947" s="207"/>
      <c r="P947" s="207"/>
      <c r="Q947" s="207"/>
      <c r="R947" s="207"/>
      <c r="S947" s="198"/>
      <c r="T947" s="201"/>
    </row>
    <row r="948" spans="1:20" ht="22.5" hidden="1" customHeight="1" x14ac:dyDescent="0.25">
      <c r="A948" s="208"/>
      <c r="B948" s="238"/>
      <c r="C948" s="198"/>
      <c r="D948" s="198"/>
      <c r="E948" s="199"/>
      <c r="F948" s="200"/>
      <c r="G948" s="201"/>
      <c r="H948" s="208"/>
      <c r="I948" s="209"/>
      <c r="J948" s="209"/>
      <c r="K948" s="198"/>
      <c r="L948" s="204"/>
      <c r="M948" s="205"/>
      <c r="N948" s="206"/>
      <c r="O948" s="207"/>
      <c r="P948" s="207"/>
      <c r="Q948" s="207"/>
      <c r="R948" s="207"/>
      <c r="S948" s="198"/>
      <c r="T948" s="201"/>
    </row>
    <row r="949" spans="1:20" ht="22.5" hidden="1" customHeight="1" x14ac:dyDescent="0.25">
      <c r="A949" s="208"/>
      <c r="B949" s="238"/>
      <c r="C949" s="198"/>
      <c r="D949" s="198"/>
      <c r="E949" s="199"/>
      <c r="F949" s="200"/>
      <c r="G949" s="201"/>
      <c r="H949" s="208"/>
      <c r="I949" s="209"/>
      <c r="J949" s="209"/>
      <c r="K949" s="198"/>
      <c r="L949" s="204"/>
      <c r="M949" s="205"/>
      <c r="N949" s="206"/>
      <c r="O949" s="207"/>
      <c r="P949" s="207"/>
      <c r="Q949" s="207"/>
      <c r="R949" s="207"/>
      <c r="S949" s="198"/>
      <c r="T949" s="201"/>
    </row>
    <row r="950" spans="1:20" ht="22.5" hidden="1" customHeight="1" x14ac:dyDescent="0.25">
      <c r="A950" s="208"/>
      <c r="B950" s="238"/>
      <c r="C950" s="198"/>
      <c r="D950" s="198"/>
      <c r="E950" s="199"/>
      <c r="F950" s="200"/>
      <c r="G950" s="201"/>
      <c r="H950" s="208"/>
      <c r="I950" s="209"/>
      <c r="J950" s="209"/>
      <c r="K950" s="198"/>
      <c r="L950" s="204"/>
      <c r="M950" s="205"/>
      <c r="N950" s="206"/>
      <c r="O950" s="207"/>
      <c r="P950" s="207"/>
      <c r="Q950" s="207"/>
      <c r="R950" s="207"/>
      <c r="S950" s="198"/>
      <c r="T950" s="201"/>
    </row>
    <row r="951" spans="1:20" ht="22.5" hidden="1" customHeight="1" x14ac:dyDescent="0.25">
      <c r="A951" s="208"/>
      <c r="B951" s="238"/>
      <c r="C951" s="198"/>
      <c r="D951" s="198"/>
      <c r="E951" s="199"/>
      <c r="F951" s="200"/>
      <c r="G951" s="201"/>
      <c r="H951" s="208"/>
      <c r="I951" s="209"/>
      <c r="J951" s="209"/>
      <c r="K951" s="198"/>
      <c r="L951" s="204"/>
      <c r="M951" s="205"/>
      <c r="N951" s="206"/>
      <c r="O951" s="207"/>
      <c r="P951" s="207"/>
      <c r="Q951" s="207"/>
      <c r="R951" s="207"/>
      <c r="S951" s="198"/>
      <c r="T951" s="201"/>
    </row>
    <row r="952" spans="1:20" ht="22.5" hidden="1" customHeight="1" x14ac:dyDescent="0.25">
      <c r="A952" s="208"/>
      <c r="B952" s="238"/>
      <c r="C952" s="198"/>
      <c r="D952" s="198"/>
      <c r="E952" s="199"/>
      <c r="F952" s="200"/>
      <c r="G952" s="201"/>
      <c r="H952" s="208"/>
      <c r="I952" s="209"/>
      <c r="J952" s="209"/>
      <c r="K952" s="198"/>
      <c r="L952" s="204"/>
      <c r="M952" s="205"/>
      <c r="N952" s="206"/>
      <c r="O952" s="207"/>
      <c r="P952" s="207"/>
      <c r="Q952" s="207"/>
      <c r="R952" s="207"/>
      <c r="S952" s="198"/>
      <c r="T952" s="201"/>
    </row>
    <row r="953" spans="1:20" ht="22.5" hidden="1" customHeight="1" x14ac:dyDescent="0.25">
      <c r="A953" s="208"/>
      <c r="B953" s="238"/>
      <c r="C953" s="198"/>
      <c r="D953" s="198"/>
      <c r="E953" s="199"/>
      <c r="F953" s="200"/>
      <c r="G953" s="201"/>
      <c r="H953" s="208"/>
      <c r="I953" s="209"/>
      <c r="J953" s="209"/>
      <c r="K953" s="198"/>
      <c r="L953" s="204"/>
      <c r="M953" s="205"/>
      <c r="N953" s="206"/>
      <c r="O953" s="207"/>
      <c r="P953" s="207"/>
      <c r="Q953" s="207"/>
      <c r="R953" s="207"/>
      <c r="S953" s="198"/>
      <c r="T953" s="201"/>
    </row>
    <row r="954" spans="1:20" ht="22.5" hidden="1" customHeight="1" x14ac:dyDescent="0.25">
      <c r="A954" s="208"/>
      <c r="B954" s="238"/>
      <c r="C954" s="198"/>
      <c r="D954" s="198"/>
      <c r="E954" s="199"/>
      <c r="F954" s="200"/>
      <c r="G954" s="201"/>
      <c r="H954" s="208"/>
      <c r="I954" s="209"/>
      <c r="J954" s="209"/>
      <c r="K954" s="198"/>
      <c r="L954" s="204"/>
      <c r="M954" s="205"/>
      <c r="N954" s="206"/>
      <c r="O954" s="207"/>
      <c r="P954" s="207"/>
      <c r="Q954" s="207"/>
      <c r="R954" s="207"/>
      <c r="S954" s="198"/>
      <c r="T954" s="201"/>
    </row>
    <row r="955" spans="1:20" ht="22.5" hidden="1" customHeight="1" x14ac:dyDescent="0.25">
      <c r="A955" s="208"/>
      <c r="B955" s="238"/>
      <c r="C955" s="198"/>
      <c r="D955" s="198"/>
      <c r="E955" s="199"/>
      <c r="F955" s="200"/>
      <c r="G955" s="201"/>
      <c r="H955" s="208"/>
      <c r="I955" s="209"/>
      <c r="J955" s="209"/>
      <c r="K955" s="198"/>
      <c r="L955" s="204"/>
      <c r="M955" s="205"/>
      <c r="N955" s="206"/>
      <c r="O955" s="207"/>
      <c r="P955" s="207"/>
      <c r="Q955" s="207"/>
      <c r="R955" s="207"/>
      <c r="S955" s="198"/>
      <c r="T955" s="201"/>
    </row>
    <row r="956" spans="1:20" ht="22.5" hidden="1" customHeight="1" x14ac:dyDescent="0.25">
      <c r="A956" s="208"/>
      <c r="B956" s="238"/>
      <c r="C956" s="198"/>
      <c r="D956" s="198"/>
      <c r="E956" s="199"/>
      <c r="F956" s="200"/>
      <c r="G956" s="201"/>
      <c r="H956" s="208"/>
      <c r="I956" s="209"/>
      <c r="J956" s="209"/>
      <c r="K956" s="198"/>
      <c r="L956" s="204"/>
      <c r="M956" s="205"/>
      <c r="N956" s="206"/>
      <c r="O956" s="207"/>
      <c r="P956" s="207"/>
      <c r="Q956" s="207"/>
      <c r="R956" s="207"/>
      <c r="S956" s="198"/>
      <c r="T956" s="201"/>
    </row>
    <row r="957" spans="1:20" ht="22.5" hidden="1" customHeight="1" x14ac:dyDescent="0.25">
      <c r="A957" s="208"/>
      <c r="B957" s="238"/>
      <c r="C957" s="198"/>
      <c r="D957" s="198"/>
      <c r="E957" s="199"/>
      <c r="F957" s="200"/>
      <c r="G957" s="201"/>
      <c r="H957" s="208"/>
      <c r="I957" s="209"/>
      <c r="J957" s="209"/>
      <c r="K957" s="198"/>
      <c r="L957" s="204"/>
      <c r="M957" s="205"/>
      <c r="N957" s="206"/>
      <c r="O957" s="207"/>
      <c r="P957" s="207"/>
      <c r="Q957" s="207"/>
      <c r="R957" s="207"/>
      <c r="S957" s="198"/>
      <c r="T957" s="201"/>
    </row>
    <row r="958" spans="1:20" ht="22.5" hidden="1" customHeight="1" x14ac:dyDescent="0.25">
      <c r="A958" s="208"/>
      <c r="B958" s="238"/>
      <c r="C958" s="198"/>
      <c r="D958" s="198"/>
      <c r="E958" s="199"/>
      <c r="F958" s="200"/>
      <c r="G958" s="201"/>
      <c r="H958" s="208"/>
      <c r="I958" s="209"/>
      <c r="J958" s="209"/>
      <c r="K958" s="198"/>
      <c r="L958" s="204"/>
      <c r="M958" s="205"/>
      <c r="N958" s="206"/>
      <c r="O958" s="207"/>
      <c r="P958" s="207"/>
      <c r="Q958" s="207"/>
      <c r="R958" s="207"/>
      <c r="S958" s="198"/>
      <c r="T958" s="201"/>
    </row>
    <row r="959" spans="1:20" ht="22.5" hidden="1" customHeight="1" x14ac:dyDescent="0.25">
      <c r="A959" s="208"/>
      <c r="B959" s="238"/>
      <c r="C959" s="198"/>
      <c r="D959" s="198"/>
      <c r="E959" s="199"/>
      <c r="F959" s="200"/>
      <c r="G959" s="201"/>
      <c r="H959" s="208"/>
      <c r="I959" s="209"/>
      <c r="J959" s="209"/>
      <c r="K959" s="198"/>
      <c r="L959" s="204"/>
      <c r="M959" s="205"/>
      <c r="N959" s="206"/>
      <c r="O959" s="207"/>
      <c r="P959" s="207"/>
      <c r="Q959" s="207"/>
      <c r="R959" s="207"/>
      <c r="S959" s="198"/>
      <c r="T959" s="201"/>
    </row>
    <row r="960" spans="1:20" ht="22.5" hidden="1" customHeight="1" x14ac:dyDescent="0.25">
      <c r="A960" s="208"/>
      <c r="B960" s="238"/>
      <c r="C960" s="198"/>
      <c r="D960" s="198"/>
      <c r="E960" s="199"/>
      <c r="F960" s="200"/>
      <c r="G960" s="201"/>
      <c r="H960" s="208"/>
      <c r="I960" s="209"/>
      <c r="J960" s="209"/>
      <c r="K960" s="198"/>
      <c r="L960" s="204"/>
      <c r="M960" s="205"/>
      <c r="N960" s="206"/>
      <c r="O960" s="207"/>
      <c r="P960" s="207"/>
      <c r="Q960" s="207"/>
      <c r="R960" s="207"/>
      <c r="S960" s="198"/>
      <c r="T960" s="201"/>
    </row>
    <row r="961" spans="1:20" ht="22.5" hidden="1" customHeight="1" x14ac:dyDescent="0.25">
      <c r="A961" s="208"/>
      <c r="B961" s="238"/>
      <c r="C961" s="198"/>
      <c r="D961" s="198"/>
      <c r="E961" s="199"/>
      <c r="F961" s="200"/>
      <c r="G961" s="201"/>
      <c r="H961" s="208"/>
      <c r="I961" s="209"/>
      <c r="J961" s="209"/>
      <c r="K961" s="198"/>
      <c r="L961" s="204"/>
      <c r="M961" s="205"/>
      <c r="N961" s="206"/>
      <c r="O961" s="207"/>
      <c r="P961" s="207"/>
      <c r="Q961" s="207"/>
      <c r="R961" s="207"/>
      <c r="S961" s="198"/>
      <c r="T961" s="201"/>
    </row>
    <row r="962" spans="1:20" ht="22.5" hidden="1" customHeight="1" x14ac:dyDescent="0.25">
      <c r="A962" s="208"/>
      <c r="B962" s="238"/>
      <c r="C962" s="198"/>
      <c r="D962" s="198"/>
      <c r="E962" s="199"/>
      <c r="F962" s="200"/>
      <c r="G962" s="201"/>
      <c r="H962" s="208"/>
      <c r="I962" s="209"/>
      <c r="J962" s="209"/>
      <c r="K962" s="198"/>
      <c r="L962" s="204"/>
      <c r="M962" s="205"/>
      <c r="N962" s="206"/>
      <c r="O962" s="207"/>
      <c r="P962" s="207"/>
      <c r="Q962" s="207"/>
      <c r="R962" s="207"/>
      <c r="S962" s="198"/>
      <c r="T962" s="201"/>
    </row>
    <row r="963" spans="1:20" ht="22.5" hidden="1" customHeight="1" x14ac:dyDescent="0.25">
      <c r="A963" s="208"/>
      <c r="B963" s="238"/>
      <c r="C963" s="198"/>
      <c r="D963" s="198"/>
      <c r="E963" s="199"/>
      <c r="F963" s="200"/>
      <c r="G963" s="201"/>
      <c r="H963" s="208"/>
      <c r="I963" s="209"/>
      <c r="J963" s="209"/>
      <c r="K963" s="198"/>
      <c r="L963" s="204"/>
      <c r="M963" s="205"/>
      <c r="N963" s="206"/>
      <c r="O963" s="207"/>
      <c r="P963" s="207"/>
      <c r="Q963" s="207"/>
      <c r="R963" s="207"/>
      <c r="S963" s="198"/>
      <c r="T963" s="201"/>
    </row>
    <row r="964" spans="1:20" ht="22.5" hidden="1" customHeight="1" x14ac:dyDescent="0.25">
      <c r="A964" s="208"/>
      <c r="B964" s="238"/>
      <c r="C964" s="198"/>
      <c r="D964" s="198"/>
      <c r="E964" s="199"/>
      <c r="F964" s="200"/>
      <c r="G964" s="201"/>
      <c r="H964" s="208"/>
      <c r="I964" s="209"/>
      <c r="J964" s="209"/>
      <c r="K964" s="198"/>
      <c r="L964" s="204"/>
      <c r="M964" s="205"/>
      <c r="N964" s="206"/>
      <c r="O964" s="207"/>
      <c r="P964" s="207"/>
      <c r="Q964" s="207"/>
      <c r="R964" s="207"/>
      <c r="S964" s="198"/>
      <c r="T964" s="201"/>
    </row>
    <row r="965" spans="1:20" ht="22.5" hidden="1" customHeight="1" x14ac:dyDescent="0.25">
      <c r="A965" s="208"/>
      <c r="B965" s="238"/>
      <c r="C965" s="198"/>
      <c r="D965" s="198"/>
      <c r="E965" s="199"/>
      <c r="F965" s="200"/>
      <c r="G965" s="201"/>
      <c r="H965" s="208"/>
      <c r="I965" s="209"/>
      <c r="J965" s="209"/>
      <c r="K965" s="198"/>
      <c r="L965" s="204"/>
      <c r="M965" s="205"/>
      <c r="N965" s="206"/>
      <c r="O965" s="207"/>
      <c r="P965" s="207"/>
      <c r="Q965" s="207"/>
      <c r="R965" s="207"/>
      <c r="S965" s="198"/>
      <c r="T965" s="201"/>
    </row>
    <row r="966" spans="1:20" ht="22.5" hidden="1" customHeight="1" x14ac:dyDescent="0.25">
      <c r="A966" s="208"/>
      <c r="B966" s="238"/>
      <c r="C966" s="198"/>
      <c r="D966" s="198"/>
      <c r="E966" s="199"/>
      <c r="F966" s="200"/>
      <c r="G966" s="201"/>
      <c r="H966" s="208"/>
      <c r="I966" s="209"/>
      <c r="J966" s="209"/>
      <c r="K966" s="198"/>
      <c r="L966" s="204"/>
      <c r="M966" s="205"/>
      <c r="N966" s="206"/>
      <c r="O966" s="207"/>
      <c r="P966" s="207"/>
      <c r="Q966" s="207"/>
      <c r="R966" s="207"/>
      <c r="S966" s="198"/>
      <c r="T966" s="201"/>
    </row>
    <row r="967" spans="1:20" ht="22.5" hidden="1" customHeight="1" x14ac:dyDescent="0.25">
      <c r="A967" s="208"/>
      <c r="B967" s="238"/>
      <c r="C967" s="198"/>
      <c r="D967" s="198"/>
      <c r="E967" s="199"/>
      <c r="F967" s="200"/>
      <c r="G967" s="201"/>
      <c r="H967" s="208"/>
      <c r="I967" s="209"/>
      <c r="J967" s="209"/>
      <c r="K967" s="198"/>
      <c r="L967" s="204"/>
      <c r="M967" s="205"/>
      <c r="N967" s="206"/>
      <c r="O967" s="207"/>
      <c r="P967" s="207"/>
      <c r="Q967" s="207"/>
      <c r="R967" s="207"/>
      <c r="S967" s="198"/>
      <c r="T967" s="201"/>
    </row>
    <row r="968" spans="1:20" ht="22.5" hidden="1" customHeight="1" x14ac:dyDescent="0.25">
      <c r="A968" s="208"/>
      <c r="B968" s="238"/>
      <c r="C968" s="198"/>
      <c r="D968" s="198"/>
      <c r="E968" s="199"/>
      <c r="F968" s="200"/>
      <c r="G968" s="201"/>
      <c r="H968" s="208"/>
      <c r="I968" s="209"/>
      <c r="J968" s="209"/>
      <c r="K968" s="198"/>
      <c r="L968" s="204"/>
      <c r="M968" s="205"/>
      <c r="N968" s="206"/>
      <c r="O968" s="207"/>
      <c r="P968" s="207"/>
      <c r="Q968" s="207"/>
      <c r="R968" s="207"/>
      <c r="S968" s="198"/>
      <c r="T968" s="201"/>
    </row>
    <row r="969" spans="1:20" ht="22.5" hidden="1" customHeight="1" x14ac:dyDescent="0.25">
      <c r="A969" s="208"/>
      <c r="B969" s="238"/>
      <c r="C969" s="198"/>
      <c r="D969" s="198"/>
      <c r="E969" s="199"/>
      <c r="F969" s="200"/>
      <c r="G969" s="201"/>
      <c r="H969" s="208"/>
      <c r="I969" s="209"/>
      <c r="J969" s="209"/>
      <c r="K969" s="198"/>
      <c r="L969" s="204"/>
      <c r="M969" s="205"/>
      <c r="N969" s="206"/>
      <c r="O969" s="207"/>
      <c r="P969" s="207"/>
      <c r="Q969" s="207"/>
      <c r="R969" s="207"/>
      <c r="S969" s="198"/>
      <c r="T969" s="201"/>
    </row>
    <row r="970" spans="1:20" ht="22.5" hidden="1" customHeight="1" x14ac:dyDescent="0.25">
      <c r="A970" s="208"/>
      <c r="B970" s="238"/>
      <c r="C970" s="198"/>
      <c r="D970" s="198"/>
      <c r="E970" s="199"/>
      <c r="F970" s="200"/>
      <c r="G970" s="201"/>
      <c r="H970" s="208"/>
      <c r="I970" s="209"/>
      <c r="J970" s="209"/>
      <c r="K970" s="198"/>
      <c r="L970" s="204"/>
      <c r="M970" s="205"/>
      <c r="N970" s="206"/>
      <c r="O970" s="207"/>
      <c r="P970" s="207"/>
      <c r="Q970" s="207"/>
      <c r="R970" s="207"/>
      <c r="S970" s="198"/>
      <c r="T970" s="201"/>
    </row>
    <row r="971" spans="1:20" ht="22.5" hidden="1" customHeight="1" x14ac:dyDescent="0.25">
      <c r="A971" s="208"/>
      <c r="B971" s="238"/>
      <c r="C971" s="198"/>
      <c r="D971" s="198"/>
      <c r="E971" s="199"/>
      <c r="F971" s="200"/>
      <c r="G971" s="201"/>
      <c r="H971" s="208"/>
      <c r="I971" s="209"/>
      <c r="J971" s="209"/>
      <c r="K971" s="198"/>
      <c r="L971" s="204"/>
      <c r="M971" s="205"/>
      <c r="N971" s="206"/>
      <c r="O971" s="207"/>
      <c r="P971" s="207"/>
      <c r="Q971" s="207"/>
      <c r="R971" s="207"/>
      <c r="S971" s="198"/>
      <c r="T971" s="201"/>
    </row>
    <row r="972" spans="1:20" ht="22.5" hidden="1" customHeight="1" x14ac:dyDescent="0.25">
      <c r="A972" s="208"/>
      <c r="B972" s="238"/>
      <c r="C972" s="198"/>
      <c r="D972" s="198"/>
      <c r="E972" s="199"/>
      <c r="F972" s="200"/>
      <c r="G972" s="201"/>
      <c r="H972" s="208"/>
      <c r="I972" s="209"/>
      <c r="J972" s="209"/>
      <c r="K972" s="198"/>
      <c r="L972" s="204"/>
      <c r="M972" s="205"/>
      <c r="N972" s="206"/>
      <c r="O972" s="207"/>
      <c r="P972" s="207"/>
      <c r="Q972" s="207"/>
      <c r="R972" s="207"/>
      <c r="S972" s="198"/>
      <c r="T972" s="201"/>
    </row>
    <row r="973" spans="1:20" ht="22.5" hidden="1" customHeight="1" x14ac:dyDescent="0.25">
      <c r="A973" s="208"/>
      <c r="B973" s="238"/>
      <c r="C973" s="198"/>
      <c r="D973" s="198"/>
      <c r="E973" s="199"/>
      <c r="F973" s="200"/>
      <c r="G973" s="201"/>
      <c r="H973" s="208"/>
      <c r="I973" s="209"/>
      <c r="J973" s="209"/>
      <c r="K973" s="198"/>
      <c r="L973" s="204"/>
      <c r="M973" s="205"/>
      <c r="N973" s="206"/>
      <c r="O973" s="207"/>
      <c r="P973" s="207"/>
      <c r="Q973" s="207"/>
      <c r="R973" s="207"/>
      <c r="S973" s="198"/>
      <c r="T973" s="201"/>
    </row>
    <row r="974" spans="1:20" ht="22.5" hidden="1" customHeight="1" x14ac:dyDescent="0.25">
      <c r="A974" s="208"/>
      <c r="B974" s="238"/>
      <c r="C974" s="198"/>
      <c r="D974" s="198"/>
      <c r="E974" s="199"/>
      <c r="F974" s="200"/>
      <c r="G974" s="201"/>
      <c r="H974" s="208"/>
      <c r="I974" s="209"/>
      <c r="J974" s="209"/>
      <c r="K974" s="198"/>
      <c r="L974" s="204"/>
      <c r="M974" s="205"/>
      <c r="N974" s="206"/>
      <c r="O974" s="207"/>
      <c r="P974" s="207"/>
      <c r="Q974" s="207"/>
      <c r="R974" s="207"/>
      <c r="S974" s="198"/>
      <c r="T974" s="201"/>
    </row>
    <row r="975" spans="1:20" ht="22.5" hidden="1" customHeight="1" x14ac:dyDescent="0.25">
      <c r="A975" s="208"/>
      <c r="B975" s="238"/>
      <c r="C975" s="198"/>
      <c r="D975" s="198"/>
      <c r="E975" s="199"/>
      <c r="F975" s="200"/>
      <c r="G975" s="201"/>
      <c r="H975" s="208"/>
      <c r="I975" s="209"/>
      <c r="J975" s="209"/>
      <c r="K975" s="198"/>
      <c r="L975" s="204"/>
      <c r="M975" s="205"/>
      <c r="N975" s="206"/>
      <c r="O975" s="207"/>
      <c r="P975" s="207"/>
      <c r="Q975" s="207"/>
      <c r="R975" s="207"/>
      <c r="S975" s="198"/>
      <c r="T975" s="201"/>
    </row>
    <row r="976" spans="1:20" ht="22.5" hidden="1" customHeight="1" x14ac:dyDescent="0.25">
      <c r="A976" s="208"/>
      <c r="B976" s="238"/>
      <c r="C976" s="198"/>
      <c r="D976" s="198"/>
      <c r="E976" s="199"/>
      <c r="F976" s="200"/>
      <c r="G976" s="201"/>
      <c r="H976" s="208"/>
      <c r="I976" s="209"/>
      <c r="J976" s="209"/>
      <c r="K976" s="198"/>
      <c r="L976" s="204"/>
      <c r="M976" s="205"/>
      <c r="N976" s="206"/>
      <c r="O976" s="207"/>
      <c r="P976" s="207"/>
      <c r="Q976" s="207"/>
      <c r="R976" s="207"/>
      <c r="S976" s="198"/>
      <c r="T976" s="201"/>
    </row>
    <row r="977" spans="1:20" ht="22.5" hidden="1" customHeight="1" x14ac:dyDescent="0.25">
      <c r="A977" s="208"/>
      <c r="B977" s="238"/>
      <c r="C977" s="198"/>
      <c r="D977" s="198"/>
      <c r="E977" s="199"/>
      <c r="F977" s="200"/>
      <c r="G977" s="201"/>
      <c r="H977" s="208"/>
      <c r="I977" s="209"/>
      <c r="J977" s="209"/>
      <c r="K977" s="198"/>
      <c r="L977" s="204"/>
      <c r="M977" s="205"/>
      <c r="N977" s="206"/>
      <c r="O977" s="207"/>
      <c r="P977" s="207"/>
      <c r="Q977" s="207"/>
      <c r="R977" s="207"/>
      <c r="S977" s="198"/>
      <c r="T977" s="201"/>
    </row>
    <row r="978" spans="1:20" ht="22.5" hidden="1" customHeight="1" x14ac:dyDescent="0.25">
      <c r="A978" s="208"/>
      <c r="B978" s="238"/>
      <c r="C978" s="198"/>
      <c r="D978" s="198"/>
      <c r="E978" s="199"/>
      <c r="F978" s="200"/>
      <c r="G978" s="201"/>
      <c r="H978" s="208"/>
      <c r="I978" s="209"/>
      <c r="J978" s="209"/>
      <c r="K978" s="198"/>
      <c r="L978" s="204"/>
      <c r="M978" s="205"/>
      <c r="N978" s="206"/>
      <c r="O978" s="207"/>
      <c r="P978" s="207"/>
      <c r="Q978" s="207"/>
      <c r="R978" s="207"/>
      <c r="S978" s="198"/>
      <c r="T978" s="201"/>
    </row>
    <row r="979" spans="1:20" ht="22.5" hidden="1" customHeight="1" x14ac:dyDescent="0.25">
      <c r="A979" s="208"/>
      <c r="B979" s="238"/>
      <c r="C979" s="198"/>
      <c r="D979" s="198"/>
      <c r="E979" s="199"/>
      <c r="F979" s="200"/>
      <c r="G979" s="201"/>
      <c r="H979" s="208"/>
      <c r="I979" s="209"/>
      <c r="J979" s="209"/>
      <c r="K979" s="198"/>
      <c r="L979" s="204"/>
      <c r="M979" s="205"/>
      <c r="N979" s="206"/>
      <c r="O979" s="207"/>
      <c r="P979" s="207"/>
      <c r="Q979" s="207"/>
      <c r="R979" s="207"/>
      <c r="S979" s="198"/>
      <c r="T979" s="201"/>
    </row>
    <row r="980" spans="1:20" ht="22.5" hidden="1" customHeight="1" x14ac:dyDescent="0.25">
      <c r="A980" s="208"/>
      <c r="B980" s="238"/>
      <c r="C980" s="198"/>
      <c r="D980" s="198"/>
      <c r="E980" s="199"/>
      <c r="F980" s="200"/>
      <c r="G980" s="201"/>
      <c r="H980" s="208"/>
      <c r="I980" s="209"/>
      <c r="J980" s="209"/>
      <c r="K980" s="198"/>
      <c r="L980" s="204"/>
      <c r="M980" s="205"/>
      <c r="N980" s="206"/>
      <c r="O980" s="207"/>
      <c r="P980" s="207"/>
      <c r="Q980" s="207"/>
      <c r="R980" s="207"/>
      <c r="S980" s="198"/>
      <c r="T980" s="201"/>
    </row>
    <row r="981" spans="1:20" ht="22.5" hidden="1" customHeight="1" x14ac:dyDescent="0.25">
      <c r="A981" s="208"/>
      <c r="B981" s="238"/>
      <c r="C981" s="198"/>
      <c r="D981" s="198"/>
      <c r="E981" s="199"/>
      <c r="F981" s="200"/>
      <c r="G981" s="201"/>
      <c r="H981" s="208"/>
      <c r="I981" s="209"/>
      <c r="J981" s="209"/>
      <c r="K981" s="198"/>
      <c r="L981" s="204"/>
      <c r="M981" s="205"/>
      <c r="N981" s="206"/>
      <c r="O981" s="207"/>
      <c r="P981" s="207"/>
      <c r="Q981" s="207"/>
      <c r="R981" s="207"/>
      <c r="S981" s="198"/>
      <c r="T981" s="201"/>
    </row>
    <row r="982" spans="1:20" ht="22.5" hidden="1" customHeight="1" x14ac:dyDescent="0.25">
      <c r="A982" s="208"/>
      <c r="B982" s="238"/>
      <c r="C982" s="198"/>
      <c r="D982" s="198"/>
      <c r="E982" s="199"/>
      <c r="F982" s="200"/>
      <c r="G982" s="201"/>
      <c r="H982" s="208"/>
      <c r="I982" s="209"/>
      <c r="J982" s="209"/>
      <c r="K982" s="198"/>
      <c r="L982" s="204"/>
      <c r="M982" s="205"/>
      <c r="N982" s="206"/>
      <c r="O982" s="207"/>
      <c r="P982" s="207"/>
      <c r="Q982" s="207"/>
      <c r="R982" s="207"/>
      <c r="S982" s="198"/>
      <c r="T982" s="201"/>
    </row>
    <row r="983" spans="1:20" ht="22.5" hidden="1" customHeight="1" x14ac:dyDescent="0.25">
      <c r="A983" s="208"/>
      <c r="B983" s="238"/>
      <c r="C983" s="198"/>
      <c r="D983" s="198"/>
      <c r="E983" s="199"/>
      <c r="F983" s="200"/>
      <c r="G983" s="201"/>
      <c r="H983" s="208"/>
      <c r="I983" s="209"/>
      <c r="J983" s="209"/>
      <c r="K983" s="198"/>
      <c r="L983" s="204"/>
      <c r="M983" s="205"/>
      <c r="N983" s="206"/>
      <c r="O983" s="207"/>
      <c r="P983" s="207"/>
      <c r="Q983" s="207"/>
      <c r="R983" s="207"/>
      <c r="S983" s="198"/>
      <c r="T983" s="201"/>
    </row>
    <row r="984" spans="1:20" ht="22.5" hidden="1" customHeight="1" x14ac:dyDescent="0.25">
      <c r="A984" s="208"/>
      <c r="B984" s="238"/>
      <c r="C984" s="198"/>
      <c r="D984" s="198"/>
      <c r="E984" s="199"/>
      <c r="F984" s="200"/>
      <c r="G984" s="201"/>
      <c r="H984" s="208"/>
      <c r="I984" s="209"/>
      <c r="J984" s="209"/>
      <c r="K984" s="198"/>
      <c r="L984" s="204"/>
      <c r="M984" s="205"/>
      <c r="N984" s="206"/>
      <c r="O984" s="207"/>
      <c r="P984" s="207"/>
      <c r="Q984" s="207"/>
      <c r="R984" s="207"/>
      <c r="S984" s="198"/>
      <c r="T984" s="201"/>
    </row>
    <row r="985" spans="1:20" ht="22.5" hidden="1" customHeight="1" x14ac:dyDescent="0.25">
      <c r="A985" s="208"/>
      <c r="B985" s="238"/>
      <c r="C985" s="198"/>
      <c r="D985" s="198"/>
      <c r="E985" s="199"/>
      <c r="F985" s="200"/>
      <c r="G985" s="201"/>
      <c r="H985" s="208"/>
      <c r="I985" s="209"/>
      <c r="J985" s="209"/>
      <c r="K985" s="198"/>
      <c r="L985" s="204"/>
      <c r="M985" s="205"/>
      <c r="N985" s="206"/>
      <c r="O985" s="207"/>
      <c r="P985" s="207"/>
      <c r="Q985" s="207"/>
      <c r="R985" s="207"/>
      <c r="S985" s="198"/>
      <c r="T985" s="201"/>
    </row>
    <row r="986" spans="1:20" ht="22.5" hidden="1" customHeight="1" x14ac:dyDescent="0.25">
      <c r="A986" s="208"/>
      <c r="B986" s="238"/>
      <c r="C986" s="198"/>
      <c r="D986" s="198"/>
      <c r="E986" s="199"/>
      <c r="F986" s="200"/>
      <c r="G986" s="201"/>
      <c r="H986" s="208"/>
      <c r="I986" s="209"/>
      <c r="J986" s="209"/>
      <c r="K986" s="198"/>
      <c r="L986" s="204"/>
      <c r="M986" s="205"/>
      <c r="N986" s="206"/>
      <c r="O986" s="207"/>
      <c r="P986" s="207"/>
      <c r="Q986" s="207"/>
      <c r="R986" s="207"/>
      <c r="S986" s="198"/>
      <c r="T986" s="201"/>
    </row>
    <row r="987" spans="1:20" ht="22.5" hidden="1" customHeight="1" x14ac:dyDescent="0.25">
      <c r="A987" s="208"/>
      <c r="B987" s="238"/>
      <c r="C987" s="198"/>
      <c r="D987" s="198"/>
      <c r="E987" s="199"/>
      <c r="F987" s="200"/>
      <c r="G987" s="201"/>
      <c r="H987" s="208"/>
      <c r="I987" s="209"/>
      <c r="J987" s="209"/>
      <c r="K987" s="198"/>
      <c r="L987" s="204"/>
      <c r="M987" s="205"/>
      <c r="N987" s="206"/>
      <c r="O987" s="207"/>
      <c r="P987" s="207"/>
      <c r="Q987" s="207"/>
      <c r="R987" s="207"/>
      <c r="S987" s="198"/>
      <c r="T987" s="201"/>
    </row>
    <row r="988" spans="1:20" ht="22.5" hidden="1" customHeight="1" x14ac:dyDescent="0.25">
      <c r="A988" s="208"/>
      <c r="B988" s="238"/>
      <c r="C988" s="198"/>
      <c r="D988" s="198"/>
      <c r="E988" s="199"/>
      <c r="F988" s="200"/>
      <c r="G988" s="201"/>
      <c r="H988" s="208"/>
      <c r="I988" s="209"/>
      <c r="J988" s="209"/>
      <c r="K988" s="198"/>
      <c r="L988" s="204"/>
      <c r="M988" s="205"/>
      <c r="N988" s="206"/>
      <c r="O988" s="207"/>
      <c r="P988" s="207"/>
      <c r="Q988" s="207"/>
      <c r="R988" s="207"/>
      <c r="S988" s="198"/>
      <c r="T988" s="201"/>
    </row>
    <row r="989" spans="1:20" ht="22.5" hidden="1" customHeight="1" x14ac:dyDescent="0.25">
      <c r="A989" s="208"/>
      <c r="B989" s="238"/>
      <c r="C989" s="198"/>
      <c r="D989" s="198"/>
      <c r="E989" s="199"/>
      <c r="F989" s="200"/>
      <c r="G989" s="201"/>
      <c r="H989" s="208"/>
      <c r="I989" s="209"/>
      <c r="J989" s="209"/>
      <c r="K989" s="198"/>
      <c r="L989" s="204"/>
      <c r="M989" s="205"/>
      <c r="N989" s="206"/>
      <c r="O989" s="207"/>
      <c r="P989" s="207"/>
      <c r="Q989" s="207"/>
      <c r="R989" s="207"/>
      <c r="S989" s="198"/>
      <c r="T989" s="201"/>
    </row>
    <row r="990" spans="1:20" ht="22.5" hidden="1" customHeight="1" x14ac:dyDescent="0.25">
      <c r="A990" s="208"/>
      <c r="B990" s="238"/>
      <c r="C990" s="198"/>
      <c r="D990" s="198"/>
      <c r="E990" s="199"/>
      <c r="F990" s="200"/>
      <c r="G990" s="201"/>
      <c r="H990" s="208"/>
      <c r="I990" s="209"/>
      <c r="J990" s="209"/>
      <c r="K990" s="198"/>
      <c r="L990" s="204"/>
      <c r="M990" s="205"/>
      <c r="N990" s="206"/>
      <c r="O990" s="207"/>
      <c r="P990" s="207"/>
      <c r="Q990" s="207"/>
      <c r="R990" s="207"/>
      <c r="S990" s="198"/>
      <c r="T990" s="201"/>
    </row>
    <row r="991" spans="1:20" ht="22.5" hidden="1" customHeight="1" x14ac:dyDescent="0.25">
      <c r="A991" s="208"/>
      <c r="B991" s="238"/>
      <c r="C991" s="198"/>
      <c r="D991" s="198"/>
      <c r="E991" s="199"/>
      <c r="F991" s="200"/>
      <c r="G991" s="201"/>
      <c r="H991" s="208"/>
      <c r="I991" s="209"/>
      <c r="J991" s="209"/>
      <c r="K991" s="198"/>
      <c r="L991" s="204"/>
      <c r="M991" s="205"/>
      <c r="N991" s="206"/>
      <c r="O991" s="207"/>
      <c r="P991" s="207"/>
      <c r="Q991" s="207"/>
      <c r="R991" s="207"/>
      <c r="S991" s="198"/>
      <c r="T991" s="201"/>
    </row>
    <row r="992" spans="1:20" ht="22.5" hidden="1" customHeight="1" x14ac:dyDescent="0.25">
      <c r="A992" s="208"/>
      <c r="B992" s="238"/>
      <c r="C992" s="198"/>
      <c r="D992" s="198"/>
      <c r="E992" s="199"/>
      <c r="F992" s="200"/>
      <c r="G992" s="201"/>
      <c r="H992" s="208"/>
      <c r="I992" s="209"/>
      <c r="J992" s="209"/>
      <c r="K992" s="198"/>
      <c r="L992" s="204"/>
      <c r="M992" s="205"/>
      <c r="N992" s="206"/>
      <c r="O992" s="207"/>
      <c r="P992" s="207"/>
      <c r="Q992" s="207"/>
      <c r="R992" s="207"/>
      <c r="S992" s="198"/>
      <c r="T992" s="201"/>
    </row>
    <row r="993" spans="1:20" ht="22.5" hidden="1" customHeight="1" x14ac:dyDescent="0.25">
      <c r="A993" s="208"/>
      <c r="B993" s="238"/>
      <c r="C993" s="198"/>
      <c r="D993" s="198"/>
      <c r="E993" s="199"/>
      <c r="F993" s="200"/>
      <c r="G993" s="201"/>
      <c r="H993" s="208"/>
      <c r="I993" s="209"/>
      <c r="J993" s="209"/>
      <c r="K993" s="198"/>
      <c r="L993" s="204"/>
      <c r="M993" s="205"/>
      <c r="N993" s="206"/>
      <c r="O993" s="207"/>
      <c r="P993" s="207"/>
      <c r="Q993" s="207"/>
      <c r="R993" s="207"/>
      <c r="S993" s="198"/>
      <c r="T993" s="201"/>
    </row>
    <row r="994" spans="1:20" ht="22.5" hidden="1" customHeight="1" x14ac:dyDescent="0.25">
      <c r="A994" s="208"/>
      <c r="B994" s="238"/>
      <c r="C994" s="198"/>
      <c r="D994" s="198"/>
      <c r="E994" s="199"/>
      <c r="F994" s="200"/>
      <c r="G994" s="201"/>
      <c r="H994" s="208"/>
      <c r="I994" s="209"/>
      <c r="J994" s="209"/>
      <c r="K994" s="198"/>
      <c r="L994" s="204"/>
      <c r="M994" s="205"/>
      <c r="N994" s="206"/>
      <c r="O994" s="207"/>
      <c r="P994" s="207"/>
      <c r="Q994" s="207"/>
      <c r="R994" s="207"/>
      <c r="S994" s="198"/>
      <c r="T994" s="201"/>
    </row>
    <row r="995" spans="1:20" ht="22.5" hidden="1" customHeight="1" x14ac:dyDescent="0.25">
      <c r="A995" s="208"/>
      <c r="B995" s="238"/>
      <c r="C995" s="198"/>
      <c r="D995" s="198"/>
      <c r="E995" s="199"/>
      <c r="F995" s="200"/>
      <c r="G995" s="201"/>
      <c r="H995" s="208"/>
      <c r="I995" s="209"/>
      <c r="J995" s="209"/>
      <c r="K995" s="198"/>
      <c r="L995" s="204"/>
      <c r="M995" s="205"/>
      <c r="N995" s="206"/>
      <c r="O995" s="207"/>
      <c r="P995" s="207"/>
      <c r="Q995" s="207"/>
      <c r="R995" s="207"/>
      <c r="S995" s="198"/>
      <c r="T995" s="201"/>
    </row>
    <row r="996" spans="1:20" ht="22.5" hidden="1" customHeight="1" x14ac:dyDescent="0.25">
      <c r="A996" s="208"/>
      <c r="B996" s="238"/>
      <c r="C996" s="198"/>
      <c r="D996" s="198"/>
      <c r="E996" s="199"/>
      <c r="F996" s="200"/>
      <c r="G996" s="201"/>
      <c r="H996" s="208"/>
      <c r="I996" s="209"/>
      <c r="J996" s="209"/>
      <c r="K996" s="198"/>
      <c r="L996" s="204"/>
      <c r="M996" s="205"/>
      <c r="N996" s="206"/>
      <c r="O996" s="207"/>
      <c r="P996" s="207"/>
      <c r="Q996" s="207"/>
      <c r="R996" s="207"/>
      <c r="S996" s="198"/>
      <c r="T996" s="201"/>
    </row>
    <row r="997" spans="1:20" ht="22.5" hidden="1" customHeight="1" x14ac:dyDescent="0.25">
      <c r="A997" s="208"/>
      <c r="B997" s="238"/>
      <c r="C997" s="198"/>
      <c r="D997" s="198"/>
      <c r="E997" s="199"/>
      <c r="F997" s="200"/>
      <c r="G997" s="201"/>
      <c r="H997" s="208"/>
      <c r="I997" s="209"/>
      <c r="J997" s="209"/>
      <c r="K997" s="198"/>
      <c r="L997" s="204"/>
      <c r="M997" s="205"/>
      <c r="N997" s="206"/>
      <c r="O997" s="207"/>
      <c r="P997" s="207"/>
      <c r="Q997" s="207"/>
      <c r="R997" s="207"/>
      <c r="S997" s="198"/>
      <c r="T997" s="201"/>
    </row>
    <row r="998" spans="1:20" ht="22.5" hidden="1" customHeight="1" x14ac:dyDescent="0.25">
      <c r="A998" s="208"/>
      <c r="B998" s="238"/>
      <c r="C998" s="198"/>
      <c r="D998" s="198"/>
      <c r="E998" s="199"/>
      <c r="F998" s="200"/>
      <c r="G998" s="201"/>
      <c r="H998" s="208"/>
      <c r="I998" s="209"/>
      <c r="J998" s="209"/>
      <c r="K998" s="198"/>
      <c r="L998" s="204"/>
      <c r="M998" s="205"/>
      <c r="N998" s="206"/>
      <c r="O998" s="207"/>
      <c r="P998" s="207"/>
      <c r="Q998" s="207"/>
      <c r="R998" s="207"/>
      <c r="S998" s="198"/>
      <c r="T998" s="201"/>
    </row>
    <row r="999" spans="1:20" ht="22.5" hidden="1" customHeight="1" x14ac:dyDescent="0.25">
      <c r="A999" s="208"/>
      <c r="B999" s="238"/>
      <c r="C999" s="198"/>
      <c r="D999" s="198"/>
      <c r="E999" s="199"/>
      <c r="F999" s="200"/>
      <c r="G999" s="201"/>
      <c r="H999" s="208"/>
      <c r="I999" s="209"/>
      <c r="J999" s="209"/>
      <c r="K999" s="198"/>
      <c r="L999" s="204"/>
      <c r="M999" s="205"/>
      <c r="N999" s="206"/>
      <c r="O999" s="207"/>
      <c r="P999" s="207"/>
      <c r="Q999" s="207"/>
      <c r="R999" s="207"/>
      <c r="S999" s="198"/>
      <c r="T999" s="201"/>
    </row>
    <row r="1000" spans="1:20" ht="22.5" hidden="1" customHeight="1" x14ac:dyDescent="0.25">
      <c r="A1000" s="208"/>
      <c r="B1000" s="238"/>
      <c r="C1000" s="198"/>
      <c r="D1000" s="198"/>
      <c r="E1000" s="199"/>
      <c r="F1000" s="200"/>
      <c r="G1000" s="201"/>
      <c r="H1000" s="208"/>
      <c r="I1000" s="209"/>
      <c r="J1000" s="209"/>
      <c r="K1000" s="198"/>
      <c r="L1000" s="204"/>
      <c r="M1000" s="205"/>
      <c r="N1000" s="206"/>
      <c r="O1000" s="207"/>
      <c r="P1000" s="207"/>
      <c r="Q1000" s="207"/>
      <c r="R1000" s="207"/>
      <c r="S1000" s="198"/>
      <c r="T1000" s="201"/>
    </row>
    <row r="1001" spans="1:20" ht="22.5" hidden="1" customHeight="1" x14ac:dyDescent="0.25">
      <c r="A1001" s="208"/>
      <c r="B1001" s="238"/>
      <c r="C1001" s="198"/>
      <c r="D1001" s="198"/>
      <c r="E1001" s="199"/>
      <c r="F1001" s="200"/>
      <c r="G1001" s="201"/>
      <c r="H1001" s="208"/>
      <c r="I1001" s="209"/>
      <c r="J1001" s="209"/>
      <c r="K1001" s="198"/>
      <c r="L1001" s="204"/>
      <c r="M1001" s="205"/>
      <c r="N1001" s="206"/>
      <c r="O1001" s="207"/>
      <c r="P1001" s="207"/>
      <c r="Q1001" s="207"/>
      <c r="R1001" s="207"/>
      <c r="S1001" s="198"/>
      <c r="T1001" s="201"/>
    </row>
    <row r="1002" spans="1:20" ht="22.5" hidden="1" customHeight="1" x14ac:dyDescent="0.25">
      <c r="A1002" s="208"/>
      <c r="B1002" s="238"/>
      <c r="C1002" s="198"/>
      <c r="D1002" s="198"/>
      <c r="E1002" s="199"/>
      <c r="F1002" s="200"/>
      <c r="G1002" s="201"/>
      <c r="H1002" s="208"/>
      <c r="I1002" s="209"/>
      <c r="J1002" s="209"/>
      <c r="K1002" s="198"/>
      <c r="L1002" s="204"/>
      <c r="M1002" s="205"/>
      <c r="N1002" s="206"/>
      <c r="O1002" s="207"/>
      <c r="P1002" s="207"/>
      <c r="Q1002" s="207"/>
      <c r="R1002" s="207"/>
      <c r="S1002" s="198"/>
      <c r="T1002" s="201"/>
    </row>
    <row r="1003" spans="1:20" ht="22.5" hidden="1" customHeight="1" x14ac:dyDescent="0.25">
      <c r="A1003" s="208"/>
      <c r="B1003" s="238"/>
      <c r="C1003" s="198"/>
      <c r="D1003" s="198"/>
      <c r="E1003" s="199"/>
      <c r="F1003" s="200"/>
      <c r="G1003" s="201"/>
      <c r="H1003" s="208"/>
      <c r="I1003" s="209"/>
      <c r="J1003" s="209"/>
      <c r="K1003" s="198"/>
      <c r="L1003" s="204"/>
      <c r="M1003" s="205"/>
      <c r="N1003" s="206"/>
      <c r="O1003" s="207"/>
      <c r="P1003" s="207"/>
      <c r="Q1003" s="207"/>
      <c r="R1003" s="207"/>
      <c r="S1003" s="198"/>
      <c r="T1003" s="201"/>
    </row>
    <row r="1004" spans="1:20" ht="22.5" hidden="1" customHeight="1" x14ac:dyDescent="0.25">
      <c r="A1004" s="208"/>
      <c r="B1004" s="238"/>
      <c r="C1004" s="198"/>
      <c r="D1004" s="198"/>
      <c r="E1004" s="199"/>
      <c r="F1004" s="200"/>
      <c r="G1004" s="201"/>
      <c r="H1004" s="208"/>
      <c r="I1004" s="209"/>
      <c r="J1004" s="209"/>
      <c r="K1004" s="198"/>
      <c r="L1004" s="204"/>
      <c r="M1004" s="205"/>
      <c r="N1004" s="206"/>
      <c r="O1004" s="207"/>
      <c r="P1004" s="207"/>
      <c r="Q1004" s="207"/>
      <c r="R1004" s="207"/>
      <c r="S1004" s="198"/>
      <c r="T1004" s="201"/>
    </row>
    <row r="1005" spans="1:20" ht="22.5" hidden="1" customHeight="1" x14ac:dyDescent="0.25">
      <c r="A1005" s="208"/>
      <c r="B1005" s="238"/>
      <c r="C1005" s="198"/>
      <c r="D1005" s="198"/>
      <c r="E1005" s="199"/>
      <c r="F1005" s="200"/>
      <c r="G1005" s="201"/>
      <c r="H1005" s="208"/>
      <c r="I1005" s="209"/>
      <c r="J1005" s="209"/>
      <c r="K1005" s="198"/>
      <c r="L1005" s="204"/>
      <c r="M1005" s="205"/>
      <c r="N1005" s="206"/>
      <c r="O1005" s="207"/>
      <c r="P1005" s="207"/>
      <c r="Q1005" s="207"/>
      <c r="R1005" s="207"/>
      <c r="S1005" s="198"/>
      <c r="T1005" s="201"/>
    </row>
    <row r="1006" spans="1:20" ht="22.5" hidden="1" customHeight="1" x14ac:dyDescent="0.25">
      <c r="A1006" s="208"/>
      <c r="B1006" s="238"/>
      <c r="C1006" s="198"/>
      <c r="D1006" s="198"/>
      <c r="E1006" s="199"/>
      <c r="F1006" s="200"/>
      <c r="G1006" s="201"/>
      <c r="H1006" s="208"/>
      <c r="I1006" s="209"/>
      <c r="J1006" s="209"/>
      <c r="K1006" s="198"/>
      <c r="L1006" s="204"/>
      <c r="M1006" s="205"/>
      <c r="N1006" s="206"/>
      <c r="O1006" s="207"/>
      <c r="P1006" s="207"/>
      <c r="Q1006" s="207"/>
      <c r="R1006" s="207"/>
      <c r="S1006" s="198"/>
      <c r="T1006" s="201"/>
    </row>
    <row r="1007" spans="1:20" ht="22.5" hidden="1" customHeight="1" x14ac:dyDescent="0.25">
      <c r="A1007" s="208"/>
      <c r="B1007" s="238"/>
      <c r="C1007" s="198"/>
      <c r="D1007" s="198"/>
      <c r="E1007" s="199"/>
      <c r="F1007" s="200"/>
      <c r="G1007" s="201"/>
      <c r="H1007" s="208"/>
      <c r="I1007" s="209"/>
      <c r="J1007" s="209"/>
      <c r="K1007" s="198"/>
      <c r="L1007" s="204"/>
      <c r="M1007" s="205"/>
      <c r="N1007" s="206"/>
      <c r="O1007" s="207"/>
      <c r="P1007" s="207"/>
      <c r="Q1007" s="207"/>
      <c r="R1007" s="207"/>
      <c r="S1007" s="198"/>
      <c r="T1007" s="201"/>
    </row>
    <row r="1008" spans="1:20" ht="22.5" hidden="1" customHeight="1" x14ac:dyDescent="0.25">
      <c r="A1008" s="208"/>
      <c r="B1008" s="238"/>
      <c r="C1008" s="198"/>
      <c r="D1008" s="198"/>
      <c r="E1008" s="199"/>
      <c r="F1008" s="200"/>
      <c r="G1008" s="201"/>
      <c r="H1008" s="208"/>
      <c r="I1008" s="209"/>
      <c r="J1008" s="209"/>
      <c r="K1008" s="198"/>
      <c r="L1008" s="204"/>
      <c r="M1008" s="205"/>
      <c r="N1008" s="206"/>
      <c r="O1008" s="207"/>
      <c r="P1008" s="207"/>
      <c r="Q1008" s="207"/>
      <c r="R1008" s="207"/>
      <c r="S1008" s="198"/>
      <c r="T1008" s="201"/>
    </row>
    <row r="1009" spans="1:20" ht="22.5" hidden="1" customHeight="1" x14ac:dyDescent="0.25">
      <c r="A1009" s="208"/>
      <c r="B1009" s="238"/>
      <c r="C1009" s="198"/>
      <c r="D1009" s="198"/>
      <c r="E1009" s="199"/>
      <c r="F1009" s="200"/>
      <c r="G1009" s="201"/>
      <c r="H1009" s="208"/>
      <c r="I1009" s="209"/>
      <c r="J1009" s="209"/>
      <c r="K1009" s="198"/>
      <c r="L1009" s="204"/>
      <c r="M1009" s="205"/>
      <c r="N1009" s="206"/>
      <c r="O1009" s="207"/>
      <c r="P1009" s="207"/>
      <c r="Q1009" s="207"/>
      <c r="R1009" s="207"/>
      <c r="S1009" s="198"/>
      <c r="T1009" s="201"/>
    </row>
    <row r="1010" spans="1:20" ht="22.5" hidden="1" customHeight="1" x14ac:dyDescent="0.25">
      <c r="A1010" s="208"/>
      <c r="B1010" s="238"/>
      <c r="C1010" s="198"/>
      <c r="D1010" s="198"/>
      <c r="E1010" s="199"/>
      <c r="F1010" s="200"/>
      <c r="G1010" s="201"/>
      <c r="H1010" s="208"/>
      <c r="I1010" s="209"/>
      <c r="J1010" s="209"/>
      <c r="K1010" s="198"/>
      <c r="L1010" s="204"/>
      <c r="M1010" s="205"/>
      <c r="N1010" s="206"/>
      <c r="O1010" s="207"/>
      <c r="P1010" s="207"/>
      <c r="Q1010" s="207"/>
      <c r="R1010" s="207"/>
      <c r="S1010" s="198"/>
      <c r="T1010" s="201"/>
    </row>
    <row r="1011" spans="1:20" ht="22.5" hidden="1" customHeight="1" x14ac:dyDescent="0.25">
      <c r="A1011" s="208"/>
      <c r="B1011" s="238"/>
      <c r="C1011" s="198"/>
      <c r="D1011" s="198"/>
      <c r="E1011" s="199"/>
      <c r="F1011" s="200"/>
      <c r="G1011" s="201"/>
      <c r="H1011" s="208"/>
      <c r="I1011" s="209"/>
      <c r="J1011" s="209"/>
      <c r="K1011" s="198"/>
      <c r="L1011" s="204"/>
      <c r="M1011" s="205"/>
      <c r="N1011" s="206"/>
      <c r="O1011" s="207"/>
      <c r="P1011" s="207"/>
      <c r="Q1011" s="207"/>
      <c r="R1011" s="207"/>
      <c r="S1011" s="198"/>
      <c r="T1011" s="201"/>
    </row>
    <row r="1012" spans="1:20" ht="22.5" hidden="1" customHeight="1" x14ac:dyDescent="0.25">
      <c r="A1012" s="208"/>
      <c r="B1012" s="238"/>
      <c r="C1012" s="198"/>
      <c r="D1012" s="198"/>
      <c r="E1012" s="199"/>
      <c r="F1012" s="200"/>
      <c r="G1012" s="201"/>
      <c r="H1012" s="208"/>
      <c r="I1012" s="209"/>
      <c r="J1012" s="209"/>
      <c r="K1012" s="198"/>
      <c r="L1012" s="204"/>
      <c r="M1012" s="205"/>
      <c r="N1012" s="206"/>
      <c r="O1012" s="207"/>
      <c r="P1012" s="207"/>
      <c r="Q1012" s="207"/>
      <c r="R1012" s="207"/>
      <c r="S1012" s="198"/>
      <c r="T1012" s="201"/>
    </row>
    <row r="1013" spans="1:20" ht="22.5" hidden="1" customHeight="1" x14ac:dyDescent="0.25">
      <c r="A1013" s="208"/>
      <c r="B1013" s="238"/>
      <c r="C1013" s="198"/>
      <c r="D1013" s="198"/>
      <c r="E1013" s="199"/>
      <c r="F1013" s="200"/>
      <c r="G1013" s="201"/>
      <c r="H1013" s="208"/>
      <c r="I1013" s="209"/>
      <c r="J1013" s="209"/>
      <c r="K1013" s="198"/>
      <c r="L1013" s="204"/>
      <c r="M1013" s="205"/>
      <c r="N1013" s="206"/>
      <c r="O1013" s="207"/>
      <c r="P1013" s="207"/>
      <c r="Q1013" s="207"/>
      <c r="R1013" s="207"/>
      <c r="S1013" s="198"/>
      <c r="T1013" s="201"/>
    </row>
    <row r="1014" spans="1:20" ht="22.5" hidden="1" customHeight="1" x14ac:dyDescent="0.25">
      <c r="A1014" s="208"/>
      <c r="B1014" s="238"/>
      <c r="C1014" s="198"/>
      <c r="D1014" s="198"/>
      <c r="E1014" s="199"/>
      <c r="F1014" s="200"/>
      <c r="G1014" s="201"/>
      <c r="H1014" s="208"/>
      <c r="I1014" s="209"/>
      <c r="J1014" s="209"/>
      <c r="K1014" s="198"/>
      <c r="L1014" s="204"/>
      <c r="M1014" s="205"/>
      <c r="N1014" s="206"/>
      <c r="O1014" s="207"/>
      <c r="P1014" s="207"/>
      <c r="Q1014" s="207"/>
      <c r="R1014" s="207"/>
      <c r="S1014" s="198"/>
      <c r="T1014" s="201"/>
    </row>
    <row r="1015" spans="1:20" ht="22.5" hidden="1" customHeight="1" x14ac:dyDescent="0.25">
      <c r="A1015" s="208"/>
      <c r="B1015" s="238"/>
      <c r="C1015" s="198"/>
      <c r="D1015" s="198"/>
      <c r="E1015" s="199"/>
      <c r="F1015" s="200"/>
      <c r="G1015" s="201"/>
      <c r="H1015" s="208"/>
      <c r="I1015" s="209"/>
      <c r="J1015" s="209"/>
      <c r="K1015" s="198"/>
      <c r="L1015" s="204"/>
      <c r="M1015" s="205"/>
      <c r="N1015" s="206"/>
      <c r="O1015" s="207"/>
      <c r="P1015" s="207"/>
      <c r="Q1015" s="207"/>
      <c r="R1015" s="207"/>
      <c r="S1015" s="198"/>
      <c r="T1015" s="201"/>
    </row>
    <row r="1016" spans="1:20" ht="22.5" hidden="1" customHeight="1" x14ac:dyDescent="0.25">
      <c r="A1016" s="208"/>
      <c r="B1016" s="238"/>
      <c r="C1016" s="198"/>
      <c r="D1016" s="198"/>
      <c r="E1016" s="199"/>
      <c r="F1016" s="200"/>
      <c r="G1016" s="201"/>
      <c r="H1016" s="208"/>
      <c r="I1016" s="209"/>
      <c r="J1016" s="209"/>
      <c r="K1016" s="198"/>
      <c r="L1016" s="204"/>
      <c r="M1016" s="205"/>
      <c r="N1016" s="206"/>
      <c r="O1016" s="207"/>
      <c r="P1016" s="207"/>
      <c r="Q1016" s="207"/>
      <c r="R1016" s="207"/>
      <c r="S1016" s="198"/>
      <c r="T1016" s="201"/>
    </row>
    <row r="1017" spans="1:20" ht="22.5" hidden="1" customHeight="1" x14ac:dyDescent="0.25">
      <c r="A1017" s="208"/>
      <c r="B1017" s="238"/>
      <c r="C1017" s="198"/>
      <c r="D1017" s="198"/>
      <c r="E1017" s="199"/>
      <c r="F1017" s="200"/>
      <c r="G1017" s="201"/>
      <c r="H1017" s="208"/>
      <c r="I1017" s="209"/>
      <c r="J1017" s="209"/>
      <c r="K1017" s="198"/>
      <c r="L1017" s="204"/>
      <c r="M1017" s="205"/>
      <c r="N1017" s="206"/>
      <c r="O1017" s="207"/>
      <c r="P1017" s="207"/>
      <c r="Q1017" s="207"/>
      <c r="R1017" s="207"/>
      <c r="S1017" s="198"/>
      <c r="T1017" s="201"/>
    </row>
    <row r="1018" spans="1:20" ht="22.5" hidden="1" customHeight="1" x14ac:dyDescent="0.25">
      <c r="A1018" s="208"/>
      <c r="B1018" s="238"/>
      <c r="C1018" s="198"/>
      <c r="D1018" s="198"/>
      <c r="E1018" s="199"/>
      <c r="F1018" s="200"/>
      <c r="G1018" s="201"/>
      <c r="H1018" s="208"/>
      <c r="I1018" s="209"/>
      <c r="J1018" s="209"/>
      <c r="K1018" s="198"/>
      <c r="L1018" s="204"/>
      <c r="M1018" s="205"/>
      <c r="N1018" s="206"/>
      <c r="O1018" s="207"/>
      <c r="P1018" s="207"/>
      <c r="Q1018" s="207"/>
      <c r="R1018" s="207"/>
      <c r="S1018" s="198"/>
      <c r="T1018" s="201"/>
    </row>
    <row r="1019" spans="1:20" ht="22.5" hidden="1" customHeight="1" x14ac:dyDescent="0.25">
      <c r="A1019" s="208"/>
      <c r="B1019" s="238"/>
      <c r="C1019" s="198"/>
      <c r="D1019" s="198"/>
      <c r="E1019" s="199"/>
      <c r="F1019" s="200"/>
      <c r="G1019" s="201"/>
      <c r="H1019" s="208"/>
      <c r="I1019" s="209"/>
      <c r="J1019" s="209"/>
      <c r="K1019" s="198"/>
      <c r="L1019" s="204"/>
      <c r="M1019" s="205"/>
      <c r="N1019" s="206"/>
      <c r="O1019" s="207"/>
      <c r="P1019" s="207"/>
      <c r="Q1019" s="207"/>
      <c r="R1019" s="207"/>
      <c r="S1019" s="198"/>
      <c r="T1019" s="201"/>
    </row>
    <row r="1020" spans="1:20" ht="22.5" hidden="1" customHeight="1" x14ac:dyDescent="0.25">
      <c r="A1020" s="208"/>
      <c r="B1020" s="238"/>
      <c r="C1020" s="198"/>
      <c r="D1020" s="198"/>
      <c r="E1020" s="199"/>
      <c r="F1020" s="200"/>
      <c r="G1020" s="201"/>
      <c r="H1020" s="208"/>
      <c r="I1020" s="209"/>
      <c r="J1020" s="209"/>
      <c r="K1020" s="198"/>
      <c r="L1020" s="204"/>
      <c r="M1020" s="205"/>
      <c r="N1020" s="206"/>
      <c r="O1020" s="207"/>
      <c r="P1020" s="207"/>
      <c r="Q1020" s="207"/>
      <c r="R1020" s="207"/>
      <c r="S1020" s="198"/>
      <c r="T1020" s="201"/>
    </row>
    <row r="1021" spans="1:20" ht="22.5" hidden="1" customHeight="1" x14ac:dyDescent="0.25">
      <c r="A1021" s="208"/>
      <c r="B1021" s="238"/>
      <c r="C1021" s="198"/>
      <c r="D1021" s="198"/>
      <c r="E1021" s="199"/>
      <c r="F1021" s="200"/>
      <c r="G1021" s="201"/>
      <c r="H1021" s="208"/>
      <c r="I1021" s="209"/>
      <c r="J1021" s="209"/>
      <c r="K1021" s="198"/>
      <c r="L1021" s="204"/>
      <c r="M1021" s="205"/>
      <c r="N1021" s="206"/>
      <c r="O1021" s="207"/>
      <c r="P1021" s="207"/>
      <c r="Q1021" s="207"/>
      <c r="R1021" s="207"/>
      <c r="S1021" s="198"/>
      <c r="T1021" s="201"/>
    </row>
    <row r="1022" spans="1:20" ht="22.5" hidden="1" customHeight="1" x14ac:dyDescent="0.25">
      <c r="A1022" s="208"/>
      <c r="B1022" s="238"/>
      <c r="C1022" s="198"/>
      <c r="D1022" s="198"/>
      <c r="E1022" s="199"/>
      <c r="F1022" s="200"/>
      <c r="G1022" s="201"/>
      <c r="H1022" s="208"/>
      <c r="I1022" s="209"/>
      <c r="J1022" s="209"/>
      <c r="K1022" s="198"/>
      <c r="L1022" s="204"/>
      <c r="M1022" s="205"/>
      <c r="N1022" s="206"/>
      <c r="O1022" s="207"/>
      <c r="P1022" s="207"/>
      <c r="Q1022" s="207"/>
      <c r="R1022" s="207"/>
      <c r="S1022" s="198"/>
      <c r="T1022" s="201"/>
    </row>
    <row r="1023" spans="1:20" ht="22.5" hidden="1" customHeight="1" x14ac:dyDescent="0.25">
      <c r="A1023" s="208"/>
      <c r="B1023" s="238"/>
      <c r="C1023" s="198"/>
      <c r="D1023" s="198"/>
      <c r="E1023" s="199"/>
      <c r="F1023" s="200"/>
      <c r="G1023" s="201"/>
      <c r="H1023" s="208"/>
      <c r="I1023" s="209"/>
      <c r="J1023" s="209"/>
      <c r="K1023" s="198"/>
      <c r="L1023" s="204"/>
      <c r="M1023" s="205"/>
      <c r="N1023" s="206"/>
      <c r="O1023" s="207"/>
      <c r="P1023" s="207"/>
      <c r="Q1023" s="207"/>
      <c r="R1023" s="207"/>
      <c r="S1023" s="198"/>
      <c r="T1023" s="201"/>
    </row>
    <row r="1024" spans="1:20" ht="22.5" hidden="1" customHeight="1" x14ac:dyDescent="0.25">
      <c r="A1024" s="208"/>
      <c r="B1024" s="238"/>
      <c r="C1024" s="198"/>
      <c r="D1024" s="198"/>
      <c r="E1024" s="199"/>
      <c r="F1024" s="200"/>
      <c r="G1024" s="201"/>
      <c r="H1024" s="208"/>
      <c r="I1024" s="209"/>
      <c r="J1024" s="209"/>
      <c r="K1024" s="198"/>
      <c r="L1024" s="204"/>
      <c r="M1024" s="205"/>
      <c r="N1024" s="206"/>
      <c r="O1024" s="207"/>
      <c r="P1024" s="207"/>
      <c r="Q1024" s="207"/>
      <c r="R1024" s="207"/>
      <c r="S1024" s="198"/>
      <c r="T1024" s="201"/>
    </row>
    <row r="1025" spans="1:20" ht="22.5" hidden="1" customHeight="1" x14ac:dyDescent="0.25">
      <c r="A1025" s="208"/>
      <c r="B1025" s="238"/>
      <c r="C1025" s="198"/>
      <c r="D1025" s="198"/>
      <c r="E1025" s="199"/>
      <c r="F1025" s="200"/>
      <c r="G1025" s="201"/>
      <c r="H1025" s="208"/>
      <c r="I1025" s="209"/>
      <c r="J1025" s="209"/>
      <c r="K1025" s="198"/>
      <c r="L1025" s="204"/>
      <c r="M1025" s="205"/>
      <c r="N1025" s="206"/>
      <c r="O1025" s="207"/>
      <c r="P1025" s="207"/>
      <c r="Q1025" s="207"/>
      <c r="R1025" s="207"/>
      <c r="S1025" s="198"/>
      <c r="T1025" s="201"/>
    </row>
    <row r="1026" spans="1:20" ht="22.5" hidden="1" customHeight="1" x14ac:dyDescent="0.25">
      <c r="A1026" s="208"/>
      <c r="B1026" s="238"/>
      <c r="C1026" s="198"/>
      <c r="D1026" s="198"/>
      <c r="E1026" s="199"/>
      <c r="F1026" s="200"/>
      <c r="G1026" s="201"/>
      <c r="H1026" s="208"/>
      <c r="I1026" s="209"/>
      <c r="J1026" s="209"/>
      <c r="K1026" s="198"/>
      <c r="L1026" s="204"/>
      <c r="M1026" s="205"/>
      <c r="N1026" s="206"/>
      <c r="O1026" s="207"/>
      <c r="P1026" s="207"/>
      <c r="Q1026" s="207"/>
      <c r="R1026" s="207"/>
      <c r="S1026" s="198"/>
      <c r="T1026" s="201"/>
    </row>
    <row r="1027" spans="1:20" ht="22.5" hidden="1" customHeight="1" x14ac:dyDescent="0.25">
      <c r="A1027" s="208"/>
      <c r="B1027" s="238"/>
      <c r="C1027" s="198"/>
      <c r="D1027" s="198"/>
      <c r="E1027" s="199"/>
      <c r="F1027" s="200"/>
      <c r="G1027" s="201"/>
      <c r="H1027" s="208"/>
      <c r="I1027" s="209"/>
      <c r="J1027" s="209"/>
      <c r="K1027" s="198"/>
      <c r="L1027" s="204"/>
      <c r="M1027" s="205"/>
      <c r="N1027" s="206"/>
      <c r="O1027" s="207"/>
      <c r="P1027" s="207"/>
      <c r="Q1027" s="207"/>
      <c r="R1027" s="207"/>
      <c r="S1027" s="198"/>
      <c r="T1027" s="201"/>
    </row>
    <row r="1028" spans="1:20" ht="22.5" hidden="1" customHeight="1" x14ac:dyDescent="0.25">
      <c r="A1028" s="208"/>
      <c r="B1028" s="238"/>
      <c r="C1028" s="198"/>
      <c r="D1028" s="198"/>
      <c r="E1028" s="199"/>
      <c r="F1028" s="200"/>
      <c r="G1028" s="201"/>
      <c r="H1028" s="208"/>
      <c r="I1028" s="209"/>
      <c r="J1028" s="209"/>
      <c r="K1028" s="198"/>
      <c r="L1028" s="204"/>
      <c r="M1028" s="205"/>
      <c r="N1028" s="206"/>
      <c r="O1028" s="207"/>
      <c r="P1028" s="207"/>
      <c r="Q1028" s="207"/>
      <c r="R1028" s="207"/>
      <c r="S1028" s="198"/>
      <c r="T1028" s="201"/>
    </row>
    <row r="1029" spans="1:20" ht="22.5" hidden="1" customHeight="1" x14ac:dyDescent="0.25">
      <c r="A1029" s="208"/>
      <c r="B1029" s="238"/>
      <c r="C1029" s="198"/>
      <c r="D1029" s="198"/>
      <c r="E1029" s="199"/>
      <c r="F1029" s="200"/>
      <c r="G1029" s="201"/>
      <c r="H1029" s="208"/>
      <c r="I1029" s="209"/>
      <c r="J1029" s="209"/>
      <c r="K1029" s="198"/>
      <c r="L1029" s="204"/>
      <c r="M1029" s="205"/>
      <c r="N1029" s="206"/>
      <c r="O1029" s="207"/>
      <c r="P1029" s="207"/>
      <c r="Q1029" s="207"/>
      <c r="R1029" s="207"/>
      <c r="S1029" s="198"/>
      <c r="T1029" s="201"/>
    </row>
    <row r="1030" spans="1:20" ht="22.5" hidden="1" customHeight="1" x14ac:dyDescent="0.25">
      <c r="A1030" s="208"/>
      <c r="B1030" s="238"/>
      <c r="C1030" s="198"/>
      <c r="D1030" s="198"/>
      <c r="E1030" s="199"/>
      <c r="F1030" s="200"/>
      <c r="G1030" s="201"/>
      <c r="H1030" s="208"/>
      <c r="I1030" s="209"/>
      <c r="J1030" s="209"/>
      <c r="K1030" s="198"/>
      <c r="L1030" s="204"/>
      <c r="M1030" s="205"/>
      <c r="N1030" s="206"/>
      <c r="O1030" s="207"/>
      <c r="P1030" s="207"/>
      <c r="Q1030" s="207"/>
      <c r="R1030" s="207"/>
      <c r="S1030" s="198"/>
      <c r="T1030" s="201"/>
    </row>
    <row r="1031" spans="1:20" ht="22.5" hidden="1" customHeight="1" x14ac:dyDescent="0.25">
      <c r="A1031" s="208"/>
      <c r="B1031" s="238"/>
      <c r="C1031" s="198"/>
      <c r="D1031" s="198"/>
      <c r="E1031" s="199"/>
      <c r="F1031" s="200"/>
      <c r="G1031" s="201"/>
      <c r="H1031" s="208"/>
      <c r="I1031" s="209"/>
      <c r="J1031" s="209"/>
      <c r="K1031" s="198"/>
      <c r="L1031" s="204"/>
      <c r="M1031" s="205"/>
      <c r="N1031" s="206"/>
      <c r="O1031" s="207"/>
      <c r="P1031" s="207"/>
      <c r="Q1031" s="207"/>
      <c r="R1031" s="207"/>
      <c r="S1031" s="198"/>
      <c r="T1031" s="201"/>
    </row>
    <row r="1032" spans="1:20" ht="22.5" hidden="1" customHeight="1" x14ac:dyDescent="0.25">
      <c r="A1032" s="208"/>
      <c r="B1032" s="238"/>
      <c r="C1032" s="198"/>
      <c r="D1032" s="198"/>
      <c r="E1032" s="199"/>
      <c r="F1032" s="200"/>
      <c r="G1032" s="201"/>
      <c r="H1032" s="208"/>
      <c r="I1032" s="209"/>
      <c r="J1032" s="209"/>
      <c r="K1032" s="198"/>
      <c r="L1032" s="204"/>
      <c r="M1032" s="205"/>
      <c r="N1032" s="206"/>
      <c r="O1032" s="207"/>
      <c r="P1032" s="207"/>
      <c r="Q1032" s="207"/>
      <c r="R1032" s="207"/>
      <c r="S1032" s="198"/>
      <c r="T1032" s="201"/>
    </row>
    <row r="1033" spans="1:20" ht="22.5" hidden="1" customHeight="1" x14ac:dyDescent="0.25">
      <c r="A1033" s="208"/>
      <c r="B1033" s="238"/>
      <c r="C1033" s="198"/>
      <c r="D1033" s="198"/>
      <c r="E1033" s="199"/>
      <c r="F1033" s="200"/>
      <c r="G1033" s="201"/>
      <c r="H1033" s="208"/>
      <c r="I1033" s="209"/>
      <c r="J1033" s="209"/>
      <c r="K1033" s="198"/>
      <c r="L1033" s="204"/>
      <c r="M1033" s="205"/>
      <c r="N1033" s="206"/>
      <c r="O1033" s="207"/>
      <c r="P1033" s="207"/>
      <c r="Q1033" s="207"/>
      <c r="R1033" s="207"/>
      <c r="S1033" s="198"/>
      <c r="T1033" s="201"/>
    </row>
    <row r="1034" spans="1:20" ht="22.5" hidden="1" customHeight="1" x14ac:dyDescent="0.25">
      <c r="A1034" s="208"/>
      <c r="B1034" s="238"/>
      <c r="C1034" s="198"/>
      <c r="D1034" s="198"/>
      <c r="E1034" s="199"/>
      <c r="F1034" s="200"/>
      <c r="G1034" s="201"/>
      <c r="H1034" s="208"/>
      <c r="I1034" s="209"/>
      <c r="J1034" s="209"/>
      <c r="K1034" s="198"/>
      <c r="L1034" s="204"/>
      <c r="M1034" s="205"/>
      <c r="N1034" s="206"/>
      <c r="O1034" s="207"/>
      <c r="P1034" s="207"/>
      <c r="Q1034" s="207"/>
      <c r="R1034" s="207"/>
      <c r="S1034" s="198"/>
      <c r="T1034" s="201"/>
    </row>
    <row r="1035" spans="1:20" ht="22.5" hidden="1" customHeight="1" x14ac:dyDescent="0.25">
      <c r="A1035" s="208"/>
      <c r="B1035" s="238"/>
      <c r="C1035" s="198"/>
      <c r="D1035" s="198"/>
      <c r="E1035" s="199"/>
      <c r="F1035" s="200"/>
      <c r="G1035" s="201"/>
      <c r="H1035" s="208"/>
      <c r="I1035" s="209"/>
      <c r="J1035" s="209"/>
      <c r="K1035" s="198"/>
      <c r="L1035" s="204"/>
      <c r="M1035" s="205"/>
      <c r="N1035" s="206"/>
      <c r="O1035" s="207"/>
      <c r="P1035" s="207"/>
      <c r="Q1035" s="207"/>
      <c r="R1035" s="207"/>
      <c r="S1035" s="198"/>
      <c r="T1035" s="201"/>
    </row>
    <row r="1036" spans="1:20" ht="22.5" hidden="1" customHeight="1" x14ac:dyDescent="0.25">
      <c r="A1036" s="208"/>
      <c r="B1036" s="238"/>
      <c r="C1036" s="198"/>
      <c r="D1036" s="198"/>
      <c r="E1036" s="199"/>
      <c r="F1036" s="200"/>
      <c r="G1036" s="201"/>
      <c r="H1036" s="208"/>
      <c r="I1036" s="209"/>
      <c r="J1036" s="209"/>
      <c r="K1036" s="198"/>
      <c r="L1036" s="204"/>
      <c r="M1036" s="205"/>
      <c r="N1036" s="206"/>
      <c r="O1036" s="207"/>
      <c r="P1036" s="207"/>
      <c r="Q1036" s="207"/>
      <c r="R1036" s="207"/>
      <c r="S1036" s="198"/>
      <c r="T1036" s="201"/>
    </row>
    <row r="1037" spans="1:20" ht="22.5" hidden="1" customHeight="1" x14ac:dyDescent="0.25">
      <c r="A1037" s="208"/>
      <c r="B1037" s="238"/>
      <c r="C1037" s="198"/>
      <c r="D1037" s="198"/>
      <c r="E1037" s="199"/>
      <c r="F1037" s="200"/>
      <c r="G1037" s="201"/>
      <c r="H1037" s="208"/>
      <c r="I1037" s="209"/>
      <c r="J1037" s="209"/>
      <c r="K1037" s="198"/>
      <c r="L1037" s="204"/>
      <c r="M1037" s="205"/>
      <c r="N1037" s="206"/>
      <c r="O1037" s="207"/>
      <c r="P1037" s="207"/>
      <c r="Q1037" s="207"/>
      <c r="R1037" s="207"/>
      <c r="S1037" s="198"/>
      <c r="T1037" s="201"/>
    </row>
    <row r="1038" spans="1:20" ht="22.5" hidden="1" customHeight="1" x14ac:dyDescent="0.25">
      <c r="A1038" s="208"/>
      <c r="B1038" s="238"/>
      <c r="C1038" s="198"/>
      <c r="D1038" s="198"/>
      <c r="E1038" s="199"/>
      <c r="F1038" s="200"/>
      <c r="G1038" s="201"/>
      <c r="H1038" s="208"/>
      <c r="I1038" s="209"/>
      <c r="J1038" s="209"/>
      <c r="K1038" s="198"/>
      <c r="L1038" s="204"/>
      <c r="M1038" s="205"/>
      <c r="N1038" s="206"/>
      <c r="O1038" s="207"/>
      <c r="P1038" s="207"/>
      <c r="Q1038" s="207"/>
      <c r="R1038" s="207"/>
      <c r="S1038" s="198"/>
      <c r="T1038" s="201"/>
    </row>
    <row r="1039" spans="1:20" ht="22.5" hidden="1" customHeight="1" x14ac:dyDescent="0.25">
      <c r="A1039" s="208"/>
      <c r="B1039" s="238"/>
      <c r="C1039" s="198"/>
      <c r="D1039" s="198"/>
      <c r="E1039" s="199"/>
      <c r="F1039" s="200"/>
      <c r="G1039" s="201"/>
      <c r="H1039" s="208"/>
      <c r="I1039" s="209"/>
      <c r="J1039" s="209"/>
      <c r="K1039" s="198"/>
      <c r="L1039" s="204"/>
      <c r="M1039" s="205"/>
      <c r="N1039" s="206"/>
      <c r="O1039" s="207"/>
      <c r="P1039" s="207"/>
      <c r="Q1039" s="207"/>
      <c r="R1039" s="207"/>
      <c r="S1039" s="198"/>
      <c r="T1039" s="201"/>
    </row>
    <row r="1040" spans="1:20" ht="22.5" hidden="1" customHeight="1" x14ac:dyDescent="0.25">
      <c r="A1040" s="208"/>
      <c r="B1040" s="238"/>
      <c r="C1040" s="198"/>
      <c r="D1040" s="198"/>
      <c r="E1040" s="199"/>
      <c r="F1040" s="200"/>
      <c r="G1040" s="201"/>
      <c r="H1040" s="208"/>
      <c r="I1040" s="209"/>
      <c r="J1040" s="209"/>
      <c r="K1040" s="198"/>
      <c r="L1040" s="204"/>
      <c r="M1040" s="205"/>
      <c r="N1040" s="206"/>
      <c r="O1040" s="207"/>
      <c r="P1040" s="207"/>
      <c r="Q1040" s="207"/>
      <c r="R1040" s="207"/>
      <c r="S1040" s="198"/>
      <c r="T1040" s="201"/>
    </row>
    <row r="1041" spans="1:20" ht="22.5" hidden="1" customHeight="1" x14ac:dyDescent="0.25">
      <c r="A1041" s="208"/>
      <c r="B1041" s="238"/>
      <c r="C1041" s="198"/>
      <c r="D1041" s="198"/>
      <c r="E1041" s="199"/>
      <c r="F1041" s="200"/>
      <c r="G1041" s="201"/>
      <c r="H1041" s="208"/>
      <c r="I1041" s="209"/>
      <c r="J1041" s="209"/>
      <c r="K1041" s="198"/>
      <c r="L1041" s="204"/>
      <c r="M1041" s="205"/>
      <c r="N1041" s="206"/>
      <c r="O1041" s="207"/>
      <c r="P1041" s="207"/>
      <c r="Q1041" s="207"/>
      <c r="R1041" s="207"/>
      <c r="S1041" s="198"/>
      <c r="T1041" s="201"/>
    </row>
    <row r="1042" spans="1:20" ht="22.5" hidden="1" customHeight="1" x14ac:dyDescent="0.25">
      <c r="A1042" s="208"/>
      <c r="B1042" s="238"/>
      <c r="C1042" s="198"/>
      <c r="D1042" s="198"/>
      <c r="E1042" s="199"/>
      <c r="F1042" s="200"/>
      <c r="G1042" s="201"/>
      <c r="H1042" s="208"/>
      <c r="I1042" s="209"/>
      <c r="J1042" s="209"/>
      <c r="K1042" s="198"/>
      <c r="L1042" s="204"/>
      <c r="M1042" s="205"/>
      <c r="N1042" s="206"/>
      <c r="O1042" s="207"/>
      <c r="P1042" s="207"/>
      <c r="Q1042" s="207"/>
      <c r="R1042" s="207"/>
      <c r="S1042" s="198"/>
      <c r="T1042" s="201"/>
    </row>
    <row r="1043" spans="1:20" ht="22.5" hidden="1" customHeight="1" x14ac:dyDescent="0.25">
      <c r="A1043" s="208"/>
      <c r="B1043" s="238"/>
      <c r="C1043" s="198"/>
      <c r="D1043" s="198"/>
      <c r="E1043" s="199"/>
      <c r="F1043" s="200"/>
      <c r="G1043" s="201"/>
      <c r="H1043" s="208"/>
      <c r="I1043" s="209"/>
      <c r="J1043" s="209"/>
      <c r="K1043" s="198"/>
      <c r="L1043" s="204"/>
      <c r="M1043" s="205"/>
      <c r="N1043" s="206"/>
      <c r="O1043" s="207"/>
      <c r="P1043" s="207"/>
      <c r="Q1043" s="207"/>
      <c r="R1043" s="207"/>
      <c r="S1043" s="198"/>
      <c r="T1043" s="201"/>
    </row>
    <row r="1044" spans="1:20" ht="22.5" hidden="1" customHeight="1" x14ac:dyDescent="0.25">
      <c r="A1044" s="208"/>
      <c r="B1044" s="238"/>
      <c r="C1044" s="198"/>
      <c r="D1044" s="198"/>
      <c r="E1044" s="199"/>
      <c r="F1044" s="200"/>
      <c r="G1044" s="201"/>
      <c r="H1044" s="208"/>
      <c r="I1044" s="209"/>
      <c r="J1044" s="209"/>
      <c r="K1044" s="198"/>
      <c r="L1044" s="204"/>
      <c r="M1044" s="205"/>
      <c r="N1044" s="206"/>
      <c r="O1044" s="207"/>
      <c r="P1044" s="207"/>
      <c r="Q1044" s="207"/>
      <c r="R1044" s="207"/>
      <c r="S1044" s="198"/>
      <c r="T1044" s="201"/>
    </row>
    <row r="1045" spans="1:20" ht="22.5" hidden="1" customHeight="1" x14ac:dyDescent="0.25">
      <c r="A1045" s="208"/>
      <c r="B1045" s="238"/>
      <c r="C1045" s="198"/>
      <c r="D1045" s="198"/>
      <c r="E1045" s="199"/>
      <c r="F1045" s="200"/>
      <c r="G1045" s="201"/>
      <c r="H1045" s="208"/>
      <c r="I1045" s="209"/>
      <c r="J1045" s="209"/>
      <c r="K1045" s="198"/>
      <c r="L1045" s="204"/>
      <c r="M1045" s="205"/>
      <c r="N1045" s="206"/>
      <c r="O1045" s="207"/>
      <c r="P1045" s="207"/>
      <c r="Q1045" s="207"/>
      <c r="R1045" s="207"/>
      <c r="S1045" s="198"/>
      <c r="T1045" s="201"/>
    </row>
    <row r="1046" spans="1:20" ht="22.5" hidden="1" customHeight="1" x14ac:dyDescent="0.25">
      <c r="A1046" s="208"/>
      <c r="B1046" s="238"/>
      <c r="C1046" s="198"/>
      <c r="D1046" s="198"/>
      <c r="E1046" s="199"/>
      <c r="F1046" s="200"/>
      <c r="G1046" s="201"/>
      <c r="H1046" s="208"/>
      <c r="I1046" s="209"/>
      <c r="J1046" s="209"/>
      <c r="K1046" s="198"/>
      <c r="L1046" s="204"/>
      <c r="M1046" s="205"/>
      <c r="N1046" s="206"/>
      <c r="O1046" s="207"/>
      <c r="P1046" s="207"/>
      <c r="Q1046" s="207"/>
      <c r="R1046" s="207"/>
      <c r="S1046" s="198"/>
      <c r="T1046" s="201"/>
    </row>
    <row r="1047" spans="1:20" ht="22.5" hidden="1" customHeight="1" x14ac:dyDescent="0.25">
      <c r="A1047" s="208"/>
      <c r="B1047" s="238"/>
      <c r="C1047" s="198"/>
      <c r="D1047" s="198"/>
      <c r="E1047" s="199"/>
      <c r="F1047" s="200"/>
      <c r="G1047" s="201"/>
      <c r="H1047" s="208"/>
      <c r="I1047" s="209"/>
      <c r="J1047" s="209"/>
      <c r="K1047" s="198"/>
      <c r="L1047" s="204"/>
      <c r="M1047" s="205"/>
      <c r="N1047" s="206"/>
      <c r="O1047" s="207"/>
      <c r="P1047" s="207"/>
      <c r="Q1047" s="207"/>
      <c r="R1047" s="207"/>
      <c r="S1047" s="198"/>
      <c r="T1047" s="201"/>
    </row>
    <row r="1048" spans="1:20" ht="22.5" hidden="1" customHeight="1" x14ac:dyDescent="0.25">
      <c r="A1048" s="208"/>
      <c r="B1048" s="238"/>
      <c r="C1048" s="198"/>
      <c r="D1048" s="198"/>
      <c r="E1048" s="199"/>
      <c r="F1048" s="200"/>
      <c r="G1048" s="201"/>
      <c r="H1048" s="208"/>
      <c r="I1048" s="209"/>
      <c r="J1048" s="209"/>
      <c r="K1048" s="198"/>
      <c r="L1048" s="204"/>
      <c r="M1048" s="205"/>
      <c r="N1048" s="206"/>
      <c r="O1048" s="207"/>
      <c r="P1048" s="207"/>
      <c r="Q1048" s="207"/>
      <c r="R1048" s="207"/>
      <c r="S1048" s="198"/>
      <c r="T1048" s="201"/>
    </row>
    <row r="1049" spans="1:20" ht="22.5" hidden="1" customHeight="1" x14ac:dyDescent="0.25">
      <c r="A1049" s="208"/>
      <c r="B1049" s="238"/>
      <c r="C1049" s="198"/>
      <c r="D1049" s="198"/>
      <c r="E1049" s="199"/>
      <c r="F1049" s="200"/>
      <c r="G1049" s="201"/>
      <c r="H1049" s="208"/>
      <c r="I1049" s="209"/>
      <c r="J1049" s="209"/>
      <c r="K1049" s="198"/>
      <c r="L1049" s="204"/>
      <c r="M1049" s="205"/>
      <c r="N1049" s="206"/>
      <c r="O1049" s="207"/>
      <c r="P1049" s="207"/>
      <c r="Q1049" s="207"/>
      <c r="R1049" s="207"/>
      <c r="S1049" s="198"/>
      <c r="T1049" s="201"/>
    </row>
    <row r="1050" spans="1:20" ht="22.5" hidden="1" customHeight="1" x14ac:dyDescent="0.25">
      <c r="A1050" s="208"/>
      <c r="B1050" s="238"/>
      <c r="C1050" s="198"/>
      <c r="D1050" s="198"/>
      <c r="E1050" s="199"/>
      <c r="F1050" s="200"/>
      <c r="G1050" s="201"/>
      <c r="H1050" s="208"/>
      <c r="I1050" s="209"/>
      <c r="J1050" s="209"/>
      <c r="K1050" s="198"/>
      <c r="L1050" s="204"/>
      <c r="M1050" s="205"/>
      <c r="N1050" s="206"/>
      <c r="O1050" s="207"/>
      <c r="P1050" s="207"/>
      <c r="Q1050" s="207"/>
      <c r="R1050" s="207"/>
      <c r="S1050" s="198"/>
      <c r="T1050" s="201"/>
    </row>
    <row r="1051" spans="1:20" ht="22.5" hidden="1" customHeight="1" x14ac:dyDescent="0.25">
      <c r="A1051" s="208"/>
      <c r="B1051" s="238"/>
      <c r="C1051" s="198"/>
      <c r="D1051" s="198"/>
      <c r="E1051" s="199"/>
      <c r="F1051" s="200"/>
      <c r="G1051" s="201"/>
      <c r="H1051" s="208"/>
      <c r="I1051" s="209"/>
      <c r="J1051" s="209"/>
      <c r="K1051" s="198"/>
      <c r="L1051" s="204"/>
      <c r="M1051" s="205"/>
      <c r="N1051" s="206"/>
      <c r="O1051" s="207"/>
      <c r="P1051" s="207"/>
      <c r="Q1051" s="207"/>
      <c r="R1051" s="207"/>
      <c r="S1051" s="198"/>
      <c r="T1051" s="201"/>
    </row>
    <row r="1052" spans="1:20" ht="22.5" hidden="1" customHeight="1" x14ac:dyDescent="0.25">
      <c r="A1052" s="208"/>
      <c r="B1052" s="238"/>
      <c r="C1052" s="198"/>
      <c r="D1052" s="198"/>
      <c r="E1052" s="199"/>
      <c r="F1052" s="200"/>
      <c r="G1052" s="201"/>
      <c r="H1052" s="208"/>
      <c r="I1052" s="209"/>
      <c r="J1052" s="209"/>
      <c r="K1052" s="198"/>
      <c r="L1052" s="204"/>
      <c r="M1052" s="205"/>
      <c r="N1052" s="206"/>
      <c r="O1052" s="207"/>
      <c r="P1052" s="207"/>
      <c r="Q1052" s="207"/>
      <c r="R1052" s="207"/>
      <c r="S1052" s="198"/>
      <c r="T1052" s="201"/>
    </row>
    <row r="1053" spans="1:20" ht="22.5" hidden="1" customHeight="1" x14ac:dyDescent="0.25">
      <c r="A1053" s="208"/>
      <c r="B1053" s="238"/>
      <c r="C1053" s="198"/>
      <c r="D1053" s="198"/>
      <c r="E1053" s="199"/>
      <c r="F1053" s="200"/>
      <c r="G1053" s="201"/>
      <c r="H1053" s="208"/>
      <c r="I1053" s="209"/>
      <c r="J1053" s="209"/>
      <c r="K1053" s="198"/>
      <c r="L1053" s="204"/>
      <c r="M1053" s="205"/>
      <c r="N1053" s="206"/>
      <c r="O1053" s="207"/>
      <c r="P1053" s="207"/>
      <c r="Q1053" s="207"/>
      <c r="R1053" s="207"/>
      <c r="S1053" s="198"/>
      <c r="T1053" s="201"/>
    </row>
    <row r="1054" spans="1:20" ht="22.5" hidden="1" customHeight="1" x14ac:dyDescent="0.25">
      <c r="A1054" s="208"/>
      <c r="B1054" s="238"/>
      <c r="C1054" s="198"/>
      <c r="D1054" s="198"/>
      <c r="E1054" s="199"/>
      <c r="F1054" s="200"/>
      <c r="G1054" s="201"/>
      <c r="H1054" s="208"/>
      <c r="I1054" s="209"/>
      <c r="J1054" s="209"/>
      <c r="K1054" s="198"/>
      <c r="L1054" s="204"/>
      <c r="M1054" s="205"/>
      <c r="N1054" s="206"/>
      <c r="O1054" s="207"/>
      <c r="P1054" s="207"/>
      <c r="Q1054" s="207"/>
      <c r="R1054" s="207"/>
      <c r="S1054" s="198"/>
      <c r="T1054" s="201"/>
    </row>
    <row r="1055" spans="1:20" ht="22.5" hidden="1" customHeight="1" x14ac:dyDescent="0.25">
      <c r="A1055" s="208"/>
      <c r="B1055" s="238"/>
      <c r="C1055" s="198"/>
      <c r="D1055" s="198"/>
      <c r="E1055" s="199"/>
      <c r="F1055" s="200"/>
      <c r="G1055" s="201"/>
      <c r="H1055" s="208"/>
      <c r="I1055" s="209"/>
      <c r="J1055" s="209"/>
      <c r="K1055" s="198"/>
      <c r="L1055" s="204"/>
      <c r="M1055" s="205"/>
      <c r="N1055" s="206"/>
      <c r="O1055" s="207"/>
      <c r="P1055" s="207"/>
      <c r="Q1055" s="207"/>
      <c r="R1055" s="207"/>
      <c r="S1055" s="198"/>
      <c r="T1055" s="201"/>
    </row>
    <row r="1056" spans="1:20" ht="22.5" hidden="1" customHeight="1" x14ac:dyDescent="0.25">
      <c r="A1056" s="208"/>
      <c r="B1056" s="238"/>
      <c r="C1056" s="198"/>
      <c r="D1056" s="198"/>
      <c r="E1056" s="199"/>
      <c r="F1056" s="200"/>
      <c r="G1056" s="201"/>
      <c r="H1056" s="208"/>
      <c r="I1056" s="209"/>
      <c r="J1056" s="209"/>
      <c r="K1056" s="198"/>
      <c r="L1056" s="204"/>
      <c r="M1056" s="205"/>
      <c r="N1056" s="206"/>
      <c r="O1056" s="207"/>
      <c r="P1056" s="207"/>
      <c r="Q1056" s="207"/>
      <c r="R1056" s="207"/>
      <c r="S1056" s="198"/>
      <c r="T1056" s="201"/>
    </row>
    <row r="1057" spans="1:20" ht="22.5" hidden="1" customHeight="1" x14ac:dyDescent="0.25">
      <c r="A1057" s="208"/>
      <c r="B1057" s="238"/>
      <c r="C1057" s="198"/>
      <c r="D1057" s="198"/>
      <c r="E1057" s="199"/>
      <c r="F1057" s="200"/>
      <c r="G1057" s="201"/>
      <c r="H1057" s="208"/>
      <c r="I1057" s="209"/>
      <c r="J1057" s="209"/>
      <c r="K1057" s="198"/>
      <c r="L1057" s="204"/>
      <c r="M1057" s="205"/>
      <c r="N1057" s="206"/>
      <c r="O1057" s="207"/>
      <c r="P1057" s="207"/>
      <c r="Q1057" s="207"/>
      <c r="R1057" s="207"/>
      <c r="S1057" s="198"/>
      <c r="T1057" s="201"/>
    </row>
    <row r="1058" spans="1:20" ht="22.5" hidden="1" customHeight="1" x14ac:dyDescent="0.25">
      <c r="A1058" s="208"/>
      <c r="B1058" s="238"/>
      <c r="C1058" s="198"/>
      <c r="D1058" s="198"/>
      <c r="E1058" s="199"/>
      <c r="F1058" s="200"/>
      <c r="G1058" s="201"/>
      <c r="H1058" s="208"/>
      <c r="I1058" s="209"/>
      <c r="J1058" s="209"/>
      <c r="K1058" s="198"/>
      <c r="L1058" s="204"/>
      <c r="M1058" s="205"/>
      <c r="N1058" s="206"/>
      <c r="O1058" s="207"/>
      <c r="P1058" s="207"/>
      <c r="Q1058" s="207"/>
      <c r="R1058" s="207"/>
      <c r="S1058" s="198"/>
      <c r="T1058" s="201"/>
    </row>
    <row r="1059" spans="1:20" ht="22.5" hidden="1" customHeight="1" x14ac:dyDescent="0.25">
      <c r="A1059" s="208"/>
      <c r="B1059" s="238"/>
      <c r="C1059" s="198"/>
      <c r="D1059" s="198"/>
      <c r="E1059" s="199"/>
      <c r="F1059" s="200"/>
      <c r="G1059" s="201"/>
      <c r="H1059" s="208"/>
      <c r="I1059" s="209"/>
      <c r="J1059" s="209"/>
      <c r="K1059" s="198"/>
      <c r="L1059" s="204"/>
      <c r="M1059" s="205"/>
      <c r="N1059" s="206"/>
      <c r="O1059" s="207"/>
      <c r="P1059" s="207"/>
      <c r="Q1059" s="207"/>
      <c r="R1059" s="207"/>
      <c r="S1059" s="198"/>
      <c r="T1059" s="201"/>
    </row>
    <row r="1060" spans="1:20" ht="22.5" hidden="1" customHeight="1" x14ac:dyDescent="0.25">
      <c r="A1060" s="208"/>
      <c r="B1060" s="238"/>
      <c r="C1060" s="198"/>
      <c r="D1060" s="198"/>
      <c r="E1060" s="199"/>
      <c r="F1060" s="200"/>
      <c r="G1060" s="201"/>
      <c r="H1060" s="208"/>
      <c r="I1060" s="209"/>
      <c r="J1060" s="209"/>
      <c r="K1060" s="198"/>
      <c r="L1060" s="204"/>
      <c r="M1060" s="205"/>
      <c r="N1060" s="206"/>
      <c r="O1060" s="207"/>
      <c r="P1060" s="207"/>
      <c r="Q1060" s="207"/>
      <c r="R1060" s="207"/>
      <c r="S1060" s="198"/>
      <c r="T1060" s="201"/>
    </row>
    <row r="1061" spans="1:20" ht="22.5" hidden="1" customHeight="1" x14ac:dyDescent="0.25">
      <c r="A1061" s="208"/>
      <c r="B1061" s="238"/>
      <c r="C1061" s="198"/>
      <c r="D1061" s="198"/>
      <c r="E1061" s="199"/>
      <c r="F1061" s="200"/>
      <c r="G1061" s="201"/>
      <c r="H1061" s="208"/>
      <c r="I1061" s="209"/>
      <c r="J1061" s="209"/>
      <c r="K1061" s="198"/>
      <c r="L1061" s="204"/>
      <c r="M1061" s="205"/>
      <c r="N1061" s="206"/>
      <c r="O1061" s="207"/>
      <c r="P1061" s="207"/>
      <c r="Q1061" s="207"/>
      <c r="R1061" s="207"/>
      <c r="S1061" s="198"/>
      <c r="T1061" s="201"/>
    </row>
    <row r="1062" spans="1:20" ht="22.5" hidden="1" customHeight="1" x14ac:dyDescent="0.25">
      <c r="A1062" s="208"/>
      <c r="B1062" s="238"/>
      <c r="C1062" s="198"/>
      <c r="D1062" s="198"/>
      <c r="E1062" s="199"/>
      <c r="F1062" s="200"/>
      <c r="G1062" s="201"/>
      <c r="H1062" s="208"/>
      <c r="I1062" s="209"/>
      <c r="J1062" s="209"/>
      <c r="K1062" s="198"/>
      <c r="L1062" s="204"/>
      <c r="M1062" s="205"/>
      <c r="N1062" s="206"/>
      <c r="O1062" s="207"/>
      <c r="P1062" s="207"/>
      <c r="Q1062" s="207"/>
      <c r="R1062" s="207"/>
      <c r="S1062" s="198"/>
      <c r="T1062" s="201"/>
    </row>
    <row r="1063" spans="1:20" ht="22.5" hidden="1" customHeight="1" x14ac:dyDescent="0.25">
      <c r="A1063" s="208"/>
      <c r="B1063" s="238"/>
      <c r="C1063" s="198"/>
      <c r="D1063" s="198"/>
      <c r="E1063" s="199"/>
      <c r="F1063" s="200"/>
      <c r="G1063" s="201"/>
      <c r="H1063" s="208"/>
      <c r="I1063" s="209"/>
      <c r="J1063" s="209"/>
      <c r="K1063" s="198"/>
      <c r="L1063" s="204"/>
      <c r="M1063" s="205"/>
      <c r="N1063" s="206"/>
      <c r="O1063" s="207"/>
      <c r="P1063" s="207"/>
      <c r="Q1063" s="207"/>
      <c r="R1063" s="207"/>
      <c r="S1063" s="198"/>
      <c r="T1063" s="201"/>
    </row>
    <row r="1064" spans="1:20" ht="22.5" hidden="1" customHeight="1" x14ac:dyDescent="0.25">
      <c r="A1064" s="208"/>
      <c r="B1064" s="238"/>
      <c r="C1064" s="198"/>
      <c r="D1064" s="198"/>
      <c r="E1064" s="199"/>
      <c r="F1064" s="200"/>
      <c r="G1064" s="201"/>
      <c r="H1064" s="208"/>
      <c r="I1064" s="209"/>
      <c r="J1064" s="209"/>
      <c r="K1064" s="198"/>
      <c r="L1064" s="204"/>
      <c r="M1064" s="205"/>
      <c r="N1064" s="206"/>
      <c r="O1064" s="207"/>
      <c r="P1064" s="207"/>
      <c r="Q1064" s="207"/>
      <c r="R1064" s="207"/>
      <c r="S1064" s="198"/>
      <c r="T1064" s="201"/>
    </row>
    <row r="1065" spans="1:20" ht="22.5" hidden="1" customHeight="1" x14ac:dyDescent="0.25">
      <c r="A1065" s="208"/>
      <c r="B1065" s="238"/>
      <c r="C1065" s="198"/>
      <c r="D1065" s="198"/>
      <c r="E1065" s="199"/>
      <c r="F1065" s="200"/>
      <c r="G1065" s="201"/>
      <c r="H1065" s="208"/>
      <c r="I1065" s="209"/>
      <c r="J1065" s="209"/>
      <c r="K1065" s="198"/>
      <c r="L1065" s="204"/>
      <c r="M1065" s="205"/>
      <c r="N1065" s="206"/>
      <c r="O1065" s="207"/>
      <c r="P1065" s="207"/>
      <c r="Q1065" s="207"/>
      <c r="R1065" s="207"/>
      <c r="S1065" s="198"/>
      <c r="T1065" s="201"/>
    </row>
    <row r="1066" spans="1:20" ht="22.5" hidden="1" customHeight="1" x14ac:dyDescent="0.25">
      <c r="A1066" s="208"/>
      <c r="B1066" s="238"/>
      <c r="C1066" s="198"/>
      <c r="D1066" s="198"/>
      <c r="E1066" s="199"/>
      <c r="F1066" s="200"/>
      <c r="G1066" s="201"/>
      <c r="H1066" s="208"/>
      <c r="I1066" s="209"/>
      <c r="J1066" s="209"/>
      <c r="K1066" s="198"/>
      <c r="L1066" s="204"/>
      <c r="M1066" s="205"/>
      <c r="N1066" s="206"/>
      <c r="O1066" s="207"/>
      <c r="P1066" s="207"/>
      <c r="Q1066" s="207"/>
      <c r="R1066" s="207"/>
      <c r="S1066" s="198"/>
      <c r="T1066" s="201"/>
    </row>
    <row r="1067" spans="1:20" ht="22.5" hidden="1" customHeight="1" x14ac:dyDescent="0.25">
      <c r="A1067" s="208"/>
      <c r="B1067" s="238"/>
      <c r="C1067" s="198"/>
      <c r="D1067" s="198"/>
      <c r="E1067" s="199"/>
      <c r="F1067" s="200"/>
      <c r="G1067" s="201"/>
      <c r="H1067" s="208"/>
      <c r="I1067" s="209"/>
      <c r="J1067" s="209"/>
      <c r="K1067" s="198"/>
      <c r="L1067" s="204"/>
      <c r="M1067" s="205"/>
      <c r="N1067" s="206"/>
      <c r="O1067" s="207"/>
      <c r="P1067" s="207"/>
      <c r="Q1067" s="207"/>
      <c r="R1067" s="207"/>
      <c r="S1067" s="198"/>
      <c r="T1067" s="201"/>
    </row>
    <row r="1068" spans="1:20" ht="22.5" hidden="1" customHeight="1" x14ac:dyDescent="0.25">
      <c r="A1068" s="208"/>
      <c r="B1068" s="238"/>
      <c r="C1068" s="198"/>
      <c r="D1068" s="198"/>
      <c r="E1068" s="199"/>
      <c r="F1068" s="200"/>
      <c r="G1068" s="201"/>
      <c r="H1068" s="208"/>
      <c r="I1068" s="209"/>
      <c r="J1068" s="209"/>
      <c r="K1068" s="198"/>
      <c r="L1068" s="204"/>
      <c r="M1068" s="205"/>
      <c r="N1068" s="206"/>
      <c r="O1068" s="207"/>
      <c r="P1068" s="207"/>
      <c r="Q1068" s="207"/>
      <c r="R1068" s="207"/>
      <c r="S1068" s="198"/>
      <c r="T1068" s="201"/>
    </row>
    <row r="1069" spans="1:20" ht="22.5" hidden="1" customHeight="1" x14ac:dyDescent="0.25">
      <c r="A1069" s="208"/>
      <c r="B1069" s="238"/>
      <c r="C1069" s="198"/>
      <c r="D1069" s="198"/>
      <c r="E1069" s="199"/>
      <c r="F1069" s="200"/>
      <c r="G1069" s="201"/>
      <c r="H1069" s="208"/>
      <c r="I1069" s="209"/>
      <c r="J1069" s="209"/>
      <c r="K1069" s="198"/>
      <c r="L1069" s="204"/>
      <c r="M1069" s="205"/>
      <c r="N1069" s="206"/>
      <c r="O1069" s="207"/>
      <c r="P1069" s="207"/>
      <c r="Q1069" s="207"/>
      <c r="R1069" s="207"/>
      <c r="S1069" s="198"/>
      <c r="T1069" s="201"/>
    </row>
    <row r="1070" spans="1:20" ht="22.5" hidden="1" customHeight="1" x14ac:dyDescent="0.25">
      <c r="A1070" s="208"/>
      <c r="B1070" s="238"/>
      <c r="C1070" s="198"/>
      <c r="D1070" s="198"/>
      <c r="E1070" s="199"/>
      <c r="F1070" s="200"/>
      <c r="G1070" s="201"/>
      <c r="H1070" s="208"/>
      <c r="I1070" s="209"/>
      <c r="J1070" s="209"/>
      <c r="K1070" s="198"/>
      <c r="L1070" s="204"/>
      <c r="M1070" s="205"/>
      <c r="N1070" s="206"/>
      <c r="O1070" s="207"/>
      <c r="P1070" s="207"/>
      <c r="Q1070" s="207"/>
      <c r="R1070" s="207"/>
      <c r="S1070" s="198"/>
      <c r="T1070" s="201"/>
    </row>
    <row r="1071" spans="1:20" ht="22.5" hidden="1" customHeight="1" x14ac:dyDescent="0.25">
      <c r="A1071" s="208"/>
      <c r="B1071" s="238"/>
      <c r="C1071" s="198"/>
      <c r="D1071" s="198"/>
      <c r="E1071" s="199"/>
      <c r="F1071" s="200"/>
      <c r="G1071" s="201"/>
      <c r="H1071" s="208"/>
      <c r="I1071" s="209"/>
      <c r="J1071" s="209"/>
      <c r="K1071" s="198"/>
      <c r="L1071" s="204"/>
      <c r="M1071" s="205"/>
      <c r="N1071" s="206"/>
      <c r="O1071" s="207"/>
      <c r="P1071" s="207"/>
      <c r="Q1071" s="207"/>
      <c r="R1071" s="207"/>
      <c r="S1071" s="198"/>
      <c r="T1071" s="201"/>
    </row>
    <row r="1072" spans="1:20" ht="22.5" hidden="1" customHeight="1" x14ac:dyDescent="0.25">
      <c r="A1072" s="208"/>
      <c r="B1072" s="238"/>
      <c r="C1072" s="198"/>
      <c r="D1072" s="198"/>
      <c r="E1072" s="199"/>
      <c r="F1072" s="200"/>
      <c r="G1072" s="201"/>
      <c r="H1072" s="208"/>
      <c r="I1072" s="209"/>
      <c r="J1072" s="209"/>
      <c r="K1072" s="198"/>
      <c r="L1072" s="204"/>
      <c r="M1072" s="205"/>
      <c r="N1072" s="206"/>
      <c r="O1072" s="207"/>
      <c r="P1072" s="207"/>
      <c r="Q1072" s="207"/>
      <c r="R1072" s="207"/>
      <c r="S1072" s="198"/>
      <c r="T1072" s="201"/>
    </row>
    <row r="1073" spans="1:20" ht="22.5" hidden="1" customHeight="1" x14ac:dyDescent="0.25">
      <c r="A1073" s="208"/>
      <c r="B1073" s="238"/>
      <c r="C1073" s="198"/>
      <c r="D1073" s="198"/>
      <c r="E1073" s="199"/>
      <c r="F1073" s="200"/>
      <c r="G1073" s="201"/>
      <c r="H1073" s="208"/>
      <c r="I1073" s="209"/>
      <c r="J1073" s="209"/>
      <c r="K1073" s="198"/>
      <c r="L1073" s="204"/>
      <c r="M1073" s="205"/>
      <c r="N1073" s="206"/>
      <c r="O1073" s="207"/>
      <c r="P1073" s="207"/>
      <c r="Q1073" s="207"/>
      <c r="R1073" s="207"/>
      <c r="S1073" s="198"/>
      <c r="T1073" s="201"/>
    </row>
    <row r="1074" spans="1:20" ht="22.5" hidden="1" customHeight="1" x14ac:dyDescent="0.25">
      <c r="A1074" s="208"/>
      <c r="B1074" s="238"/>
      <c r="C1074" s="198"/>
      <c r="D1074" s="198"/>
      <c r="E1074" s="199"/>
      <c r="F1074" s="200"/>
      <c r="G1074" s="201"/>
      <c r="H1074" s="208"/>
      <c r="I1074" s="209"/>
      <c r="J1074" s="209"/>
      <c r="K1074" s="198"/>
      <c r="L1074" s="204"/>
      <c r="M1074" s="205"/>
      <c r="N1074" s="206"/>
      <c r="O1074" s="207"/>
      <c r="P1074" s="207"/>
      <c r="Q1074" s="207"/>
      <c r="R1074" s="207"/>
      <c r="S1074" s="198"/>
      <c r="T1074" s="201"/>
    </row>
    <row r="1075" spans="1:20" ht="22.5" hidden="1" customHeight="1" x14ac:dyDescent="0.25">
      <c r="A1075" s="208"/>
      <c r="B1075" s="238"/>
      <c r="C1075" s="198"/>
      <c r="D1075" s="198"/>
      <c r="E1075" s="199"/>
      <c r="F1075" s="200"/>
      <c r="G1075" s="201"/>
      <c r="H1075" s="208"/>
      <c r="I1075" s="209"/>
      <c r="J1075" s="209"/>
      <c r="K1075" s="198"/>
      <c r="L1075" s="204"/>
      <c r="M1075" s="205"/>
      <c r="N1075" s="206"/>
      <c r="O1075" s="207"/>
      <c r="P1075" s="207"/>
      <c r="Q1075" s="207"/>
      <c r="R1075" s="207"/>
      <c r="S1075" s="198"/>
      <c r="T1075" s="201"/>
    </row>
    <row r="1076" spans="1:20" ht="22.5" hidden="1" customHeight="1" x14ac:dyDescent="0.25">
      <c r="A1076" s="208"/>
      <c r="B1076" s="238"/>
      <c r="C1076" s="198"/>
      <c r="D1076" s="198"/>
      <c r="E1076" s="199"/>
      <c r="F1076" s="200"/>
      <c r="G1076" s="201"/>
      <c r="H1076" s="208"/>
      <c r="I1076" s="209"/>
      <c r="J1076" s="209"/>
      <c r="K1076" s="198"/>
      <c r="L1076" s="204"/>
      <c r="M1076" s="205"/>
      <c r="N1076" s="206"/>
      <c r="O1076" s="207"/>
      <c r="P1076" s="207"/>
      <c r="Q1076" s="207"/>
      <c r="R1076" s="207"/>
      <c r="S1076" s="198"/>
      <c r="T1076" s="201"/>
    </row>
    <row r="1077" spans="1:20" ht="22.5" hidden="1" customHeight="1" x14ac:dyDescent="0.25">
      <c r="A1077" s="208"/>
      <c r="B1077" s="238"/>
      <c r="C1077" s="198"/>
      <c r="D1077" s="198"/>
      <c r="E1077" s="199"/>
      <c r="F1077" s="200"/>
      <c r="G1077" s="201"/>
      <c r="H1077" s="208"/>
      <c r="I1077" s="209"/>
      <c r="J1077" s="209"/>
      <c r="K1077" s="198"/>
      <c r="L1077" s="204"/>
      <c r="M1077" s="205"/>
      <c r="N1077" s="206"/>
      <c r="O1077" s="207"/>
      <c r="P1077" s="207"/>
      <c r="Q1077" s="207"/>
      <c r="R1077" s="207"/>
      <c r="S1077" s="198"/>
      <c r="T1077" s="201"/>
    </row>
    <row r="1078" spans="1:20" ht="22.5" hidden="1" customHeight="1" x14ac:dyDescent="0.25">
      <c r="A1078" s="208"/>
      <c r="B1078" s="238"/>
      <c r="C1078" s="198"/>
      <c r="D1078" s="198"/>
      <c r="E1078" s="199"/>
      <c r="F1078" s="200"/>
      <c r="G1078" s="201"/>
      <c r="H1078" s="208"/>
      <c r="I1078" s="209"/>
      <c r="J1078" s="209"/>
      <c r="K1078" s="198"/>
      <c r="L1078" s="204"/>
      <c r="M1078" s="205"/>
      <c r="N1078" s="206"/>
      <c r="O1078" s="207"/>
      <c r="P1078" s="207"/>
      <c r="Q1078" s="207"/>
      <c r="R1078" s="207"/>
      <c r="S1078" s="198"/>
      <c r="T1078" s="201"/>
    </row>
    <row r="1079" spans="1:20" ht="22.5" hidden="1" customHeight="1" x14ac:dyDescent="0.25">
      <c r="A1079" s="208"/>
      <c r="B1079" s="238"/>
      <c r="C1079" s="198"/>
      <c r="D1079" s="198"/>
      <c r="E1079" s="199"/>
      <c r="F1079" s="200"/>
      <c r="G1079" s="201"/>
      <c r="H1079" s="208"/>
      <c r="I1079" s="209"/>
      <c r="J1079" s="209"/>
      <c r="K1079" s="198"/>
      <c r="L1079" s="204"/>
      <c r="M1079" s="205"/>
      <c r="N1079" s="206"/>
      <c r="O1079" s="207"/>
      <c r="P1079" s="207"/>
      <c r="Q1079" s="207"/>
      <c r="R1079" s="207"/>
      <c r="S1079" s="198"/>
      <c r="T1079" s="201"/>
    </row>
    <row r="1080" spans="1:20" ht="22.5" hidden="1" customHeight="1" x14ac:dyDescent="0.25">
      <c r="A1080" s="208"/>
      <c r="B1080" s="238"/>
      <c r="C1080" s="198"/>
      <c r="D1080" s="198"/>
      <c r="E1080" s="199"/>
      <c r="F1080" s="200"/>
      <c r="G1080" s="201"/>
      <c r="H1080" s="208"/>
      <c r="I1080" s="209"/>
      <c r="J1080" s="209"/>
      <c r="K1080" s="198"/>
      <c r="L1080" s="204"/>
      <c r="M1080" s="205"/>
      <c r="N1080" s="206"/>
      <c r="O1080" s="207"/>
      <c r="P1080" s="207"/>
      <c r="Q1080" s="207"/>
      <c r="R1080" s="207"/>
      <c r="S1080" s="198"/>
      <c r="T1080" s="201"/>
    </row>
    <row r="1081" spans="1:20" ht="22.5" hidden="1" customHeight="1" x14ac:dyDescent="0.25">
      <c r="A1081" s="208"/>
      <c r="B1081" s="238"/>
      <c r="C1081" s="198"/>
      <c r="D1081" s="198"/>
      <c r="E1081" s="199"/>
      <c r="F1081" s="200"/>
      <c r="G1081" s="201"/>
      <c r="H1081" s="208"/>
      <c r="I1081" s="209"/>
      <c r="J1081" s="209"/>
      <c r="K1081" s="198"/>
      <c r="L1081" s="204"/>
      <c r="M1081" s="205"/>
      <c r="N1081" s="206"/>
      <c r="O1081" s="207"/>
      <c r="P1081" s="207"/>
      <c r="Q1081" s="207"/>
      <c r="R1081" s="207"/>
      <c r="S1081" s="198"/>
      <c r="T1081" s="201"/>
    </row>
    <row r="1082" spans="1:20" ht="22.5" hidden="1" customHeight="1" x14ac:dyDescent="0.25">
      <c r="A1082" s="208"/>
      <c r="B1082" s="238"/>
      <c r="C1082" s="198"/>
      <c r="D1082" s="198"/>
      <c r="E1082" s="199"/>
      <c r="F1082" s="200"/>
      <c r="G1082" s="201"/>
      <c r="H1082" s="208"/>
      <c r="I1082" s="209"/>
      <c r="J1082" s="209"/>
      <c r="K1082" s="198"/>
      <c r="L1082" s="204"/>
      <c r="M1082" s="205"/>
      <c r="N1082" s="206"/>
      <c r="O1082" s="207"/>
      <c r="P1082" s="207"/>
      <c r="Q1082" s="207"/>
      <c r="R1082" s="207"/>
      <c r="S1082" s="198"/>
      <c r="T1082" s="201"/>
    </row>
    <row r="1083" spans="1:20" ht="22.5" hidden="1" customHeight="1" x14ac:dyDescent="0.25">
      <c r="A1083" s="208"/>
      <c r="B1083" s="238"/>
      <c r="C1083" s="198"/>
      <c r="D1083" s="198"/>
      <c r="E1083" s="199"/>
      <c r="F1083" s="200"/>
      <c r="G1083" s="201"/>
      <c r="H1083" s="208"/>
      <c r="I1083" s="209"/>
      <c r="J1083" s="209"/>
      <c r="K1083" s="198"/>
      <c r="L1083" s="204"/>
      <c r="M1083" s="205"/>
      <c r="N1083" s="206"/>
      <c r="O1083" s="207"/>
      <c r="P1083" s="207"/>
      <c r="Q1083" s="207"/>
      <c r="R1083" s="207"/>
      <c r="S1083" s="198"/>
      <c r="T1083" s="201"/>
    </row>
    <row r="1084" spans="1:20" ht="22.5" hidden="1" customHeight="1" x14ac:dyDescent="0.25">
      <c r="A1084" s="208"/>
      <c r="B1084" s="238"/>
      <c r="C1084" s="198"/>
      <c r="D1084" s="198"/>
      <c r="E1084" s="199"/>
      <c r="F1084" s="200"/>
      <c r="G1084" s="201"/>
      <c r="H1084" s="208"/>
      <c r="I1084" s="209"/>
      <c r="J1084" s="209"/>
      <c r="K1084" s="198"/>
      <c r="L1084" s="204"/>
      <c r="M1084" s="205"/>
      <c r="N1084" s="206"/>
      <c r="O1084" s="207"/>
      <c r="P1084" s="207"/>
      <c r="Q1084" s="207"/>
      <c r="R1084" s="207"/>
      <c r="S1084" s="198"/>
      <c r="T1084" s="201"/>
    </row>
    <row r="1085" spans="1:20" ht="22.5" hidden="1" customHeight="1" x14ac:dyDescent="0.25">
      <c r="A1085" s="208"/>
      <c r="B1085" s="238"/>
      <c r="C1085" s="198"/>
      <c r="D1085" s="198"/>
      <c r="E1085" s="199"/>
      <c r="F1085" s="200"/>
      <c r="G1085" s="201"/>
      <c r="H1085" s="208"/>
      <c r="I1085" s="209"/>
      <c r="J1085" s="209"/>
      <c r="K1085" s="198"/>
      <c r="L1085" s="204"/>
      <c r="M1085" s="205"/>
      <c r="N1085" s="206"/>
      <c r="O1085" s="207"/>
      <c r="P1085" s="207"/>
      <c r="Q1085" s="207"/>
      <c r="R1085" s="207"/>
      <c r="S1085" s="198"/>
      <c r="T1085" s="201"/>
    </row>
    <row r="1086" spans="1:20" ht="22.5" hidden="1" customHeight="1" x14ac:dyDescent="0.25">
      <c r="A1086" s="208"/>
      <c r="B1086" s="238"/>
      <c r="C1086" s="198"/>
      <c r="D1086" s="198"/>
      <c r="E1086" s="199"/>
      <c r="F1086" s="200"/>
      <c r="G1086" s="201"/>
      <c r="H1086" s="208"/>
      <c r="I1086" s="209"/>
      <c r="J1086" s="209"/>
      <c r="K1086" s="198"/>
      <c r="L1086" s="204"/>
      <c r="M1086" s="205"/>
      <c r="N1086" s="206"/>
      <c r="O1086" s="207"/>
      <c r="P1086" s="207"/>
      <c r="Q1086" s="207"/>
      <c r="R1086" s="207"/>
      <c r="S1086" s="198"/>
      <c r="T1086" s="201"/>
    </row>
    <row r="1087" spans="1:20" ht="22.5" hidden="1" customHeight="1" x14ac:dyDescent="0.25">
      <c r="A1087" s="208"/>
      <c r="B1087" s="238"/>
      <c r="C1087" s="198"/>
      <c r="D1087" s="198"/>
      <c r="E1087" s="199"/>
      <c r="F1087" s="200"/>
      <c r="G1087" s="201"/>
      <c r="H1087" s="208"/>
      <c r="I1087" s="209"/>
      <c r="J1087" s="209"/>
      <c r="K1087" s="198"/>
      <c r="L1087" s="204"/>
      <c r="M1087" s="205"/>
      <c r="N1087" s="206"/>
      <c r="O1087" s="207"/>
      <c r="P1087" s="207"/>
      <c r="Q1087" s="207"/>
      <c r="R1087" s="207"/>
      <c r="S1087" s="198"/>
      <c r="T1087" s="201"/>
    </row>
    <row r="1088" spans="1:20" ht="22.5" hidden="1" customHeight="1" x14ac:dyDescent="0.25">
      <c r="A1088" s="208"/>
      <c r="B1088" s="238"/>
      <c r="C1088" s="198"/>
      <c r="D1088" s="198"/>
      <c r="E1088" s="199"/>
      <c r="F1088" s="200"/>
      <c r="G1088" s="201"/>
      <c r="H1088" s="208"/>
      <c r="I1088" s="209"/>
      <c r="J1088" s="209"/>
      <c r="K1088" s="198"/>
      <c r="L1088" s="204"/>
      <c r="M1088" s="205"/>
      <c r="N1088" s="206"/>
      <c r="O1088" s="207"/>
      <c r="P1088" s="207"/>
      <c r="Q1088" s="207"/>
      <c r="R1088" s="207"/>
      <c r="S1088" s="198"/>
      <c r="T1088" s="201"/>
    </row>
    <row r="1089" spans="1:20" ht="22.5" hidden="1" customHeight="1" x14ac:dyDescent="0.25">
      <c r="A1089" s="208"/>
      <c r="B1089" s="238"/>
      <c r="C1089" s="198"/>
      <c r="D1089" s="198"/>
      <c r="E1089" s="199"/>
      <c r="F1089" s="200"/>
      <c r="G1089" s="201"/>
      <c r="H1089" s="208"/>
      <c r="I1089" s="209"/>
      <c r="J1089" s="209"/>
      <c r="K1089" s="198"/>
      <c r="L1089" s="204"/>
      <c r="M1089" s="205"/>
      <c r="N1089" s="206"/>
      <c r="O1089" s="207"/>
      <c r="P1089" s="207"/>
      <c r="Q1089" s="207"/>
      <c r="R1089" s="207"/>
      <c r="S1089" s="198"/>
      <c r="T1089" s="201"/>
    </row>
    <row r="1090" spans="1:20" ht="22.5" hidden="1" customHeight="1" x14ac:dyDescent="0.25">
      <c r="A1090" s="208"/>
      <c r="B1090" s="238"/>
      <c r="C1090" s="198"/>
      <c r="D1090" s="198"/>
      <c r="E1090" s="199"/>
      <c r="F1090" s="200"/>
      <c r="G1090" s="201"/>
      <c r="H1090" s="208"/>
      <c r="I1090" s="209"/>
      <c r="J1090" s="209"/>
      <c r="K1090" s="198"/>
      <c r="L1090" s="204"/>
      <c r="M1090" s="205"/>
      <c r="N1090" s="206"/>
      <c r="O1090" s="207"/>
      <c r="P1090" s="207"/>
      <c r="Q1090" s="207"/>
      <c r="R1090" s="207"/>
      <c r="S1090" s="198"/>
      <c r="T1090" s="201"/>
    </row>
    <row r="1091" spans="1:20" ht="22.5" hidden="1" customHeight="1" x14ac:dyDescent="0.25">
      <c r="A1091" s="208"/>
      <c r="B1091" s="238"/>
      <c r="C1091" s="198"/>
      <c r="D1091" s="198"/>
      <c r="E1091" s="199"/>
      <c r="F1091" s="200"/>
      <c r="G1091" s="201"/>
      <c r="H1091" s="208"/>
      <c r="I1091" s="209"/>
      <c r="J1091" s="209"/>
      <c r="K1091" s="198"/>
      <c r="L1091" s="204"/>
      <c r="M1091" s="205"/>
      <c r="N1091" s="206"/>
      <c r="O1091" s="207"/>
      <c r="P1091" s="207"/>
      <c r="Q1091" s="207"/>
      <c r="R1091" s="207"/>
      <c r="S1091" s="198"/>
      <c r="T1091" s="201"/>
    </row>
    <row r="1092" spans="1:20" ht="22.5" hidden="1" customHeight="1" x14ac:dyDescent="0.25">
      <c r="A1092" s="208"/>
      <c r="B1092" s="238"/>
      <c r="C1092" s="198"/>
      <c r="D1092" s="198"/>
      <c r="E1092" s="199"/>
      <c r="F1092" s="200"/>
      <c r="G1092" s="201"/>
      <c r="H1092" s="208"/>
      <c r="I1092" s="209"/>
      <c r="J1092" s="209"/>
      <c r="K1092" s="198"/>
      <c r="L1092" s="204"/>
      <c r="M1092" s="205"/>
      <c r="N1092" s="206"/>
      <c r="O1092" s="207"/>
      <c r="P1092" s="207"/>
      <c r="Q1092" s="207"/>
      <c r="R1092" s="207"/>
      <c r="S1092" s="198"/>
      <c r="T1092" s="201"/>
    </row>
    <row r="1093" spans="1:20" ht="22.5" hidden="1" customHeight="1" x14ac:dyDescent="0.25">
      <c r="A1093" s="208"/>
      <c r="B1093" s="238"/>
      <c r="C1093" s="198"/>
      <c r="D1093" s="198"/>
      <c r="E1093" s="199"/>
      <c r="F1093" s="200"/>
      <c r="G1093" s="201"/>
      <c r="H1093" s="208"/>
      <c r="I1093" s="209"/>
      <c r="J1093" s="209"/>
      <c r="K1093" s="198"/>
      <c r="L1093" s="204"/>
      <c r="M1093" s="205"/>
      <c r="N1093" s="206"/>
      <c r="O1093" s="207"/>
      <c r="P1093" s="207"/>
      <c r="Q1093" s="207"/>
      <c r="R1093" s="207"/>
      <c r="S1093" s="198"/>
      <c r="T1093" s="201"/>
    </row>
    <row r="1094" spans="1:20" ht="22.5" hidden="1" customHeight="1" x14ac:dyDescent="0.25">
      <c r="A1094" s="208"/>
      <c r="B1094" s="238"/>
      <c r="C1094" s="198"/>
      <c r="D1094" s="198"/>
      <c r="E1094" s="199"/>
      <c r="F1094" s="200"/>
      <c r="G1094" s="201"/>
      <c r="H1094" s="208"/>
      <c r="I1094" s="209"/>
      <c r="J1094" s="209"/>
      <c r="K1094" s="198"/>
      <c r="L1094" s="204"/>
      <c r="M1094" s="205"/>
      <c r="N1094" s="206"/>
      <c r="O1094" s="207"/>
      <c r="P1094" s="207"/>
      <c r="Q1094" s="207"/>
      <c r="R1094" s="207"/>
      <c r="S1094" s="198"/>
      <c r="T1094" s="201"/>
    </row>
    <row r="1095" spans="1:20" ht="22.5" hidden="1" customHeight="1" x14ac:dyDescent="0.25">
      <c r="A1095" s="208"/>
      <c r="B1095" s="238"/>
      <c r="C1095" s="198"/>
      <c r="D1095" s="198"/>
      <c r="E1095" s="199"/>
      <c r="F1095" s="200"/>
      <c r="G1095" s="201"/>
      <c r="H1095" s="208"/>
      <c r="I1095" s="209"/>
      <c r="J1095" s="209"/>
      <c r="K1095" s="198"/>
      <c r="L1095" s="204"/>
      <c r="M1095" s="205"/>
      <c r="N1095" s="206"/>
      <c r="O1095" s="207"/>
      <c r="P1095" s="207"/>
      <c r="Q1095" s="207"/>
      <c r="R1095" s="207"/>
      <c r="S1095" s="198"/>
      <c r="T1095" s="201"/>
    </row>
    <row r="1096" spans="1:20" ht="22.5" hidden="1" customHeight="1" x14ac:dyDescent="0.25">
      <c r="A1096" s="208"/>
      <c r="B1096" s="238"/>
      <c r="C1096" s="198"/>
      <c r="D1096" s="198"/>
      <c r="E1096" s="199"/>
      <c r="F1096" s="200"/>
      <c r="G1096" s="201"/>
      <c r="H1096" s="208"/>
      <c r="I1096" s="209"/>
      <c r="J1096" s="209"/>
      <c r="K1096" s="198"/>
      <c r="L1096" s="204"/>
      <c r="M1096" s="205"/>
      <c r="N1096" s="206"/>
      <c r="O1096" s="207"/>
      <c r="P1096" s="207"/>
      <c r="Q1096" s="207"/>
      <c r="R1096" s="207"/>
      <c r="S1096" s="198"/>
      <c r="T1096" s="201"/>
    </row>
    <row r="1097" spans="1:20" ht="22.5" hidden="1" customHeight="1" x14ac:dyDescent="0.25">
      <c r="A1097" s="208"/>
      <c r="B1097" s="238"/>
      <c r="C1097" s="198"/>
      <c r="D1097" s="198"/>
      <c r="E1097" s="199"/>
      <c r="F1097" s="200"/>
      <c r="G1097" s="201"/>
      <c r="H1097" s="208"/>
      <c r="I1097" s="209"/>
      <c r="J1097" s="209"/>
      <c r="K1097" s="198"/>
      <c r="L1097" s="204"/>
      <c r="M1097" s="205"/>
      <c r="N1097" s="206"/>
      <c r="O1097" s="207"/>
      <c r="P1097" s="207"/>
      <c r="Q1097" s="207"/>
      <c r="R1097" s="207"/>
      <c r="S1097" s="198"/>
      <c r="T1097" s="201"/>
    </row>
    <row r="1098" spans="1:20" ht="22.5" hidden="1" customHeight="1" x14ac:dyDescent="0.25">
      <c r="A1098" s="208"/>
      <c r="B1098" s="238"/>
      <c r="C1098" s="198"/>
      <c r="D1098" s="198"/>
      <c r="E1098" s="199"/>
      <c r="F1098" s="200"/>
      <c r="G1098" s="201"/>
      <c r="H1098" s="208"/>
      <c r="I1098" s="209"/>
      <c r="J1098" s="209"/>
      <c r="K1098" s="198"/>
      <c r="L1098" s="204"/>
      <c r="M1098" s="205"/>
      <c r="N1098" s="206"/>
      <c r="O1098" s="207"/>
      <c r="P1098" s="207"/>
      <c r="Q1098" s="207"/>
      <c r="R1098" s="207"/>
      <c r="S1098" s="198"/>
      <c r="T1098" s="201"/>
    </row>
    <row r="1099" spans="1:20" ht="22.5" hidden="1" customHeight="1" x14ac:dyDescent="0.25">
      <c r="A1099" s="208"/>
      <c r="B1099" s="238"/>
      <c r="C1099" s="198"/>
      <c r="D1099" s="198"/>
      <c r="E1099" s="199"/>
      <c r="F1099" s="200"/>
      <c r="G1099" s="201"/>
      <c r="H1099" s="208"/>
      <c r="I1099" s="209"/>
      <c r="J1099" s="209"/>
      <c r="K1099" s="198"/>
      <c r="L1099" s="204"/>
      <c r="M1099" s="205"/>
      <c r="N1099" s="206"/>
      <c r="O1099" s="207"/>
      <c r="P1099" s="207"/>
      <c r="Q1099" s="207"/>
      <c r="R1099" s="207"/>
      <c r="S1099" s="198"/>
      <c r="T1099" s="201"/>
    </row>
    <row r="1100" spans="1:20" ht="22.5" hidden="1" customHeight="1" x14ac:dyDescent="0.25">
      <c r="A1100" s="208"/>
      <c r="B1100" s="238"/>
      <c r="C1100" s="198"/>
      <c r="D1100" s="198"/>
      <c r="E1100" s="199"/>
      <c r="F1100" s="200"/>
      <c r="G1100" s="201"/>
      <c r="H1100" s="208"/>
      <c r="I1100" s="209"/>
      <c r="J1100" s="209"/>
      <c r="K1100" s="198"/>
      <c r="L1100" s="204"/>
      <c r="M1100" s="205"/>
      <c r="N1100" s="206"/>
      <c r="O1100" s="207"/>
      <c r="P1100" s="207"/>
      <c r="Q1100" s="207"/>
      <c r="R1100" s="207"/>
      <c r="S1100" s="198"/>
      <c r="T1100" s="201"/>
    </row>
    <row r="1101" spans="1:20" ht="22.5" hidden="1" customHeight="1" x14ac:dyDescent="0.25">
      <c r="A1101" s="208"/>
      <c r="B1101" s="238"/>
      <c r="C1101" s="198"/>
      <c r="D1101" s="198"/>
      <c r="E1101" s="199"/>
      <c r="F1101" s="200"/>
      <c r="G1101" s="201"/>
      <c r="H1101" s="208"/>
      <c r="I1101" s="209"/>
      <c r="J1101" s="209"/>
      <c r="K1101" s="198"/>
      <c r="L1101" s="204"/>
      <c r="M1101" s="205"/>
      <c r="N1101" s="206"/>
      <c r="O1101" s="207"/>
      <c r="P1101" s="207"/>
      <c r="Q1101" s="207"/>
      <c r="R1101" s="207"/>
      <c r="S1101" s="198"/>
      <c r="T1101" s="201"/>
    </row>
    <row r="1102" spans="1:20" ht="22.5" hidden="1" customHeight="1" x14ac:dyDescent="0.25">
      <c r="A1102" s="208"/>
      <c r="B1102" s="238"/>
      <c r="C1102" s="198"/>
      <c r="D1102" s="198"/>
      <c r="E1102" s="199"/>
      <c r="F1102" s="200"/>
      <c r="G1102" s="201"/>
      <c r="H1102" s="208"/>
      <c r="I1102" s="209"/>
      <c r="J1102" s="209"/>
      <c r="K1102" s="198"/>
      <c r="L1102" s="204"/>
      <c r="M1102" s="205"/>
      <c r="N1102" s="206"/>
      <c r="O1102" s="207"/>
      <c r="P1102" s="207"/>
      <c r="Q1102" s="207"/>
      <c r="R1102" s="207"/>
      <c r="S1102" s="198"/>
      <c r="T1102" s="201"/>
    </row>
    <row r="1103" spans="1:20" ht="22.5" hidden="1" customHeight="1" x14ac:dyDescent="0.25">
      <c r="A1103" s="208"/>
      <c r="B1103" s="238"/>
      <c r="C1103" s="198"/>
      <c r="D1103" s="198"/>
      <c r="E1103" s="199"/>
      <c r="F1103" s="200"/>
      <c r="G1103" s="201"/>
      <c r="H1103" s="208"/>
      <c r="I1103" s="209"/>
      <c r="J1103" s="209"/>
      <c r="K1103" s="198"/>
      <c r="L1103" s="204"/>
      <c r="M1103" s="205"/>
      <c r="N1103" s="206"/>
      <c r="O1103" s="207"/>
      <c r="P1103" s="207"/>
      <c r="Q1103" s="207"/>
      <c r="R1103" s="207"/>
      <c r="S1103" s="198"/>
      <c r="T1103" s="201"/>
    </row>
    <row r="1104" spans="1:20" ht="22.5" hidden="1" customHeight="1" x14ac:dyDescent="0.25">
      <c r="A1104" s="208"/>
      <c r="B1104" s="238"/>
      <c r="C1104" s="198"/>
      <c r="D1104" s="198"/>
      <c r="E1104" s="199"/>
      <c r="F1104" s="200"/>
      <c r="G1104" s="201"/>
      <c r="H1104" s="208"/>
      <c r="I1104" s="209"/>
      <c r="J1104" s="209"/>
      <c r="K1104" s="198"/>
      <c r="L1104" s="204"/>
      <c r="M1104" s="205"/>
      <c r="N1104" s="206"/>
      <c r="O1104" s="207"/>
      <c r="P1104" s="207"/>
      <c r="Q1104" s="207"/>
      <c r="R1104" s="207"/>
      <c r="S1104" s="198"/>
      <c r="T1104" s="201"/>
    </row>
    <row r="1105" spans="1:20" ht="22.5" hidden="1" customHeight="1" x14ac:dyDescent="0.25">
      <c r="A1105" s="208"/>
      <c r="B1105" s="238"/>
      <c r="C1105" s="198"/>
      <c r="D1105" s="198"/>
      <c r="E1105" s="199"/>
      <c r="F1105" s="200"/>
      <c r="G1105" s="201"/>
      <c r="H1105" s="208"/>
      <c r="I1105" s="209"/>
      <c r="J1105" s="209"/>
      <c r="K1105" s="198"/>
      <c r="L1105" s="204"/>
      <c r="M1105" s="205"/>
      <c r="N1105" s="206"/>
      <c r="O1105" s="207"/>
      <c r="P1105" s="207"/>
      <c r="Q1105" s="207"/>
      <c r="R1105" s="207"/>
      <c r="S1105" s="198"/>
      <c r="T1105" s="201"/>
    </row>
    <row r="1106" spans="1:20" ht="22.5" hidden="1" customHeight="1" x14ac:dyDescent="0.25">
      <c r="A1106" s="208"/>
      <c r="B1106" s="238"/>
      <c r="C1106" s="198"/>
      <c r="D1106" s="198"/>
      <c r="E1106" s="199"/>
      <c r="F1106" s="200"/>
      <c r="G1106" s="201"/>
      <c r="H1106" s="208"/>
      <c r="I1106" s="209"/>
      <c r="J1106" s="209"/>
      <c r="K1106" s="198"/>
      <c r="L1106" s="204"/>
      <c r="M1106" s="205"/>
      <c r="N1106" s="206"/>
      <c r="O1106" s="207"/>
      <c r="P1106" s="207"/>
      <c r="Q1106" s="207"/>
      <c r="R1106" s="207"/>
      <c r="S1106" s="198"/>
      <c r="T1106" s="201"/>
    </row>
    <row r="1107" spans="1:20" ht="22.5" hidden="1" customHeight="1" x14ac:dyDescent="0.25">
      <c r="A1107" s="208"/>
      <c r="B1107" s="238"/>
      <c r="C1107" s="198"/>
      <c r="D1107" s="198"/>
      <c r="E1107" s="199"/>
      <c r="F1107" s="200"/>
      <c r="G1107" s="201"/>
      <c r="H1107" s="208"/>
      <c r="I1107" s="209"/>
      <c r="J1107" s="209"/>
      <c r="K1107" s="198"/>
      <c r="L1107" s="204"/>
      <c r="M1107" s="205"/>
      <c r="N1107" s="206"/>
      <c r="O1107" s="207"/>
      <c r="P1107" s="207"/>
      <c r="Q1107" s="207"/>
      <c r="R1107" s="207"/>
      <c r="S1107" s="198"/>
      <c r="T1107" s="201"/>
    </row>
    <row r="1108" spans="1:20" ht="22.5" hidden="1" customHeight="1" x14ac:dyDescent="0.25">
      <c r="A1108" s="208"/>
      <c r="B1108" s="238"/>
      <c r="C1108" s="198"/>
      <c r="D1108" s="198"/>
      <c r="E1108" s="199"/>
      <c r="F1108" s="200"/>
      <c r="G1108" s="201"/>
      <c r="H1108" s="208"/>
      <c r="I1108" s="209"/>
      <c r="J1108" s="209"/>
      <c r="K1108" s="198"/>
      <c r="L1108" s="204"/>
      <c r="M1108" s="205"/>
      <c r="N1108" s="206"/>
      <c r="O1108" s="207"/>
      <c r="P1108" s="207"/>
      <c r="Q1108" s="207"/>
      <c r="R1108" s="207"/>
      <c r="S1108" s="198"/>
      <c r="T1108" s="201"/>
    </row>
    <row r="1109" spans="1:20" ht="22.5" hidden="1" customHeight="1" x14ac:dyDescent="0.25">
      <c r="A1109" s="208"/>
      <c r="B1109" s="238"/>
      <c r="C1109" s="198"/>
      <c r="D1109" s="198"/>
      <c r="E1109" s="199"/>
      <c r="F1109" s="200"/>
      <c r="G1109" s="201"/>
      <c r="H1109" s="208"/>
      <c r="I1109" s="209"/>
      <c r="J1109" s="209"/>
      <c r="K1109" s="198"/>
      <c r="L1109" s="204"/>
      <c r="M1109" s="205"/>
      <c r="N1109" s="206"/>
      <c r="O1109" s="207"/>
      <c r="P1109" s="207"/>
      <c r="Q1109" s="207"/>
      <c r="R1109" s="207"/>
      <c r="S1109" s="198"/>
      <c r="T1109" s="201"/>
    </row>
    <row r="1110" spans="1:20" ht="22.5" hidden="1" customHeight="1" x14ac:dyDescent="0.25">
      <c r="A1110" s="208"/>
      <c r="B1110" s="238"/>
      <c r="C1110" s="198"/>
      <c r="D1110" s="198"/>
      <c r="E1110" s="199"/>
      <c r="F1110" s="200"/>
      <c r="G1110" s="201"/>
      <c r="H1110" s="208"/>
      <c r="I1110" s="209"/>
      <c r="J1110" s="209"/>
      <c r="K1110" s="198"/>
      <c r="L1110" s="204"/>
      <c r="M1110" s="205"/>
      <c r="N1110" s="206"/>
      <c r="O1110" s="207"/>
      <c r="P1110" s="207"/>
      <c r="Q1110" s="207"/>
      <c r="R1110" s="207"/>
      <c r="S1110" s="198"/>
      <c r="T1110" s="201"/>
    </row>
    <row r="1111" spans="1:20" ht="22.5" hidden="1" customHeight="1" x14ac:dyDescent="0.25">
      <c r="A1111" s="208"/>
      <c r="B1111" s="238"/>
      <c r="C1111" s="198"/>
      <c r="D1111" s="198"/>
      <c r="E1111" s="199"/>
      <c r="F1111" s="200"/>
      <c r="G1111" s="201"/>
      <c r="H1111" s="208"/>
      <c r="I1111" s="209"/>
      <c r="J1111" s="209"/>
      <c r="K1111" s="198"/>
      <c r="L1111" s="204"/>
      <c r="M1111" s="205"/>
      <c r="N1111" s="206"/>
      <c r="O1111" s="207"/>
      <c r="P1111" s="207"/>
      <c r="Q1111" s="207"/>
      <c r="R1111" s="207"/>
      <c r="S1111" s="198"/>
      <c r="T1111" s="201"/>
    </row>
    <row r="1112" spans="1:20" ht="22.5" hidden="1" customHeight="1" x14ac:dyDescent="0.25">
      <c r="A1112" s="208"/>
      <c r="B1112" s="238"/>
      <c r="C1112" s="198"/>
      <c r="D1112" s="198"/>
      <c r="E1112" s="199"/>
      <c r="F1112" s="200"/>
      <c r="G1112" s="201"/>
      <c r="H1112" s="208"/>
      <c r="I1112" s="209"/>
      <c r="J1112" s="209"/>
      <c r="K1112" s="198"/>
      <c r="L1112" s="204"/>
      <c r="M1112" s="205"/>
      <c r="N1112" s="206"/>
      <c r="O1112" s="207"/>
      <c r="P1112" s="207"/>
      <c r="Q1112" s="207"/>
      <c r="R1112" s="207"/>
      <c r="S1112" s="198"/>
      <c r="T1112" s="201"/>
    </row>
    <row r="1113" spans="1:20" ht="22.5" hidden="1" customHeight="1" x14ac:dyDescent="0.25">
      <c r="A1113" s="208"/>
      <c r="B1113" s="238"/>
      <c r="C1113" s="198"/>
      <c r="D1113" s="198"/>
      <c r="E1113" s="199"/>
      <c r="F1113" s="200"/>
      <c r="G1113" s="201"/>
      <c r="H1113" s="208"/>
      <c r="I1113" s="209"/>
      <c r="J1113" s="209"/>
      <c r="K1113" s="198"/>
      <c r="L1113" s="204"/>
      <c r="M1113" s="205"/>
      <c r="N1113" s="206"/>
      <c r="O1113" s="207"/>
      <c r="P1113" s="207"/>
      <c r="Q1113" s="207"/>
      <c r="R1113" s="207"/>
      <c r="S1113" s="198"/>
      <c r="T1113" s="201"/>
    </row>
    <row r="1114" spans="1:20" ht="22.5" hidden="1" customHeight="1" x14ac:dyDescent="0.25">
      <c r="A1114" s="208"/>
      <c r="B1114" s="238"/>
      <c r="C1114" s="198"/>
      <c r="D1114" s="198"/>
      <c r="E1114" s="199"/>
      <c r="F1114" s="200"/>
      <c r="G1114" s="201"/>
      <c r="H1114" s="208"/>
      <c r="I1114" s="209"/>
      <c r="J1114" s="209"/>
      <c r="K1114" s="198"/>
      <c r="L1114" s="204"/>
      <c r="M1114" s="205"/>
      <c r="N1114" s="206"/>
      <c r="O1114" s="207"/>
      <c r="P1114" s="207"/>
      <c r="Q1114" s="207"/>
      <c r="R1114" s="207"/>
      <c r="S1114" s="198"/>
      <c r="T1114" s="201"/>
    </row>
    <row r="1115" spans="1:20" ht="22.5" hidden="1" customHeight="1" x14ac:dyDescent="0.25">
      <c r="A1115" s="208"/>
      <c r="B1115" s="238"/>
      <c r="C1115" s="198"/>
      <c r="D1115" s="198"/>
      <c r="E1115" s="199"/>
      <c r="F1115" s="200"/>
      <c r="G1115" s="201"/>
      <c r="H1115" s="208"/>
      <c r="I1115" s="209"/>
      <c r="J1115" s="209"/>
      <c r="K1115" s="198"/>
      <c r="L1115" s="204"/>
      <c r="M1115" s="205"/>
      <c r="N1115" s="206"/>
      <c r="O1115" s="207"/>
      <c r="P1115" s="207"/>
      <c r="Q1115" s="207"/>
      <c r="R1115" s="207"/>
      <c r="S1115" s="198"/>
      <c r="T1115" s="201"/>
    </row>
    <row r="1116" spans="1:20" ht="22.5" hidden="1" customHeight="1" x14ac:dyDescent="0.25">
      <c r="A1116" s="208"/>
      <c r="B1116" s="238"/>
      <c r="C1116" s="198"/>
      <c r="D1116" s="198"/>
      <c r="E1116" s="199"/>
      <c r="F1116" s="200"/>
      <c r="G1116" s="201"/>
      <c r="H1116" s="208"/>
      <c r="I1116" s="209"/>
      <c r="J1116" s="209"/>
      <c r="K1116" s="198"/>
      <c r="L1116" s="204"/>
      <c r="M1116" s="205"/>
      <c r="N1116" s="206"/>
      <c r="O1116" s="207"/>
      <c r="P1116" s="207"/>
      <c r="Q1116" s="207"/>
      <c r="R1116" s="207"/>
      <c r="S1116" s="198"/>
      <c r="T1116" s="201"/>
    </row>
    <row r="1117" spans="1:20" ht="22.5" hidden="1" customHeight="1" x14ac:dyDescent="0.25">
      <c r="A1117" s="208"/>
      <c r="B1117" s="238"/>
      <c r="C1117" s="198"/>
      <c r="D1117" s="198"/>
      <c r="E1117" s="199"/>
      <c r="F1117" s="200"/>
      <c r="G1117" s="201"/>
      <c r="H1117" s="208"/>
      <c r="I1117" s="209"/>
      <c r="J1117" s="209"/>
      <c r="K1117" s="198"/>
      <c r="L1117" s="204"/>
      <c r="M1117" s="205"/>
      <c r="N1117" s="206"/>
      <c r="O1117" s="207"/>
      <c r="P1117" s="207"/>
      <c r="Q1117" s="207"/>
      <c r="R1117" s="207"/>
      <c r="S1117" s="198"/>
      <c r="T1117" s="201"/>
    </row>
    <row r="1118" spans="1:20" ht="22.5" hidden="1" customHeight="1" x14ac:dyDescent="0.25">
      <c r="A1118" s="208"/>
      <c r="B1118" s="238"/>
      <c r="C1118" s="198"/>
      <c r="D1118" s="198"/>
      <c r="E1118" s="199"/>
      <c r="F1118" s="200"/>
      <c r="G1118" s="201"/>
      <c r="H1118" s="208"/>
      <c r="I1118" s="209"/>
      <c r="J1118" s="209"/>
      <c r="K1118" s="198"/>
      <c r="L1118" s="204"/>
      <c r="M1118" s="205"/>
      <c r="N1118" s="206"/>
      <c r="O1118" s="207"/>
      <c r="P1118" s="207"/>
      <c r="Q1118" s="207"/>
      <c r="R1118" s="207"/>
      <c r="S1118" s="198"/>
      <c r="T1118" s="201"/>
    </row>
    <row r="1119" spans="1:20" ht="22.5" hidden="1" customHeight="1" x14ac:dyDescent="0.25">
      <c r="A1119" s="208"/>
      <c r="B1119" s="238"/>
      <c r="C1119" s="198"/>
      <c r="D1119" s="198"/>
      <c r="E1119" s="199"/>
      <c r="F1119" s="200"/>
      <c r="G1119" s="201"/>
      <c r="H1119" s="208"/>
      <c r="I1119" s="209"/>
      <c r="J1119" s="209"/>
      <c r="K1119" s="198"/>
      <c r="L1119" s="204"/>
      <c r="M1119" s="205"/>
      <c r="N1119" s="206"/>
      <c r="O1119" s="207"/>
      <c r="P1119" s="207"/>
      <c r="Q1119" s="207"/>
      <c r="R1119" s="207"/>
      <c r="S1119" s="198"/>
      <c r="T1119" s="201"/>
    </row>
    <row r="1120" spans="1:20" ht="22.5" hidden="1" customHeight="1" x14ac:dyDescent="0.25">
      <c r="A1120" s="208"/>
      <c r="B1120" s="238"/>
      <c r="C1120" s="198"/>
      <c r="D1120" s="198"/>
      <c r="E1120" s="199"/>
      <c r="F1120" s="200"/>
      <c r="G1120" s="201"/>
      <c r="H1120" s="208"/>
      <c r="I1120" s="209"/>
      <c r="J1120" s="209"/>
      <c r="K1120" s="198"/>
      <c r="L1120" s="204"/>
      <c r="M1120" s="205"/>
      <c r="N1120" s="206"/>
      <c r="O1120" s="207"/>
      <c r="P1120" s="207"/>
      <c r="Q1120" s="207"/>
      <c r="R1120" s="207"/>
      <c r="S1120" s="198"/>
      <c r="T1120" s="201"/>
    </row>
    <row r="1121" spans="1:20" ht="22.5" hidden="1" customHeight="1" x14ac:dyDescent="0.25">
      <c r="A1121" s="208"/>
      <c r="B1121" s="238"/>
      <c r="C1121" s="198"/>
      <c r="D1121" s="198"/>
      <c r="E1121" s="199"/>
      <c r="F1121" s="200"/>
      <c r="G1121" s="201"/>
      <c r="H1121" s="208"/>
      <c r="I1121" s="209"/>
      <c r="J1121" s="209"/>
      <c r="K1121" s="198"/>
      <c r="L1121" s="204"/>
      <c r="M1121" s="205"/>
      <c r="N1121" s="206"/>
      <c r="O1121" s="207"/>
      <c r="P1121" s="207"/>
      <c r="Q1121" s="207"/>
      <c r="R1121" s="207"/>
      <c r="S1121" s="198"/>
      <c r="T1121" s="201"/>
    </row>
    <row r="1122" spans="1:20" ht="22.5" hidden="1" customHeight="1" x14ac:dyDescent="0.25">
      <c r="A1122" s="208"/>
      <c r="B1122" s="238"/>
      <c r="C1122" s="198"/>
      <c r="D1122" s="198"/>
      <c r="E1122" s="199"/>
      <c r="F1122" s="200"/>
      <c r="G1122" s="201"/>
      <c r="H1122" s="208"/>
      <c r="I1122" s="209"/>
      <c r="J1122" s="209"/>
      <c r="K1122" s="198"/>
      <c r="L1122" s="204"/>
      <c r="M1122" s="205"/>
      <c r="N1122" s="206"/>
      <c r="O1122" s="207"/>
      <c r="P1122" s="207"/>
      <c r="Q1122" s="207"/>
      <c r="R1122" s="207"/>
      <c r="S1122" s="198"/>
      <c r="T1122" s="201"/>
    </row>
    <row r="1123" spans="1:20" ht="22.5" hidden="1" customHeight="1" x14ac:dyDescent="0.25">
      <c r="A1123" s="208"/>
      <c r="B1123" s="238"/>
      <c r="C1123" s="198"/>
      <c r="D1123" s="198"/>
      <c r="E1123" s="199"/>
      <c r="F1123" s="200"/>
      <c r="G1123" s="201"/>
      <c r="H1123" s="208"/>
      <c r="I1123" s="209"/>
      <c r="J1123" s="209"/>
      <c r="K1123" s="198"/>
      <c r="L1123" s="204"/>
      <c r="M1123" s="205"/>
      <c r="N1123" s="206"/>
      <c r="O1123" s="207"/>
      <c r="P1123" s="207"/>
      <c r="Q1123" s="207"/>
      <c r="R1123" s="207"/>
      <c r="S1123" s="198"/>
      <c r="T1123" s="201"/>
    </row>
    <row r="1124" spans="1:20" ht="22.5" hidden="1" customHeight="1" x14ac:dyDescent="0.25">
      <c r="A1124" s="208"/>
      <c r="B1124" s="238"/>
      <c r="C1124" s="198"/>
      <c r="D1124" s="198"/>
      <c r="E1124" s="199"/>
      <c r="F1124" s="200"/>
      <c r="G1124" s="201"/>
      <c r="H1124" s="208"/>
      <c r="I1124" s="209"/>
      <c r="J1124" s="209"/>
      <c r="K1124" s="198"/>
      <c r="L1124" s="204"/>
      <c r="M1124" s="205"/>
      <c r="N1124" s="206"/>
      <c r="O1124" s="207"/>
      <c r="P1124" s="207"/>
      <c r="Q1124" s="207"/>
      <c r="R1124" s="207"/>
      <c r="S1124" s="198"/>
      <c r="T1124" s="201"/>
    </row>
    <row r="1125" spans="1:20" ht="22.5" hidden="1" customHeight="1" x14ac:dyDescent="0.25">
      <c r="A1125" s="208"/>
      <c r="B1125" s="238"/>
      <c r="C1125" s="198"/>
      <c r="D1125" s="198"/>
      <c r="E1125" s="199"/>
      <c r="F1125" s="200"/>
      <c r="G1125" s="201"/>
      <c r="H1125" s="208"/>
      <c r="I1125" s="209"/>
      <c r="J1125" s="209"/>
      <c r="K1125" s="198"/>
      <c r="L1125" s="204"/>
      <c r="M1125" s="205"/>
      <c r="N1125" s="206"/>
      <c r="O1125" s="207"/>
      <c r="P1125" s="207"/>
      <c r="Q1125" s="207"/>
      <c r="R1125" s="207"/>
      <c r="S1125" s="198"/>
      <c r="T1125" s="201"/>
    </row>
    <row r="1126" spans="1:20" ht="22.5" hidden="1" customHeight="1" x14ac:dyDescent="0.25">
      <c r="A1126" s="208"/>
      <c r="B1126" s="238"/>
      <c r="C1126" s="198"/>
      <c r="D1126" s="198"/>
      <c r="E1126" s="199"/>
      <c r="F1126" s="200"/>
      <c r="G1126" s="201"/>
      <c r="H1126" s="208"/>
      <c r="I1126" s="209"/>
      <c r="J1126" s="209"/>
      <c r="K1126" s="198"/>
      <c r="L1126" s="204"/>
      <c r="M1126" s="205"/>
      <c r="N1126" s="206"/>
      <c r="O1126" s="207"/>
      <c r="P1126" s="207"/>
      <c r="Q1126" s="207"/>
      <c r="R1126" s="207"/>
      <c r="S1126" s="198"/>
      <c r="T1126" s="201"/>
    </row>
    <row r="1127" spans="1:20" ht="22.5" hidden="1" customHeight="1" x14ac:dyDescent="0.25">
      <c r="A1127" s="208"/>
      <c r="B1127" s="238"/>
      <c r="C1127" s="198"/>
      <c r="D1127" s="198"/>
      <c r="E1127" s="199"/>
      <c r="F1127" s="200"/>
      <c r="G1127" s="201"/>
      <c r="H1127" s="208"/>
      <c r="I1127" s="209"/>
      <c r="J1127" s="209"/>
      <c r="K1127" s="198"/>
      <c r="L1127" s="204"/>
      <c r="M1127" s="205"/>
      <c r="N1127" s="206"/>
      <c r="O1127" s="207"/>
      <c r="P1127" s="207"/>
      <c r="Q1127" s="207"/>
      <c r="R1127" s="207"/>
      <c r="S1127" s="198"/>
      <c r="T1127" s="201"/>
    </row>
    <row r="1128" spans="1:20" ht="22.5" hidden="1" customHeight="1" x14ac:dyDescent="0.25">
      <c r="A1128" s="208"/>
      <c r="B1128" s="238"/>
      <c r="C1128" s="198"/>
      <c r="D1128" s="198"/>
      <c r="E1128" s="199"/>
      <c r="F1128" s="200"/>
      <c r="G1128" s="201"/>
      <c r="H1128" s="208"/>
      <c r="I1128" s="209"/>
      <c r="J1128" s="209"/>
      <c r="K1128" s="198"/>
      <c r="L1128" s="204"/>
      <c r="M1128" s="205"/>
      <c r="N1128" s="206"/>
      <c r="O1128" s="207"/>
      <c r="P1128" s="207"/>
      <c r="Q1128" s="207"/>
      <c r="R1128" s="207"/>
      <c r="S1128" s="198"/>
      <c r="T1128" s="201"/>
    </row>
    <row r="1129" spans="1:20" ht="22.5" hidden="1" customHeight="1" x14ac:dyDescent="0.25">
      <c r="A1129" s="208"/>
      <c r="B1129" s="238"/>
      <c r="C1129" s="198"/>
      <c r="D1129" s="198"/>
      <c r="E1129" s="199"/>
      <c r="F1129" s="200"/>
      <c r="G1129" s="201"/>
      <c r="H1129" s="208"/>
      <c r="I1129" s="209"/>
      <c r="J1129" s="209"/>
      <c r="K1129" s="198"/>
      <c r="L1129" s="204"/>
      <c r="M1129" s="205"/>
      <c r="N1129" s="206"/>
      <c r="O1129" s="207"/>
      <c r="P1129" s="207"/>
      <c r="Q1129" s="207"/>
      <c r="R1129" s="207"/>
      <c r="S1129" s="198"/>
      <c r="T1129" s="201"/>
    </row>
    <row r="1130" spans="1:20" ht="22.5" hidden="1" customHeight="1" x14ac:dyDescent="0.25">
      <c r="A1130" s="208"/>
      <c r="B1130" s="238"/>
      <c r="C1130" s="198"/>
      <c r="D1130" s="198"/>
      <c r="E1130" s="199"/>
      <c r="F1130" s="200"/>
      <c r="G1130" s="201"/>
      <c r="H1130" s="208"/>
      <c r="I1130" s="209"/>
      <c r="J1130" s="209"/>
      <c r="K1130" s="198"/>
      <c r="L1130" s="204"/>
      <c r="M1130" s="205"/>
      <c r="N1130" s="206"/>
      <c r="O1130" s="207"/>
      <c r="P1130" s="207"/>
      <c r="Q1130" s="207"/>
      <c r="R1130" s="207"/>
      <c r="S1130" s="198"/>
      <c r="T1130" s="201"/>
    </row>
    <row r="1131" spans="1:20" ht="22.5" hidden="1" customHeight="1" x14ac:dyDescent="0.25">
      <c r="A1131" s="208"/>
      <c r="B1131" s="238"/>
      <c r="C1131" s="198"/>
      <c r="D1131" s="198"/>
      <c r="E1131" s="199"/>
      <c r="F1131" s="200"/>
      <c r="G1131" s="201"/>
      <c r="H1131" s="208"/>
      <c r="I1131" s="209"/>
      <c r="J1131" s="209"/>
      <c r="K1131" s="198"/>
      <c r="L1131" s="204"/>
      <c r="M1131" s="205"/>
      <c r="N1131" s="206"/>
      <c r="O1131" s="207"/>
      <c r="P1131" s="207"/>
      <c r="Q1131" s="207"/>
      <c r="R1131" s="207"/>
      <c r="S1131" s="198"/>
      <c r="T1131" s="201"/>
    </row>
    <row r="1132" spans="1:20" ht="22.5" hidden="1" customHeight="1" x14ac:dyDescent="0.25">
      <c r="A1132" s="208"/>
      <c r="B1132" s="238"/>
      <c r="C1132" s="198"/>
      <c r="D1132" s="198"/>
      <c r="E1132" s="199"/>
      <c r="F1132" s="200"/>
      <c r="G1132" s="201"/>
      <c r="H1132" s="208"/>
      <c r="I1132" s="209"/>
      <c r="J1132" s="209"/>
      <c r="K1132" s="198"/>
      <c r="L1132" s="204"/>
      <c r="M1132" s="205"/>
      <c r="N1132" s="206"/>
      <c r="O1132" s="207"/>
      <c r="P1132" s="207"/>
      <c r="Q1132" s="207"/>
      <c r="R1132" s="207"/>
      <c r="S1132" s="198"/>
      <c r="T1132" s="201"/>
    </row>
    <row r="1133" spans="1:20" ht="22.5" hidden="1" customHeight="1" x14ac:dyDescent="0.25">
      <c r="A1133" s="208"/>
      <c r="B1133" s="238"/>
      <c r="C1133" s="198"/>
      <c r="D1133" s="198"/>
      <c r="E1133" s="199"/>
      <c r="F1133" s="200"/>
      <c r="G1133" s="201"/>
      <c r="H1133" s="208"/>
      <c r="I1133" s="209"/>
      <c r="J1133" s="209"/>
      <c r="K1133" s="198"/>
      <c r="L1133" s="204"/>
      <c r="M1133" s="205"/>
      <c r="N1133" s="206"/>
      <c r="O1133" s="207"/>
      <c r="P1133" s="207"/>
      <c r="Q1133" s="207"/>
      <c r="R1133" s="207"/>
      <c r="S1133" s="198"/>
      <c r="T1133" s="201"/>
    </row>
    <row r="1134" spans="1:20" ht="22.5" hidden="1" customHeight="1" x14ac:dyDescent="0.25">
      <c r="A1134" s="208"/>
      <c r="B1134" s="238"/>
      <c r="C1134" s="198"/>
      <c r="D1134" s="198"/>
      <c r="E1134" s="199"/>
      <c r="F1134" s="200"/>
      <c r="G1134" s="201"/>
      <c r="H1134" s="208"/>
      <c r="I1134" s="209"/>
      <c r="J1134" s="209"/>
      <c r="K1134" s="198"/>
      <c r="L1134" s="204"/>
      <c r="M1134" s="205"/>
      <c r="N1134" s="206"/>
      <c r="O1134" s="207"/>
      <c r="P1134" s="207"/>
      <c r="Q1134" s="207"/>
      <c r="R1134" s="207"/>
      <c r="S1134" s="198"/>
      <c r="T1134" s="201"/>
    </row>
    <row r="1135" spans="1:20" ht="22.5" hidden="1" customHeight="1" x14ac:dyDescent="0.25">
      <c r="A1135" s="208"/>
      <c r="B1135" s="238"/>
      <c r="C1135" s="198"/>
      <c r="D1135" s="198"/>
      <c r="E1135" s="199"/>
      <c r="F1135" s="200"/>
      <c r="G1135" s="201"/>
      <c r="H1135" s="208"/>
      <c r="I1135" s="209"/>
      <c r="J1135" s="209"/>
      <c r="K1135" s="198"/>
      <c r="L1135" s="204"/>
      <c r="M1135" s="205"/>
      <c r="N1135" s="206"/>
      <c r="O1135" s="207"/>
      <c r="P1135" s="207"/>
      <c r="Q1135" s="207"/>
      <c r="R1135" s="207"/>
      <c r="S1135" s="198"/>
      <c r="T1135" s="201"/>
    </row>
    <row r="1136" spans="1:20" ht="22.5" hidden="1" customHeight="1" x14ac:dyDescent="0.25">
      <c r="A1136" s="208"/>
      <c r="B1136" s="238"/>
      <c r="C1136" s="198"/>
      <c r="D1136" s="198"/>
      <c r="E1136" s="199"/>
      <c r="F1136" s="200"/>
      <c r="G1136" s="201"/>
      <c r="H1136" s="208"/>
      <c r="I1136" s="209"/>
      <c r="J1136" s="209"/>
      <c r="K1136" s="198"/>
      <c r="L1136" s="204"/>
      <c r="M1136" s="205"/>
      <c r="N1136" s="206"/>
      <c r="O1136" s="207"/>
      <c r="P1136" s="207"/>
      <c r="Q1136" s="207"/>
      <c r="R1136" s="207"/>
      <c r="S1136" s="198"/>
      <c r="T1136" s="201"/>
    </row>
    <row r="1137" spans="1:20" ht="22.5" hidden="1" customHeight="1" x14ac:dyDescent="0.25">
      <c r="A1137" s="208"/>
      <c r="B1137" s="238"/>
      <c r="C1137" s="198"/>
      <c r="D1137" s="198"/>
      <c r="E1137" s="199"/>
      <c r="F1137" s="200"/>
      <c r="G1137" s="201"/>
      <c r="H1137" s="208"/>
      <c r="I1137" s="209"/>
      <c r="J1137" s="209"/>
      <c r="K1137" s="198"/>
      <c r="L1137" s="204"/>
      <c r="M1137" s="205"/>
      <c r="N1137" s="206"/>
      <c r="O1137" s="207"/>
      <c r="P1137" s="207"/>
      <c r="Q1137" s="207"/>
      <c r="R1137" s="207"/>
      <c r="S1137" s="198"/>
      <c r="T1137" s="201"/>
    </row>
    <row r="1138" spans="1:20" ht="22.5" hidden="1" customHeight="1" x14ac:dyDescent="0.25">
      <c r="A1138" s="208"/>
      <c r="B1138" s="238"/>
      <c r="C1138" s="198"/>
      <c r="D1138" s="198"/>
      <c r="E1138" s="199"/>
      <c r="F1138" s="200"/>
      <c r="G1138" s="201"/>
      <c r="H1138" s="208"/>
      <c r="I1138" s="209"/>
      <c r="J1138" s="209"/>
      <c r="K1138" s="198"/>
      <c r="L1138" s="204"/>
      <c r="M1138" s="205"/>
      <c r="N1138" s="206"/>
      <c r="O1138" s="207"/>
      <c r="P1138" s="207"/>
      <c r="Q1138" s="207"/>
      <c r="R1138" s="207"/>
      <c r="S1138" s="198"/>
      <c r="T1138" s="201"/>
    </row>
    <row r="1139" spans="1:20" ht="22.5" hidden="1" customHeight="1" x14ac:dyDescent="0.25">
      <c r="A1139" s="208"/>
      <c r="B1139" s="238"/>
      <c r="C1139" s="198"/>
      <c r="D1139" s="198"/>
      <c r="E1139" s="199"/>
      <c r="F1139" s="200"/>
      <c r="G1139" s="201"/>
      <c r="H1139" s="208"/>
      <c r="I1139" s="209"/>
      <c r="J1139" s="209"/>
      <c r="K1139" s="198"/>
      <c r="L1139" s="204"/>
      <c r="M1139" s="205"/>
      <c r="N1139" s="206"/>
      <c r="O1139" s="207"/>
      <c r="P1139" s="207"/>
      <c r="Q1139" s="207"/>
      <c r="R1139" s="207"/>
      <c r="S1139" s="198"/>
      <c r="T1139" s="201"/>
    </row>
    <row r="1140" spans="1:20" ht="22.5" hidden="1" customHeight="1" x14ac:dyDescent="0.25">
      <c r="A1140" s="208"/>
      <c r="B1140" s="238"/>
      <c r="C1140" s="198"/>
      <c r="D1140" s="198"/>
      <c r="E1140" s="199"/>
      <c r="F1140" s="200"/>
      <c r="G1140" s="201"/>
      <c r="H1140" s="208"/>
      <c r="I1140" s="209"/>
      <c r="J1140" s="209"/>
      <c r="K1140" s="198"/>
      <c r="L1140" s="204"/>
      <c r="M1140" s="205"/>
      <c r="N1140" s="206"/>
      <c r="O1140" s="207"/>
      <c r="P1140" s="207"/>
      <c r="Q1140" s="207"/>
      <c r="R1140" s="207"/>
      <c r="S1140" s="198"/>
      <c r="T1140" s="201"/>
    </row>
    <row r="1141" spans="1:20" ht="22.5" hidden="1" customHeight="1" x14ac:dyDescent="0.25">
      <c r="A1141" s="208"/>
      <c r="B1141" s="238"/>
      <c r="C1141" s="198"/>
      <c r="D1141" s="198"/>
      <c r="E1141" s="199"/>
      <c r="F1141" s="200"/>
      <c r="G1141" s="201"/>
      <c r="H1141" s="208"/>
      <c r="I1141" s="209"/>
      <c r="J1141" s="209"/>
      <c r="K1141" s="198"/>
      <c r="L1141" s="204"/>
      <c r="M1141" s="205"/>
      <c r="N1141" s="206"/>
      <c r="O1141" s="207"/>
      <c r="P1141" s="207"/>
      <c r="Q1141" s="207"/>
      <c r="R1141" s="207"/>
      <c r="S1141" s="198"/>
      <c r="T1141" s="201"/>
    </row>
    <row r="1142" spans="1:20" ht="22.5" hidden="1" customHeight="1" x14ac:dyDescent="0.25">
      <c r="A1142" s="208"/>
      <c r="B1142" s="238"/>
      <c r="C1142" s="198"/>
      <c r="D1142" s="198"/>
      <c r="E1142" s="199"/>
      <c r="F1142" s="200"/>
      <c r="G1142" s="201"/>
      <c r="H1142" s="208"/>
      <c r="I1142" s="209"/>
      <c r="J1142" s="209"/>
      <c r="K1142" s="198"/>
      <c r="L1142" s="204"/>
      <c r="M1142" s="205"/>
      <c r="N1142" s="206"/>
      <c r="O1142" s="207"/>
      <c r="P1142" s="207"/>
      <c r="Q1142" s="207"/>
      <c r="R1142" s="207"/>
      <c r="S1142" s="198"/>
      <c r="T1142" s="201"/>
    </row>
    <row r="1143" spans="1:20" ht="22.5" hidden="1" customHeight="1" x14ac:dyDescent="0.25">
      <c r="A1143" s="208"/>
      <c r="B1143" s="238"/>
      <c r="C1143" s="198"/>
      <c r="D1143" s="198"/>
      <c r="E1143" s="199"/>
      <c r="F1143" s="200"/>
      <c r="G1143" s="201"/>
      <c r="H1143" s="208"/>
      <c r="I1143" s="209"/>
      <c r="J1143" s="209"/>
      <c r="K1143" s="198"/>
      <c r="L1143" s="204"/>
      <c r="M1143" s="205"/>
      <c r="N1143" s="206"/>
      <c r="O1143" s="207"/>
      <c r="P1143" s="207"/>
      <c r="Q1143" s="207"/>
      <c r="R1143" s="207"/>
      <c r="S1143" s="198"/>
      <c r="T1143" s="201"/>
    </row>
    <row r="1144" spans="1:20" ht="22.5" hidden="1" customHeight="1" x14ac:dyDescent="0.25">
      <c r="A1144" s="208"/>
      <c r="B1144" s="238"/>
      <c r="C1144" s="198"/>
      <c r="D1144" s="198"/>
      <c r="E1144" s="199"/>
      <c r="F1144" s="200"/>
      <c r="G1144" s="201"/>
      <c r="H1144" s="208"/>
      <c r="I1144" s="209"/>
      <c r="J1144" s="209"/>
      <c r="K1144" s="198"/>
      <c r="L1144" s="204"/>
      <c r="M1144" s="205"/>
      <c r="N1144" s="206"/>
      <c r="O1144" s="207"/>
      <c r="P1144" s="207"/>
      <c r="Q1144" s="207"/>
      <c r="R1144" s="207"/>
      <c r="S1144" s="198"/>
      <c r="T1144" s="201"/>
    </row>
    <row r="1145" spans="1:20" ht="22.5" hidden="1" customHeight="1" x14ac:dyDescent="0.25">
      <c r="A1145" s="208"/>
      <c r="B1145" s="238"/>
      <c r="C1145" s="198"/>
      <c r="D1145" s="198"/>
      <c r="E1145" s="199"/>
      <c r="F1145" s="200"/>
      <c r="G1145" s="201"/>
      <c r="H1145" s="208"/>
      <c r="I1145" s="209"/>
      <c r="J1145" s="209"/>
      <c r="K1145" s="198"/>
      <c r="L1145" s="204"/>
      <c r="M1145" s="205"/>
      <c r="N1145" s="206"/>
      <c r="O1145" s="207"/>
      <c r="P1145" s="207"/>
      <c r="Q1145" s="207"/>
      <c r="R1145" s="207"/>
      <c r="S1145" s="198"/>
      <c r="T1145" s="201"/>
    </row>
    <row r="1146" spans="1:20" ht="22.5" hidden="1" customHeight="1" x14ac:dyDescent="0.25">
      <c r="A1146" s="208"/>
      <c r="B1146" s="238"/>
      <c r="C1146" s="198"/>
      <c r="D1146" s="198"/>
      <c r="E1146" s="199"/>
      <c r="F1146" s="200"/>
      <c r="G1146" s="201"/>
      <c r="H1146" s="208"/>
      <c r="I1146" s="209"/>
      <c r="J1146" s="209"/>
      <c r="K1146" s="198"/>
      <c r="L1146" s="204"/>
      <c r="M1146" s="205"/>
      <c r="N1146" s="206"/>
      <c r="O1146" s="207"/>
      <c r="P1146" s="207"/>
      <c r="Q1146" s="207"/>
      <c r="R1146" s="207"/>
      <c r="S1146" s="198"/>
      <c r="T1146" s="201"/>
    </row>
    <row r="1147" spans="1:20" ht="22.5" hidden="1" customHeight="1" x14ac:dyDescent="0.25">
      <c r="A1147" s="208"/>
      <c r="B1147" s="238"/>
      <c r="C1147" s="198"/>
      <c r="D1147" s="198"/>
      <c r="E1147" s="199"/>
      <c r="F1147" s="200"/>
      <c r="G1147" s="201"/>
      <c r="H1147" s="208"/>
      <c r="I1147" s="209"/>
      <c r="J1147" s="209"/>
      <c r="K1147" s="198"/>
      <c r="L1147" s="204"/>
      <c r="M1147" s="205"/>
      <c r="N1147" s="206"/>
      <c r="O1147" s="207"/>
      <c r="P1147" s="207"/>
      <c r="Q1147" s="207"/>
      <c r="R1147" s="207"/>
      <c r="S1147" s="198"/>
      <c r="T1147" s="201"/>
    </row>
    <row r="1148" spans="1:20" ht="22.5" hidden="1" customHeight="1" x14ac:dyDescent="0.25">
      <c r="A1148" s="208"/>
      <c r="B1148" s="238"/>
      <c r="C1148" s="198"/>
      <c r="D1148" s="198"/>
      <c r="E1148" s="199"/>
      <c r="F1148" s="200"/>
      <c r="G1148" s="201"/>
      <c r="H1148" s="208"/>
      <c r="I1148" s="209"/>
      <c r="J1148" s="209"/>
      <c r="K1148" s="198"/>
      <c r="L1148" s="204"/>
      <c r="M1148" s="205"/>
      <c r="N1148" s="206"/>
      <c r="O1148" s="207"/>
      <c r="P1148" s="207"/>
      <c r="Q1148" s="207"/>
      <c r="R1148" s="207"/>
      <c r="S1148" s="198"/>
      <c r="T1148" s="201"/>
    </row>
    <row r="1149" spans="1:20" ht="22.5" hidden="1" customHeight="1" x14ac:dyDescent="0.25">
      <c r="A1149" s="208"/>
      <c r="B1149" s="238"/>
      <c r="C1149" s="198"/>
      <c r="D1149" s="198"/>
      <c r="E1149" s="199"/>
      <c r="F1149" s="200"/>
      <c r="G1149" s="201"/>
      <c r="H1149" s="208"/>
      <c r="I1149" s="209"/>
      <c r="J1149" s="209"/>
      <c r="K1149" s="198"/>
      <c r="L1149" s="204"/>
      <c r="M1149" s="205"/>
      <c r="N1149" s="206"/>
      <c r="O1149" s="207"/>
      <c r="P1149" s="207"/>
      <c r="Q1149" s="207"/>
      <c r="R1149" s="207"/>
      <c r="S1149" s="198"/>
      <c r="T1149" s="201"/>
    </row>
    <row r="1150" spans="1:20" ht="22.5" hidden="1" customHeight="1" x14ac:dyDescent="0.25">
      <c r="A1150" s="208"/>
      <c r="B1150" s="238"/>
      <c r="C1150" s="198"/>
      <c r="D1150" s="198"/>
      <c r="E1150" s="199"/>
      <c r="F1150" s="200"/>
      <c r="G1150" s="201"/>
      <c r="H1150" s="208"/>
      <c r="I1150" s="209"/>
      <c r="J1150" s="209"/>
      <c r="K1150" s="198"/>
      <c r="L1150" s="204"/>
      <c r="M1150" s="205"/>
      <c r="N1150" s="206"/>
      <c r="O1150" s="207"/>
      <c r="P1150" s="207"/>
      <c r="Q1150" s="207"/>
      <c r="R1150" s="207"/>
      <c r="S1150" s="198"/>
      <c r="T1150" s="201"/>
    </row>
    <row r="1151" spans="1:20" ht="22.5" hidden="1" customHeight="1" x14ac:dyDescent="0.25">
      <c r="A1151" s="208"/>
      <c r="B1151" s="238"/>
      <c r="C1151" s="198"/>
      <c r="D1151" s="198"/>
      <c r="E1151" s="199"/>
      <c r="F1151" s="200"/>
      <c r="G1151" s="201"/>
      <c r="H1151" s="208"/>
      <c r="I1151" s="209"/>
      <c r="J1151" s="209"/>
      <c r="K1151" s="198"/>
      <c r="L1151" s="204"/>
      <c r="M1151" s="205"/>
      <c r="N1151" s="206"/>
      <c r="O1151" s="207"/>
      <c r="P1151" s="207"/>
      <c r="Q1151" s="207"/>
      <c r="R1151" s="207"/>
      <c r="S1151" s="198"/>
      <c r="T1151" s="201"/>
    </row>
    <row r="1152" spans="1:20" ht="22.5" hidden="1" customHeight="1" x14ac:dyDescent="0.25">
      <c r="A1152" s="208"/>
      <c r="B1152" s="238"/>
      <c r="C1152" s="198"/>
      <c r="D1152" s="198"/>
      <c r="E1152" s="199"/>
      <c r="F1152" s="200"/>
      <c r="G1152" s="201"/>
      <c r="H1152" s="208"/>
      <c r="I1152" s="209"/>
      <c r="J1152" s="209"/>
      <c r="K1152" s="198"/>
      <c r="L1152" s="204"/>
      <c r="M1152" s="205"/>
      <c r="N1152" s="206"/>
      <c r="O1152" s="207"/>
      <c r="P1152" s="207"/>
      <c r="Q1152" s="207"/>
      <c r="R1152" s="207"/>
      <c r="S1152" s="198"/>
      <c r="T1152" s="201"/>
    </row>
    <row r="1153" spans="1:20" ht="22.5" hidden="1" customHeight="1" x14ac:dyDescent="0.25">
      <c r="A1153" s="208"/>
      <c r="B1153" s="238"/>
      <c r="C1153" s="198"/>
      <c r="D1153" s="198"/>
      <c r="E1153" s="199"/>
      <c r="F1153" s="200"/>
      <c r="G1153" s="201"/>
      <c r="H1153" s="208"/>
      <c r="I1153" s="209"/>
      <c r="J1153" s="209"/>
      <c r="K1153" s="198"/>
      <c r="L1153" s="204"/>
      <c r="M1153" s="205"/>
      <c r="N1153" s="206"/>
      <c r="O1153" s="207"/>
      <c r="P1153" s="207"/>
      <c r="Q1153" s="207"/>
      <c r="R1153" s="207"/>
      <c r="S1153" s="198"/>
      <c r="T1153" s="201"/>
    </row>
    <row r="1154" spans="1:20" ht="22.5" hidden="1" customHeight="1" x14ac:dyDescent="0.25">
      <c r="A1154" s="208"/>
      <c r="B1154" s="238"/>
      <c r="C1154" s="198"/>
      <c r="D1154" s="198"/>
      <c r="E1154" s="199"/>
      <c r="F1154" s="200"/>
      <c r="G1154" s="201"/>
      <c r="H1154" s="208"/>
      <c r="I1154" s="209"/>
      <c r="J1154" s="209"/>
      <c r="K1154" s="198"/>
      <c r="L1154" s="204"/>
      <c r="M1154" s="205"/>
      <c r="N1154" s="206"/>
      <c r="O1154" s="207"/>
      <c r="P1154" s="207"/>
      <c r="Q1154" s="207"/>
      <c r="R1154" s="207"/>
      <c r="S1154" s="198"/>
      <c r="T1154" s="201"/>
    </row>
    <row r="1155" spans="1:20" ht="22.5" hidden="1" customHeight="1" x14ac:dyDescent="0.25">
      <c r="A1155" s="208"/>
      <c r="B1155" s="238"/>
      <c r="C1155" s="198"/>
      <c r="D1155" s="198"/>
      <c r="E1155" s="199"/>
      <c r="F1155" s="200"/>
      <c r="G1155" s="201"/>
      <c r="H1155" s="208"/>
      <c r="I1155" s="209"/>
      <c r="J1155" s="209"/>
      <c r="K1155" s="198"/>
      <c r="L1155" s="204"/>
      <c r="M1155" s="205"/>
      <c r="N1155" s="206"/>
      <c r="O1155" s="207"/>
      <c r="P1155" s="207"/>
      <c r="Q1155" s="207"/>
      <c r="R1155" s="207"/>
      <c r="S1155" s="198"/>
      <c r="T1155" s="201"/>
    </row>
    <row r="1156" spans="1:20" ht="22.5" hidden="1" customHeight="1" x14ac:dyDescent="0.25">
      <c r="A1156" s="208"/>
      <c r="B1156" s="238"/>
      <c r="C1156" s="198"/>
      <c r="D1156" s="198"/>
      <c r="E1156" s="199"/>
      <c r="F1156" s="200"/>
      <c r="G1156" s="201"/>
      <c r="H1156" s="208"/>
      <c r="I1156" s="209"/>
      <c r="J1156" s="209"/>
      <c r="K1156" s="198"/>
      <c r="L1156" s="204"/>
      <c r="M1156" s="205"/>
      <c r="N1156" s="206"/>
      <c r="O1156" s="207"/>
      <c r="P1156" s="207"/>
      <c r="Q1156" s="207"/>
      <c r="R1156" s="207"/>
      <c r="S1156" s="198"/>
      <c r="T1156" s="201"/>
    </row>
    <row r="1157" spans="1:20" ht="22.5" hidden="1" customHeight="1" x14ac:dyDescent="0.25">
      <c r="A1157" s="208"/>
      <c r="B1157" s="238"/>
      <c r="C1157" s="198"/>
      <c r="D1157" s="198"/>
      <c r="E1157" s="199"/>
      <c r="F1157" s="200"/>
      <c r="G1157" s="201"/>
      <c r="H1157" s="208"/>
      <c r="I1157" s="209"/>
      <c r="J1157" s="209"/>
      <c r="K1157" s="198"/>
      <c r="L1157" s="204"/>
      <c r="M1157" s="205"/>
      <c r="N1157" s="206"/>
      <c r="O1157" s="207"/>
      <c r="P1157" s="207"/>
      <c r="Q1157" s="207"/>
      <c r="R1157" s="207"/>
      <c r="S1157" s="198"/>
      <c r="T1157" s="201"/>
    </row>
    <row r="1158" spans="1:20" ht="22.5" hidden="1" customHeight="1" x14ac:dyDescent="0.25">
      <c r="A1158" s="208"/>
      <c r="B1158" s="238"/>
      <c r="C1158" s="198"/>
      <c r="D1158" s="198"/>
      <c r="E1158" s="199"/>
      <c r="F1158" s="200"/>
      <c r="G1158" s="201"/>
      <c r="H1158" s="208"/>
      <c r="I1158" s="209"/>
      <c r="J1158" s="209"/>
      <c r="K1158" s="198"/>
      <c r="L1158" s="204"/>
      <c r="M1158" s="205"/>
      <c r="N1158" s="206"/>
      <c r="O1158" s="207"/>
      <c r="P1158" s="207"/>
      <c r="Q1158" s="207"/>
      <c r="R1158" s="207"/>
      <c r="S1158" s="198"/>
      <c r="T1158" s="201"/>
    </row>
    <row r="1159" spans="1:20" ht="22.5" hidden="1" customHeight="1" x14ac:dyDescent="0.25">
      <c r="A1159" s="208"/>
      <c r="B1159" s="238"/>
      <c r="C1159" s="198"/>
      <c r="D1159" s="198"/>
      <c r="E1159" s="199"/>
      <c r="F1159" s="200"/>
      <c r="G1159" s="201"/>
      <c r="H1159" s="208"/>
      <c r="I1159" s="209"/>
      <c r="J1159" s="209"/>
      <c r="K1159" s="198"/>
      <c r="L1159" s="204"/>
      <c r="M1159" s="205"/>
      <c r="N1159" s="206"/>
      <c r="O1159" s="207"/>
      <c r="P1159" s="207"/>
      <c r="Q1159" s="207"/>
      <c r="R1159" s="207"/>
      <c r="S1159" s="198"/>
      <c r="T1159" s="201"/>
    </row>
    <row r="1160" spans="1:20" ht="22.5" hidden="1" customHeight="1" x14ac:dyDescent="0.25">
      <c r="A1160" s="208"/>
      <c r="B1160" s="238"/>
      <c r="C1160" s="198"/>
      <c r="D1160" s="198"/>
      <c r="E1160" s="199"/>
      <c r="F1160" s="200"/>
      <c r="G1160" s="201"/>
      <c r="H1160" s="208"/>
      <c r="I1160" s="209"/>
      <c r="J1160" s="209"/>
      <c r="K1160" s="198"/>
      <c r="L1160" s="204"/>
      <c r="M1160" s="205"/>
      <c r="N1160" s="206"/>
      <c r="O1160" s="207"/>
      <c r="P1160" s="207"/>
      <c r="Q1160" s="207"/>
      <c r="R1160" s="207"/>
      <c r="S1160" s="198"/>
      <c r="T1160" s="201"/>
    </row>
    <row r="1161" spans="1:20" ht="22.5" hidden="1" customHeight="1" x14ac:dyDescent="0.25">
      <c r="A1161" s="208"/>
      <c r="B1161" s="238"/>
      <c r="C1161" s="198"/>
      <c r="D1161" s="198"/>
      <c r="E1161" s="199"/>
      <c r="F1161" s="200"/>
      <c r="G1161" s="201"/>
      <c r="H1161" s="208"/>
      <c r="I1161" s="209"/>
      <c r="J1161" s="209"/>
      <c r="K1161" s="198"/>
      <c r="L1161" s="204"/>
      <c r="M1161" s="205"/>
      <c r="N1161" s="206"/>
      <c r="O1161" s="207"/>
      <c r="P1161" s="207"/>
      <c r="Q1161" s="207"/>
      <c r="R1161" s="207"/>
      <c r="S1161" s="198"/>
      <c r="T1161" s="201"/>
    </row>
    <row r="1162" spans="1:20" ht="22.5" hidden="1" customHeight="1" x14ac:dyDescent="0.25">
      <c r="A1162" s="208"/>
      <c r="B1162" s="238"/>
      <c r="C1162" s="198"/>
      <c r="D1162" s="198"/>
      <c r="E1162" s="199"/>
      <c r="F1162" s="200"/>
      <c r="G1162" s="201"/>
      <c r="H1162" s="208"/>
      <c r="I1162" s="209"/>
      <c r="J1162" s="209"/>
      <c r="K1162" s="198"/>
      <c r="L1162" s="204"/>
      <c r="M1162" s="205"/>
      <c r="N1162" s="206"/>
      <c r="O1162" s="207"/>
      <c r="P1162" s="207"/>
      <c r="Q1162" s="207"/>
      <c r="R1162" s="207"/>
      <c r="S1162" s="198"/>
      <c r="T1162" s="201"/>
    </row>
    <row r="1163" spans="1:20" ht="22.5" hidden="1" customHeight="1" x14ac:dyDescent="0.25">
      <c r="A1163" s="208"/>
      <c r="B1163" s="238"/>
      <c r="C1163" s="198"/>
      <c r="D1163" s="198"/>
      <c r="E1163" s="199"/>
      <c r="F1163" s="200"/>
      <c r="G1163" s="201"/>
      <c r="H1163" s="208"/>
      <c r="I1163" s="209"/>
      <c r="J1163" s="209"/>
      <c r="K1163" s="198"/>
      <c r="L1163" s="204"/>
      <c r="M1163" s="205"/>
      <c r="N1163" s="206"/>
      <c r="O1163" s="207"/>
      <c r="P1163" s="207"/>
      <c r="Q1163" s="207"/>
      <c r="R1163" s="207"/>
      <c r="S1163" s="198"/>
      <c r="T1163" s="201"/>
    </row>
    <row r="1164" spans="1:20" ht="22.5" hidden="1" customHeight="1" x14ac:dyDescent="0.25">
      <c r="A1164" s="208"/>
      <c r="B1164" s="238"/>
      <c r="C1164" s="198"/>
      <c r="D1164" s="198"/>
      <c r="E1164" s="199"/>
      <c r="F1164" s="200"/>
      <c r="G1164" s="201"/>
      <c r="H1164" s="208"/>
      <c r="I1164" s="209"/>
      <c r="J1164" s="209"/>
      <c r="K1164" s="198"/>
      <c r="L1164" s="204"/>
      <c r="M1164" s="205"/>
      <c r="N1164" s="206"/>
      <c r="O1164" s="207"/>
      <c r="P1164" s="207"/>
      <c r="Q1164" s="207"/>
      <c r="R1164" s="207"/>
      <c r="S1164" s="198"/>
      <c r="T1164" s="201"/>
    </row>
    <row r="1165" spans="1:20" ht="22.5" hidden="1" customHeight="1" x14ac:dyDescent="0.25">
      <c r="A1165" s="208"/>
      <c r="B1165" s="238"/>
      <c r="C1165" s="198"/>
      <c r="D1165" s="198"/>
      <c r="E1165" s="199"/>
      <c r="F1165" s="200"/>
      <c r="G1165" s="201"/>
      <c r="H1165" s="208"/>
      <c r="I1165" s="209"/>
      <c r="J1165" s="209"/>
      <c r="K1165" s="198"/>
      <c r="L1165" s="204"/>
      <c r="M1165" s="205"/>
      <c r="N1165" s="206"/>
      <c r="O1165" s="207"/>
      <c r="P1165" s="207"/>
      <c r="Q1165" s="207"/>
      <c r="R1165" s="207"/>
      <c r="S1165" s="198"/>
      <c r="T1165" s="201"/>
    </row>
    <row r="1166" spans="1:20" ht="22.5" hidden="1" customHeight="1" x14ac:dyDescent="0.25">
      <c r="A1166" s="208"/>
      <c r="B1166" s="238"/>
      <c r="C1166" s="198"/>
      <c r="D1166" s="198"/>
      <c r="E1166" s="199"/>
      <c r="F1166" s="200"/>
      <c r="G1166" s="201"/>
      <c r="H1166" s="208"/>
      <c r="I1166" s="209"/>
      <c r="J1166" s="209"/>
      <c r="K1166" s="198"/>
      <c r="L1166" s="204"/>
      <c r="M1166" s="205"/>
      <c r="N1166" s="206"/>
      <c r="O1166" s="207"/>
      <c r="P1166" s="207"/>
      <c r="Q1166" s="207"/>
      <c r="R1166" s="207"/>
      <c r="S1166" s="198"/>
      <c r="T1166" s="201"/>
    </row>
    <row r="1167" spans="1:20" ht="22.5" hidden="1" customHeight="1" x14ac:dyDescent="0.25">
      <c r="A1167" s="208"/>
      <c r="B1167" s="238"/>
      <c r="C1167" s="198"/>
      <c r="D1167" s="198"/>
      <c r="E1167" s="199"/>
      <c r="F1167" s="200"/>
      <c r="G1167" s="201"/>
      <c r="H1167" s="208"/>
      <c r="I1167" s="209"/>
      <c r="J1167" s="209"/>
      <c r="K1167" s="198"/>
      <c r="L1167" s="204"/>
      <c r="M1167" s="205"/>
      <c r="N1167" s="206"/>
      <c r="O1167" s="207"/>
      <c r="P1167" s="207"/>
      <c r="Q1167" s="207"/>
      <c r="R1167" s="207"/>
      <c r="S1167" s="198"/>
      <c r="T1167" s="201"/>
    </row>
    <row r="1168" spans="1:20" ht="22.5" hidden="1" customHeight="1" x14ac:dyDescent="0.25">
      <c r="A1168" s="208"/>
      <c r="B1168" s="238"/>
      <c r="C1168" s="198"/>
      <c r="D1168" s="198"/>
      <c r="E1168" s="199"/>
      <c r="F1168" s="200"/>
      <c r="G1168" s="201"/>
      <c r="H1168" s="208"/>
      <c r="I1168" s="209"/>
      <c r="J1168" s="209"/>
      <c r="K1168" s="198"/>
      <c r="L1168" s="204"/>
      <c r="M1168" s="205"/>
      <c r="N1168" s="206"/>
      <c r="O1168" s="207"/>
      <c r="P1168" s="207"/>
      <c r="Q1168" s="207"/>
      <c r="R1168" s="207"/>
      <c r="S1168" s="198"/>
      <c r="T1168" s="201"/>
    </row>
    <row r="1169" spans="1:20" ht="22.5" hidden="1" customHeight="1" x14ac:dyDescent="0.25">
      <c r="A1169" s="208"/>
      <c r="B1169" s="238"/>
      <c r="C1169" s="198"/>
      <c r="D1169" s="198"/>
      <c r="E1169" s="199"/>
      <c r="F1169" s="200"/>
      <c r="G1169" s="201"/>
      <c r="H1169" s="208"/>
      <c r="I1169" s="209"/>
      <c r="J1169" s="209"/>
      <c r="K1169" s="198"/>
      <c r="L1169" s="204"/>
      <c r="M1169" s="205"/>
      <c r="N1169" s="206"/>
      <c r="O1169" s="207"/>
      <c r="P1169" s="207"/>
      <c r="Q1169" s="207"/>
      <c r="R1169" s="207"/>
      <c r="S1169" s="198"/>
      <c r="T1169" s="201"/>
    </row>
    <row r="1170" spans="1:20" ht="22.5" hidden="1" customHeight="1" x14ac:dyDescent="0.25">
      <c r="A1170" s="208"/>
      <c r="B1170" s="238"/>
      <c r="C1170" s="198"/>
      <c r="D1170" s="198"/>
      <c r="E1170" s="199"/>
      <c r="F1170" s="200"/>
      <c r="G1170" s="201"/>
      <c r="H1170" s="208"/>
      <c r="I1170" s="209"/>
      <c r="J1170" s="209"/>
      <c r="K1170" s="198"/>
      <c r="L1170" s="204"/>
      <c r="M1170" s="205"/>
      <c r="N1170" s="206"/>
      <c r="O1170" s="207"/>
      <c r="P1170" s="207"/>
      <c r="Q1170" s="207"/>
      <c r="R1170" s="207"/>
      <c r="S1170" s="198"/>
      <c r="T1170" s="201"/>
    </row>
    <row r="1171" spans="1:20" ht="22.5" hidden="1" customHeight="1" x14ac:dyDescent="0.25">
      <c r="A1171" s="208"/>
      <c r="B1171" s="238"/>
      <c r="C1171" s="198"/>
      <c r="D1171" s="198"/>
      <c r="E1171" s="199"/>
      <c r="F1171" s="200"/>
      <c r="G1171" s="201"/>
      <c r="H1171" s="208"/>
      <c r="I1171" s="209"/>
      <c r="J1171" s="209"/>
      <c r="K1171" s="198"/>
      <c r="L1171" s="204"/>
      <c r="M1171" s="205"/>
      <c r="N1171" s="206"/>
      <c r="O1171" s="207"/>
      <c r="P1171" s="207"/>
      <c r="Q1171" s="207"/>
      <c r="R1171" s="207"/>
      <c r="S1171" s="198"/>
      <c r="T1171" s="201"/>
    </row>
    <row r="1172" spans="1:20" ht="22.5" hidden="1" customHeight="1" x14ac:dyDescent="0.25">
      <c r="A1172" s="208"/>
      <c r="B1172" s="238"/>
      <c r="C1172" s="198"/>
      <c r="D1172" s="198"/>
      <c r="E1172" s="199"/>
      <c r="F1172" s="200"/>
      <c r="G1172" s="201"/>
      <c r="H1172" s="208"/>
      <c r="I1172" s="209"/>
      <c r="J1172" s="209"/>
      <c r="K1172" s="198"/>
      <c r="L1172" s="204"/>
      <c r="M1172" s="205"/>
      <c r="N1172" s="206"/>
      <c r="O1172" s="207"/>
      <c r="P1172" s="207"/>
      <c r="Q1172" s="207"/>
      <c r="R1172" s="207"/>
      <c r="S1172" s="198"/>
      <c r="T1172" s="201"/>
    </row>
    <row r="1173" spans="1:20" ht="22.5" hidden="1" customHeight="1" x14ac:dyDescent="0.25">
      <c r="A1173" s="208"/>
      <c r="B1173" s="238"/>
      <c r="C1173" s="198"/>
      <c r="D1173" s="198"/>
      <c r="E1173" s="199"/>
      <c r="F1173" s="200"/>
      <c r="G1173" s="201"/>
      <c r="H1173" s="208"/>
      <c r="I1173" s="209"/>
      <c r="J1173" s="209"/>
      <c r="K1173" s="198"/>
      <c r="L1173" s="204"/>
      <c r="M1173" s="205"/>
      <c r="N1173" s="206"/>
      <c r="O1173" s="207"/>
      <c r="P1173" s="207"/>
      <c r="Q1173" s="207"/>
      <c r="R1173" s="207"/>
      <c r="S1173" s="198"/>
      <c r="T1173" s="201"/>
    </row>
    <row r="1174" spans="1:20" ht="22.5" hidden="1" customHeight="1" x14ac:dyDescent="0.25">
      <c r="A1174" s="208"/>
      <c r="B1174" s="238"/>
      <c r="C1174" s="198"/>
      <c r="D1174" s="198"/>
      <c r="E1174" s="199"/>
      <c r="F1174" s="200"/>
      <c r="G1174" s="201"/>
      <c r="H1174" s="208"/>
      <c r="I1174" s="209"/>
      <c r="J1174" s="209"/>
      <c r="K1174" s="198"/>
      <c r="L1174" s="204"/>
      <c r="M1174" s="205"/>
      <c r="N1174" s="206"/>
      <c r="O1174" s="207"/>
      <c r="P1174" s="207"/>
      <c r="Q1174" s="207"/>
      <c r="R1174" s="207"/>
      <c r="S1174" s="198"/>
      <c r="T1174" s="201"/>
    </row>
    <row r="1175" spans="1:20" ht="22.5" hidden="1" customHeight="1" x14ac:dyDescent="0.25">
      <c r="A1175" s="208"/>
      <c r="B1175" s="238"/>
      <c r="C1175" s="198"/>
      <c r="D1175" s="198"/>
      <c r="E1175" s="199"/>
      <c r="F1175" s="200"/>
      <c r="G1175" s="201"/>
      <c r="H1175" s="208"/>
      <c r="I1175" s="209"/>
      <c r="J1175" s="209"/>
      <c r="K1175" s="198"/>
      <c r="L1175" s="204"/>
      <c r="M1175" s="205"/>
      <c r="N1175" s="206"/>
      <c r="O1175" s="207"/>
      <c r="P1175" s="207"/>
      <c r="Q1175" s="207"/>
      <c r="R1175" s="207"/>
      <c r="S1175" s="198"/>
      <c r="T1175" s="201"/>
    </row>
    <row r="1176" spans="1:20" ht="22.5" hidden="1" customHeight="1" x14ac:dyDescent="0.25">
      <c r="A1176" s="208"/>
      <c r="B1176" s="238"/>
      <c r="C1176" s="198"/>
      <c r="D1176" s="198"/>
      <c r="E1176" s="199"/>
      <c r="F1176" s="200"/>
      <c r="G1176" s="201"/>
      <c r="H1176" s="208"/>
      <c r="I1176" s="209"/>
      <c r="J1176" s="209"/>
      <c r="K1176" s="198"/>
      <c r="L1176" s="204"/>
      <c r="M1176" s="205"/>
      <c r="N1176" s="206"/>
      <c r="O1176" s="207"/>
      <c r="P1176" s="207"/>
      <c r="Q1176" s="207"/>
      <c r="R1176" s="207"/>
      <c r="S1176" s="198"/>
      <c r="T1176" s="201"/>
    </row>
    <row r="1177" spans="1:20" ht="22.5" hidden="1" customHeight="1" x14ac:dyDescent="0.25">
      <c r="A1177" s="208"/>
      <c r="B1177" s="238"/>
      <c r="C1177" s="198"/>
      <c r="D1177" s="198"/>
      <c r="E1177" s="199"/>
      <c r="F1177" s="200"/>
      <c r="G1177" s="201"/>
      <c r="H1177" s="208"/>
      <c r="I1177" s="209"/>
      <c r="J1177" s="209"/>
      <c r="K1177" s="198"/>
      <c r="L1177" s="204"/>
      <c r="M1177" s="205"/>
      <c r="N1177" s="206"/>
      <c r="O1177" s="207"/>
      <c r="P1177" s="207"/>
      <c r="Q1177" s="207"/>
      <c r="R1177" s="207"/>
      <c r="S1177" s="198"/>
      <c r="T1177" s="201"/>
    </row>
    <row r="1178" spans="1:20" ht="22.5" hidden="1" customHeight="1" x14ac:dyDescent="0.25">
      <c r="A1178" s="208"/>
      <c r="B1178" s="238"/>
      <c r="C1178" s="198"/>
      <c r="D1178" s="198"/>
      <c r="E1178" s="199"/>
      <c r="F1178" s="200"/>
      <c r="G1178" s="201"/>
      <c r="H1178" s="208"/>
      <c r="I1178" s="209"/>
      <c r="J1178" s="209"/>
      <c r="K1178" s="198"/>
      <c r="L1178" s="204"/>
      <c r="M1178" s="205"/>
      <c r="N1178" s="206"/>
      <c r="O1178" s="207"/>
      <c r="P1178" s="207"/>
      <c r="Q1178" s="207"/>
      <c r="R1178" s="207"/>
      <c r="S1178" s="198"/>
      <c r="T1178" s="201"/>
    </row>
    <row r="1179" spans="1:20" ht="22.5" hidden="1" customHeight="1" x14ac:dyDescent="0.25">
      <c r="A1179" s="208"/>
      <c r="B1179" s="238"/>
      <c r="C1179" s="198"/>
      <c r="D1179" s="198"/>
      <c r="E1179" s="199"/>
      <c r="F1179" s="200"/>
      <c r="G1179" s="201"/>
      <c r="H1179" s="208"/>
      <c r="I1179" s="209"/>
      <c r="J1179" s="209"/>
      <c r="K1179" s="198"/>
      <c r="L1179" s="204"/>
      <c r="M1179" s="205"/>
      <c r="N1179" s="206"/>
      <c r="O1179" s="207"/>
      <c r="P1179" s="207"/>
      <c r="Q1179" s="207"/>
      <c r="R1179" s="207"/>
      <c r="S1179" s="198"/>
      <c r="T1179" s="201"/>
    </row>
    <row r="1180" spans="1:20" ht="22.5" hidden="1" customHeight="1" x14ac:dyDescent="0.25">
      <c r="A1180" s="208"/>
      <c r="B1180" s="238"/>
      <c r="C1180" s="198"/>
      <c r="D1180" s="198"/>
      <c r="E1180" s="199"/>
      <c r="F1180" s="200"/>
      <c r="G1180" s="201"/>
      <c r="H1180" s="208"/>
      <c r="I1180" s="209"/>
      <c r="J1180" s="209"/>
      <c r="K1180" s="198"/>
      <c r="L1180" s="204"/>
      <c r="M1180" s="205"/>
      <c r="N1180" s="206"/>
      <c r="O1180" s="207"/>
      <c r="P1180" s="207"/>
      <c r="Q1180" s="207"/>
      <c r="R1180" s="207"/>
      <c r="S1180" s="198"/>
      <c r="T1180" s="201"/>
    </row>
    <row r="1181" spans="1:20" ht="22.5" hidden="1" customHeight="1" x14ac:dyDescent="0.25">
      <c r="A1181" s="208"/>
      <c r="B1181" s="238"/>
      <c r="C1181" s="198"/>
      <c r="D1181" s="198"/>
      <c r="E1181" s="199"/>
      <c r="F1181" s="200"/>
      <c r="G1181" s="201"/>
      <c r="H1181" s="208"/>
      <c r="I1181" s="209"/>
      <c r="J1181" s="209"/>
      <c r="K1181" s="198"/>
      <c r="L1181" s="204"/>
      <c r="M1181" s="205"/>
      <c r="N1181" s="206"/>
      <c r="O1181" s="207"/>
      <c r="P1181" s="207"/>
      <c r="Q1181" s="207"/>
      <c r="R1181" s="207"/>
      <c r="S1181" s="198"/>
      <c r="T1181" s="201"/>
    </row>
    <row r="1182" spans="1:20" ht="22.5" hidden="1" customHeight="1" x14ac:dyDescent="0.25">
      <c r="A1182" s="208"/>
      <c r="B1182" s="238"/>
      <c r="C1182" s="198"/>
      <c r="D1182" s="198"/>
      <c r="E1182" s="199"/>
      <c r="F1182" s="200"/>
      <c r="G1182" s="201"/>
      <c r="H1182" s="208"/>
      <c r="I1182" s="209"/>
      <c r="J1182" s="209"/>
      <c r="K1182" s="198"/>
      <c r="L1182" s="204"/>
      <c r="M1182" s="205"/>
      <c r="N1182" s="206"/>
      <c r="O1182" s="207"/>
      <c r="P1182" s="207"/>
      <c r="Q1182" s="207"/>
      <c r="R1182" s="207"/>
      <c r="S1182" s="198"/>
      <c r="T1182" s="201"/>
    </row>
    <row r="1183" spans="1:20" ht="22.5" hidden="1" customHeight="1" x14ac:dyDescent="0.25">
      <c r="A1183" s="208"/>
      <c r="B1183" s="238"/>
      <c r="C1183" s="198"/>
      <c r="D1183" s="198"/>
      <c r="E1183" s="199"/>
      <c r="F1183" s="200"/>
      <c r="G1183" s="201"/>
      <c r="H1183" s="208"/>
      <c r="I1183" s="209"/>
      <c r="J1183" s="209"/>
      <c r="K1183" s="198"/>
      <c r="L1183" s="204"/>
      <c r="M1183" s="205"/>
      <c r="N1183" s="206"/>
      <c r="O1183" s="207"/>
      <c r="P1183" s="207"/>
      <c r="Q1183" s="207"/>
      <c r="R1183" s="207"/>
      <c r="S1183" s="198"/>
      <c r="T1183" s="201"/>
    </row>
    <row r="1184" spans="1:20" ht="22.5" hidden="1" customHeight="1" x14ac:dyDescent="0.25">
      <c r="A1184" s="208"/>
      <c r="B1184" s="238"/>
      <c r="C1184" s="198"/>
      <c r="D1184" s="198"/>
      <c r="E1184" s="199"/>
      <c r="F1184" s="200"/>
      <c r="G1184" s="201"/>
      <c r="H1184" s="208"/>
      <c r="I1184" s="209"/>
      <c r="J1184" s="209"/>
      <c r="K1184" s="198"/>
      <c r="L1184" s="204"/>
      <c r="M1184" s="205"/>
      <c r="N1184" s="206"/>
      <c r="O1184" s="207"/>
      <c r="P1184" s="207"/>
      <c r="Q1184" s="207"/>
      <c r="R1184" s="207"/>
      <c r="S1184" s="198"/>
      <c r="T1184" s="201"/>
    </row>
    <row r="1185" spans="1:20" ht="22.5" hidden="1" customHeight="1" x14ac:dyDescent="0.25">
      <c r="A1185" s="208"/>
      <c r="B1185" s="238"/>
      <c r="C1185" s="198"/>
      <c r="D1185" s="198"/>
      <c r="E1185" s="199"/>
      <c r="F1185" s="200"/>
      <c r="G1185" s="201"/>
      <c r="H1185" s="208"/>
      <c r="I1185" s="209"/>
      <c r="J1185" s="209"/>
      <c r="K1185" s="198"/>
      <c r="L1185" s="204"/>
      <c r="M1185" s="205"/>
      <c r="N1185" s="206"/>
      <c r="O1185" s="207"/>
      <c r="P1185" s="207"/>
      <c r="Q1185" s="207"/>
      <c r="R1185" s="207"/>
      <c r="S1185" s="198"/>
      <c r="T1185" s="201"/>
    </row>
    <row r="1186" spans="1:20" ht="22.5" hidden="1" customHeight="1" x14ac:dyDescent="0.25">
      <c r="A1186" s="208"/>
      <c r="B1186" s="238"/>
      <c r="C1186" s="198"/>
      <c r="D1186" s="198"/>
      <c r="E1186" s="199"/>
      <c r="F1186" s="200"/>
      <c r="G1186" s="201"/>
      <c r="H1186" s="208"/>
      <c r="I1186" s="209"/>
      <c r="J1186" s="209"/>
      <c r="K1186" s="198"/>
      <c r="L1186" s="204"/>
      <c r="M1186" s="205"/>
      <c r="N1186" s="206"/>
      <c r="O1186" s="207"/>
      <c r="P1186" s="207"/>
      <c r="Q1186" s="207"/>
      <c r="R1186" s="207"/>
      <c r="S1186" s="198"/>
      <c r="T1186" s="201"/>
    </row>
    <row r="1187" spans="1:20" ht="22.5" hidden="1" customHeight="1" x14ac:dyDescent="0.25">
      <c r="A1187" s="208"/>
      <c r="B1187" s="238"/>
      <c r="C1187" s="198"/>
      <c r="D1187" s="198"/>
      <c r="E1187" s="199"/>
      <c r="F1187" s="200"/>
      <c r="G1187" s="201"/>
      <c r="H1187" s="208"/>
      <c r="I1187" s="209"/>
      <c r="J1187" s="209"/>
      <c r="K1187" s="198"/>
      <c r="L1187" s="204"/>
      <c r="M1187" s="205"/>
      <c r="N1187" s="206"/>
      <c r="O1187" s="207"/>
      <c r="P1187" s="207"/>
      <c r="Q1187" s="207"/>
      <c r="R1187" s="207"/>
      <c r="S1187" s="198"/>
      <c r="T1187" s="201"/>
    </row>
    <row r="1188" spans="1:20" ht="22.5" hidden="1" customHeight="1" x14ac:dyDescent="0.25">
      <c r="A1188" s="208"/>
      <c r="B1188" s="238"/>
      <c r="C1188" s="198"/>
      <c r="D1188" s="198"/>
      <c r="E1188" s="199"/>
      <c r="F1188" s="200"/>
      <c r="G1188" s="201"/>
      <c r="H1188" s="208"/>
      <c r="I1188" s="209"/>
      <c r="J1188" s="209"/>
      <c r="K1188" s="198"/>
      <c r="L1188" s="204"/>
      <c r="M1188" s="205"/>
      <c r="N1188" s="206"/>
      <c r="O1188" s="207"/>
      <c r="P1188" s="207"/>
      <c r="Q1188" s="207"/>
      <c r="R1188" s="207"/>
      <c r="S1188" s="198"/>
      <c r="T1188" s="201"/>
    </row>
    <row r="1189" spans="1:20" ht="22.5" hidden="1" customHeight="1" x14ac:dyDescent="0.25">
      <c r="A1189" s="208"/>
      <c r="B1189" s="238"/>
      <c r="C1189" s="198"/>
      <c r="D1189" s="198"/>
      <c r="E1189" s="199"/>
      <c r="F1189" s="200"/>
      <c r="G1189" s="201"/>
      <c r="H1189" s="208"/>
      <c r="I1189" s="209"/>
      <c r="J1189" s="209"/>
      <c r="K1189" s="198"/>
      <c r="L1189" s="204"/>
      <c r="M1189" s="205"/>
      <c r="N1189" s="206"/>
      <c r="O1189" s="207"/>
      <c r="P1189" s="207"/>
      <c r="Q1189" s="207"/>
      <c r="R1189" s="207"/>
      <c r="S1189" s="198"/>
      <c r="T1189" s="201"/>
    </row>
    <row r="1190" spans="1:20" ht="22.5" hidden="1" customHeight="1" x14ac:dyDescent="0.25">
      <c r="A1190" s="208"/>
      <c r="B1190" s="238"/>
      <c r="C1190" s="198"/>
      <c r="D1190" s="198"/>
      <c r="E1190" s="199"/>
      <c r="F1190" s="200"/>
      <c r="G1190" s="201"/>
      <c r="H1190" s="208"/>
      <c r="I1190" s="209"/>
      <c r="J1190" s="209"/>
      <c r="K1190" s="198"/>
      <c r="L1190" s="204"/>
      <c r="M1190" s="205"/>
      <c r="N1190" s="206"/>
      <c r="O1190" s="207"/>
      <c r="P1190" s="207"/>
      <c r="Q1190" s="207"/>
      <c r="R1190" s="207"/>
      <c r="S1190" s="198"/>
      <c r="T1190" s="201"/>
    </row>
    <row r="1191" spans="1:20" ht="22.5" hidden="1" customHeight="1" x14ac:dyDescent="0.25">
      <c r="A1191" s="208"/>
      <c r="B1191" s="238"/>
      <c r="C1191" s="198"/>
      <c r="D1191" s="198"/>
      <c r="E1191" s="199"/>
      <c r="F1191" s="200"/>
      <c r="G1191" s="201"/>
      <c r="H1191" s="208"/>
      <c r="I1191" s="209"/>
      <c r="J1191" s="209"/>
      <c r="K1191" s="198"/>
      <c r="L1191" s="204"/>
      <c r="M1191" s="205"/>
      <c r="N1191" s="206"/>
      <c r="O1191" s="207"/>
      <c r="P1191" s="207"/>
      <c r="Q1191" s="207"/>
      <c r="R1191" s="207"/>
      <c r="S1191" s="198"/>
      <c r="T1191" s="201"/>
    </row>
    <row r="1192" spans="1:20" ht="22.5" hidden="1" customHeight="1" x14ac:dyDescent="0.25">
      <c r="A1192" s="208"/>
      <c r="B1192" s="238"/>
      <c r="C1192" s="198"/>
      <c r="D1192" s="198"/>
      <c r="E1192" s="199"/>
      <c r="F1192" s="200"/>
      <c r="G1192" s="201"/>
      <c r="H1192" s="208"/>
      <c r="I1192" s="209"/>
      <c r="J1192" s="209"/>
      <c r="K1192" s="198"/>
      <c r="L1192" s="204"/>
      <c r="M1192" s="205"/>
      <c r="N1192" s="206"/>
      <c r="O1192" s="207"/>
      <c r="P1192" s="207"/>
      <c r="Q1192" s="207"/>
      <c r="R1192" s="207"/>
      <c r="S1192" s="198"/>
      <c r="T1192" s="201"/>
    </row>
    <row r="1193" spans="1:20" ht="22.5" hidden="1" customHeight="1" x14ac:dyDescent="0.25">
      <c r="A1193" s="208"/>
      <c r="B1193" s="238"/>
      <c r="C1193" s="198"/>
      <c r="D1193" s="198"/>
      <c r="E1193" s="199"/>
      <c r="F1193" s="200"/>
      <c r="G1193" s="201"/>
      <c r="H1193" s="208"/>
      <c r="I1193" s="209"/>
      <c r="J1193" s="209"/>
      <c r="K1193" s="198"/>
      <c r="L1193" s="204"/>
      <c r="M1193" s="205"/>
      <c r="N1193" s="206"/>
      <c r="O1193" s="207"/>
      <c r="P1193" s="207"/>
      <c r="Q1193" s="207"/>
      <c r="R1193" s="207"/>
      <c r="S1193" s="198"/>
      <c r="T1193" s="201"/>
    </row>
    <row r="1194" spans="1:20" ht="22.5" hidden="1" customHeight="1" x14ac:dyDescent="0.25">
      <c r="A1194" s="208"/>
      <c r="B1194" s="238"/>
      <c r="C1194" s="198"/>
      <c r="D1194" s="198"/>
      <c r="E1194" s="199"/>
      <c r="F1194" s="200"/>
      <c r="G1194" s="201"/>
      <c r="H1194" s="208"/>
      <c r="I1194" s="209"/>
      <c r="J1194" s="209"/>
      <c r="K1194" s="198"/>
      <c r="L1194" s="204"/>
      <c r="M1194" s="205"/>
      <c r="N1194" s="206"/>
      <c r="O1194" s="207"/>
      <c r="P1194" s="207"/>
      <c r="Q1194" s="207"/>
      <c r="R1194" s="207"/>
      <c r="S1194" s="198"/>
      <c r="T1194" s="201"/>
    </row>
    <row r="1195" spans="1:20" ht="22.5" hidden="1" customHeight="1" x14ac:dyDescent="0.25">
      <c r="A1195" s="208"/>
      <c r="B1195" s="238"/>
      <c r="C1195" s="198"/>
      <c r="D1195" s="198"/>
      <c r="E1195" s="199"/>
      <c r="F1195" s="200"/>
      <c r="G1195" s="201"/>
      <c r="H1195" s="208"/>
      <c r="I1195" s="209"/>
      <c r="J1195" s="209"/>
      <c r="K1195" s="198"/>
      <c r="L1195" s="204"/>
      <c r="M1195" s="205"/>
      <c r="N1195" s="206"/>
      <c r="O1195" s="207"/>
      <c r="P1195" s="207"/>
      <c r="Q1195" s="207"/>
      <c r="R1195" s="207"/>
      <c r="S1195" s="198"/>
      <c r="T1195" s="201"/>
    </row>
    <row r="1196" spans="1:20" ht="22.5" hidden="1" customHeight="1" x14ac:dyDescent="0.25">
      <c r="A1196" s="208"/>
      <c r="B1196" s="238"/>
      <c r="C1196" s="198"/>
      <c r="D1196" s="198"/>
      <c r="E1196" s="199"/>
      <c r="F1196" s="200"/>
      <c r="G1196" s="201"/>
      <c r="H1196" s="208"/>
      <c r="I1196" s="209"/>
      <c r="J1196" s="209"/>
      <c r="K1196" s="198"/>
      <c r="L1196" s="204"/>
      <c r="M1196" s="205"/>
      <c r="N1196" s="206"/>
      <c r="O1196" s="207"/>
      <c r="P1196" s="207"/>
      <c r="Q1196" s="207"/>
      <c r="R1196" s="207"/>
      <c r="S1196" s="198"/>
      <c r="T1196" s="201"/>
    </row>
    <row r="1197" spans="1:20" ht="22.5" hidden="1" customHeight="1" x14ac:dyDescent="0.25">
      <c r="A1197" s="208"/>
      <c r="B1197" s="238"/>
      <c r="C1197" s="198"/>
      <c r="D1197" s="198"/>
      <c r="E1197" s="199"/>
      <c r="F1197" s="200"/>
      <c r="G1197" s="201"/>
      <c r="H1197" s="208"/>
      <c r="I1197" s="209"/>
      <c r="J1197" s="209"/>
      <c r="K1197" s="198"/>
      <c r="L1197" s="204"/>
      <c r="M1197" s="205"/>
      <c r="N1197" s="206"/>
      <c r="O1197" s="207"/>
      <c r="P1197" s="207"/>
      <c r="Q1197" s="207"/>
      <c r="R1197" s="207"/>
      <c r="S1197" s="198"/>
      <c r="T1197" s="201"/>
    </row>
    <row r="1198" spans="1:20" ht="22.5" hidden="1" customHeight="1" x14ac:dyDescent="0.25">
      <c r="A1198" s="208"/>
      <c r="B1198" s="238"/>
      <c r="C1198" s="198"/>
      <c r="D1198" s="198"/>
      <c r="E1198" s="199"/>
      <c r="F1198" s="200"/>
      <c r="G1198" s="201"/>
      <c r="H1198" s="208"/>
      <c r="I1198" s="209"/>
      <c r="J1198" s="209"/>
      <c r="K1198" s="198"/>
      <c r="L1198" s="204"/>
      <c r="M1198" s="205"/>
      <c r="N1198" s="206"/>
      <c r="O1198" s="207"/>
      <c r="P1198" s="207"/>
      <c r="Q1198" s="207"/>
      <c r="R1198" s="207"/>
      <c r="S1198" s="198"/>
      <c r="T1198" s="201"/>
    </row>
    <row r="1199" spans="1:20" ht="22.5" hidden="1" customHeight="1" x14ac:dyDescent="0.25">
      <c r="A1199" s="208"/>
      <c r="B1199" s="238"/>
      <c r="C1199" s="198"/>
      <c r="D1199" s="198"/>
      <c r="E1199" s="199"/>
      <c r="F1199" s="200"/>
      <c r="G1199" s="201"/>
      <c r="H1199" s="208"/>
      <c r="I1199" s="209"/>
      <c r="J1199" s="209"/>
      <c r="K1199" s="198"/>
      <c r="L1199" s="204"/>
      <c r="M1199" s="205"/>
      <c r="N1199" s="206"/>
      <c r="O1199" s="207"/>
      <c r="P1199" s="207"/>
      <c r="Q1199" s="207"/>
      <c r="R1199" s="207"/>
      <c r="S1199" s="198"/>
      <c r="T1199" s="201"/>
    </row>
    <row r="1200" spans="1:20" ht="22.5" hidden="1" customHeight="1" x14ac:dyDescent="0.25">
      <c r="A1200" s="208"/>
      <c r="B1200" s="238"/>
      <c r="C1200" s="198"/>
      <c r="D1200" s="198"/>
      <c r="E1200" s="199"/>
      <c r="F1200" s="200"/>
      <c r="G1200" s="201"/>
      <c r="H1200" s="208"/>
      <c r="I1200" s="209"/>
      <c r="J1200" s="209"/>
      <c r="K1200" s="198"/>
      <c r="L1200" s="204"/>
      <c r="M1200" s="205"/>
      <c r="N1200" s="206"/>
      <c r="O1200" s="207"/>
      <c r="P1200" s="207"/>
      <c r="Q1200" s="207"/>
      <c r="R1200" s="207"/>
      <c r="S1200" s="198"/>
      <c r="T1200" s="201"/>
    </row>
    <row r="1201" spans="1:20" ht="22.5" hidden="1" customHeight="1" x14ac:dyDescent="0.25">
      <c r="A1201" s="208"/>
      <c r="B1201" s="238"/>
      <c r="C1201" s="198"/>
      <c r="D1201" s="198"/>
      <c r="E1201" s="199"/>
      <c r="F1201" s="200"/>
      <c r="G1201" s="201"/>
      <c r="H1201" s="208"/>
      <c r="I1201" s="209"/>
      <c r="J1201" s="209"/>
      <c r="K1201" s="198"/>
      <c r="L1201" s="204"/>
      <c r="M1201" s="205"/>
      <c r="N1201" s="206"/>
      <c r="O1201" s="207"/>
      <c r="P1201" s="207"/>
      <c r="Q1201" s="207"/>
      <c r="R1201" s="207"/>
      <c r="S1201" s="198"/>
      <c r="T1201" s="201"/>
    </row>
    <row r="1202" spans="1:20" ht="22.5" hidden="1" customHeight="1" x14ac:dyDescent="0.25">
      <c r="A1202" s="208"/>
      <c r="B1202" s="238"/>
      <c r="C1202" s="198"/>
      <c r="D1202" s="198"/>
      <c r="E1202" s="199"/>
      <c r="F1202" s="200"/>
      <c r="G1202" s="201"/>
      <c r="H1202" s="208"/>
      <c r="I1202" s="209"/>
      <c r="J1202" s="209"/>
      <c r="K1202" s="198"/>
      <c r="L1202" s="204"/>
      <c r="M1202" s="205"/>
      <c r="N1202" s="206"/>
      <c r="O1202" s="207"/>
      <c r="P1202" s="207"/>
      <c r="Q1202" s="207"/>
      <c r="R1202" s="207"/>
      <c r="S1202" s="198"/>
      <c r="T1202" s="201"/>
    </row>
    <row r="1203" spans="1:20" ht="22.5" hidden="1" customHeight="1" x14ac:dyDescent="0.25">
      <c r="A1203" s="208"/>
      <c r="B1203" s="238"/>
      <c r="C1203" s="198"/>
      <c r="D1203" s="198"/>
      <c r="E1203" s="199"/>
      <c r="F1203" s="200"/>
      <c r="G1203" s="201"/>
      <c r="H1203" s="208"/>
      <c r="I1203" s="209"/>
      <c r="J1203" s="209"/>
      <c r="K1203" s="198"/>
      <c r="L1203" s="204"/>
      <c r="M1203" s="205"/>
      <c r="N1203" s="206"/>
      <c r="O1203" s="207"/>
      <c r="P1203" s="207"/>
      <c r="Q1203" s="207"/>
      <c r="R1203" s="207"/>
      <c r="S1203" s="198"/>
      <c r="T1203" s="201"/>
    </row>
    <row r="1204" spans="1:20" ht="22.5" hidden="1" customHeight="1" x14ac:dyDescent="0.25">
      <c r="A1204" s="208"/>
      <c r="B1204" s="238"/>
      <c r="C1204" s="198"/>
      <c r="D1204" s="198"/>
      <c r="E1204" s="199"/>
      <c r="F1204" s="200"/>
      <c r="G1204" s="201"/>
      <c r="H1204" s="208"/>
      <c r="I1204" s="209"/>
      <c r="J1204" s="209"/>
      <c r="K1204" s="198"/>
      <c r="L1204" s="204"/>
      <c r="M1204" s="205"/>
      <c r="N1204" s="206"/>
      <c r="O1204" s="207"/>
      <c r="P1204" s="207"/>
      <c r="Q1204" s="207"/>
      <c r="R1204" s="207"/>
      <c r="S1204" s="198"/>
      <c r="T1204" s="201"/>
    </row>
    <row r="1205" spans="1:20" ht="22.5" hidden="1" customHeight="1" x14ac:dyDescent="0.25">
      <c r="A1205" s="208"/>
      <c r="B1205" s="238"/>
      <c r="C1205" s="198"/>
      <c r="D1205" s="198"/>
      <c r="E1205" s="199"/>
      <c r="F1205" s="200"/>
      <c r="G1205" s="201"/>
      <c r="H1205" s="208"/>
      <c r="I1205" s="209"/>
      <c r="J1205" s="209"/>
      <c r="K1205" s="198"/>
      <c r="L1205" s="204"/>
      <c r="M1205" s="205"/>
      <c r="N1205" s="206"/>
      <c r="O1205" s="207"/>
      <c r="P1205" s="207"/>
      <c r="Q1205" s="207"/>
      <c r="R1205" s="207"/>
      <c r="S1205" s="198"/>
      <c r="T1205" s="201"/>
    </row>
    <row r="1206" spans="1:20" ht="22.5" hidden="1" customHeight="1" x14ac:dyDescent="0.25">
      <c r="A1206" s="208"/>
      <c r="B1206" s="238"/>
      <c r="C1206" s="198"/>
      <c r="D1206" s="198"/>
      <c r="E1206" s="199"/>
      <c r="F1206" s="200"/>
      <c r="G1206" s="201"/>
      <c r="H1206" s="208"/>
      <c r="I1206" s="209"/>
      <c r="J1206" s="209"/>
      <c r="K1206" s="198"/>
      <c r="L1206" s="204"/>
      <c r="M1206" s="205"/>
      <c r="N1206" s="206"/>
      <c r="O1206" s="207"/>
      <c r="P1206" s="207"/>
      <c r="Q1206" s="207"/>
      <c r="R1206" s="207"/>
      <c r="S1206" s="198"/>
      <c r="T1206" s="201"/>
    </row>
    <row r="1207" spans="1:20" ht="22.5" hidden="1" customHeight="1" x14ac:dyDescent="0.25">
      <c r="A1207" s="208"/>
      <c r="B1207" s="238"/>
      <c r="C1207" s="198"/>
      <c r="D1207" s="198"/>
      <c r="E1207" s="199"/>
      <c r="F1207" s="200"/>
      <c r="G1207" s="201"/>
      <c r="H1207" s="208"/>
      <c r="I1207" s="209"/>
      <c r="J1207" s="209"/>
      <c r="K1207" s="198"/>
      <c r="L1207" s="204"/>
      <c r="M1207" s="205"/>
      <c r="N1207" s="206"/>
      <c r="O1207" s="207"/>
      <c r="P1207" s="207"/>
      <c r="Q1207" s="207"/>
      <c r="R1207" s="207"/>
      <c r="S1207" s="198"/>
      <c r="T1207" s="201"/>
    </row>
    <row r="1208" spans="1:20" ht="22.5" hidden="1" customHeight="1" x14ac:dyDescent="0.25">
      <c r="A1208" s="208"/>
      <c r="B1208" s="238"/>
      <c r="C1208" s="198"/>
      <c r="D1208" s="198"/>
      <c r="E1208" s="199"/>
      <c r="F1208" s="200"/>
      <c r="G1208" s="201"/>
      <c r="H1208" s="208"/>
      <c r="I1208" s="209"/>
      <c r="J1208" s="209"/>
      <c r="K1208" s="198"/>
      <c r="L1208" s="204"/>
      <c r="M1208" s="205"/>
      <c r="N1208" s="206"/>
      <c r="O1208" s="207"/>
      <c r="P1208" s="207"/>
      <c r="Q1208" s="207"/>
      <c r="R1208" s="207"/>
      <c r="S1208" s="198"/>
      <c r="T1208" s="201"/>
    </row>
    <row r="1209" spans="1:20" ht="22.5" hidden="1" customHeight="1" x14ac:dyDescent="0.25">
      <c r="A1209" s="208"/>
      <c r="B1209" s="238"/>
      <c r="C1209" s="198"/>
      <c r="D1209" s="198"/>
      <c r="E1209" s="199"/>
      <c r="F1209" s="200"/>
      <c r="G1209" s="201"/>
      <c r="H1209" s="208"/>
      <c r="I1209" s="209"/>
      <c r="J1209" s="209"/>
      <c r="K1209" s="198"/>
      <c r="L1209" s="204"/>
      <c r="M1209" s="205"/>
      <c r="N1209" s="206"/>
      <c r="O1209" s="207"/>
      <c r="P1209" s="207"/>
      <c r="Q1209" s="207"/>
      <c r="R1209" s="207"/>
      <c r="S1209" s="198"/>
      <c r="T1209" s="201"/>
    </row>
    <row r="1210" spans="1:20" ht="22.5" hidden="1" customHeight="1" x14ac:dyDescent="0.25">
      <c r="A1210" s="208"/>
      <c r="B1210" s="238"/>
      <c r="C1210" s="198"/>
      <c r="D1210" s="198"/>
      <c r="E1210" s="199"/>
      <c r="F1210" s="200"/>
      <c r="G1210" s="201"/>
      <c r="H1210" s="208"/>
      <c r="I1210" s="209"/>
      <c r="J1210" s="209"/>
      <c r="K1210" s="198"/>
      <c r="L1210" s="204"/>
      <c r="M1210" s="205"/>
      <c r="N1210" s="206"/>
      <c r="O1210" s="207"/>
      <c r="P1210" s="207"/>
      <c r="Q1210" s="207"/>
      <c r="R1210" s="207"/>
      <c r="S1210" s="198"/>
      <c r="T1210" s="201"/>
    </row>
    <row r="1211" spans="1:20" ht="22.5" hidden="1" customHeight="1" x14ac:dyDescent="0.25">
      <c r="A1211" s="208"/>
      <c r="B1211" s="238"/>
      <c r="C1211" s="198"/>
      <c r="D1211" s="198"/>
      <c r="E1211" s="199"/>
      <c r="F1211" s="200"/>
      <c r="G1211" s="201"/>
      <c r="H1211" s="208"/>
      <c r="I1211" s="209"/>
      <c r="J1211" s="209"/>
      <c r="K1211" s="198"/>
      <c r="L1211" s="204"/>
      <c r="M1211" s="205"/>
      <c r="N1211" s="206"/>
      <c r="O1211" s="207"/>
      <c r="P1211" s="207"/>
      <c r="Q1211" s="207"/>
      <c r="R1211" s="207"/>
      <c r="S1211" s="198"/>
      <c r="T1211" s="201"/>
    </row>
    <row r="1212" spans="1:20" ht="22.5" hidden="1" customHeight="1" x14ac:dyDescent="0.25">
      <c r="A1212" s="208"/>
      <c r="B1212" s="238"/>
      <c r="C1212" s="198"/>
      <c r="D1212" s="198"/>
      <c r="E1212" s="199"/>
      <c r="F1212" s="200"/>
      <c r="G1212" s="201"/>
      <c r="H1212" s="208"/>
      <c r="I1212" s="209"/>
      <c r="J1212" s="209"/>
      <c r="K1212" s="198"/>
      <c r="L1212" s="204"/>
      <c r="M1212" s="205"/>
      <c r="N1212" s="206"/>
      <c r="O1212" s="207"/>
      <c r="P1212" s="207"/>
      <c r="Q1212" s="207"/>
      <c r="R1212" s="207"/>
      <c r="S1212" s="198"/>
      <c r="T1212" s="201"/>
    </row>
    <row r="1213" spans="1:20" ht="22.5" hidden="1" customHeight="1" x14ac:dyDescent="0.25">
      <c r="A1213" s="208"/>
      <c r="B1213" s="238"/>
      <c r="C1213" s="198"/>
      <c r="D1213" s="198"/>
      <c r="E1213" s="199"/>
      <c r="F1213" s="200"/>
      <c r="G1213" s="201"/>
      <c r="H1213" s="208"/>
      <c r="I1213" s="209"/>
      <c r="J1213" s="209"/>
      <c r="K1213" s="198"/>
      <c r="L1213" s="204"/>
      <c r="M1213" s="205"/>
      <c r="N1213" s="206"/>
      <c r="O1213" s="207"/>
      <c r="P1213" s="207"/>
      <c r="Q1213" s="207"/>
      <c r="R1213" s="207"/>
      <c r="S1213" s="198"/>
      <c r="T1213" s="201"/>
    </row>
    <row r="1214" spans="1:20" ht="22.5" hidden="1" customHeight="1" x14ac:dyDescent="0.25">
      <c r="A1214" s="208"/>
      <c r="B1214" s="238"/>
      <c r="C1214" s="198"/>
      <c r="D1214" s="198"/>
      <c r="E1214" s="199"/>
      <c r="F1214" s="200"/>
      <c r="G1214" s="201"/>
      <c r="H1214" s="208"/>
      <c r="I1214" s="209"/>
      <c r="J1214" s="209"/>
      <c r="K1214" s="198"/>
      <c r="L1214" s="204"/>
      <c r="M1214" s="205"/>
      <c r="N1214" s="206"/>
      <c r="O1214" s="207"/>
      <c r="P1214" s="207"/>
      <c r="Q1214" s="207"/>
      <c r="R1214" s="207"/>
      <c r="S1214" s="198"/>
      <c r="T1214" s="201"/>
    </row>
    <row r="1215" spans="1:20" ht="22.5" hidden="1" customHeight="1" x14ac:dyDescent="0.25">
      <c r="A1215" s="208"/>
      <c r="B1215" s="238"/>
      <c r="C1215" s="198"/>
      <c r="D1215" s="198"/>
      <c r="E1215" s="199"/>
      <c r="F1215" s="200"/>
      <c r="G1215" s="201"/>
      <c r="H1215" s="208"/>
      <c r="I1215" s="209"/>
      <c r="J1215" s="209"/>
      <c r="K1215" s="198"/>
      <c r="L1215" s="204"/>
      <c r="M1215" s="205"/>
      <c r="N1215" s="206"/>
      <c r="O1215" s="207"/>
      <c r="P1215" s="207"/>
      <c r="Q1215" s="207"/>
      <c r="R1215" s="207"/>
      <c r="S1215" s="198"/>
      <c r="T1215" s="201"/>
    </row>
    <row r="1216" spans="1:20" ht="22.5" hidden="1" customHeight="1" x14ac:dyDescent="0.25">
      <c r="A1216" s="208"/>
      <c r="B1216" s="238"/>
      <c r="C1216" s="198"/>
      <c r="D1216" s="198"/>
      <c r="E1216" s="199"/>
      <c r="F1216" s="200"/>
      <c r="G1216" s="201"/>
      <c r="H1216" s="208"/>
      <c r="I1216" s="209"/>
      <c r="J1216" s="209"/>
      <c r="K1216" s="198"/>
      <c r="L1216" s="204"/>
      <c r="M1216" s="205"/>
      <c r="N1216" s="206"/>
      <c r="O1216" s="207"/>
      <c r="P1216" s="207"/>
      <c r="Q1216" s="207"/>
      <c r="R1216" s="207"/>
      <c r="S1216" s="198"/>
      <c r="T1216" s="201"/>
    </row>
    <row r="1217" spans="1:20" ht="22.5" hidden="1" customHeight="1" x14ac:dyDescent="0.25">
      <c r="A1217" s="208"/>
      <c r="B1217" s="238"/>
      <c r="C1217" s="198"/>
      <c r="D1217" s="198"/>
      <c r="E1217" s="199"/>
      <c r="F1217" s="200"/>
      <c r="G1217" s="201"/>
      <c r="H1217" s="208"/>
      <c r="I1217" s="209"/>
      <c r="J1217" s="209"/>
      <c r="K1217" s="198"/>
      <c r="L1217" s="204"/>
      <c r="M1217" s="205"/>
      <c r="N1217" s="206"/>
      <c r="O1217" s="207"/>
      <c r="P1217" s="207"/>
      <c r="Q1217" s="207"/>
      <c r="R1217" s="207"/>
      <c r="S1217" s="198"/>
      <c r="T1217" s="201"/>
    </row>
    <row r="1218" spans="1:20" ht="22.5" hidden="1" customHeight="1" x14ac:dyDescent="0.25">
      <c r="A1218" s="208"/>
      <c r="B1218" s="238"/>
      <c r="C1218" s="198"/>
      <c r="D1218" s="198"/>
      <c r="E1218" s="199"/>
      <c r="F1218" s="200"/>
      <c r="G1218" s="201"/>
      <c r="H1218" s="208"/>
      <c r="I1218" s="209"/>
      <c r="J1218" s="209"/>
      <c r="K1218" s="198"/>
      <c r="L1218" s="204"/>
      <c r="M1218" s="205"/>
      <c r="N1218" s="206"/>
      <c r="O1218" s="207"/>
      <c r="P1218" s="207"/>
      <c r="Q1218" s="207"/>
      <c r="R1218" s="207"/>
      <c r="S1218" s="198"/>
      <c r="T1218" s="201"/>
    </row>
    <row r="1219" spans="1:20" ht="22.5" hidden="1" customHeight="1" x14ac:dyDescent="0.25">
      <c r="A1219" s="208"/>
      <c r="B1219" s="238"/>
      <c r="C1219" s="198"/>
      <c r="D1219" s="198"/>
      <c r="E1219" s="199"/>
      <c r="F1219" s="200"/>
      <c r="G1219" s="201"/>
      <c r="H1219" s="208"/>
      <c r="I1219" s="209"/>
      <c r="J1219" s="209"/>
      <c r="K1219" s="198"/>
      <c r="L1219" s="204"/>
      <c r="M1219" s="205"/>
      <c r="N1219" s="206"/>
      <c r="O1219" s="207"/>
      <c r="P1219" s="207"/>
      <c r="Q1219" s="207"/>
      <c r="R1219" s="207"/>
      <c r="S1219" s="198"/>
      <c r="T1219" s="201"/>
    </row>
    <row r="1220" spans="1:20" ht="22.5" hidden="1" customHeight="1" x14ac:dyDescent="0.25">
      <c r="A1220" s="208"/>
      <c r="B1220" s="238"/>
      <c r="C1220" s="198"/>
      <c r="D1220" s="198"/>
      <c r="E1220" s="199"/>
      <c r="F1220" s="200"/>
      <c r="G1220" s="201"/>
      <c r="H1220" s="208"/>
      <c r="I1220" s="209"/>
      <c r="J1220" s="209"/>
      <c r="K1220" s="198"/>
      <c r="L1220" s="204"/>
      <c r="M1220" s="205"/>
      <c r="N1220" s="206"/>
      <c r="O1220" s="207"/>
      <c r="P1220" s="207"/>
      <c r="Q1220" s="207"/>
      <c r="R1220" s="207"/>
      <c r="S1220" s="198"/>
      <c r="T1220" s="201"/>
    </row>
    <row r="1221" spans="1:20" ht="22.5" hidden="1" customHeight="1" x14ac:dyDescent="0.25">
      <c r="A1221" s="208"/>
      <c r="B1221" s="238"/>
      <c r="C1221" s="198"/>
      <c r="D1221" s="198"/>
      <c r="E1221" s="199"/>
      <c r="F1221" s="200"/>
      <c r="G1221" s="201"/>
      <c r="H1221" s="208"/>
      <c r="I1221" s="209"/>
      <c r="J1221" s="209"/>
      <c r="K1221" s="198"/>
      <c r="L1221" s="204"/>
      <c r="M1221" s="205"/>
      <c r="N1221" s="206"/>
      <c r="O1221" s="207"/>
      <c r="P1221" s="207"/>
      <c r="Q1221" s="207"/>
      <c r="R1221" s="207"/>
      <c r="S1221" s="198"/>
      <c r="T1221" s="201"/>
    </row>
    <row r="1222" spans="1:20" ht="22.5" hidden="1" customHeight="1" x14ac:dyDescent="0.25">
      <c r="A1222" s="208"/>
      <c r="B1222" s="238"/>
      <c r="C1222" s="198"/>
      <c r="D1222" s="198"/>
      <c r="E1222" s="199"/>
      <c r="F1222" s="200"/>
      <c r="G1222" s="201"/>
      <c r="H1222" s="208"/>
      <c r="I1222" s="209"/>
      <c r="J1222" s="209"/>
      <c r="K1222" s="198"/>
      <c r="L1222" s="204"/>
      <c r="M1222" s="205"/>
      <c r="N1222" s="206"/>
      <c r="O1222" s="207"/>
      <c r="P1222" s="207"/>
      <c r="Q1222" s="207"/>
      <c r="R1222" s="207"/>
      <c r="S1222" s="198"/>
      <c r="T1222" s="201"/>
    </row>
    <row r="1223" spans="1:20" ht="22.5" hidden="1" customHeight="1" x14ac:dyDescent="0.25">
      <c r="A1223" s="208"/>
      <c r="B1223" s="238"/>
      <c r="C1223" s="198"/>
      <c r="D1223" s="198"/>
      <c r="E1223" s="199"/>
      <c r="F1223" s="200"/>
      <c r="G1223" s="201"/>
      <c r="H1223" s="208"/>
      <c r="I1223" s="209"/>
      <c r="J1223" s="209"/>
      <c r="K1223" s="198"/>
      <c r="L1223" s="204"/>
      <c r="M1223" s="205"/>
      <c r="N1223" s="206"/>
      <c r="O1223" s="207"/>
      <c r="P1223" s="207"/>
      <c r="Q1223" s="207"/>
      <c r="R1223" s="207"/>
      <c r="S1223" s="198"/>
      <c r="T1223" s="201"/>
    </row>
    <row r="1224" spans="1:20" ht="22.5" hidden="1" customHeight="1" x14ac:dyDescent="0.25">
      <c r="A1224" s="208"/>
      <c r="B1224" s="238"/>
      <c r="C1224" s="198"/>
      <c r="D1224" s="198"/>
      <c r="E1224" s="199"/>
      <c r="F1224" s="200"/>
      <c r="G1224" s="201"/>
      <c r="H1224" s="208"/>
      <c r="I1224" s="209"/>
      <c r="J1224" s="209"/>
      <c r="K1224" s="198"/>
      <c r="L1224" s="204"/>
      <c r="M1224" s="205"/>
      <c r="N1224" s="206"/>
      <c r="O1224" s="207"/>
      <c r="P1224" s="207"/>
      <c r="Q1224" s="207"/>
      <c r="R1224" s="207"/>
      <c r="S1224" s="198"/>
      <c r="T1224" s="201"/>
    </row>
    <row r="1225" spans="1:20" ht="22.5" hidden="1" customHeight="1" x14ac:dyDescent="0.25">
      <c r="A1225" s="208"/>
      <c r="B1225" s="238"/>
      <c r="C1225" s="198"/>
      <c r="D1225" s="198"/>
      <c r="E1225" s="199"/>
      <c r="F1225" s="200"/>
      <c r="G1225" s="201"/>
      <c r="H1225" s="208"/>
      <c r="I1225" s="209"/>
      <c r="J1225" s="209"/>
      <c r="K1225" s="198"/>
      <c r="L1225" s="204"/>
      <c r="M1225" s="205"/>
      <c r="N1225" s="206"/>
      <c r="O1225" s="207"/>
      <c r="P1225" s="207"/>
      <c r="Q1225" s="207"/>
      <c r="R1225" s="207"/>
      <c r="S1225" s="198"/>
      <c r="T1225" s="201"/>
    </row>
    <row r="1226" spans="1:20" ht="22.5" hidden="1" customHeight="1" x14ac:dyDescent="0.25">
      <c r="A1226" s="208"/>
      <c r="B1226" s="238"/>
      <c r="C1226" s="198"/>
      <c r="D1226" s="198"/>
      <c r="E1226" s="199"/>
      <c r="F1226" s="200"/>
      <c r="G1226" s="201"/>
      <c r="H1226" s="208"/>
      <c r="I1226" s="209"/>
      <c r="J1226" s="209"/>
      <c r="K1226" s="198"/>
      <c r="L1226" s="204"/>
      <c r="M1226" s="205"/>
      <c r="N1226" s="206"/>
      <c r="O1226" s="207"/>
      <c r="P1226" s="207"/>
      <c r="Q1226" s="207"/>
      <c r="R1226" s="207"/>
      <c r="S1226" s="198"/>
      <c r="T1226" s="201"/>
    </row>
    <row r="1227" spans="1:20" ht="22.5" hidden="1" customHeight="1" x14ac:dyDescent="0.25">
      <c r="A1227" s="208"/>
      <c r="B1227" s="238"/>
      <c r="C1227" s="198"/>
      <c r="D1227" s="198"/>
      <c r="E1227" s="199"/>
      <c r="F1227" s="200"/>
      <c r="G1227" s="201"/>
      <c r="H1227" s="208"/>
      <c r="I1227" s="209"/>
      <c r="J1227" s="209"/>
      <c r="K1227" s="198"/>
      <c r="L1227" s="204"/>
      <c r="M1227" s="205"/>
      <c r="N1227" s="206"/>
      <c r="O1227" s="207"/>
      <c r="P1227" s="207"/>
      <c r="Q1227" s="207"/>
      <c r="R1227" s="207"/>
      <c r="S1227" s="198"/>
      <c r="T1227" s="201"/>
    </row>
    <row r="1228" spans="1:20" ht="22.5" hidden="1" customHeight="1" x14ac:dyDescent="0.25">
      <c r="A1228" s="208"/>
      <c r="B1228" s="238"/>
      <c r="C1228" s="198"/>
      <c r="D1228" s="198"/>
      <c r="E1228" s="199"/>
      <c r="F1228" s="200"/>
      <c r="G1228" s="201"/>
      <c r="H1228" s="208"/>
      <c r="I1228" s="209"/>
      <c r="J1228" s="209"/>
      <c r="K1228" s="198"/>
      <c r="L1228" s="204"/>
      <c r="M1228" s="205"/>
      <c r="N1228" s="206"/>
      <c r="O1228" s="207"/>
      <c r="P1228" s="207"/>
      <c r="Q1228" s="207"/>
      <c r="R1228" s="207"/>
      <c r="S1228" s="198"/>
      <c r="T1228" s="201"/>
    </row>
    <row r="1229" spans="1:20" ht="22.5" hidden="1" customHeight="1" x14ac:dyDescent="0.25">
      <c r="A1229" s="208"/>
      <c r="B1229" s="238"/>
      <c r="C1229" s="198"/>
      <c r="D1229" s="198"/>
      <c r="E1229" s="199"/>
      <c r="F1229" s="200"/>
      <c r="G1229" s="201"/>
      <c r="H1229" s="208"/>
      <c r="I1229" s="209"/>
      <c r="J1229" s="209"/>
      <c r="K1229" s="198"/>
      <c r="L1229" s="204"/>
      <c r="M1229" s="205"/>
      <c r="N1229" s="206"/>
      <c r="O1229" s="207"/>
      <c r="P1229" s="207"/>
      <c r="Q1229" s="207"/>
      <c r="R1229" s="207"/>
      <c r="S1229" s="198"/>
      <c r="T1229" s="201"/>
    </row>
    <row r="1230" spans="1:20" ht="22.5" hidden="1" customHeight="1" x14ac:dyDescent="0.25">
      <c r="A1230" s="208"/>
      <c r="B1230" s="238"/>
      <c r="C1230" s="198"/>
      <c r="D1230" s="198"/>
      <c r="E1230" s="199"/>
      <c r="F1230" s="200"/>
      <c r="G1230" s="201"/>
      <c r="H1230" s="208"/>
      <c r="I1230" s="209"/>
      <c r="J1230" s="209"/>
      <c r="K1230" s="198"/>
      <c r="L1230" s="204"/>
      <c r="M1230" s="205"/>
      <c r="N1230" s="206"/>
      <c r="O1230" s="207"/>
      <c r="P1230" s="207"/>
      <c r="Q1230" s="207"/>
      <c r="R1230" s="207"/>
      <c r="S1230" s="198"/>
      <c r="T1230" s="201"/>
    </row>
    <row r="1231" spans="1:20" ht="22.5" hidden="1" customHeight="1" x14ac:dyDescent="0.25">
      <c r="A1231" s="208"/>
      <c r="B1231" s="238"/>
      <c r="C1231" s="198"/>
      <c r="D1231" s="198"/>
      <c r="E1231" s="199"/>
      <c r="F1231" s="200"/>
      <c r="G1231" s="201"/>
      <c r="H1231" s="208"/>
      <c r="I1231" s="209"/>
      <c r="J1231" s="209"/>
      <c r="K1231" s="198"/>
      <c r="L1231" s="204"/>
      <c r="M1231" s="205"/>
      <c r="N1231" s="206"/>
      <c r="O1231" s="207"/>
      <c r="P1231" s="207"/>
      <c r="Q1231" s="207"/>
      <c r="R1231" s="207"/>
      <c r="S1231" s="198"/>
      <c r="T1231" s="201"/>
    </row>
    <row r="1232" spans="1:20" ht="22.5" hidden="1" customHeight="1" x14ac:dyDescent="0.25">
      <c r="A1232" s="208"/>
      <c r="B1232" s="238"/>
      <c r="C1232" s="198"/>
      <c r="D1232" s="198"/>
      <c r="E1232" s="199"/>
      <c r="F1232" s="200"/>
      <c r="G1232" s="201"/>
      <c r="H1232" s="208"/>
      <c r="I1232" s="209"/>
      <c r="J1232" s="209"/>
      <c r="K1232" s="198"/>
      <c r="L1232" s="204"/>
      <c r="M1232" s="205"/>
      <c r="N1232" s="206"/>
      <c r="O1232" s="207"/>
      <c r="P1232" s="207"/>
      <c r="Q1232" s="207"/>
      <c r="R1232" s="207"/>
      <c r="S1232" s="198"/>
      <c r="T1232" s="201"/>
    </row>
    <row r="1233" spans="1:20" ht="22.5" hidden="1" customHeight="1" x14ac:dyDescent="0.25">
      <c r="A1233" s="208"/>
      <c r="B1233" s="238"/>
      <c r="C1233" s="198"/>
      <c r="D1233" s="198"/>
      <c r="E1233" s="199"/>
      <c r="F1233" s="200"/>
      <c r="G1233" s="201"/>
      <c r="H1233" s="208"/>
      <c r="I1233" s="209"/>
      <c r="J1233" s="209"/>
      <c r="K1233" s="198"/>
      <c r="L1233" s="204"/>
      <c r="M1233" s="205"/>
      <c r="N1233" s="206"/>
      <c r="O1233" s="207"/>
      <c r="P1233" s="207"/>
      <c r="Q1233" s="207"/>
      <c r="R1233" s="207"/>
      <c r="S1233" s="198"/>
      <c r="T1233" s="201"/>
    </row>
    <row r="1234" spans="1:20" ht="22.5" hidden="1" customHeight="1" x14ac:dyDescent="0.25">
      <c r="A1234" s="208"/>
      <c r="B1234" s="238"/>
      <c r="C1234" s="198"/>
      <c r="D1234" s="198"/>
      <c r="E1234" s="199"/>
      <c r="F1234" s="200"/>
      <c r="G1234" s="201"/>
      <c r="H1234" s="208"/>
      <c r="I1234" s="209"/>
      <c r="J1234" s="209"/>
      <c r="K1234" s="198"/>
      <c r="L1234" s="204"/>
      <c r="M1234" s="205"/>
      <c r="N1234" s="206"/>
      <c r="O1234" s="207"/>
      <c r="P1234" s="207"/>
      <c r="Q1234" s="207"/>
      <c r="R1234" s="207"/>
      <c r="S1234" s="198"/>
      <c r="T1234" s="201"/>
    </row>
    <row r="1235" spans="1:20" ht="22.5" hidden="1" customHeight="1" x14ac:dyDescent="0.25">
      <c r="A1235" s="208"/>
      <c r="B1235" s="238"/>
      <c r="C1235" s="198"/>
      <c r="D1235" s="198"/>
      <c r="E1235" s="199"/>
      <c r="F1235" s="200"/>
      <c r="G1235" s="201"/>
      <c r="H1235" s="208"/>
      <c r="I1235" s="209"/>
      <c r="J1235" s="209"/>
      <c r="K1235" s="198"/>
      <c r="L1235" s="204"/>
      <c r="M1235" s="205"/>
      <c r="N1235" s="206"/>
      <c r="O1235" s="207"/>
      <c r="P1235" s="207"/>
      <c r="Q1235" s="207"/>
      <c r="R1235" s="207"/>
      <c r="S1235" s="198"/>
      <c r="T1235" s="201"/>
    </row>
    <row r="1236" spans="1:20" ht="22.5" hidden="1" customHeight="1" x14ac:dyDescent="0.25">
      <c r="A1236" s="208"/>
      <c r="B1236" s="238"/>
      <c r="C1236" s="198"/>
      <c r="D1236" s="198"/>
      <c r="E1236" s="199"/>
      <c r="F1236" s="200"/>
      <c r="G1236" s="201"/>
      <c r="H1236" s="208"/>
      <c r="I1236" s="209"/>
      <c r="J1236" s="209"/>
      <c r="K1236" s="198"/>
      <c r="L1236" s="204"/>
      <c r="M1236" s="205"/>
      <c r="N1236" s="206"/>
      <c r="O1236" s="207"/>
      <c r="P1236" s="207"/>
      <c r="Q1236" s="207"/>
      <c r="R1236" s="207"/>
      <c r="S1236" s="198"/>
      <c r="T1236" s="201"/>
    </row>
    <row r="1237" spans="1:20" ht="22.5" hidden="1" customHeight="1" x14ac:dyDescent="0.25">
      <c r="A1237" s="208"/>
      <c r="B1237" s="238"/>
      <c r="C1237" s="198"/>
      <c r="D1237" s="198"/>
      <c r="E1237" s="199"/>
      <c r="F1237" s="200"/>
      <c r="G1237" s="201"/>
      <c r="H1237" s="208"/>
      <c r="I1237" s="209"/>
      <c r="J1237" s="209"/>
      <c r="K1237" s="198"/>
      <c r="L1237" s="204"/>
      <c r="M1237" s="205"/>
      <c r="N1237" s="206"/>
      <c r="O1237" s="207"/>
      <c r="P1237" s="207"/>
      <c r="Q1237" s="207"/>
      <c r="R1237" s="207"/>
      <c r="S1237" s="198"/>
      <c r="T1237" s="201"/>
    </row>
    <row r="1238" spans="1:20" ht="22.5" hidden="1" customHeight="1" x14ac:dyDescent="0.25">
      <c r="A1238" s="208"/>
      <c r="B1238" s="238"/>
      <c r="C1238" s="198"/>
      <c r="D1238" s="198"/>
      <c r="E1238" s="199"/>
      <c r="F1238" s="200"/>
      <c r="G1238" s="201"/>
      <c r="H1238" s="208"/>
      <c r="I1238" s="209"/>
      <c r="J1238" s="209"/>
      <c r="K1238" s="198"/>
      <c r="L1238" s="204"/>
      <c r="M1238" s="205"/>
      <c r="N1238" s="206"/>
      <c r="O1238" s="207"/>
      <c r="P1238" s="207"/>
      <c r="Q1238" s="207"/>
      <c r="R1238" s="207"/>
      <c r="S1238" s="198"/>
      <c r="T1238" s="201"/>
    </row>
    <row r="1239" spans="1:20" ht="22.5" hidden="1" customHeight="1" x14ac:dyDescent="0.25">
      <c r="A1239" s="208"/>
      <c r="B1239" s="238"/>
      <c r="C1239" s="198"/>
      <c r="D1239" s="198"/>
      <c r="E1239" s="199"/>
      <c r="F1239" s="200"/>
      <c r="G1239" s="201"/>
      <c r="H1239" s="208"/>
      <c r="I1239" s="209"/>
      <c r="J1239" s="209"/>
      <c r="K1239" s="198"/>
      <c r="L1239" s="204"/>
      <c r="M1239" s="205"/>
      <c r="N1239" s="206"/>
      <c r="O1239" s="207"/>
      <c r="P1239" s="207"/>
      <c r="Q1239" s="207"/>
      <c r="R1239" s="207"/>
      <c r="S1239" s="198"/>
      <c r="T1239" s="201"/>
    </row>
    <row r="1240" spans="1:20" ht="22.5" hidden="1" customHeight="1" x14ac:dyDescent="0.25">
      <c r="A1240" s="208"/>
      <c r="B1240" s="238"/>
      <c r="C1240" s="198"/>
      <c r="D1240" s="198"/>
      <c r="E1240" s="199"/>
      <c r="F1240" s="200"/>
      <c r="G1240" s="201"/>
      <c r="H1240" s="208"/>
      <c r="I1240" s="209"/>
      <c r="J1240" s="209"/>
      <c r="K1240" s="198"/>
      <c r="L1240" s="204"/>
      <c r="M1240" s="205"/>
      <c r="N1240" s="206"/>
      <c r="O1240" s="207"/>
      <c r="P1240" s="207"/>
      <c r="Q1240" s="207"/>
      <c r="R1240" s="207"/>
      <c r="S1240" s="198"/>
      <c r="T1240" s="201"/>
    </row>
    <row r="1241" spans="1:20" ht="22.5" hidden="1" customHeight="1" x14ac:dyDescent="0.25">
      <c r="A1241" s="208"/>
      <c r="B1241" s="238"/>
      <c r="C1241" s="198"/>
      <c r="D1241" s="198"/>
      <c r="E1241" s="199"/>
      <c r="F1241" s="200"/>
      <c r="G1241" s="201"/>
      <c r="H1241" s="208"/>
      <c r="I1241" s="209"/>
      <c r="J1241" s="209"/>
      <c r="K1241" s="198"/>
      <c r="L1241" s="204"/>
      <c r="M1241" s="205"/>
      <c r="N1241" s="206"/>
      <c r="O1241" s="207"/>
      <c r="P1241" s="207"/>
      <c r="Q1241" s="207"/>
      <c r="R1241" s="207"/>
      <c r="S1241" s="198"/>
      <c r="T1241" s="201"/>
    </row>
    <row r="1242" spans="1:20" ht="22.5" hidden="1" customHeight="1" x14ac:dyDescent="0.25">
      <c r="A1242" s="208"/>
      <c r="B1242" s="238"/>
      <c r="C1242" s="198"/>
      <c r="D1242" s="198"/>
      <c r="E1242" s="199"/>
      <c r="F1242" s="200"/>
      <c r="G1242" s="201"/>
      <c r="H1242" s="208"/>
      <c r="I1242" s="209"/>
      <c r="J1242" s="209"/>
      <c r="K1242" s="198"/>
      <c r="L1242" s="204"/>
      <c r="M1242" s="205"/>
      <c r="N1242" s="206"/>
      <c r="O1242" s="207"/>
      <c r="P1242" s="207"/>
      <c r="Q1242" s="207"/>
      <c r="R1242" s="207"/>
      <c r="S1242" s="198"/>
      <c r="T1242" s="201"/>
    </row>
    <row r="1243" spans="1:20" ht="22.5" hidden="1" customHeight="1" x14ac:dyDescent="0.25">
      <c r="A1243" s="208"/>
      <c r="B1243" s="238"/>
      <c r="C1243" s="198"/>
      <c r="D1243" s="198"/>
      <c r="E1243" s="199"/>
      <c r="F1243" s="200"/>
      <c r="G1243" s="201"/>
      <c r="H1243" s="208"/>
      <c r="I1243" s="209"/>
      <c r="J1243" s="209"/>
      <c r="K1243" s="198"/>
      <c r="L1243" s="204"/>
      <c r="M1243" s="205"/>
      <c r="N1243" s="206"/>
      <c r="O1243" s="207"/>
      <c r="P1243" s="207"/>
      <c r="Q1243" s="207"/>
      <c r="R1243" s="207"/>
      <c r="S1243" s="198"/>
      <c r="T1243" s="201"/>
    </row>
    <row r="1244" spans="1:20" ht="22.5" hidden="1" customHeight="1" x14ac:dyDescent="0.25">
      <c r="A1244" s="208"/>
      <c r="B1244" s="238"/>
      <c r="C1244" s="198"/>
      <c r="D1244" s="198"/>
      <c r="E1244" s="199"/>
      <c r="F1244" s="200"/>
      <c r="G1244" s="201"/>
      <c r="H1244" s="208"/>
      <c r="I1244" s="209"/>
      <c r="J1244" s="209"/>
      <c r="K1244" s="198"/>
      <c r="L1244" s="204"/>
      <c r="M1244" s="205"/>
      <c r="N1244" s="206"/>
      <c r="O1244" s="207"/>
      <c r="P1244" s="207"/>
      <c r="Q1244" s="207"/>
      <c r="R1244" s="207"/>
      <c r="S1244" s="198"/>
      <c r="T1244" s="201"/>
    </row>
    <row r="1245" spans="1:20" ht="22.5" hidden="1" customHeight="1" x14ac:dyDescent="0.25">
      <c r="A1245" s="208"/>
      <c r="B1245" s="238"/>
      <c r="C1245" s="198"/>
      <c r="D1245" s="198"/>
      <c r="E1245" s="199"/>
      <c r="F1245" s="200"/>
      <c r="G1245" s="201"/>
      <c r="H1245" s="208"/>
      <c r="I1245" s="209"/>
      <c r="J1245" s="209"/>
      <c r="K1245" s="198"/>
      <c r="L1245" s="204"/>
      <c r="M1245" s="205"/>
      <c r="N1245" s="206"/>
      <c r="O1245" s="207"/>
      <c r="P1245" s="207"/>
      <c r="Q1245" s="207"/>
      <c r="R1245" s="207"/>
      <c r="S1245" s="198"/>
      <c r="T1245" s="201"/>
    </row>
    <row r="1246" spans="1:20" ht="22.5" hidden="1" customHeight="1" x14ac:dyDescent="0.25">
      <c r="A1246" s="208"/>
      <c r="B1246" s="238"/>
      <c r="C1246" s="198"/>
      <c r="D1246" s="198"/>
      <c r="E1246" s="199"/>
      <c r="F1246" s="200"/>
      <c r="G1246" s="201"/>
      <c r="H1246" s="208"/>
      <c r="I1246" s="209"/>
      <c r="J1246" s="209"/>
      <c r="K1246" s="198"/>
      <c r="L1246" s="204"/>
      <c r="M1246" s="205"/>
      <c r="N1246" s="206"/>
      <c r="O1246" s="207"/>
      <c r="P1246" s="207"/>
      <c r="Q1246" s="207"/>
      <c r="R1246" s="207"/>
      <c r="S1246" s="198"/>
      <c r="T1246" s="201"/>
    </row>
    <row r="1247" spans="1:20" ht="22.5" hidden="1" customHeight="1" x14ac:dyDescent="0.25">
      <c r="A1247" s="208"/>
      <c r="B1247" s="238"/>
      <c r="C1247" s="198"/>
      <c r="D1247" s="198"/>
      <c r="E1247" s="199"/>
      <c r="F1247" s="200"/>
      <c r="G1247" s="201"/>
      <c r="H1247" s="208"/>
      <c r="I1247" s="209"/>
      <c r="J1247" s="209"/>
      <c r="K1247" s="198"/>
      <c r="L1247" s="204"/>
      <c r="M1247" s="205"/>
      <c r="N1247" s="206"/>
      <c r="O1247" s="207"/>
      <c r="P1247" s="207"/>
      <c r="Q1247" s="207"/>
      <c r="R1247" s="207"/>
      <c r="S1247" s="198"/>
      <c r="T1247" s="201"/>
    </row>
    <row r="1248" spans="1:20" ht="22.5" hidden="1" customHeight="1" x14ac:dyDescent="0.25">
      <c r="A1248" s="208"/>
      <c r="B1248" s="238"/>
      <c r="C1248" s="198"/>
      <c r="D1248" s="198"/>
      <c r="E1248" s="199"/>
      <c r="F1248" s="200"/>
      <c r="G1248" s="201"/>
      <c r="H1248" s="208"/>
      <c r="I1248" s="209"/>
      <c r="J1248" s="209"/>
      <c r="K1248" s="198"/>
      <c r="L1248" s="204"/>
      <c r="M1248" s="205"/>
      <c r="N1248" s="206"/>
      <c r="O1248" s="207"/>
      <c r="P1248" s="207"/>
      <c r="Q1248" s="207"/>
      <c r="R1248" s="207"/>
      <c r="S1248" s="198"/>
      <c r="T1248" s="201"/>
    </row>
    <row r="1249" spans="1:20" ht="22.5" hidden="1" customHeight="1" x14ac:dyDescent="0.25">
      <c r="A1249" s="208"/>
      <c r="B1249" s="238"/>
      <c r="C1249" s="198"/>
      <c r="D1249" s="198"/>
      <c r="E1249" s="199"/>
      <c r="F1249" s="200"/>
      <c r="G1249" s="201"/>
      <c r="H1249" s="208"/>
      <c r="I1249" s="209"/>
      <c r="J1249" s="209"/>
      <c r="K1249" s="198"/>
      <c r="L1249" s="204"/>
      <c r="M1249" s="205"/>
      <c r="N1249" s="206"/>
      <c r="O1249" s="207"/>
      <c r="P1249" s="207"/>
      <c r="Q1249" s="207"/>
      <c r="R1249" s="207"/>
      <c r="S1249" s="198"/>
      <c r="T1249" s="201"/>
    </row>
    <row r="1250" spans="1:20" ht="22.5" hidden="1" customHeight="1" x14ac:dyDescent="0.25">
      <c r="A1250" s="208"/>
      <c r="B1250" s="238"/>
      <c r="C1250" s="198"/>
      <c r="D1250" s="198"/>
      <c r="E1250" s="199"/>
      <c r="F1250" s="200"/>
      <c r="G1250" s="201"/>
      <c r="H1250" s="208"/>
      <c r="I1250" s="209"/>
      <c r="J1250" s="209"/>
      <c r="K1250" s="198"/>
      <c r="L1250" s="204"/>
      <c r="M1250" s="205"/>
      <c r="N1250" s="206"/>
      <c r="O1250" s="207"/>
      <c r="P1250" s="207"/>
      <c r="Q1250" s="207"/>
      <c r="R1250" s="207"/>
      <c r="S1250" s="198"/>
      <c r="T1250" s="201"/>
    </row>
    <row r="1251" spans="1:20" ht="22.5" hidden="1" customHeight="1" x14ac:dyDescent="0.25">
      <c r="A1251" s="208"/>
      <c r="B1251" s="238"/>
      <c r="C1251" s="198"/>
      <c r="D1251" s="198"/>
      <c r="E1251" s="199"/>
      <c r="F1251" s="200"/>
      <c r="G1251" s="201"/>
      <c r="H1251" s="208"/>
      <c r="I1251" s="209"/>
      <c r="J1251" s="209"/>
      <c r="K1251" s="198"/>
      <c r="L1251" s="204"/>
      <c r="M1251" s="205"/>
      <c r="N1251" s="206"/>
      <c r="O1251" s="207"/>
      <c r="P1251" s="207"/>
      <c r="Q1251" s="207"/>
      <c r="R1251" s="207"/>
      <c r="S1251" s="198"/>
      <c r="T1251" s="201"/>
    </row>
    <row r="1252" spans="1:20" ht="22.5" hidden="1" customHeight="1" x14ac:dyDescent="0.25">
      <c r="A1252" s="208"/>
      <c r="B1252" s="238"/>
      <c r="C1252" s="198"/>
      <c r="D1252" s="198"/>
      <c r="E1252" s="199"/>
      <c r="F1252" s="200"/>
      <c r="G1252" s="201"/>
      <c r="H1252" s="208"/>
      <c r="I1252" s="209"/>
      <c r="J1252" s="209"/>
      <c r="K1252" s="198"/>
      <c r="L1252" s="204"/>
      <c r="M1252" s="205"/>
      <c r="N1252" s="206"/>
      <c r="O1252" s="207"/>
      <c r="P1252" s="207"/>
      <c r="Q1252" s="207"/>
      <c r="R1252" s="207"/>
      <c r="S1252" s="198"/>
      <c r="T1252" s="201"/>
    </row>
    <row r="1253" spans="1:20" ht="22.5" hidden="1" customHeight="1" x14ac:dyDescent="0.25">
      <c r="A1253" s="208"/>
      <c r="B1253" s="238"/>
      <c r="C1253" s="198"/>
      <c r="D1253" s="198"/>
      <c r="E1253" s="199"/>
      <c r="F1253" s="200"/>
      <c r="G1253" s="201"/>
      <c r="H1253" s="208"/>
      <c r="I1253" s="209"/>
      <c r="J1253" s="209"/>
      <c r="K1253" s="198"/>
      <c r="L1253" s="204"/>
      <c r="M1253" s="205"/>
      <c r="N1253" s="206"/>
      <c r="O1253" s="207"/>
      <c r="P1253" s="207"/>
      <c r="Q1253" s="207"/>
      <c r="R1253" s="207"/>
      <c r="S1253" s="198"/>
      <c r="T1253" s="201"/>
    </row>
    <row r="1254" spans="1:20" ht="22.5" hidden="1" customHeight="1" x14ac:dyDescent="0.25">
      <c r="A1254" s="208"/>
      <c r="B1254" s="238"/>
      <c r="C1254" s="198"/>
      <c r="D1254" s="198"/>
      <c r="E1254" s="199"/>
      <c r="F1254" s="200"/>
      <c r="G1254" s="201"/>
      <c r="H1254" s="208"/>
      <c r="I1254" s="209"/>
      <c r="J1254" s="209"/>
      <c r="K1254" s="198"/>
      <c r="L1254" s="204"/>
      <c r="M1254" s="205"/>
      <c r="N1254" s="206"/>
      <c r="O1254" s="207"/>
      <c r="P1254" s="207"/>
      <c r="Q1254" s="207"/>
      <c r="R1254" s="207"/>
      <c r="S1254" s="198"/>
      <c r="T1254" s="201"/>
    </row>
    <row r="1255" spans="1:20" ht="22.5" hidden="1" customHeight="1" x14ac:dyDescent="0.25">
      <c r="A1255" s="208"/>
      <c r="B1255" s="238"/>
      <c r="C1255" s="198"/>
      <c r="D1255" s="198"/>
      <c r="E1255" s="199"/>
      <c r="F1255" s="200"/>
      <c r="G1255" s="201"/>
      <c r="H1255" s="208"/>
      <c r="I1255" s="209"/>
      <c r="J1255" s="209"/>
      <c r="K1255" s="198"/>
      <c r="L1255" s="204"/>
      <c r="M1255" s="205"/>
      <c r="N1255" s="206"/>
      <c r="O1255" s="207"/>
      <c r="P1255" s="207"/>
      <c r="Q1255" s="207"/>
      <c r="R1255" s="207"/>
      <c r="S1255" s="198"/>
      <c r="T1255" s="201"/>
    </row>
    <row r="1256" spans="1:20" ht="22.5" hidden="1" customHeight="1" x14ac:dyDescent="0.25">
      <c r="A1256" s="208"/>
      <c r="B1256" s="238"/>
      <c r="C1256" s="198"/>
      <c r="D1256" s="198"/>
      <c r="E1256" s="199"/>
      <c r="F1256" s="200"/>
      <c r="G1256" s="201"/>
      <c r="H1256" s="208"/>
      <c r="I1256" s="209"/>
      <c r="J1256" s="209"/>
      <c r="K1256" s="198"/>
      <c r="L1256" s="204"/>
      <c r="M1256" s="205"/>
      <c r="N1256" s="206"/>
      <c r="O1256" s="207"/>
      <c r="P1256" s="207"/>
      <c r="Q1256" s="207"/>
      <c r="R1256" s="207"/>
      <c r="S1256" s="198"/>
      <c r="T1256" s="201"/>
    </row>
    <row r="1257" spans="1:20" ht="22.5" hidden="1" customHeight="1" x14ac:dyDescent="0.25">
      <c r="A1257" s="208"/>
      <c r="B1257" s="238"/>
      <c r="C1257" s="198"/>
      <c r="D1257" s="198"/>
      <c r="E1257" s="199"/>
      <c r="F1257" s="200"/>
      <c r="G1257" s="201"/>
      <c r="H1257" s="208"/>
      <c r="I1257" s="209"/>
      <c r="J1257" s="209"/>
      <c r="K1257" s="198"/>
      <c r="L1257" s="204"/>
      <c r="M1257" s="205"/>
      <c r="N1257" s="206"/>
      <c r="O1257" s="207"/>
      <c r="P1257" s="207"/>
      <c r="Q1257" s="207"/>
      <c r="R1257" s="207"/>
      <c r="S1257" s="198"/>
      <c r="T1257" s="201"/>
    </row>
    <row r="1258" spans="1:20" ht="22.5" hidden="1" customHeight="1" x14ac:dyDescent="0.25">
      <c r="A1258" s="208"/>
      <c r="B1258" s="238"/>
      <c r="C1258" s="198"/>
      <c r="D1258" s="198"/>
      <c r="E1258" s="199"/>
      <c r="F1258" s="200"/>
      <c r="G1258" s="201"/>
      <c r="H1258" s="208"/>
      <c r="I1258" s="209"/>
      <c r="J1258" s="209"/>
      <c r="K1258" s="198"/>
      <c r="L1258" s="204"/>
      <c r="M1258" s="205"/>
      <c r="N1258" s="206"/>
      <c r="O1258" s="207"/>
      <c r="P1258" s="207"/>
      <c r="Q1258" s="207"/>
      <c r="R1258" s="207"/>
      <c r="S1258" s="198"/>
      <c r="T1258" s="201"/>
    </row>
    <row r="1259" spans="1:20" ht="22.5" hidden="1" customHeight="1" x14ac:dyDescent="0.25">
      <c r="A1259" s="208"/>
      <c r="B1259" s="238"/>
      <c r="C1259" s="198"/>
      <c r="D1259" s="198"/>
      <c r="E1259" s="199"/>
      <c r="F1259" s="200"/>
      <c r="G1259" s="201"/>
      <c r="H1259" s="208"/>
      <c r="I1259" s="209"/>
      <c r="J1259" s="209"/>
      <c r="K1259" s="198"/>
      <c r="L1259" s="204"/>
      <c r="M1259" s="205"/>
      <c r="N1259" s="206"/>
      <c r="O1259" s="207"/>
      <c r="P1259" s="207"/>
      <c r="Q1259" s="207"/>
      <c r="R1259" s="207"/>
      <c r="S1259" s="198"/>
      <c r="T1259" s="201"/>
    </row>
    <row r="1260" spans="1:20" ht="22.5" hidden="1" customHeight="1" x14ac:dyDescent="0.25">
      <c r="A1260" s="208"/>
      <c r="B1260" s="238"/>
      <c r="C1260" s="198"/>
      <c r="D1260" s="198"/>
      <c r="E1260" s="199"/>
      <c r="F1260" s="200"/>
      <c r="G1260" s="201"/>
      <c r="H1260" s="208"/>
      <c r="I1260" s="209"/>
      <c r="J1260" s="209"/>
      <c r="K1260" s="198"/>
      <c r="L1260" s="204"/>
      <c r="M1260" s="205"/>
      <c r="N1260" s="206"/>
      <c r="O1260" s="207"/>
      <c r="P1260" s="207"/>
      <c r="Q1260" s="207"/>
      <c r="R1260" s="207"/>
      <c r="S1260" s="198"/>
      <c r="T1260" s="201"/>
    </row>
    <row r="1261" spans="1:20" ht="22.5" hidden="1" customHeight="1" x14ac:dyDescent="0.25">
      <c r="A1261" s="208"/>
      <c r="B1261" s="238"/>
      <c r="C1261" s="198"/>
      <c r="D1261" s="198"/>
      <c r="E1261" s="199"/>
      <c r="F1261" s="200"/>
      <c r="G1261" s="201"/>
      <c r="H1261" s="208"/>
      <c r="I1261" s="209"/>
      <c r="J1261" s="209"/>
      <c r="K1261" s="198"/>
      <c r="L1261" s="204"/>
      <c r="M1261" s="205"/>
      <c r="N1261" s="206"/>
      <c r="O1261" s="207"/>
      <c r="P1261" s="207"/>
      <c r="Q1261" s="207"/>
      <c r="R1261" s="207"/>
      <c r="S1261" s="198"/>
      <c r="T1261" s="201"/>
    </row>
    <row r="1262" spans="1:20" ht="22.5" hidden="1" customHeight="1" x14ac:dyDescent="0.25">
      <c r="A1262" s="208"/>
      <c r="B1262" s="238"/>
      <c r="C1262" s="198"/>
      <c r="D1262" s="198"/>
      <c r="E1262" s="199"/>
      <c r="F1262" s="200"/>
      <c r="G1262" s="201"/>
      <c r="H1262" s="208"/>
      <c r="I1262" s="209"/>
      <c r="J1262" s="209"/>
      <c r="K1262" s="198"/>
      <c r="L1262" s="204"/>
      <c r="M1262" s="205"/>
      <c r="N1262" s="206"/>
      <c r="O1262" s="207"/>
      <c r="P1262" s="207"/>
      <c r="Q1262" s="207"/>
      <c r="R1262" s="207"/>
      <c r="S1262" s="198"/>
      <c r="T1262" s="201"/>
    </row>
    <row r="1263" spans="1:20" ht="22.5" hidden="1" customHeight="1" x14ac:dyDescent="0.25">
      <c r="A1263" s="208"/>
      <c r="B1263" s="238"/>
      <c r="C1263" s="198"/>
      <c r="D1263" s="198"/>
      <c r="E1263" s="199"/>
      <c r="F1263" s="200"/>
      <c r="G1263" s="201"/>
      <c r="H1263" s="208"/>
      <c r="I1263" s="209"/>
      <c r="J1263" s="209"/>
      <c r="K1263" s="198"/>
      <c r="L1263" s="204"/>
      <c r="M1263" s="205"/>
      <c r="N1263" s="206"/>
      <c r="O1263" s="207"/>
      <c r="P1263" s="207"/>
      <c r="Q1263" s="207"/>
      <c r="R1263" s="207"/>
      <c r="S1263" s="198"/>
      <c r="T1263" s="201"/>
    </row>
    <row r="1264" spans="1:20" ht="22.5" hidden="1" customHeight="1" x14ac:dyDescent="0.25">
      <c r="A1264" s="208"/>
      <c r="B1264" s="238"/>
      <c r="C1264" s="198"/>
      <c r="D1264" s="198"/>
      <c r="E1264" s="199"/>
      <c r="F1264" s="200"/>
      <c r="G1264" s="201"/>
      <c r="H1264" s="208"/>
      <c r="I1264" s="209"/>
      <c r="J1264" s="209"/>
      <c r="K1264" s="198"/>
      <c r="L1264" s="204"/>
      <c r="M1264" s="205"/>
      <c r="N1264" s="206"/>
      <c r="O1264" s="207"/>
      <c r="P1264" s="207"/>
      <c r="Q1264" s="207"/>
      <c r="R1264" s="207"/>
      <c r="S1264" s="198"/>
      <c r="T1264" s="201"/>
    </row>
    <row r="1265" spans="1:20" ht="22.5" hidden="1" customHeight="1" x14ac:dyDescent="0.25">
      <c r="A1265" s="208"/>
      <c r="B1265" s="238"/>
      <c r="C1265" s="198"/>
      <c r="D1265" s="198"/>
      <c r="E1265" s="199"/>
      <c r="F1265" s="200"/>
      <c r="G1265" s="201"/>
      <c r="H1265" s="208"/>
      <c r="I1265" s="209"/>
      <c r="J1265" s="209"/>
      <c r="K1265" s="198"/>
      <c r="L1265" s="204"/>
      <c r="M1265" s="205"/>
      <c r="N1265" s="206"/>
      <c r="O1265" s="207"/>
      <c r="P1265" s="207"/>
      <c r="Q1265" s="207"/>
      <c r="R1265" s="207"/>
      <c r="S1265" s="198"/>
      <c r="T1265" s="201"/>
    </row>
    <row r="1266" spans="1:20" ht="22.5" hidden="1" customHeight="1" x14ac:dyDescent="0.25">
      <c r="A1266" s="208"/>
      <c r="B1266" s="238"/>
      <c r="C1266" s="198"/>
      <c r="D1266" s="198"/>
      <c r="E1266" s="199"/>
      <c r="F1266" s="200"/>
      <c r="G1266" s="201"/>
      <c r="H1266" s="208"/>
      <c r="I1266" s="209"/>
      <c r="J1266" s="209"/>
      <c r="K1266" s="198"/>
      <c r="L1266" s="204"/>
      <c r="M1266" s="205"/>
      <c r="N1266" s="206"/>
      <c r="O1266" s="207"/>
      <c r="P1266" s="207"/>
      <c r="Q1266" s="207"/>
      <c r="R1266" s="207"/>
      <c r="S1266" s="198"/>
      <c r="T1266" s="201"/>
    </row>
    <row r="1267" spans="1:20" ht="22.5" hidden="1" customHeight="1" x14ac:dyDescent="0.25">
      <c r="A1267" s="208"/>
      <c r="B1267" s="238"/>
      <c r="C1267" s="198"/>
      <c r="D1267" s="198"/>
      <c r="E1267" s="199"/>
      <c r="F1267" s="200"/>
      <c r="G1267" s="201"/>
      <c r="H1267" s="208"/>
      <c r="I1267" s="209"/>
      <c r="J1267" s="209"/>
      <c r="K1267" s="198"/>
      <c r="L1267" s="204"/>
      <c r="M1267" s="205"/>
      <c r="N1267" s="206"/>
      <c r="O1267" s="207"/>
      <c r="P1267" s="207"/>
      <c r="Q1267" s="207"/>
      <c r="R1267" s="207"/>
      <c r="S1267" s="198"/>
      <c r="T1267" s="201"/>
    </row>
    <row r="1268" spans="1:20" ht="22.5" hidden="1" customHeight="1" x14ac:dyDescent="0.25">
      <c r="A1268" s="208"/>
      <c r="B1268" s="238"/>
      <c r="C1268" s="198"/>
      <c r="D1268" s="198"/>
      <c r="E1268" s="199"/>
      <c r="F1268" s="200"/>
      <c r="G1268" s="201"/>
      <c r="H1268" s="208"/>
      <c r="I1268" s="209"/>
      <c r="J1268" s="209"/>
      <c r="K1268" s="198"/>
      <c r="L1268" s="204"/>
      <c r="M1268" s="205"/>
      <c r="N1268" s="206"/>
      <c r="O1268" s="207"/>
      <c r="P1268" s="207"/>
      <c r="Q1268" s="207"/>
      <c r="R1268" s="207"/>
      <c r="S1268" s="198"/>
      <c r="T1268" s="201"/>
    </row>
    <row r="1269" spans="1:20" ht="22.5" hidden="1" customHeight="1" x14ac:dyDescent="0.25">
      <c r="A1269" s="208"/>
      <c r="B1269" s="238"/>
      <c r="C1269" s="198"/>
      <c r="D1269" s="198"/>
      <c r="E1269" s="199"/>
      <c r="F1269" s="200"/>
      <c r="G1269" s="201"/>
      <c r="H1269" s="208"/>
      <c r="I1269" s="209"/>
      <c r="J1269" s="209"/>
      <c r="K1269" s="198"/>
      <c r="L1269" s="204"/>
      <c r="M1269" s="205"/>
      <c r="N1269" s="206"/>
      <c r="O1269" s="207"/>
      <c r="P1269" s="207"/>
      <c r="Q1269" s="207"/>
      <c r="R1269" s="207"/>
      <c r="S1269" s="198"/>
      <c r="T1269" s="201"/>
    </row>
    <row r="1270" spans="1:20" ht="22.5" hidden="1" customHeight="1" x14ac:dyDescent="0.25">
      <c r="A1270" s="208"/>
      <c r="B1270" s="238"/>
      <c r="C1270" s="198"/>
      <c r="D1270" s="198"/>
      <c r="E1270" s="199"/>
      <c r="F1270" s="200"/>
      <c r="G1270" s="201"/>
      <c r="H1270" s="208"/>
      <c r="I1270" s="209"/>
      <c r="J1270" s="209"/>
      <c r="K1270" s="198"/>
      <c r="L1270" s="204"/>
      <c r="M1270" s="205"/>
      <c r="N1270" s="206"/>
      <c r="O1270" s="207"/>
      <c r="P1270" s="207"/>
      <c r="Q1270" s="207"/>
      <c r="R1270" s="207"/>
      <c r="S1270" s="198"/>
      <c r="T1270" s="201"/>
    </row>
    <row r="1271" spans="1:20" ht="22.5" hidden="1" customHeight="1" x14ac:dyDescent="0.25">
      <c r="A1271" s="208"/>
      <c r="B1271" s="238"/>
      <c r="C1271" s="198"/>
      <c r="D1271" s="198"/>
      <c r="E1271" s="199"/>
      <c r="F1271" s="200"/>
      <c r="G1271" s="201"/>
      <c r="H1271" s="208"/>
      <c r="I1271" s="209"/>
      <c r="J1271" s="209"/>
      <c r="K1271" s="198"/>
      <c r="L1271" s="204"/>
      <c r="M1271" s="205"/>
      <c r="N1271" s="206"/>
      <c r="O1271" s="207"/>
      <c r="P1271" s="207"/>
      <c r="Q1271" s="207"/>
      <c r="R1271" s="207"/>
      <c r="S1271" s="198"/>
      <c r="T1271" s="201"/>
    </row>
    <row r="1272" spans="1:20" ht="22.5" hidden="1" customHeight="1" x14ac:dyDescent="0.25">
      <c r="A1272" s="208"/>
      <c r="B1272" s="238"/>
      <c r="C1272" s="198"/>
      <c r="D1272" s="198"/>
      <c r="E1272" s="199"/>
      <c r="F1272" s="200"/>
      <c r="G1272" s="201"/>
      <c r="H1272" s="208"/>
      <c r="I1272" s="209"/>
      <c r="J1272" s="209"/>
      <c r="K1272" s="198"/>
      <c r="L1272" s="204"/>
      <c r="M1272" s="205"/>
      <c r="N1272" s="206"/>
      <c r="O1272" s="207"/>
      <c r="P1272" s="207"/>
      <c r="Q1272" s="207"/>
      <c r="R1272" s="207"/>
      <c r="S1272" s="198"/>
      <c r="T1272" s="201"/>
    </row>
    <row r="1273" spans="1:20" ht="22.5" hidden="1" customHeight="1" x14ac:dyDescent="0.25">
      <c r="A1273" s="208"/>
      <c r="B1273" s="238"/>
      <c r="C1273" s="198"/>
      <c r="D1273" s="198"/>
      <c r="E1273" s="199"/>
      <c r="F1273" s="200"/>
      <c r="G1273" s="201"/>
      <c r="H1273" s="208"/>
      <c r="I1273" s="209"/>
      <c r="J1273" s="209"/>
      <c r="K1273" s="198"/>
      <c r="L1273" s="204"/>
      <c r="M1273" s="205"/>
      <c r="N1273" s="206"/>
      <c r="O1273" s="207"/>
      <c r="P1273" s="207"/>
      <c r="Q1273" s="207"/>
      <c r="R1273" s="207"/>
      <c r="S1273" s="198"/>
      <c r="T1273" s="201"/>
    </row>
    <row r="1274" spans="1:20" ht="22.5" hidden="1" customHeight="1" x14ac:dyDescent="0.25">
      <c r="A1274" s="208"/>
      <c r="B1274" s="238"/>
      <c r="C1274" s="198"/>
      <c r="D1274" s="198"/>
      <c r="E1274" s="199"/>
      <c r="F1274" s="200"/>
      <c r="G1274" s="201"/>
      <c r="H1274" s="208"/>
      <c r="I1274" s="209"/>
      <c r="J1274" s="209"/>
      <c r="K1274" s="198"/>
      <c r="L1274" s="204"/>
      <c r="M1274" s="205"/>
      <c r="N1274" s="206"/>
      <c r="O1274" s="207"/>
      <c r="P1274" s="207"/>
      <c r="Q1274" s="207"/>
      <c r="R1274" s="207"/>
      <c r="S1274" s="198"/>
      <c r="T1274" s="201"/>
    </row>
    <row r="1275" spans="1:20" ht="22.5" hidden="1" customHeight="1" x14ac:dyDescent="0.25">
      <c r="A1275" s="208"/>
      <c r="B1275" s="238"/>
      <c r="C1275" s="198"/>
      <c r="D1275" s="198"/>
      <c r="E1275" s="199"/>
      <c r="F1275" s="200"/>
      <c r="G1275" s="201"/>
      <c r="H1275" s="208"/>
      <c r="I1275" s="209"/>
      <c r="J1275" s="209"/>
      <c r="K1275" s="198"/>
      <c r="L1275" s="204"/>
      <c r="M1275" s="205"/>
      <c r="N1275" s="206"/>
      <c r="O1275" s="207"/>
      <c r="P1275" s="207"/>
      <c r="Q1275" s="207"/>
      <c r="R1275" s="207"/>
      <c r="S1275" s="198"/>
      <c r="T1275" s="201"/>
    </row>
    <row r="1276" spans="1:20" ht="22.5" hidden="1" customHeight="1" x14ac:dyDescent="0.25">
      <c r="A1276" s="208"/>
      <c r="B1276" s="238"/>
      <c r="C1276" s="198"/>
      <c r="D1276" s="198"/>
      <c r="E1276" s="199"/>
      <c r="F1276" s="200"/>
      <c r="G1276" s="201"/>
      <c r="H1276" s="208"/>
      <c r="I1276" s="209"/>
      <c r="J1276" s="209"/>
      <c r="K1276" s="198"/>
      <c r="L1276" s="204"/>
      <c r="M1276" s="205"/>
      <c r="N1276" s="206"/>
      <c r="O1276" s="207"/>
      <c r="P1276" s="207"/>
      <c r="Q1276" s="207"/>
      <c r="R1276" s="207"/>
      <c r="S1276" s="198"/>
      <c r="T1276" s="201"/>
    </row>
    <row r="1277" spans="1:20" ht="22.5" hidden="1" customHeight="1" x14ac:dyDescent="0.25">
      <c r="A1277" s="208"/>
      <c r="B1277" s="238"/>
      <c r="C1277" s="198"/>
      <c r="D1277" s="198"/>
      <c r="E1277" s="199"/>
      <c r="F1277" s="200"/>
      <c r="G1277" s="201"/>
      <c r="H1277" s="208"/>
      <c r="I1277" s="209"/>
      <c r="J1277" s="209"/>
      <c r="K1277" s="198"/>
      <c r="L1277" s="204"/>
      <c r="M1277" s="205"/>
      <c r="N1277" s="206"/>
      <c r="O1277" s="207"/>
      <c r="P1277" s="207"/>
      <c r="Q1277" s="207"/>
      <c r="R1277" s="207"/>
      <c r="S1277" s="198"/>
      <c r="T1277" s="201"/>
    </row>
    <row r="1278" spans="1:20" ht="22.5" hidden="1" customHeight="1" x14ac:dyDescent="0.25">
      <c r="A1278" s="208"/>
      <c r="B1278" s="238"/>
      <c r="C1278" s="198"/>
      <c r="D1278" s="198"/>
      <c r="E1278" s="199"/>
      <c r="F1278" s="200"/>
      <c r="G1278" s="201"/>
      <c r="H1278" s="208"/>
      <c r="I1278" s="209"/>
      <c r="J1278" s="209"/>
      <c r="K1278" s="198"/>
      <c r="L1278" s="204"/>
      <c r="M1278" s="205"/>
      <c r="N1278" s="206"/>
      <c r="O1278" s="207"/>
      <c r="P1278" s="207"/>
      <c r="Q1278" s="207"/>
      <c r="R1278" s="207"/>
      <c r="S1278" s="198"/>
      <c r="T1278" s="201"/>
    </row>
    <row r="1279" spans="1:20" ht="22.5" hidden="1" customHeight="1" x14ac:dyDescent="0.25">
      <c r="A1279" s="208"/>
      <c r="B1279" s="238"/>
      <c r="C1279" s="198"/>
      <c r="D1279" s="198"/>
      <c r="E1279" s="199"/>
      <c r="F1279" s="200"/>
      <c r="G1279" s="201"/>
      <c r="H1279" s="208"/>
      <c r="I1279" s="209"/>
      <c r="J1279" s="209"/>
      <c r="K1279" s="198"/>
      <c r="L1279" s="204"/>
      <c r="M1279" s="205"/>
      <c r="N1279" s="206"/>
      <c r="O1279" s="207"/>
      <c r="P1279" s="207"/>
      <c r="Q1279" s="207"/>
      <c r="R1279" s="207"/>
      <c r="S1279" s="198"/>
      <c r="T1279" s="201"/>
    </row>
    <row r="1280" spans="1:20" ht="22.5" hidden="1" customHeight="1" x14ac:dyDescent="0.25">
      <c r="A1280" s="208"/>
      <c r="B1280" s="238"/>
      <c r="C1280" s="198"/>
      <c r="D1280" s="198"/>
      <c r="E1280" s="199"/>
      <c r="F1280" s="200"/>
      <c r="G1280" s="201"/>
      <c r="H1280" s="208"/>
      <c r="I1280" s="209"/>
      <c r="J1280" s="209"/>
      <c r="K1280" s="198"/>
      <c r="L1280" s="204"/>
      <c r="M1280" s="205"/>
      <c r="N1280" s="206"/>
      <c r="O1280" s="207"/>
      <c r="P1280" s="207"/>
      <c r="Q1280" s="207"/>
      <c r="R1280" s="207"/>
      <c r="S1280" s="198"/>
      <c r="T1280" s="201"/>
    </row>
    <row r="1281" spans="1:20" ht="22.5" hidden="1" customHeight="1" x14ac:dyDescent="0.25">
      <c r="A1281" s="208"/>
      <c r="B1281" s="238"/>
      <c r="C1281" s="198"/>
      <c r="D1281" s="198"/>
      <c r="E1281" s="199"/>
      <c r="F1281" s="200"/>
      <c r="G1281" s="201"/>
      <c r="H1281" s="208"/>
      <c r="I1281" s="209"/>
      <c r="J1281" s="209"/>
      <c r="K1281" s="198"/>
      <c r="L1281" s="204"/>
      <c r="M1281" s="205"/>
      <c r="N1281" s="206"/>
      <c r="O1281" s="207"/>
      <c r="P1281" s="207"/>
      <c r="Q1281" s="207"/>
      <c r="R1281" s="207"/>
      <c r="S1281" s="198"/>
      <c r="T1281" s="201"/>
    </row>
    <row r="1282" spans="1:20" ht="22.5" hidden="1" customHeight="1" x14ac:dyDescent="0.25">
      <c r="A1282" s="208"/>
      <c r="B1282" s="238"/>
      <c r="C1282" s="198"/>
      <c r="D1282" s="198"/>
      <c r="E1282" s="199"/>
      <c r="F1282" s="200"/>
      <c r="G1282" s="201"/>
      <c r="H1282" s="208"/>
      <c r="I1282" s="209"/>
      <c r="J1282" s="209"/>
      <c r="K1282" s="198"/>
      <c r="L1282" s="204"/>
      <c r="M1282" s="205"/>
      <c r="N1282" s="206"/>
      <c r="O1282" s="207"/>
      <c r="P1282" s="207"/>
      <c r="Q1282" s="207"/>
      <c r="R1282" s="207"/>
      <c r="S1282" s="198"/>
      <c r="T1282" s="201"/>
    </row>
    <row r="1283" spans="1:20" ht="22.5" hidden="1" customHeight="1" x14ac:dyDescent="0.25">
      <c r="A1283" s="208"/>
      <c r="B1283" s="238"/>
      <c r="C1283" s="198"/>
      <c r="D1283" s="198"/>
      <c r="E1283" s="199"/>
      <c r="F1283" s="200"/>
      <c r="G1283" s="201"/>
      <c r="H1283" s="208"/>
      <c r="I1283" s="209"/>
      <c r="J1283" s="209"/>
      <c r="K1283" s="198"/>
      <c r="L1283" s="204"/>
      <c r="M1283" s="205"/>
      <c r="N1283" s="206"/>
      <c r="O1283" s="207"/>
      <c r="P1283" s="207"/>
      <c r="Q1283" s="207"/>
      <c r="R1283" s="207"/>
      <c r="S1283" s="198"/>
      <c r="T1283" s="201"/>
    </row>
    <row r="1284" spans="1:20" ht="22.5" hidden="1" customHeight="1" x14ac:dyDescent="0.25">
      <c r="A1284" s="208"/>
      <c r="B1284" s="238"/>
      <c r="C1284" s="198"/>
      <c r="D1284" s="198"/>
      <c r="E1284" s="199"/>
      <c r="F1284" s="200"/>
      <c r="G1284" s="201"/>
      <c r="H1284" s="208"/>
      <c r="I1284" s="209"/>
      <c r="J1284" s="209"/>
      <c r="K1284" s="198"/>
      <c r="L1284" s="204"/>
      <c r="M1284" s="205"/>
      <c r="N1284" s="206"/>
      <c r="O1284" s="207"/>
      <c r="P1284" s="207"/>
      <c r="Q1284" s="207"/>
      <c r="R1284" s="207"/>
      <c r="S1284" s="198"/>
      <c r="T1284" s="201"/>
    </row>
    <row r="1285" spans="1:20" ht="22.5" hidden="1" customHeight="1" x14ac:dyDescent="0.25">
      <c r="A1285" s="208"/>
      <c r="B1285" s="238"/>
      <c r="C1285" s="198"/>
      <c r="D1285" s="198"/>
      <c r="E1285" s="199"/>
      <c r="F1285" s="200"/>
      <c r="G1285" s="201"/>
      <c r="H1285" s="208"/>
      <c r="I1285" s="209"/>
      <c r="J1285" s="209"/>
      <c r="K1285" s="198"/>
      <c r="L1285" s="204"/>
      <c r="M1285" s="205"/>
      <c r="N1285" s="206"/>
      <c r="O1285" s="207"/>
      <c r="P1285" s="207"/>
      <c r="Q1285" s="207"/>
      <c r="R1285" s="207"/>
      <c r="S1285" s="198"/>
      <c r="T1285" s="201"/>
    </row>
    <row r="1286" spans="1:20" ht="22.5" hidden="1" customHeight="1" x14ac:dyDescent="0.25">
      <c r="A1286" s="208"/>
      <c r="B1286" s="238"/>
      <c r="C1286" s="198"/>
      <c r="D1286" s="198"/>
      <c r="E1286" s="199"/>
      <c r="F1286" s="200"/>
      <c r="G1286" s="201"/>
      <c r="H1286" s="208"/>
      <c r="I1286" s="209"/>
      <c r="J1286" s="209"/>
      <c r="K1286" s="198"/>
      <c r="L1286" s="204"/>
      <c r="M1286" s="205"/>
      <c r="N1286" s="206"/>
      <c r="O1286" s="207"/>
      <c r="P1286" s="207"/>
      <c r="Q1286" s="207"/>
      <c r="R1286" s="207"/>
      <c r="S1286" s="198"/>
      <c r="T1286" s="201"/>
    </row>
    <row r="1287" spans="1:20" ht="22.5" hidden="1" customHeight="1" x14ac:dyDescent="0.25">
      <c r="A1287" s="208"/>
      <c r="B1287" s="238"/>
      <c r="C1287" s="198"/>
      <c r="D1287" s="198"/>
      <c r="E1287" s="199"/>
      <c r="F1287" s="200"/>
      <c r="G1287" s="201"/>
      <c r="H1287" s="208"/>
      <c r="I1287" s="209"/>
      <c r="J1287" s="209"/>
      <c r="K1287" s="198"/>
      <c r="L1287" s="204"/>
      <c r="M1287" s="205"/>
      <c r="N1287" s="206"/>
      <c r="O1287" s="207"/>
      <c r="P1287" s="207"/>
      <c r="Q1287" s="207"/>
      <c r="R1287" s="207"/>
      <c r="S1287" s="198"/>
      <c r="T1287" s="201"/>
    </row>
    <row r="1288" spans="1:20" ht="22.5" hidden="1" customHeight="1" x14ac:dyDescent="0.25">
      <c r="A1288" s="208"/>
      <c r="B1288" s="238"/>
      <c r="C1288" s="198"/>
      <c r="D1288" s="198"/>
      <c r="E1288" s="199"/>
      <c r="F1288" s="200"/>
      <c r="G1288" s="201"/>
      <c r="H1288" s="208"/>
      <c r="I1288" s="209"/>
      <c r="J1288" s="209"/>
      <c r="K1288" s="198"/>
      <c r="L1288" s="204"/>
      <c r="M1288" s="205"/>
      <c r="N1288" s="206"/>
      <c r="O1288" s="207"/>
      <c r="P1288" s="207"/>
      <c r="Q1288" s="207"/>
      <c r="R1288" s="207"/>
      <c r="S1288" s="198"/>
      <c r="T1288" s="201"/>
    </row>
    <row r="1289" spans="1:20" ht="22.5" hidden="1" customHeight="1" x14ac:dyDescent="0.25">
      <c r="A1289" s="208"/>
      <c r="B1289" s="238"/>
      <c r="C1289" s="198"/>
      <c r="D1289" s="198"/>
      <c r="E1289" s="199"/>
      <c r="F1289" s="200"/>
      <c r="G1289" s="201"/>
      <c r="H1289" s="208"/>
      <c r="I1289" s="209"/>
      <c r="J1289" s="209"/>
      <c r="K1289" s="198"/>
      <c r="L1289" s="204"/>
      <c r="M1289" s="205"/>
      <c r="N1289" s="206"/>
      <c r="O1289" s="207"/>
      <c r="P1289" s="207"/>
      <c r="Q1289" s="207"/>
      <c r="R1289" s="207"/>
      <c r="S1289" s="198"/>
      <c r="T1289" s="201"/>
    </row>
    <row r="1290" spans="1:20" ht="22.5" hidden="1" customHeight="1" x14ac:dyDescent="0.25">
      <c r="A1290" s="208"/>
      <c r="B1290" s="238"/>
      <c r="C1290" s="198"/>
      <c r="D1290" s="198"/>
      <c r="E1290" s="199"/>
      <c r="F1290" s="200"/>
      <c r="G1290" s="201"/>
      <c r="H1290" s="208"/>
      <c r="I1290" s="209"/>
      <c r="J1290" s="209"/>
      <c r="K1290" s="198"/>
      <c r="L1290" s="204"/>
      <c r="M1290" s="205"/>
      <c r="N1290" s="206"/>
      <c r="O1290" s="207"/>
      <c r="P1290" s="207"/>
      <c r="Q1290" s="207"/>
      <c r="R1290" s="207"/>
      <c r="S1290" s="198"/>
      <c r="T1290" s="201"/>
    </row>
    <row r="1291" spans="1:20" ht="22.5" hidden="1" customHeight="1" x14ac:dyDescent="0.25">
      <c r="A1291" s="208"/>
      <c r="B1291" s="238"/>
      <c r="C1291" s="198"/>
      <c r="D1291" s="198"/>
      <c r="E1291" s="199"/>
      <c r="F1291" s="200"/>
      <c r="G1291" s="201"/>
      <c r="H1291" s="208"/>
      <c r="I1291" s="209"/>
      <c r="J1291" s="209"/>
      <c r="K1291" s="198"/>
      <c r="L1291" s="204"/>
      <c r="M1291" s="205"/>
      <c r="N1291" s="206"/>
      <c r="O1291" s="207"/>
      <c r="P1291" s="207"/>
      <c r="Q1291" s="207"/>
      <c r="R1291" s="207"/>
      <c r="S1291" s="198"/>
      <c r="T1291" s="201"/>
    </row>
    <row r="1292" spans="1:20" ht="22.5" hidden="1" customHeight="1" x14ac:dyDescent="0.25">
      <c r="A1292" s="208"/>
      <c r="B1292" s="238"/>
      <c r="C1292" s="198"/>
      <c r="D1292" s="198"/>
      <c r="E1292" s="199"/>
      <c r="F1292" s="200"/>
      <c r="G1292" s="201"/>
      <c r="H1292" s="208"/>
      <c r="I1292" s="209"/>
      <c r="J1292" s="209"/>
      <c r="K1292" s="198"/>
      <c r="L1292" s="204"/>
      <c r="M1292" s="205"/>
      <c r="N1292" s="206"/>
      <c r="O1292" s="207"/>
      <c r="P1292" s="207"/>
      <c r="Q1292" s="207"/>
      <c r="R1292" s="207"/>
      <c r="S1292" s="198"/>
      <c r="T1292" s="201"/>
    </row>
    <row r="1293" spans="1:20" ht="22.5" hidden="1" customHeight="1" x14ac:dyDescent="0.25">
      <c r="A1293" s="208"/>
      <c r="B1293" s="238"/>
      <c r="C1293" s="198"/>
      <c r="D1293" s="198"/>
      <c r="E1293" s="199"/>
      <c r="F1293" s="200"/>
      <c r="G1293" s="201"/>
      <c r="H1293" s="208"/>
      <c r="I1293" s="209"/>
      <c r="J1293" s="209"/>
      <c r="K1293" s="198"/>
      <c r="L1293" s="204"/>
      <c r="M1293" s="205"/>
      <c r="N1293" s="206"/>
      <c r="O1293" s="207"/>
      <c r="P1293" s="207"/>
      <c r="Q1293" s="207"/>
      <c r="R1293" s="207"/>
      <c r="S1293" s="198"/>
      <c r="T1293" s="201"/>
    </row>
    <row r="1294" spans="1:20" ht="22.5" hidden="1" customHeight="1" x14ac:dyDescent="0.25">
      <c r="A1294" s="208"/>
      <c r="B1294" s="238"/>
      <c r="C1294" s="198"/>
      <c r="D1294" s="198"/>
      <c r="E1294" s="199"/>
      <c r="F1294" s="200"/>
      <c r="G1294" s="201"/>
      <c r="H1294" s="208"/>
      <c r="I1294" s="209"/>
      <c r="J1294" s="209"/>
      <c r="K1294" s="198"/>
      <c r="L1294" s="204"/>
      <c r="M1294" s="205"/>
      <c r="N1294" s="206"/>
      <c r="O1294" s="207"/>
      <c r="P1294" s="207"/>
      <c r="Q1294" s="207"/>
      <c r="R1294" s="207"/>
      <c r="S1294" s="198"/>
      <c r="T1294" s="201"/>
    </row>
    <row r="1295" spans="1:20" ht="22.5" hidden="1" customHeight="1" x14ac:dyDescent="0.25">
      <c r="A1295" s="208"/>
      <c r="B1295" s="238"/>
      <c r="C1295" s="198"/>
      <c r="D1295" s="198"/>
      <c r="E1295" s="199"/>
      <c r="F1295" s="200"/>
      <c r="G1295" s="201"/>
      <c r="H1295" s="208"/>
      <c r="I1295" s="209"/>
      <c r="J1295" s="209"/>
      <c r="K1295" s="198"/>
      <c r="L1295" s="204"/>
      <c r="M1295" s="205"/>
      <c r="N1295" s="206"/>
      <c r="O1295" s="207"/>
      <c r="P1295" s="207"/>
      <c r="Q1295" s="207"/>
      <c r="R1295" s="207"/>
      <c r="S1295" s="198"/>
      <c r="T1295" s="201"/>
    </row>
    <row r="1296" spans="1:20" ht="22.5" hidden="1" customHeight="1" x14ac:dyDescent="0.25">
      <c r="A1296" s="208"/>
      <c r="B1296" s="238"/>
      <c r="C1296" s="198"/>
      <c r="D1296" s="198"/>
      <c r="E1296" s="199"/>
      <c r="F1296" s="200"/>
      <c r="G1296" s="201"/>
      <c r="H1296" s="208"/>
      <c r="I1296" s="209"/>
      <c r="J1296" s="209"/>
      <c r="K1296" s="198"/>
      <c r="L1296" s="204"/>
      <c r="M1296" s="205"/>
      <c r="N1296" s="206"/>
      <c r="O1296" s="207"/>
      <c r="P1296" s="207"/>
      <c r="Q1296" s="207"/>
      <c r="R1296" s="207"/>
      <c r="S1296" s="198"/>
      <c r="T1296" s="201"/>
    </row>
    <row r="1297" spans="1:20" ht="22.5" hidden="1" customHeight="1" x14ac:dyDescent="0.25">
      <c r="A1297" s="208"/>
      <c r="B1297" s="238"/>
      <c r="C1297" s="198"/>
      <c r="D1297" s="198"/>
      <c r="E1297" s="199"/>
      <c r="F1297" s="200"/>
      <c r="G1297" s="201"/>
      <c r="H1297" s="208"/>
      <c r="I1297" s="209"/>
      <c r="J1297" s="209"/>
      <c r="K1297" s="198"/>
      <c r="L1297" s="204"/>
      <c r="M1297" s="205"/>
      <c r="N1297" s="206"/>
      <c r="O1297" s="207"/>
      <c r="P1297" s="207"/>
      <c r="Q1297" s="207"/>
      <c r="R1297" s="207"/>
      <c r="S1297" s="198"/>
      <c r="T1297" s="201"/>
    </row>
    <row r="1298" spans="1:20" ht="22.5" hidden="1" customHeight="1" x14ac:dyDescent="0.25">
      <c r="A1298" s="208"/>
      <c r="B1298" s="238"/>
      <c r="C1298" s="198"/>
      <c r="D1298" s="198"/>
      <c r="E1298" s="199"/>
      <c r="F1298" s="200"/>
      <c r="G1298" s="201"/>
      <c r="H1298" s="208"/>
      <c r="I1298" s="209"/>
      <c r="J1298" s="209"/>
      <c r="K1298" s="198"/>
      <c r="L1298" s="204"/>
      <c r="M1298" s="205"/>
      <c r="N1298" s="206"/>
      <c r="O1298" s="207"/>
      <c r="P1298" s="207"/>
      <c r="Q1298" s="207"/>
      <c r="R1298" s="207"/>
      <c r="S1298" s="198"/>
      <c r="T1298" s="201"/>
    </row>
    <row r="1299" spans="1:20" ht="22.5" hidden="1" customHeight="1" x14ac:dyDescent="0.25">
      <c r="A1299" s="208"/>
      <c r="B1299" s="238"/>
      <c r="C1299" s="198"/>
      <c r="D1299" s="198"/>
      <c r="E1299" s="199"/>
      <c r="F1299" s="200"/>
      <c r="G1299" s="201"/>
      <c r="H1299" s="208"/>
      <c r="I1299" s="209"/>
      <c r="J1299" s="209"/>
      <c r="K1299" s="198"/>
      <c r="L1299" s="204"/>
      <c r="M1299" s="205"/>
      <c r="N1299" s="206"/>
      <c r="O1299" s="207"/>
      <c r="P1299" s="207"/>
      <c r="Q1299" s="207"/>
      <c r="R1299" s="207"/>
      <c r="S1299" s="198"/>
      <c r="T1299" s="201"/>
    </row>
    <row r="1300" spans="1:20" ht="22.5" hidden="1" customHeight="1" x14ac:dyDescent="0.25">
      <c r="A1300" s="208"/>
      <c r="B1300" s="238"/>
      <c r="C1300" s="198"/>
      <c r="D1300" s="198"/>
      <c r="E1300" s="199"/>
      <c r="F1300" s="200"/>
      <c r="G1300" s="201"/>
      <c r="H1300" s="208"/>
      <c r="I1300" s="209"/>
      <c r="J1300" s="209"/>
      <c r="K1300" s="198"/>
      <c r="L1300" s="204"/>
      <c r="M1300" s="205"/>
      <c r="N1300" s="206"/>
      <c r="O1300" s="207"/>
      <c r="P1300" s="207"/>
      <c r="Q1300" s="207"/>
      <c r="R1300" s="207"/>
      <c r="S1300" s="198"/>
      <c r="T1300" s="201"/>
    </row>
    <row r="1301" spans="1:20" ht="22.5" hidden="1" customHeight="1" x14ac:dyDescent="0.25">
      <c r="A1301" s="208"/>
      <c r="B1301" s="238"/>
      <c r="C1301" s="198"/>
      <c r="D1301" s="198"/>
      <c r="E1301" s="199"/>
      <c r="F1301" s="200"/>
      <c r="G1301" s="201"/>
      <c r="H1301" s="208"/>
      <c r="I1301" s="209"/>
      <c r="J1301" s="209"/>
      <c r="K1301" s="198"/>
      <c r="L1301" s="204"/>
      <c r="M1301" s="205"/>
      <c r="N1301" s="206"/>
      <c r="O1301" s="207"/>
      <c r="P1301" s="207"/>
      <c r="Q1301" s="207"/>
      <c r="R1301" s="207"/>
      <c r="S1301" s="198"/>
      <c r="T1301" s="201"/>
    </row>
    <row r="1302" spans="1:20" ht="22.5" hidden="1" customHeight="1" x14ac:dyDescent="0.25">
      <c r="A1302" s="208"/>
      <c r="B1302" s="238"/>
      <c r="C1302" s="198"/>
      <c r="D1302" s="198"/>
      <c r="E1302" s="199"/>
      <c r="F1302" s="200"/>
      <c r="G1302" s="201"/>
      <c r="H1302" s="208"/>
      <c r="I1302" s="209"/>
      <c r="J1302" s="209"/>
      <c r="K1302" s="198"/>
      <c r="L1302" s="204"/>
      <c r="M1302" s="205"/>
      <c r="N1302" s="206"/>
      <c r="O1302" s="207"/>
      <c r="P1302" s="207"/>
      <c r="Q1302" s="207"/>
      <c r="R1302" s="207"/>
      <c r="S1302" s="198"/>
      <c r="T1302" s="201"/>
    </row>
    <row r="1303" spans="1:20" ht="22.5" hidden="1" customHeight="1" x14ac:dyDescent="0.25">
      <c r="A1303" s="208"/>
      <c r="B1303" s="238"/>
      <c r="C1303" s="198"/>
      <c r="D1303" s="198"/>
      <c r="E1303" s="199"/>
      <c r="F1303" s="200"/>
      <c r="G1303" s="201"/>
      <c r="H1303" s="208"/>
      <c r="I1303" s="209"/>
      <c r="J1303" s="209"/>
      <c r="K1303" s="198"/>
      <c r="L1303" s="204"/>
      <c r="M1303" s="205"/>
      <c r="N1303" s="206"/>
      <c r="O1303" s="207"/>
      <c r="P1303" s="207"/>
      <c r="Q1303" s="207"/>
      <c r="R1303" s="207"/>
      <c r="S1303" s="198"/>
      <c r="T1303" s="201"/>
    </row>
    <row r="1304" spans="1:20" ht="22.5" hidden="1" customHeight="1" x14ac:dyDescent="0.25">
      <c r="A1304" s="208"/>
      <c r="B1304" s="238"/>
      <c r="C1304" s="198"/>
      <c r="D1304" s="198"/>
      <c r="E1304" s="199"/>
      <c r="F1304" s="200"/>
      <c r="G1304" s="201"/>
      <c r="H1304" s="208"/>
      <c r="I1304" s="209"/>
      <c r="J1304" s="209"/>
      <c r="K1304" s="198"/>
      <c r="L1304" s="204"/>
      <c r="M1304" s="205"/>
      <c r="N1304" s="206"/>
      <c r="O1304" s="207"/>
      <c r="P1304" s="207"/>
      <c r="Q1304" s="207"/>
      <c r="R1304" s="207"/>
      <c r="S1304" s="198"/>
      <c r="T1304" s="201"/>
    </row>
    <row r="1305" spans="1:20" ht="22.5" hidden="1" customHeight="1" x14ac:dyDescent="0.25">
      <c r="A1305" s="208"/>
      <c r="B1305" s="238"/>
      <c r="C1305" s="198"/>
      <c r="D1305" s="198"/>
      <c r="E1305" s="199"/>
      <c r="F1305" s="200"/>
      <c r="G1305" s="201"/>
      <c r="H1305" s="208"/>
      <c r="I1305" s="209"/>
      <c r="J1305" s="209"/>
      <c r="K1305" s="198"/>
      <c r="L1305" s="204"/>
      <c r="M1305" s="205"/>
      <c r="N1305" s="206"/>
      <c r="O1305" s="207"/>
      <c r="P1305" s="207"/>
      <c r="Q1305" s="207"/>
      <c r="R1305" s="207"/>
      <c r="S1305" s="198"/>
      <c r="T1305" s="201"/>
    </row>
    <row r="1306" spans="1:20" ht="22.5" hidden="1" customHeight="1" x14ac:dyDescent="0.25">
      <c r="A1306" s="208"/>
      <c r="B1306" s="238"/>
      <c r="C1306" s="198"/>
      <c r="D1306" s="198"/>
      <c r="E1306" s="199"/>
      <c r="F1306" s="200"/>
      <c r="G1306" s="201"/>
      <c r="H1306" s="208"/>
      <c r="I1306" s="209"/>
      <c r="J1306" s="209"/>
      <c r="K1306" s="198"/>
      <c r="L1306" s="204"/>
      <c r="M1306" s="205"/>
      <c r="N1306" s="206"/>
      <c r="O1306" s="207"/>
      <c r="P1306" s="207"/>
      <c r="Q1306" s="207"/>
      <c r="R1306" s="207"/>
      <c r="S1306" s="198"/>
      <c r="T1306" s="201"/>
    </row>
    <row r="1307" spans="1:20" ht="22.5" hidden="1" customHeight="1" x14ac:dyDescent="0.25">
      <c r="A1307" s="208"/>
      <c r="B1307" s="238"/>
      <c r="C1307" s="198"/>
      <c r="D1307" s="198"/>
      <c r="E1307" s="199"/>
      <c r="F1307" s="200"/>
      <c r="G1307" s="201"/>
      <c r="H1307" s="208"/>
      <c r="I1307" s="209"/>
      <c r="J1307" s="209"/>
      <c r="K1307" s="198"/>
      <c r="L1307" s="204"/>
      <c r="M1307" s="205"/>
      <c r="N1307" s="206"/>
      <c r="O1307" s="207"/>
      <c r="P1307" s="207"/>
      <c r="Q1307" s="207"/>
      <c r="R1307" s="207"/>
      <c r="S1307" s="198"/>
      <c r="T1307" s="201"/>
    </row>
    <row r="1308" spans="1:20" ht="22.5" hidden="1" customHeight="1" x14ac:dyDescent="0.25">
      <c r="A1308" s="208"/>
      <c r="B1308" s="238"/>
      <c r="C1308" s="198"/>
      <c r="D1308" s="198"/>
      <c r="E1308" s="199"/>
      <c r="F1308" s="200"/>
      <c r="G1308" s="201"/>
      <c r="H1308" s="208"/>
      <c r="I1308" s="209"/>
      <c r="J1308" s="209"/>
      <c r="K1308" s="198"/>
      <c r="L1308" s="204"/>
      <c r="M1308" s="205"/>
      <c r="N1308" s="206"/>
      <c r="O1308" s="207"/>
      <c r="P1308" s="207"/>
      <c r="Q1308" s="207"/>
      <c r="R1308" s="207"/>
      <c r="S1308" s="198"/>
      <c r="T1308" s="201"/>
    </row>
    <row r="1309" spans="1:20" ht="22.5" hidden="1" customHeight="1" x14ac:dyDescent="0.25">
      <c r="A1309" s="208"/>
      <c r="B1309" s="238"/>
      <c r="C1309" s="198"/>
      <c r="D1309" s="198"/>
      <c r="E1309" s="199"/>
      <c r="F1309" s="200"/>
      <c r="G1309" s="201"/>
      <c r="H1309" s="208"/>
      <c r="I1309" s="209"/>
      <c r="J1309" s="209"/>
      <c r="K1309" s="198"/>
      <c r="L1309" s="204"/>
      <c r="M1309" s="205"/>
      <c r="N1309" s="206"/>
      <c r="O1309" s="207"/>
      <c r="P1309" s="207"/>
      <c r="Q1309" s="207"/>
      <c r="R1309" s="207"/>
      <c r="S1309" s="198"/>
      <c r="T1309" s="201"/>
    </row>
    <row r="1310" spans="1:20" ht="22.5" hidden="1" customHeight="1" x14ac:dyDescent="0.25">
      <c r="A1310" s="208"/>
      <c r="B1310" s="238"/>
      <c r="C1310" s="198"/>
      <c r="D1310" s="198"/>
      <c r="E1310" s="199"/>
      <c r="F1310" s="200"/>
      <c r="G1310" s="201"/>
      <c r="H1310" s="208"/>
      <c r="I1310" s="209"/>
      <c r="J1310" s="209"/>
      <c r="K1310" s="198"/>
      <c r="L1310" s="204"/>
      <c r="M1310" s="205"/>
      <c r="N1310" s="206"/>
      <c r="O1310" s="207"/>
      <c r="P1310" s="207"/>
      <c r="Q1310" s="207"/>
      <c r="R1310" s="207"/>
      <c r="S1310" s="198"/>
      <c r="T1310" s="201"/>
    </row>
    <row r="1311" spans="1:20" ht="22.5" hidden="1" customHeight="1" x14ac:dyDescent="0.25">
      <c r="A1311" s="208"/>
      <c r="B1311" s="238"/>
      <c r="C1311" s="198"/>
      <c r="D1311" s="198"/>
      <c r="E1311" s="199"/>
      <c r="F1311" s="200"/>
      <c r="G1311" s="201"/>
      <c r="H1311" s="208"/>
      <c r="I1311" s="209"/>
      <c r="J1311" s="209"/>
      <c r="K1311" s="198"/>
      <c r="L1311" s="204"/>
      <c r="M1311" s="205"/>
      <c r="N1311" s="206"/>
      <c r="O1311" s="207"/>
      <c r="P1311" s="207"/>
      <c r="Q1311" s="207"/>
      <c r="R1311" s="207"/>
      <c r="S1311" s="198"/>
      <c r="T1311" s="201"/>
    </row>
    <row r="1312" spans="1:20" ht="22.5" hidden="1" customHeight="1" x14ac:dyDescent="0.25">
      <c r="A1312" s="208"/>
      <c r="B1312" s="238"/>
      <c r="C1312" s="198"/>
      <c r="D1312" s="198"/>
      <c r="E1312" s="199"/>
      <c r="F1312" s="200"/>
      <c r="G1312" s="201"/>
      <c r="H1312" s="208"/>
      <c r="I1312" s="209"/>
      <c r="J1312" s="209"/>
      <c r="K1312" s="198"/>
      <c r="L1312" s="204"/>
      <c r="M1312" s="205"/>
      <c r="N1312" s="206"/>
      <c r="O1312" s="207"/>
      <c r="P1312" s="207"/>
      <c r="Q1312" s="207"/>
      <c r="R1312" s="207"/>
      <c r="S1312" s="198"/>
      <c r="T1312" s="201"/>
    </row>
    <row r="1313" spans="1:20" ht="22.5" hidden="1" customHeight="1" x14ac:dyDescent="0.25">
      <c r="A1313" s="208"/>
      <c r="B1313" s="238"/>
      <c r="C1313" s="198"/>
      <c r="D1313" s="198"/>
      <c r="E1313" s="199"/>
      <c r="F1313" s="200"/>
      <c r="G1313" s="201"/>
      <c r="H1313" s="208"/>
      <c r="I1313" s="209"/>
      <c r="J1313" s="209"/>
      <c r="K1313" s="198"/>
      <c r="L1313" s="204"/>
      <c r="M1313" s="205"/>
      <c r="N1313" s="206"/>
      <c r="O1313" s="207"/>
      <c r="P1313" s="207"/>
      <c r="Q1313" s="207"/>
      <c r="R1313" s="207"/>
      <c r="S1313" s="198"/>
      <c r="T1313" s="201"/>
    </row>
    <row r="1314" spans="1:20" ht="22.5" hidden="1" customHeight="1" x14ac:dyDescent="0.25">
      <c r="A1314" s="208"/>
      <c r="B1314" s="238"/>
      <c r="C1314" s="198"/>
      <c r="D1314" s="198"/>
      <c r="E1314" s="199"/>
      <c r="F1314" s="200"/>
      <c r="G1314" s="201"/>
      <c r="H1314" s="208"/>
      <c r="I1314" s="209"/>
      <c r="J1314" s="209"/>
      <c r="K1314" s="198"/>
      <c r="L1314" s="204"/>
      <c r="M1314" s="205"/>
      <c r="N1314" s="206"/>
      <c r="O1314" s="207"/>
      <c r="P1314" s="207"/>
      <c r="Q1314" s="207"/>
      <c r="R1314" s="207"/>
      <c r="S1314" s="198"/>
      <c r="T1314" s="201"/>
    </row>
    <row r="1315" spans="1:20" ht="22.5" hidden="1" customHeight="1" x14ac:dyDescent="0.25">
      <c r="A1315" s="208"/>
      <c r="B1315" s="238"/>
      <c r="C1315" s="198"/>
      <c r="D1315" s="198"/>
      <c r="E1315" s="199"/>
      <c r="F1315" s="200"/>
      <c r="G1315" s="201"/>
      <c r="H1315" s="208"/>
      <c r="I1315" s="209"/>
      <c r="J1315" s="209"/>
      <c r="K1315" s="198"/>
      <c r="L1315" s="204"/>
      <c r="M1315" s="205"/>
      <c r="N1315" s="206"/>
      <c r="O1315" s="207"/>
      <c r="P1315" s="207"/>
      <c r="Q1315" s="207"/>
      <c r="R1315" s="207"/>
      <c r="S1315" s="198"/>
      <c r="T1315" s="201"/>
    </row>
    <row r="1316" spans="1:20" ht="22.5" hidden="1" customHeight="1" x14ac:dyDescent="0.25">
      <c r="A1316" s="208"/>
      <c r="B1316" s="238"/>
      <c r="C1316" s="198"/>
      <c r="D1316" s="198"/>
      <c r="E1316" s="199"/>
      <c r="F1316" s="200"/>
      <c r="G1316" s="201"/>
      <c r="H1316" s="208"/>
      <c r="I1316" s="209"/>
      <c r="J1316" s="209"/>
      <c r="K1316" s="198"/>
      <c r="L1316" s="204"/>
      <c r="M1316" s="205"/>
      <c r="N1316" s="206"/>
      <c r="O1316" s="207"/>
      <c r="P1316" s="207"/>
      <c r="Q1316" s="207"/>
      <c r="R1316" s="207"/>
      <c r="S1316" s="198"/>
      <c r="T1316" s="201"/>
    </row>
    <row r="1317" spans="1:20" ht="22.5" hidden="1" customHeight="1" x14ac:dyDescent="0.25">
      <c r="A1317" s="208"/>
      <c r="B1317" s="238"/>
      <c r="C1317" s="198"/>
      <c r="D1317" s="198"/>
      <c r="E1317" s="199"/>
      <c r="F1317" s="200"/>
      <c r="G1317" s="201"/>
      <c r="H1317" s="208"/>
      <c r="I1317" s="209"/>
      <c r="J1317" s="209"/>
      <c r="K1317" s="198"/>
      <c r="L1317" s="204"/>
      <c r="M1317" s="205"/>
      <c r="N1317" s="206"/>
      <c r="O1317" s="207"/>
      <c r="P1317" s="207"/>
      <c r="Q1317" s="207"/>
      <c r="R1317" s="207"/>
      <c r="S1317" s="198"/>
      <c r="T1317" s="201"/>
    </row>
    <row r="1318" spans="1:20" ht="22.5" hidden="1" customHeight="1" x14ac:dyDescent="0.25">
      <c r="A1318" s="208"/>
      <c r="B1318" s="238"/>
      <c r="C1318" s="198"/>
      <c r="D1318" s="198"/>
      <c r="E1318" s="199"/>
      <c r="F1318" s="200"/>
      <c r="G1318" s="201"/>
      <c r="H1318" s="208"/>
      <c r="I1318" s="209"/>
      <c r="J1318" s="209"/>
      <c r="K1318" s="198"/>
      <c r="L1318" s="204"/>
      <c r="M1318" s="205"/>
      <c r="N1318" s="206"/>
      <c r="O1318" s="207"/>
      <c r="P1318" s="207"/>
      <c r="Q1318" s="207"/>
      <c r="R1318" s="207"/>
      <c r="S1318" s="198"/>
      <c r="T1318" s="201"/>
    </row>
    <row r="1319" spans="1:20" ht="22.5" hidden="1" customHeight="1" x14ac:dyDescent="0.25">
      <c r="A1319" s="208"/>
      <c r="B1319" s="238"/>
      <c r="C1319" s="198"/>
      <c r="D1319" s="198"/>
      <c r="E1319" s="199"/>
      <c r="F1319" s="200"/>
      <c r="G1319" s="201"/>
      <c r="H1319" s="208"/>
      <c r="I1319" s="209"/>
      <c r="J1319" s="209"/>
      <c r="K1319" s="198"/>
      <c r="L1319" s="204"/>
      <c r="M1319" s="205"/>
      <c r="N1319" s="206"/>
      <c r="O1319" s="207"/>
      <c r="P1319" s="207"/>
      <c r="Q1319" s="207"/>
      <c r="R1319" s="207"/>
      <c r="S1319" s="198"/>
      <c r="T1319" s="201"/>
    </row>
    <row r="1320" spans="1:20" ht="22.5" hidden="1" customHeight="1" x14ac:dyDescent="0.25">
      <c r="A1320" s="208"/>
      <c r="B1320" s="238"/>
      <c r="C1320" s="198"/>
      <c r="D1320" s="198"/>
      <c r="E1320" s="199"/>
      <c r="F1320" s="200"/>
      <c r="G1320" s="201"/>
      <c r="H1320" s="208"/>
      <c r="I1320" s="209"/>
      <c r="J1320" s="209"/>
      <c r="K1320" s="198"/>
      <c r="L1320" s="204"/>
      <c r="M1320" s="205"/>
      <c r="N1320" s="206"/>
      <c r="O1320" s="207"/>
      <c r="P1320" s="207"/>
      <c r="Q1320" s="207"/>
      <c r="R1320" s="207"/>
      <c r="S1320" s="198"/>
      <c r="T1320" s="201"/>
    </row>
    <row r="1321" spans="1:20" ht="22.5" hidden="1" customHeight="1" x14ac:dyDescent="0.25">
      <c r="A1321" s="208"/>
      <c r="B1321" s="238"/>
      <c r="C1321" s="198"/>
      <c r="D1321" s="198"/>
      <c r="E1321" s="199"/>
      <c r="F1321" s="200"/>
      <c r="G1321" s="201"/>
      <c r="H1321" s="208"/>
      <c r="I1321" s="209"/>
      <c r="J1321" s="209"/>
      <c r="K1321" s="198"/>
      <c r="L1321" s="204"/>
      <c r="M1321" s="205"/>
      <c r="N1321" s="206"/>
      <c r="O1321" s="207"/>
      <c r="P1321" s="207"/>
      <c r="Q1321" s="207"/>
      <c r="R1321" s="207"/>
      <c r="S1321" s="198"/>
      <c r="T1321" s="201"/>
    </row>
    <row r="1322" spans="1:20" ht="22.5" hidden="1" customHeight="1" x14ac:dyDescent="0.25">
      <c r="A1322" s="208"/>
      <c r="B1322" s="238"/>
      <c r="C1322" s="198"/>
      <c r="D1322" s="198"/>
      <c r="E1322" s="199"/>
      <c r="F1322" s="200"/>
      <c r="G1322" s="201"/>
      <c r="H1322" s="208"/>
      <c r="I1322" s="209"/>
      <c r="J1322" s="209"/>
      <c r="K1322" s="198"/>
      <c r="L1322" s="204"/>
      <c r="M1322" s="205"/>
      <c r="N1322" s="206"/>
      <c r="O1322" s="207"/>
      <c r="P1322" s="207"/>
      <c r="Q1322" s="207"/>
      <c r="R1322" s="207"/>
      <c r="S1322" s="198"/>
      <c r="T1322" s="201"/>
    </row>
    <row r="1323" spans="1:20" ht="22.5" hidden="1" customHeight="1" x14ac:dyDescent="0.25">
      <c r="A1323" s="208"/>
      <c r="B1323" s="238"/>
      <c r="C1323" s="198"/>
      <c r="D1323" s="198"/>
      <c r="E1323" s="199"/>
      <c r="F1323" s="200"/>
      <c r="G1323" s="201"/>
      <c r="H1323" s="208"/>
      <c r="I1323" s="209"/>
      <c r="J1323" s="209"/>
      <c r="K1323" s="198"/>
      <c r="L1323" s="204"/>
      <c r="M1323" s="205"/>
      <c r="N1323" s="206"/>
      <c r="O1323" s="207"/>
      <c r="P1323" s="207"/>
      <c r="Q1323" s="207"/>
      <c r="R1323" s="207"/>
      <c r="S1323" s="198"/>
      <c r="T1323" s="201"/>
    </row>
    <row r="1324" spans="1:20" ht="22.5" hidden="1" customHeight="1" x14ac:dyDescent="0.25">
      <c r="A1324" s="208"/>
      <c r="B1324" s="238"/>
      <c r="C1324" s="198"/>
      <c r="D1324" s="198"/>
      <c r="E1324" s="199"/>
      <c r="F1324" s="200"/>
      <c r="G1324" s="201"/>
      <c r="H1324" s="208"/>
      <c r="I1324" s="209"/>
      <c r="J1324" s="209"/>
      <c r="K1324" s="198"/>
      <c r="L1324" s="204"/>
      <c r="M1324" s="205"/>
      <c r="N1324" s="206"/>
      <c r="O1324" s="207"/>
      <c r="P1324" s="207"/>
      <c r="Q1324" s="207"/>
      <c r="R1324" s="207"/>
      <c r="S1324" s="198"/>
      <c r="T1324" s="201"/>
    </row>
    <row r="1325" spans="1:20" ht="22.5" hidden="1" customHeight="1" x14ac:dyDescent="0.25">
      <c r="A1325" s="208"/>
      <c r="B1325" s="238"/>
      <c r="C1325" s="198"/>
      <c r="D1325" s="198"/>
      <c r="E1325" s="199"/>
      <c r="F1325" s="200"/>
      <c r="G1325" s="201"/>
      <c r="H1325" s="208"/>
      <c r="I1325" s="209"/>
      <c r="J1325" s="209"/>
      <c r="K1325" s="198"/>
      <c r="L1325" s="204"/>
      <c r="M1325" s="205"/>
      <c r="N1325" s="206"/>
      <c r="O1325" s="207"/>
      <c r="P1325" s="207"/>
      <c r="Q1325" s="207"/>
      <c r="R1325" s="207"/>
      <c r="S1325" s="198"/>
      <c r="T1325" s="201"/>
    </row>
    <row r="1326" spans="1:20" ht="22.5" hidden="1" customHeight="1" x14ac:dyDescent="0.25">
      <c r="A1326" s="208"/>
      <c r="B1326" s="238"/>
      <c r="C1326" s="198"/>
      <c r="D1326" s="198"/>
      <c r="E1326" s="199"/>
      <c r="F1326" s="200"/>
      <c r="G1326" s="201"/>
      <c r="H1326" s="208"/>
      <c r="I1326" s="209"/>
      <c r="J1326" s="209"/>
      <c r="K1326" s="198"/>
      <c r="L1326" s="204"/>
      <c r="M1326" s="205"/>
      <c r="N1326" s="206"/>
      <c r="O1326" s="207"/>
      <c r="P1326" s="207"/>
      <c r="Q1326" s="207"/>
      <c r="R1326" s="207"/>
      <c r="S1326" s="198"/>
      <c r="T1326" s="201"/>
    </row>
    <row r="1327" spans="1:20" ht="22.5" hidden="1" customHeight="1" x14ac:dyDescent="0.25">
      <c r="A1327" s="208"/>
      <c r="B1327" s="238"/>
      <c r="C1327" s="198"/>
      <c r="D1327" s="198"/>
      <c r="E1327" s="199"/>
      <c r="F1327" s="200"/>
      <c r="G1327" s="201"/>
      <c r="H1327" s="208"/>
      <c r="I1327" s="209"/>
      <c r="J1327" s="209"/>
      <c r="K1327" s="198"/>
      <c r="L1327" s="204"/>
      <c r="M1327" s="205"/>
      <c r="N1327" s="206"/>
      <c r="O1327" s="207"/>
      <c r="P1327" s="207"/>
      <c r="Q1327" s="207"/>
      <c r="R1327" s="207"/>
      <c r="S1327" s="198"/>
      <c r="T1327" s="201"/>
    </row>
    <row r="1328" spans="1:20" ht="22.5" hidden="1" customHeight="1" x14ac:dyDescent="0.25">
      <c r="A1328" s="208"/>
      <c r="B1328" s="238"/>
      <c r="C1328" s="198"/>
      <c r="D1328" s="198"/>
      <c r="E1328" s="199"/>
      <c r="F1328" s="200"/>
      <c r="G1328" s="201"/>
      <c r="H1328" s="208"/>
      <c r="I1328" s="209"/>
      <c r="J1328" s="209"/>
      <c r="K1328" s="198"/>
      <c r="L1328" s="204"/>
      <c r="M1328" s="205"/>
      <c r="N1328" s="206"/>
      <c r="O1328" s="207"/>
      <c r="P1328" s="207"/>
      <c r="Q1328" s="207"/>
      <c r="R1328" s="207"/>
      <c r="S1328" s="198"/>
      <c r="T1328" s="201"/>
    </row>
    <row r="1329" spans="1:20" ht="22.5" hidden="1" customHeight="1" x14ac:dyDescent="0.25">
      <c r="A1329" s="208"/>
      <c r="B1329" s="238"/>
      <c r="C1329" s="198"/>
      <c r="D1329" s="198"/>
      <c r="E1329" s="199"/>
      <c r="F1329" s="200"/>
      <c r="G1329" s="201"/>
      <c r="H1329" s="208"/>
      <c r="I1329" s="209"/>
      <c r="J1329" s="209"/>
      <c r="K1329" s="198"/>
      <c r="L1329" s="204"/>
      <c r="M1329" s="205"/>
      <c r="N1329" s="206"/>
      <c r="O1329" s="207"/>
      <c r="P1329" s="207"/>
      <c r="Q1329" s="207"/>
      <c r="R1329" s="207"/>
      <c r="S1329" s="198"/>
      <c r="T1329" s="201"/>
    </row>
    <row r="1330" spans="1:20" ht="22.5" hidden="1" customHeight="1" x14ac:dyDescent="0.25">
      <c r="A1330" s="208"/>
      <c r="B1330" s="238"/>
      <c r="C1330" s="198"/>
      <c r="D1330" s="198"/>
      <c r="E1330" s="199"/>
      <c r="F1330" s="200"/>
      <c r="G1330" s="201"/>
      <c r="H1330" s="208"/>
      <c r="I1330" s="209"/>
      <c r="J1330" s="209"/>
      <c r="K1330" s="198"/>
      <c r="L1330" s="204"/>
      <c r="M1330" s="205"/>
      <c r="N1330" s="206"/>
      <c r="O1330" s="207"/>
      <c r="P1330" s="207"/>
      <c r="Q1330" s="207"/>
      <c r="R1330" s="207"/>
      <c r="S1330" s="198"/>
      <c r="T1330" s="201"/>
    </row>
    <row r="1331" spans="1:20" ht="22.5" hidden="1" customHeight="1" x14ac:dyDescent="0.25">
      <c r="A1331" s="208"/>
      <c r="B1331" s="238"/>
      <c r="C1331" s="198"/>
      <c r="D1331" s="198"/>
      <c r="E1331" s="199"/>
      <c r="F1331" s="200"/>
      <c r="G1331" s="201"/>
      <c r="H1331" s="208"/>
      <c r="I1331" s="209"/>
      <c r="J1331" s="209"/>
      <c r="K1331" s="198"/>
      <c r="L1331" s="204"/>
      <c r="M1331" s="205"/>
      <c r="N1331" s="206"/>
      <c r="O1331" s="207"/>
      <c r="P1331" s="207"/>
      <c r="Q1331" s="207"/>
      <c r="R1331" s="207"/>
      <c r="S1331" s="198"/>
      <c r="T1331" s="201"/>
    </row>
    <row r="1332" spans="1:20" ht="22.5" hidden="1" customHeight="1" x14ac:dyDescent="0.25">
      <c r="A1332" s="208"/>
      <c r="B1332" s="238"/>
      <c r="C1332" s="198"/>
      <c r="D1332" s="198"/>
      <c r="E1332" s="199"/>
      <c r="F1332" s="200"/>
      <c r="G1332" s="201"/>
      <c r="H1332" s="208"/>
      <c r="I1332" s="209"/>
      <c r="J1332" s="209"/>
      <c r="K1332" s="198"/>
      <c r="L1332" s="204"/>
      <c r="M1332" s="205"/>
      <c r="N1332" s="206"/>
      <c r="O1332" s="207"/>
      <c r="P1332" s="207"/>
      <c r="Q1332" s="207"/>
      <c r="R1332" s="207"/>
      <c r="S1332" s="198"/>
      <c r="T1332" s="201"/>
    </row>
    <row r="1333" spans="1:20" ht="22.5" hidden="1" customHeight="1" x14ac:dyDescent="0.25">
      <c r="A1333" s="208"/>
      <c r="B1333" s="238"/>
      <c r="C1333" s="198"/>
      <c r="D1333" s="198"/>
      <c r="E1333" s="199"/>
      <c r="F1333" s="200"/>
      <c r="G1333" s="201"/>
      <c r="H1333" s="208"/>
      <c r="I1333" s="209"/>
      <c r="J1333" s="209"/>
      <c r="K1333" s="198"/>
      <c r="L1333" s="204"/>
      <c r="M1333" s="205"/>
      <c r="N1333" s="206"/>
      <c r="O1333" s="207"/>
      <c r="P1333" s="207"/>
      <c r="Q1333" s="207"/>
      <c r="R1333" s="207"/>
      <c r="S1333" s="198"/>
      <c r="T1333" s="201"/>
    </row>
    <row r="1334" spans="1:20" ht="22.5" hidden="1" customHeight="1" x14ac:dyDescent="0.25">
      <c r="A1334" s="208"/>
      <c r="B1334" s="238"/>
      <c r="C1334" s="198"/>
      <c r="D1334" s="198"/>
      <c r="E1334" s="199"/>
      <c r="F1334" s="200"/>
      <c r="G1334" s="201"/>
      <c r="H1334" s="208"/>
      <c r="I1334" s="209"/>
      <c r="J1334" s="209"/>
      <c r="K1334" s="198"/>
      <c r="L1334" s="204"/>
      <c r="M1334" s="205"/>
      <c r="N1334" s="206"/>
      <c r="O1334" s="207"/>
      <c r="P1334" s="207"/>
      <c r="Q1334" s="207"/>
      <c r="R1334" s="207"/>
      <c r="S1334" s="198"/>
      <c r="T1334" s="201"/>
    </row>
    <row r="1335" spans="1:20" ht="22.5" hidden="1" customHeight="1" x14ac:dyDescent="0.25">
      <c r="A1335" s="208"/>
      <c r="B1335" s="238"/>
      <c r="C1335" s="198"/>
      <c r="D1335" s="198"/>
      <c r="E1335" s="199"/>
      <c r="F1335" s="200"/>
      <c r="G1335" s="201"/>
      <c r="H1335" s="208"/>
      <c r="I1335" s="209"/>
      <c r="J1335" s="209"/>
      <c r="K1335" s="198"/>
      <c r="L1335" s="204"/>
      <c r="M1335" s="205"/>
      <c r="N1335" s="206"/>
      <c r="O1335" s="207"/>
      <c r="P1335" s="207"/>
      <c r="Q1335" s="207"/>
      <c r="R1335" s="207"/>
      <c r="S1335" s="198"/>
      <c r="T1335" s="201"/>
    </row>
    <row r="1336" spans="1:20" ht="22.5" hidden="1" customHeight="1" x14ac:dyDescent="0.25">
      <c r="A1336" s="208"/>
      <c r="B1336" s="238"/>
      <c r="C1336" s="198"/>
      <c r="D1336" s="198"/>
      <c r="E1336" s="199"/>
      <c r="F1336" s="200"/>
      <c r="G1336" s="201"/>
      <c r="H1336" s="208"/>
      <c r="I1336" s="209"/>
      <c r="J1336" s="209"/>
      <c r="K1336" s="198"/>
      <c r="L1336" s="204"/>
      <c r="M1336" s="205"/>
      <c r="N1336" s="206"/>
      <c r="O1336" s="207"/>
      <c r="P1336" s="207"/>
      <c r="Q1336" s="207"/>
      <c r="R1336" s="207"/>
      <c r="S1336" s="198"/>
      <c r="T1336" s="201"/>
    </row>
    <row r="1337" spans="1:20" ht="22.5" hidden="1" customHeight="1" x14ac:dyDescent="0.25">
      <c r="A1337" s="208"/>
      <c r="B1337" s="238"/>
      <c r="C1337" s="198"/>
      <c r="D1337" s="198"/>
      <c r="E1337" s="199"/>
      <c r="F1337" s="200"/>
      <c r="G1337" s="201"/>
      <c r="H1337" s="208"/>
      <c r="I1337" s="209"/>
      <c r="J1337" s="209"/>
      <c r="K1337" s="198"/>
      <c r="L1337" s="204"/>
      <c r="M1337" s="205"/>
      <c r="N1337" s="206"/>
      <c r="O1337" s="207"/>
      <c r="P1337" s="207"/>
      <c r="Q1337" s="207"/>
      <c r="R1337" s="207"/>
      <c r="S1337" s="198"/>
      <c r="T1337" s="201"/>
    </row>
    <row r="1338" spans="1:20" ht="22.5" hidden="1" customHeight="1" x14ac:dyDescent="0.25">
      <c r="A1338" s="208"/>
      <c r="B1338" s="238"/>
      <c r="C1338" s="198"/>
      <c r="D1338" s="198"/>
      <c r="E1338" s="199"/>
      <c r="F1338" s="200"/>
      <c r="G1338" s="201"/>
      <c r="H1338" s="208"/>
      <c r="I1338" s="209"/>
      <c r="J1338" s="209"/>
      <c r="K1338" s="198"/>
      <c r="L1338" s="204"/>
      <c r="M1338" s="205"/>
      <c r="N1338" s="206"/>
      <c r="O1338" s="207"/>
      <c r="P1338" s="207"/>
      <c r="Q1338" s="207"/>
      <c r="R1338" s="207"/>
      <c r="S1338" s="198"/>
      <c r="T1338" s="201"/>
    </row>
    <row r="1339" spans="1:20" ht="22.5" hidden="1" customHeight="1" x14ac:dyDescent="0.25">
      <c r="A1339" s="208"/>
      <c r="B1339" s="238"/>
      <c r="C1339" s="198"/>
      <c r="D1339" s="198"/>
      <c r="E1339" s="199"/>
      <c r="F1339" s="200"/>
      <c r="G1339" s="201"/>
      <c r="H1339" s="208"/>
      <c r="I1339" s="209"/>
      <c r="J1339" s="209"/>
      <c r="K1339" s="198"/>
      <c r="L1339" s="204"/>
      <c r="M1339" s="205"/>
      <c r="N1339" s="206"/>
      <c r="O1339" s="207"/>
      <c r="P1339" s="207"/>
      <c r="Q1339" s="207"/>
      <c r="R1339" s="207"/>
      <c r="S1339" s="198"/>
      <c r="T1339" s="201"/>
    </row>
    <row r="1340" spans="1:20" ht="22.5" hidden="1" customHeight="1" x14ac:dyDescent="0.25">
      <c r="A1340" s="208"/>
      <c r="B1340" s="238"/>
      <c r="C1340" s="198"/>
      <c r="D1340" s="198"/>
      <c r="E1340" s="199"/>
      <c r="F1340" s="200"/>
      <c r="G1340" s="201"/>
      <c r="H1340" s="208"/>
      <c r="I1340" s="209"/>
      <c r="J1340" s="209"/>
      <c r="K1340" s="198"/>
      <c r="L1340" s="204"/>
      <c r="M1340" s="205"/>
      <c r="N1340" s="206"/>
      <c r="O1340" s="207"/>
      <c r="P1340" s="207"/>
      <c r="Q1340" s="207"/>
      <c r="R1340" s="207"/>
      <c r="S1340" s="198"/>
      <c r="T1340" s="201"/>
    </row>
    <row r="1341" spans="1:20" ht="22.5" hidden="1" customHeight="1" x14ac:dyDescent="0.25">
      <c r="A1341" s="208"/>
      <c r="B1341" s="238"/>
      <c r="C1341" s="198"/>
      <c r="D1341" s="198"/>
      <c r="E1341" s="199"/>
      <c r="F1341" s="200"/>
      <c r="G1341" s="201"/>
      <c r="H1341" s="208"/>
      <c r="I1341" s="209"/>
      <c r="J1341" s="209"/>
      <c r="K1341" s="198"/>
      <c r="L1341" s="204"/>
      <c r="M1341" s="205"/>
      <c r="N1341" s="206"/>
      <c r="O1341" s="207"/>
      <c r="P1341" s="207"/>
      <c r="Q1341" s="207"/>
      <c r="R1341" s="207"/>
      <c r="S1341" s="198"/>
      <c r="T1341" s="201"/>
    </row>
    <row r="1342" spans="1:20" ht="22.5" hidden="1" customHeight="1" x14ac:dyDescent="0.25">
      <c r="A1342" s="208"/>
      <c r="B1342" s="238"/>
      <c r="C1342" s="198"/>
      <c r="D1342" s="198"/>
      <c r="E1342" s="199"/>
      <c r="F1342" s="200"/>
      <c r="G1342" s="201"/>
      <c r="H1342" s="208"/>
      <c r="I1342" s="209"/>
      <c r="J1342" s="209"/>
      <c r="K1342" s="198"/>
      <c r="L1342" s="204"/>
      <c r="M1342" s="205"/>
      <c r="N1342" s="206"/>
      <c r="O1342" s="207"/>
      <c r="P1342" s="207"/>
      <c r="Q1342" s="207"/>
      <c r="R1342" s="207"/>
      <c r="S1342" s="198"/>
      <c r="T1342" s="201"/>
    </row>
    <row r="1343" spans="1:20" ht="22.5" hidden="1" customHeight="1" x14ac:dyDescent="0.25">
      <c r="A1343" s="208"/>
      <c r="B1343" s="238"/>
      <c r="C1343" s="198"/>
      <c r="D1343" s="198"/>
      <c r="E1343" s="199"/>
      <c r="F1343" s="200"/>
      <c r="G1343" s="201"/>
      <c r="H1343" s="208"/>
      <c r="I1343" s="209"/>
      <c r="J1343" s="209"/>
      <c r="K1343" s="198"/>
      <c r="L1343" s="204"/>
      <c r="M1343" s="205"/>
      <c r="N1343" s="206"/>
      <c r="O1343" s="207"/>
      <c r="P1343" s="207"/>
      <c r="Q1343" s="207"/>
      <c r="R1343" s="207"/>
      <c r="S1343" s="198"/>
      <c r="T1343" s="201"/>
    </row>
    <row r="1344" spans="1:20" ht="22.5" hidden="1" customHeight="1" x14ac:dyDescent="0.25">
      <c r="A1344" s="208"/>
      <c r="B1344" s="238"/>
      <c r="C1344" s="198"/>
      <c r="D1344" s="198"/>
      <c r="E1344" s="199"/>
      <c r="F1344" s="200"/>
      <c r="G1344" s="201"/>
      <c r="H1344" s="208"/>
      <c r="I1344" s="209"/>
      <c r="J1344" s="209"/>
      <c r="K1344" s="198"/>
      <c r="L1344" s="204"/>
      <c r="M1344" s="205"/>
      <c r="N1344" s="206"/>
      <c r="O1344" s="207"/>
      <c r="P1344" s="207"/>
      <c r="Q1344" s="207"/>
      <c r="R1344" s="207"/>
      <c r="S1344" s="198"/>
      <c r="T1344" s="201"/>
    </row>
    <row r="1345" spans="1:20" ht="22.5" hidden="1" customHeight="1" x14ac:dyDescent="0.25">
      <c r="A1345" s="208"/>
      <c r="B1345" s="238"/>
      <c r="C1345" s="198"/>
      <c r="D1345" s="198"/>
      <c r="E1345" s="199"/>
      <c r="F1345" s="200"/>
      <c r="G1345" s="201"/>
      <c r="H1345" s="208"/>
      <c r="I1345" s="209"/>
      <c r="J1345" s="209"/>
      <c r="K1345" s="198"/>
      <c r="L1345" s="204"/>
      <c r="M1345" s="205"/>
      <c r="N1345" s="206"/>
      <c r="O1345" s="207"/>
      <c r="P1345" s="207"/>
      <c r="Q1345" s="207"/>
      <c r="R1345" s="207"/>
      <c r="S1345" s="198"/>
      <c r="T1345" s="201"/>
    </row>
    <row r="1346" spans="1:20" ht="22.5" hidden="1" customHeight="1" x14ac:dyDescent="0.25">
      <c r="A1346" s="208"/>
      <c r="B1346" s="238"/>
      <c r="C1346" s="198"/>
      <c r="D1346" s="198"/>
      <c r="E1346" s="199"/>
      <c r="F1346" s="200"/>
      <c r="G1346" s="201"/>
      <c r="H1346" s="208"/>
      <c r="I1346" s="209"/>
      <c r="J1346" s="209"/>
      <c r="K1346" s="198"/>
      <c r="L1346" s="204"/>
      <c r="M1346" s="205"/>
      <c r="N1346" s="206"/>
      <c r="O1346" s="207"/>
      <c r="P1346" s="207"/>
      <c r="Q1346" s="207"/>
      <c r="R1346" s="207"/>
      <c r="S1346" s="198"/>
      <c r="T1346" s="201"/>
    </row>
    <row r="1347" spans="1:20" ht="22.5" hidden="1" customHeight="1" x14ac:dyDescent="0.25">
      <c r="A1347" s="208"/>
      <c r="B1347" s="238"/>
      <c r="C1347" s="198"/>
      <c r="D1347" s="198"/>
      <c r="E1347" s="199"/>
      <c r="F1347" s="200"/>
      <c r="G1347" s="201"/>
      <c r="H1347" s="208"/>
      <c r="I1347" s="209"/>
      <c r="J1347" s="209"/>
      <c r="K1347" s="198"/>
      <c r="L1347" s="204"/>
      <c r="M1347" s="205"/>
      <c r="N1347" s="206"/>
      <c r="O1347" s="207"/>
      <c r="P1347" s="207"/>
      <c r="Q1347" s="207"/>
      <c r="R1347" s="207"/>
      <c r="S1347" s="198"/>
      <c r="T1347" s="201"/>
    </row>
    <row r="1348" spans="1:20" ht="22.5" hidden="1" customHeight="1" x14ac:dyDescent="0.25">
      <c r="A1348" s="208"/>
      <c r="B1348" s="238"/>
      <c r="C1348" s="198"/>
      <c r="D1348" s="198"/>
      <c r="E1348" s="199"/>
      <c r="F1348" s="200"/>
      <c r="G1348" s="201"/>
      <c r="H1348" s="208"/>
      <c r="I1348" s="209"/>
      <c r="J1348" s="209"/>
      <c r="K1348" s="198"/>
      <c r="L1348" s="204"/>
      <c r="M1348" s="205"/>
      <c r="N1348" s="206"/>
      <c r="O1348" s="207"/>
      <c r="P1348" s="207"/>
      <c r="Q1348" s="207"/>
      <c r="R1348" s="207"/>
      <c r="S1348" s="198"/>
      <c r="T1348" s="201"/>
    </row>
    <row r="1349" spans="1:20" ht="22.5" hidden="1" customHeight="1" x14ac:dyDescent="0.25">
      <c r="A1349" s="208"/>
      <c r="B1349" s="238"/>
      <c r="C1349" s="198"/>
      <c r="D1349" s="198"/>
      <c r="E1349" s="199"/>
      <c r="F1349" s="200"/>
      <c r="G1349" s="201"/>
      <c r="H1349" s="208"/>
      <c r="I1349" s="209"/>
      <c r="J1349" s="209"/>
      <c r="K1349" s="198"/>
      <c r="L1349" s="204"/>
      <c r="M1349" s="205"/>
      <c r="N1349" s="206"/>
      <c r="O1349" s="207"/>
      <c r="P1349" s="207"/>
      <c r="Q1349" s="207"/>
      <c r="R1349" s="207"/>
      <c r="S1349" s="198"/>
      <c r="T1349" s="201"/>
    </row>
    <row r="1350" spans="1:20" ht="22.5" hidden="1" customHeight="1" x14ac:dyDescent="0.25">
      <c r="A1350" s="208"/>
      <c r="B1350" s="238"/>
      <c r="C1350" s="198"/>
      <c r="D1350" s="198"/>
      <c r="E1350" s="199"/>
      <c r="F1350" s="200"/>
      <c r="G1350" s="201"/>
      <c r="H1350" s="208"/>
      <c r="I1350" s="209"/>
      <c r="J1350" s="209"/>
      <c r="K1350" s="198"/>
      <c r="L1350" s="204"/>
      <c r="M1350" s="205"/>
      <c r="N1350" s="206"/>
      <c r="O1350" s="207"/>
      <c r="P1350" s="207"/>
      <c r="Q1350" s="207"/>
      <c r="R1350" s="207"/>
      <c r="S1350" s="198"/>
      <c r="T1350" s="201"/>
    </row>
    <row r="1351" spans="1:20" ht="22.5" hidden="1" customHeight="1" x14ac:dyDescent="0.25">
      <c r="A1351" s="208"/>
      <c r="B1351" s="238"/>
      <c r="C1351" s="198"/>
      <c r="D1351" s="198"/>
      <c r="E1351" s="199"/>
      <c r="F1351" s="200"/>
      <c r="G1351" s="201"/>
      <c r="H1351" s="208"/>
      <c r="I1351" s="209"/>
      <c r="J1351" s="209"/>
      <c r="K1351" s="198"/>
      <c r="L1351" s="204"/>
      <c r="M1351" s="205"/>
      <c r="N1351" s="206"/>
      <c r="O1351" s="207"/>
      <c r="P1351" s="207"/>
      <c r="Q1351" s="207"/>
      <c r="R1351" s="207"/>
      <c r="S1351" s="198"/>
      <c r="T1351" s="201"/>
    </row>
    <row r="1352" spans="1:20" ht="22.5" hidden="1" customHeight="1" x14ac:dyDescent="0.25">
      <c r="A1352" s="208"/>
      <c r="B1352" s="238"/>
      <c r="C1352" s="198"/>
      <c r="D1352" s="198"/>
      <c r="E1352" s="199"/>
      <c r="F1352" s="200"/>
      <c r="G1352" s="201"/>
      <c r="H1352" s="208"/>
      <c r="I1352" s="209"/>
      <c r="J1352" s="209"/>
      <c r="K1352" s="198"/>
      <c r="L1352" s="204"/>
      <c r="M1352" s="205"/>
      <c r="N1352" s="206"/>
      <c r="O1352" s="207"/>
      <c r="P1352" s="207"/>
      <c r="Q1352" s="207"/>
      <c r="R1352" s="207"/>
      <c r="S1352" s="198"/>
      <c r="T1352" s="201"/>
    </row>
    <row r="1353" spans="1:20" ht="22.5" hidden="1" customHeight="1" x14ac:dyDescent="0.25">
      <c r="A1353" s="208"/>
      <c r="B1353" s="238"/>
      <c r="C1353" s="198"/>
      <c r="D1353" s="198"/>
      <c r="E1353" s="199"/>
      <c r="F1353" s="200"/>
      <c r="G1353" s="201"/>
      <c r="H1353" s="208"/>
      <c r="I1353" s="209"/>
      <c r="J1353" s="209"/>
      <c r="K1353" s="198"/>
      <c r="L1353" s="204"/>
      <c r="M1353" s="205"/>
      <c r="N1353" s="206"/>
      <c r="O1353" s="207"/>
      <c r="P1353" s="207"/>
      <c r="Q1353" s="207"/>
      <c r="R1353" s="207"/>
      <c r="S1353" s="198"/>
      <c r="T1353" s="201"/>
    </row>
    <row r="1354" spans="1:20" ht="22.5" hidden="1" customHeight="1" x14ac:dyDescent="0.25">
      <c r="A1354" s="208"/>
      <c r="B1354" s="238"/>
      <c r="C1354" s="198"/>
      <c r="D1354" s="198"/>
      <c r="E1354" s="199"/>
      <c r="F1354" s="200"/>
      <c r="G1354" s="201"/>
      <c r="H1354" s="208"/>
      <c r="I1354" s="209"/>
      <c r="J1354" s="209"/>
      <c r="K1354" s="198"/>
      <c r="L1354" s="204"/>
      <c r="M1354" s="205"/>
      <c r="N1354" s="206"/>
      <c r="O1354" s="207"/>
      <c r="P1354" s="207"/>
      <c r="Q1354" s="207"/>
      <c r="R1354" s="207"/>
      <c r="S1354" s="198"/>
      <c r="T1354" s="201"/>
    </row>
    <row r="1355" spans="1:20" ht="22.5" hidden="1" customHeight="1" x14ac:dyDescent="0.25">
      <c r="A1355" s="208"/>
      <c r="B1355" s="238"/>
      <c r="C1355" s="198"/>
      <c r="D1355" s="198"/>
      <c r="E1355" s="199"/>
      <c r="F1355" s="200"/>
      <c r="G1355" s="201"/>
      <c r="H1355" s="208"/>
      <c r="I1355" s="209"/>
      <c r="J1355" s="209"/>
      <c r="K1355" s="198"/>
      <c r="L1355" s="204"/>
      <c r="M1355" s="205"/>
      <c r="N1355" s="206"/>
      <c r="O1355" s="207"/>
      <c r="P1355" s="207"/>
      <c r="Q1355" s="207"/>
      <c r="R1355" s="207"/>
      <c r="S1355" s="198"/>
      <c r="T1355" s="201"/>
    </row>
    <row r="1356" spans="1:20" ht="22.5" hidden="1" customHeight="1" x14ac:dyDescent="0.25">
      <c r="A1356" s="208"/>
      <c r="B1356" s="238"/>
      <c r="C1356" s="198"/>
      <c r="D1356" s="198"/>
      <c r="E1356" s="199"/>
      <c r="F1356" s="200"/>
      <c r="G1356" s="201"/>
      <c r="H1356" s="208"/>
      <c r="I1356" s="209"/>
      <c r="J1356" s="209"/>
      <c r="K1356" s="198"/>
      <c r="L1356" s="204"/>
      <c r="M1356" s="205"/>
      <c r="N1356" s="206"/>
      <c r="O1356" s="207"/>
      <c r="P1356" s="207"/>
      <c r="Q1356" s="207"/>
      <c r="R1356" s="207"/>
      <c r="S1356" s="198"/>
      <c r="T1356" s="201"/>
    </row>
    <row r="1357" spans="1:20" ht="22.5" hidden="1" customHeight="1" x14ac:dyDescent="0.25">
      <c r="A1357" s="208"/>
      <c r="B1357" s="238"/>
      <c r="C1357" s="198"/>
      <c r="D1357" s="198"/>
      <c r="E1357" s="199"/>
      <c r="F1357" s="200"/>
      <c r="G1357" s="201"/>
      <c r="H1357" s="208"/>
      <c r="I1357" s="209"/>
      <c r="J1357" s="209"/>
      <c r="K1357" s="198"/>
      <c r="L1357" s="204"/>
      <c r="M1357" s="205"/>
      <c r="N1357" s="206"/>
      <c r="O1357" s="207"/>
      <c r="P1357" s="207"/>
      <c r="Q1357" s="207"/>
      <c r="R1357" s="207"/>
      <c r="S1357" s="198"/>
      <c r="T1357" s="201"/>
    </row>
    <row r="1358" spans="1:20" ht="22.5" hidden="1" customHeight="1" x14ac:dyDescent="0.25">
      <c r="A1358" s="208"/>
      <c r="B1358" s="238"/>
      <c r="C1358" s="198"/>
      <c r="D1358" s="198"/>
      <c r="E1358" s="199"/>
      <c r="F1358" s="200"/>
      <c r="G1358" s="201"/>
      <c r="H1358" s="208"/>
      <c r="I1358" s="209"/>
      <c r="J1358" s="209"/>
      <c r="K1358" s="198"/>
      <c r="L1358" s="204"/>
      <c r="M1358" s="205"/>
      <c r="N1358" s="206"/>
      <c r="O1358" s="207"/>
      <c r="P1358" s="207"/>
      <c r="Q1358" s="207"/>
      <c r="R1358" s="207"/>
      <c r="S1358" s="198"/>
      <c r="T1358" s="201"/>
    </row>
    <row r="1359" spans="1:20" ht="22.5" hidden="1" customHeight="1" x14ac:dyDescent="0.25">
      <c r="A1359" s="208"/>
      <c r="B1359" s="238"/>
      <c r="C1359" s="198"/>
      <c r="D1359" s="198"/>
      <c r="E1359" s="199"/>
      <c r="F1359" s="200"/>
      <c r="G1359" s="201"/>
      <c r="H1359" s="208"/>
      <c r="I1359" s="209"/>
      <c r="J1359" s="209"/>
      <c r="K1359" s="198"/>
      <c r="L1359" s="204"/>
      <c r="M1359" s="205"/>
      <c r="N1359" s="206"/>
      <c r="O1359" s="207"/>
      <c r="P1359" s="207"/>
      <c r="Q1359" s="207"/>
      <c r="R1359" s="207"/>
      <c r="S1359" s="198"/>
      <c r="T1359" s="201"/>
    </row>
    <row r="1360" spans="1:20" ht="22.5" hidden="1" customHeight="1" x14ac:dyDescent="0.25">
      <c r="A1360" s="208"/>
      <c r="B1360" s="238"/>
      <c r="C1360" s="198"/>
      <c r="D1360" s="198"/>
      <c r="E1360" s="199"/>
      <c r="F1360" s="200"/>
      <c r="G1360" s="201"/>
      <c r="H1360" s="208"/>
      <c r="I1360" s="209"/>
      <c r="J1360" s="209"/>
      <c r="K1360" s="198"/>
      <c r="L1360" s="204"/>
      <c r="M1360" s="205"/>
      <c r="N1360" s="206"/>
      <c r="O1360" s="207"/>
      <c r="P1360" s="207"/>
      <c r="Q1360" s="207"/>
      <c r="R1360" s="207"/>
      <c r="S1360" s="198"/>
      <c r="T1360" s="201"/>
    </row>
    <row r="1361" spans="1:20" ht="22.5" hidden="1" customHeight="1" x14ac:dyDescent="0.25">
      <c r="A1361" s="208"/>
      <c r="B1361" s="238"/>
      <c r="C1361" s="198"/>
      <c r="D1361" s="198"/>
      <c r="E1361" s="199"/>
      <c r="F1361" s="200"/>
      <c r="G1361" s="201"/>
      <c r="H1361" s="208"/>
      <c r="I1361" s="209"/>
      <c r="J1361" s="209"/>
      <c r="K1361" s="198"/>
      <c r="L1361" s="204"/>
      <c r="M1361" s="205"/>
      <c r="N1361" s="206"/>
      <c r="O1361" s="207"/>
      <c r="P1361" s="207"/>
      <c r="Q1361" s="207"/>
      <c r="R1361" s="207"/>
      <c r="S1361" s="198"/>
      <c r="T1361" s="201"/>
    </row>
    <row r="1362" spans="1:20" ht="22.5" hidden="1" customHeight="1" x14ac:dyDescent="0.25">
      <c r="A1362" s="208"/>
      <c r="B1362" s="238"/>
      <c r="C1362" s="198"/>
      <c r="D1362" s="198"/>
      <c r="E1362" s="199"/>
      <c r="F1362" s="200"/>
      <c r="G1362" s="201"/>
      <c r="H1362" s="208"/>
      <c r="I1362" s="209"/>
      <c r="J1362" s="209"/>
      <c r="K1362" s="198"/>
      <c r="L1362" s="204"/>
      <c r="M1362" s="205"/>
      <c r="N1362" s="206"/>
      <c r="O1362" s="207"/>
      <c r="P1362" s="207"/>
      <c r="Q1362" s="207"/>
      <c r="R1362" s="207"/>
      <c r="S1362" s="198"/>
      <c r="T1362" s="201"/>
    </row>
    <row r="1363" spans="1:20" ht="22.5" hidden="1" customHeight="1" x14ac:dyDescent="0.25">
      <c r="A1363" s="208"/>
      <c r="B1363" s="238"/>
      <c r="C1363" s="198"/>
      <c r="D1363" s="198"/>
      <c r="E1363" s="199"/>
      <c r="F1363" s="200"/>
      <c r="G1363" s="201"/>
      <c r="H1363" s="208"/>
      <c r="I1363" s="209"/>
      <c r="J1363" s="209"/>
      <c r="K1363" s="198"/>
      <c r="L1363" s="204"/>
      <c r="M1363" s="205"/>
      <c r="N1363" s="206"/>
      <c r="O1363" s="207"/>
      <c r="P1363" s="207"/>
      <c r="Q1363" s="207"/>
      <c r="R1363" s="207"/>
      <c r="S1363" s="198"/>
      <c r="T1363" s="201"/>
    </row>
    <row r="1364" spans="1:20" ht="22.5" hidden="1" customHeight="1" x14ac:dyDescent="0.25">
      <c r="A1364" s="208"/>
      <c r="B1364" s="238"/>
      <c r="C1364" s="198"/>
      <c r="D1364" s="198"/>
      <c r="E1364" s="199"/>
      <c r="F1364" s="200"/>
      <c r="G1364" s="201"/>
      <c r="H1364" s="208"/>
      <c r="I1364" s="209"/>
      <c r="J1364" s="209"/>
      <c r="K1364" s="198"/>
      <c r="L1364" s="204"/>
      <c r="M1364" s="205"/>
      <c r="N1364" s="206"/>
      <c r="O1364" s="207"/>
      <c r="P1364" s="207"/>
      <c r="Q1364" s="207"/>
      <c r="R1364" s="207"/>
      <c r="S1364" s="198"/>
      <c r="T1364" s="201"/>
    </row>
    <row r="1365" spans="1:20" ht="22.5" hidden="1" customHeight="1" x14ac:dyDescent="0.25">
      <c r="A1365" s="208"/>
      <c r="B1365" s="238"/>
      <c r="C1365" s="198"/>
      <c r="D1365" s="198"/>
      <c r="E1365" s="199"/>
      <c r="F1365" s="200"/>
      <c r="G1365" s="201"/>
      <c r="H1365" s="208"/>
      <c r="I1365" s="209"/>
      <c r="J1365" s="209"/>
      <c r="K1365" s="198"/>
      <c r="L1365" s="204"/>
      <c r="M1365" s="205"/>
      <c r="N1365" s="206"/>
      <c r="O1365" s="207"/>
      <c r="P1365" s="207"/>
      <c r="Q1365" s="207"/>
      <c r="R1365" s="207"/>
      <c r="S1365" s="198"/>
      <c r="T1365" s="201"/>
    </row>
    <row r="1366" spans="1:20" ht="22.5" hidden="1" customHeight="1" x14ac:dyDescent="0.25">
      <c r="A1366" s="208"/>
      <c r="B1366" s="238"/>
      <c r="C1366" s="198"/>
      <c r="D1366" s="198"/>
      <c r="E1366" s="199"/>
      <c r="F1366" s="200"/>
      <c r="G1366" s="201"/>
      <c r="H1366" s="208"/>
      <c r="I1366" s="209"/>
      <c r="J1366" s="209"/>
      <c r="K1366" s="198"/>
      <c r="L1366" s="204"/>
      <c r="M1366" s="205"/>
      <c r="N1366" s="206"/>
      <c r="O1366" s="207"/>
      <c r="P1366" s="207"/>
      <c r="Q1366" s="207"/>
      <c r="R1366" s="207"/>
      <c r="S1366" s="198"/>
      <c r="T1366" s="201"/>
    </row>
    <row r="1367" spans="1:20" ht="22.5" hidden="1" customHeight="1" x14ac:dyDescent="0.25">
      <c r="A1367" s="208"/>
      <c r="B1367" s="238"/>
      <c r="C1367" s="198"/>
      <c r="D1367" s="198"/>
      <c r="E1367" s="199"/>
      <c r="F1367" s="200"/>
      <c r="G1367" s="201"/>
      <c r="H1367" s="208"/>
      <c r="I1367" s="209"/>
      <c r="J1367" s="209"/>
      <c r="K1367" s="198"/>
      <c r="L1367" s="204"/>
      <c r="M1367" s="205"/>
      <c r="N1367" s="206"/>
      <c r="O1367" s="207"/>
      <c r="P1367" s="207"/>
      <c r="Q1367" s="207"/>
      <c r="R1367" s="207"/>
      <c r="S1367" s="198"/>
      <c r="T1367" s="201"/>
    </row>
    <row r="1368" spans="1:20" ht="22.5" hidden="1" customHeight="1" x14ac:dyDescent="0.25">
      <c r="A1368" s="208"/>
      <c r="B1368" s="238"/>
      <c r="C1368" s="198"/>
      <c r="D1368" s="198"/>
      <c r="E1368" s="199"/>
      <c r="F1368" s="200"/>
      <c r="G1368" s="201"/>
      <c r="H1368" s="208"/>
      <c r="I1368" s="209"/>
      <c r="J1368" s="209"/>
      <c r="K1368" s="198"/>
      <c r="L1368" s="204"/>
      <c r="M1368" s="205"/>
      <c r="N1368" s="206"/>
      <c r="O1368" s="207"/>
      <c r="P1368" s="207"/>
      <c r="Q1368" s="207"/>
      <c r="R1368" s="207"/>
      <c r="S1368" s="198"/>
      <c r="T1368" s="201"/>
    </row>
    <row r="1369" spans="1:20" ht="22.5" hidden="1" customHeight="1" x14ac:dyDescent="0.25">
      <c r="A1369" s="208"/>
      <c r="B1369" s="238"/>
      <c r="C1369" s="198"/>
      <c r="D1369" s="198"/>
      <c r="E1369" s="199"/>
      <c r="F1369" s="200"/>
      <c r="G1369" s="201"/>
      <c r="H1369" s="208"/>
      <c r="I1369" s="209"/>
      <c r="J1369" s="209"/>
      <c r="K1369" s="198"/>
      <c r="L1369" s="204"/>
      <c r="M1369" s="205"/>
      <c r="N1369" s="206"/>
      <c r="O1369" s="207"/>
      <c r="P1369" s="207"/>
      <c r="Q1369" s="207"/>
      <c r="R1369" s="207"/>
      <c r="S1369" s="198"/>
      <c r="T1369" s="201"/>
    </row>
    <row r="1370" spans="1:20" ht="22.5" hidden="1" customHeight="1" x14ac:dyDescent="0.25">
      <c r="A1370" s="208"/>
      <c r="B1370" s="238"/>
      <c r="C1370" s="198"/>
      <c r="D1370" s="198"/>
      <c r="E1370" s="199"/>
      <c r="F1370" s="200"/>
      <c r="G1370" s="201"/>
      <c r="H1370" s="208"/>
      <c r="I1370" s="209"/>
      <c r="J1370" s="209"/>
      <c r="K1370" s="198"/>
      <c r="L1370" s="204"/>
      <c r="M1370" s="205"/>
      <c r="N1370" s="206"/>
      <c r="O1370" s="207"/>
      <c r="P1370" s="207"/>
      <c r="Q1370" s="207"/>
      <c r="R1370" s="207"/>
      <c r="S1370" s="198"/>
      <c r="T1370" s="201"/>
    </row>
    <row r="1371" spans="1:20" ht="22.5" hidden="1" customHeight="1" x14ac:dyDescent="0.25">
      <c r="A1371" s="208"/>
      <c r="B1371" s="238"/>
      <c r="C1371" s="198"/>
      <c r="D1371" s="198"/>
      <c r="E1371" s="199"/>
      <c r="F1371" s="200"/>
      <c r="G1371" s="201"/>
      <c r="H1371" s="208"/>
      <c r="I1371" s="209"/>
      <c r="J1371" s="209"/>
      <c r="K1371" s="198"/>
      <c r="L1371" s="204"/>
      <c r="M1371" s="205"/>
      <c r="N1371" s="206"/>
      <c r="O1371" s="207"/>
      <c r="P1371" s="207"/>
      <c r="Q1371" s="207"/>
      <c r="R1371" s="207"/>
      <c r="S1371" s="198"/>
      <c r="T1371" s="201"/>
    </row>
    <row r="1372" spans="1:20" ht="22.5" hidden="1" customHeight="1" x14ac:dyDescent="0.25">
      <c r="A1372" s="208"/>
      <c r="B1372" s="238"/>
      <c r="C1372" s="198"/>
      <c r="D1372" s="198"/>
      <c r="E1372" s="199"/>
      <c r="F1372" s="200"/>
      <c r="G1372" s="201"/>
      <c r="H1372" s="208"/>
      <c r="I1372" s="209"/>
      <c r="J1372" s="209"/>
      <c r="K1372" s="198"/>
      <c r="L1372" s="204"/>
      <c r="M1372" s="205"/>
      <c r="N1372" s="206"/>
      <c r="O1372" s="207"/>
      <c r="P1372" s="207"/>
      <c r="Q1372" s="207"/>
      <c r="R1372" s="207"/>
      <c r="S1372" s="198"/>
      <c r="T1372" s="201"/>
    </row>
    <row r="1373" spans="1:20" ht="22.5" hidden="1" customHeight="1" x14ac:dyDescent="0.25">
      <c r="A1373" s="208"/>
      <c r="B1373" s="238"/>
      <c r="C1373" s="198"/>
      <c r="D1373" s="198"/>
      <c r="E1373" s="199"/>
      <c r="F1373" s="200"/>
      <c r="G1373" s="201"/>
      <c r="H1373" s="208"/>
      <c r="I1373" s="209"/>
      <c r="J1373" s="209"/>
      <c r="K1373" s="198"/>
      <c r="L1373" s="204"/>
      <c r="M1373" s="205"/>
      <c r="N1373" s="206"/>
      <c r="O1373" s="207"/>
      <c r="P1373" s="207"/>
      <c r="Q1373" s="207"/>
      <c r="R1373" s="207"/>
      <c r="S1373" s="198"/>
      <c r="T1373" s="201"/>
    </row>
    <row r="1374" spans="1:20" ht="22.5" hidden="1" customHeight="1" x14ac:dyDescent="0.25">
      <c r="A1374" s="208"/>
      <c r="B1374" s="238"/>
      <c r="C1374" s="198"/>
      <c r="D1374" s="198"/>
      <c r="E1374" s="199"/>
      <c r="F1374" s="200"/>
      <c r="G1374" s="201"/>
      <c r="H1374" s="208"/>
      <c r="I1374" s="209"/>
      <c r="J1374" s="209"/>
      <c r="K1374" s="198"/>
      <c r="L1374" s="204"/>
      <c r="M1374" s="205"/>
      <c r="N1374" s="206"/>
      <c r="O1374" s="207"/>
      <c r="P1374" s="207"/>
      <c r="Q1374" s="207"/>
      <c r="R1374" s="207"/>
      <c r="S1374" s="198"/>
      <c r="T1374" s="201"/>
    </row>
    <row r="1375" spans="1:20" ht="22.5" hidden="1" customHeight="1" x14ac:dyDescent="0.25">
      <c r="A1375" s="208"/>
      <c r="B1375" s="238"/>
      <c r="C1375" s="198"/>
      <c r="D1375" s="198"/>
      <c r="E1375" s="199"/>
      <c r="F1375" s="200"/>
      <c r="G1375" s="201"/>
      <c r="H1375" s="208"/>
      <c r="I1375" s="209"/>
      <c r="J1375" s="209"/>
      <c r="K1375" s="198"/>
      <c r="L1375" s="204"/>
      <c r="M1375" s="205"/>
      <c r="N1375" s="206"/>
      <c r="O1375" s="207"/>
      <c r="P1375" s="207"/>
      <c r="Q1375" s="207"/>
      <c r="R1375" s="207"/>
      <c r="S1375" s="198"/>
      <c r="T1375" s="201"/>
    </row>
    <row r="1376" spans="1:20" ht="22.5" hidden="1" customHeight="1" x14ac:dyDescent="0.25">
      <c r="A1376" s="208"/>
      <c r="B1376" s="238"/>
      <c r="C1376" s="198"/>
      <c r="D1376" s="198"/>
      <c r="E1376" s="199"/>
      <c r="F1376" s="200"/>
      <c r="G1376" s="201"/>
      <c r="H1376" s="208"/>
      <c r="I1376" s="209"/>
      <c r="J1376" s="209"/>
      <c r="K1376" s="198"/>
      <c r="L1376" s="204"/>
      <c r="M1376" s="205"/>
      <c r="N1376" s="206"/>
      <c r="O1376" s="207"/>
      <c r="P1376" s="207"/>
      <c r="Q1376" s="207"/>
      <c r="R1376" s="207"/>
      <c r="S1376" s="198"/>
      <c r="T1376" s="201"/>
    </row>
    <row r="1377" spans="1:20" ht="22.5" hidden="1" customHeight="1" x14ac:dyDescent="0.25">
      <c r="A1377" s="208"/>
      <c r="B1377" s="238"/>
      <c r="C1377" s="198"/>
      <c r="D1377" s="198"/>
      <c r="E1377" s="199"/>
      <c r="F1377" s="200"/>
      <c r="G1377" s="201"/>
      <c r="H1377" s="208"/>
      <c r="I1377" s="209"/>
      <c r="J1377" s="209"/>
      <c r="K1377" s="198"/>
      <c r="L1377" s="204"/>
      <c r="M1377" s="205"/>
      <c r="N1377" s="206"/>
      <c r="O1377" s="207"/>
      <c r="P1377" s="207"/>
      <c r="Q1377" s="207"/>
      <c r="R1377" s="207"/>
      <c r="S1377" s="198"/>
      <c r="T1377" s="201"/>
    </row>
    <row r="1378" spans="1:20" ht="22.5" hidden="1" customHeight="1" x14ac:dyDescent="0.25">
      <c r="A1378" s="208"/>
      <c r="B1378" s="238"/>
      <c r="C1378" s="198"/>
      <c r="D1378" s="198"/>
      <c r="E1378" s="199"/>
      <c r="F1378" s="200"/>
      <c r="G1378" s="201"/>
      <c r="H1378" s="208"/>
      <c r="I1378" s="209"/>
      <c r="J1378" s="209"/>
      <c r="K1378" s="198"/>
      <c r="L1378" s="204"/>
      <c r="M1378" s="205"/>
      <c r="N1378" s="206"/>
      <c r="O1378" s="207"/>
      <c r="P1378" s="207"/>
      <c r="Q1378" s="207"/>
      <c r="R1378" s="207"/>
      <c r="S1378" s="198"/>
      <c r="T1378" s="201"/>
    </row>
    <row r="1379" spans="1:20" ht="22.5" hidden="1" customHeight="1" x14ac:dyDescent="0.25">
      <c r="A1379" s="208"/>
      <c r="B1379" s="238"/>
      <c r="C1379" s="198"/>
      <c r="D1379" s="198"/>
      <c r="E1379" s="199"/>
      <c r="F1379" s="200"/>
      <c r="G1379" s="201"/>
      <c r="H1379" s="208"/>
      <c r="I1379" s="209"/>
      <c r="J1379" s="209"/>
      <c r="K1379" s="198"/>
      <c r="L1379" s="204"/>
      <c r="M1379" s="205"/>
      <c r="N1379" s="206"/>
      <c r="O1379" s="207"/>
      <c r="P1379" s="207"/>
      <c r="Q1379" s="207"/>
      <c r="R1379" s="207"/>
      <c r="S1379" s="198"/>
      <c r="T1379" s="201"/>
    </row>
    <row r="1380" spans="1:20" ht="22.5" hidden="1" customHeight="1" x14ac:dyDescent="0.25">
      <c r="A1380" s="208"/>
      <c r="B1380" s="238"/>
      <c r="C1380" s="198"/>
      <c r="D1380" s="198"/>
      <c r="E1380" s="199"/>
      <c r="F1380" s="200"/>
      <c r="G1380" s="201"/>
      <c r="H1380" s="208"/>
      <c r="I1380" s="209"/>
      <c r="J1380" s="209"/>
      <c r="K1380" s="198"/>
      <c r="L1380" s="204"/>
      <c r="M1380" s="205"/>
      <c r="N1380" s="206"/>
      <c r="O1380" s="207"/>
      <c r="P1380" s="207"/>
      <c r="Q1380" s="207"/>
      <c r="R1380" s="207"/>
      <c r="S1380" s="198"/>
      <c r="T1380" s="201"/>
    </row>
    <row r="1381" spans="1:20" ht="22.5" hidden="1" customHeight="1" x14ac:dyDescent="0.25">
      <c r="A1381" s="208"/>
      <c r="B1381" s="238"/>
      <c r="C1381" s="198"/>
      <c r="D1381" s="198"/>
      <c r="E1381" s="199"/>
      <c r="F1381" s="200"/>
      <c r="G1381" s="201"/>
      <c r="H1381" s="208"/>
      <c r="I1381" s="209"/>
      <c r="J1381" s="209"/>
      <c r="K1381" s="198"/>
      <c r="L1381" s="204"/>
      <c r="M1381" s="205"/>
      <c r="N1381" s="206"/>
      <c r="O1381" s="207"/>
      <c r="P1381" s="207"/>
      <c r="Q1381" s="207"/>
      <c r="R1381" s="207"/>
      <c r="S1381" s="198"/>
      <c r="T1381" s="201"/>
    </row>
    <row r="1382" spans="1:20" ht="22.5" hidden="1" customHeight="1" x14ac:dyDescent="0.25">
      <c r="A1382" s="208"/>
      <c r="B1382" s="238"/>
      <c r="C1382" s="198"/>
      <c r="D1382" s="198"/>
      <c r="E1382" s="199"/>
      <c r="F1382" s="200"/>
      <c r="G1382" s="201"/>
      <c r="H1382" s="208"/>
      <c r="I1382" s="209"/>
      <c r="J1382" s="209"/>
      <c r="K1382" s="198"/>
      <c r="L1382" s="204"/>
      <c r="M1382" s="205"/>
      <c r="N1382" s="206"/>
      <c r="O1382" s="207"/>
      <c r="P1382" s="207"/>
      <c r="Q1382" s="207"/>
      <c r="R1382" s="207"/>
      <c r="S1382" s="198"/>
      <c r="T1382" s="201"/>
    </row>
    <row r="1383" spans="1:20" ht="22.5" hidden="1" customHeight="1" x14ac:dyDescent="0.25">
      <c r="A1383" s="208"/>
      <c r="B1383" s="238"/>
      <c r="C1383" s="198"/>
      <c r="D1383" s="198"/>
      <c r="E1383" s="199"/>
      <c r="F1383" s="200"/>
      <c r="G1383" s="201"/>
      <c r="H1383" s="208"/>
      <c r="I1383" s="209"/>
      <c r="J1383" s="209"/>
      <c r="K1383" s="198"/>
      <c r="L1383" s="204"/>
      <c r="M1383" s="205"/>
      <c r="N1383" s="206"/>
      <c r="O1383" s="207"/>
      <c r="P1383" s="207"/>
      <c r="Q1383" s="207"/>
      <c r="R1383" s="207"/>
      <c r="S1383" s="198"/>
      <c r="T1383" s="201"/>
    </row>
    <row r="1384" spans="1:20" ht="22.5" hidden="1" customHeight="1" x14ac:dyDescent="0.25">
      <c r="A1384" s="208"/>
      <c r="B1384" s="238"/>
      <c r="C1384" s="198"/>
      <c r="D1384" s="198"/>
      <c r="E1384" s="199"/>
      <c r="F1384" s="200"/>
      <c r="G1384" s="201"/>
      <c r="H1384" s="208"/>
      <c r="I1384" s="209"/>
      <c r="J1384" s="209"/>
      <c r="K1384" s="198"/>
      <c r="L1384" s="204"/>
      <c r="M1384" s="205"/>
      <c r="N1384" s="206"/>
      <c r="O1384" s="207"/>
      <c r="P1384" s="207"/>
      <c r="Q1384" s="207"/>
      <c r="R1384" s="207"/>
      <c r="S1384" s="198"/>
      <c r="T1384" s="201"/>
    </row>
    <row r="1385" spans="1:20" ht="22.5" hidden="1" customHeight="1" x14ac:dyDescent="0.25">
      <c r="A1385" s="208"/>
      <c r="B1385" s="238"/>
      <c r="C1385" s="198"/>
      <c r="D1385" s="198"/>
      <c r="E1385" s="199"/>
      <c r="F1385" s="200"/>
      <c r="G1385" s="201"/>
      <c r="H1385" s="208"/>
      <c r="I1385" s="209"/>
      <c r="J1385" s="209"/>
      <c r="K1385" s="198"/>
      <c r="L1385" s="204"/>
      <c r="M1385" s="205"/>
      <c r="N1385" s="206"/>
      <c r="O1385" s="207"/>
      <c r="P1385" s="207"/>
      <c r="Q1385" s="207"/>
      <c r="R1385" s="207"/>
      <c r="S1385" s="198"/>
      <c r="T1385" s="201"/>
    </row>
    <row r="1386" spans="1:20" ht="22.5" hidden="1" customHeight="1" x14ac:dyDescent="0.25">
      <c r="A1386" s="208"/>
      <c r="B1386" s="238"/>
      <c r="C1386" s="198"/>
      <c r="D1386" s="198"/>
      <c r="E1386" s="199"/>
      <c r="F1386" s="200"/>
      <c r="G1386" s="201"/>
      <c r="H1386" s="208"/>
      <c r="I1386" s="209"/>
      <c r="J1386" s="209"/>
      <c r="K1386" s="198"/>
      <c r="L1386" s="204"/>
      <c r="M1386" s="205"/>
      <c r="N1386" s="206"/>
      <c r="O1386" s="207"/>
      <c r="P1386" s="207"/>
      <c r="Q1386" s="207"/>
      <c r="R1386" s="207"/>
      <c r="S1386" s="198"/>
      <c r="T1386" s="201"/>
    </row>
    <row r="1387" spans="1:20" ht="22.5" hidden="1" customHeight="1" x14ac:dyDescent="0.25">
      <c r="A1387" s="208"/>
      <c r="B1387" s="238"/>
      <c r="C1387" s="198"/>
      <c r="D1387" s="198"/>
      <c r="E1387" s="199"/>
      <c r="F1387" s="200"/>
      <c r="G1387" s="201"/>
      <c r="H1387" s="208"/>
      <c r="I1387" s="209"/>
      <c r="J1387" s="209"/>
      <c r="K1387" s="198"/>
      <c r="L1387" s="204"/>
      <c r="M1387" s="205"/>
      <c r="N1387" s="206"/>
      <c r="O1387" s="207"/>
      <c r="P1387" s="207"/>
      <c r="Q1387" s="207"/>
      <c r="R1387" s="207"/>
      <c r="S1387" s="198"/>
      <c r="T1387" s="201"/>
    </row>
    <row r="1388" spans="1:20" ht="22.5" hidden="1" customHeight="1" x14ac:dyDescent="0.25">
      <c r="A1388" s="208"/>
      <c r="B1388" s="238"/>
      <c r="C1388" s="198"/>
      <c r="D1388" s="198"/>
      <c r="E1388" s="199"/>
      <c r="F1388" s="200"/>
      <c r="G1388" s="201"/>
      <c r="H1388" s="208"/>
      <c r="I1388" s="209"/>
      <c r="J1388" s="209"/>
      <c r="K1388" s="198"/>
      <c r="L1388" s="204"/>
      <c r="M1388" s="205"/>
      <c r="N1388" s="206"/>
      <c r="O1388" s="207"/>
      <c r="P1388" s="207"/>
      <c r="Q1388" s="207"/>
      <c r="R1388" s="207"/>
      <c r="S1388" s="198"/>
      <c r="T1388" s="201"/>
    </row>
    <row r="1389" spans="1:20" ht="22.5" hidden="1" customHeight="1" x14ac:dyDescent="0.25">
      <c r="A1389" s="208"/>
      <c r="B1389" s="238"/>
      <c r="C1389" s="198"/>
      <c r="D1389" s="198"/>
      <c r="E1389" s="199"/>
      <c r="F1389" s="200"/>
      <c r="G1389" s="201"/>
      <c r="H1389" s="208"/>
      <c r="I1389" s="209"/>
      <c r="J1389" s="209"/>
      <c r="K1389" s="198"/>
      <c r="L1389" s="204"/>
      <c r="M1389" s="205"/>
      <c r="N1389" s="206"/>
      <c r="O1389" s="207"/>
      <c r="P1389" s="207"/>
      <c r="Q1389" s="207"/>
      <c r="R1389" s="207"/>
      <c r="S1389" s="198"/>
      <c r="T1389" s="201"/>
    </row>
    <row r="1390" spans="1:20" ht="22.5" hidden="1" customHeight="1" x14ac:dyDescent="0.25">
      <c r="A1390" s="208"/>
      <c r="B1390" s="238"/>
      <c r="C1390" s="198"/>
      <c r="D1390" s="198"/>
      <c r="E1390" s="199"/>
      <c r="F1390" s="200"/>
      <c r="G1390" s="201"/>
      <c r="H1390" s="208"/>
      <c r="I1390" s="209"/>
      <c r="J1390" s="209"/>
      <c r="K1390" s="198"/>
      <c r="L1390" s="204"/>
      <c r="M1390" s="205"/>
      <c r="N1390" s="206"/>
      <c r="O1390" s="207"/>
      <c r="P1390" s="207"/>
      <c r="Q1390" s="207"/>
      <c r="R1390" s="207"/>
      <c r="S1390" s="198"/>
      <c r="T1390" s="201"/>
    </row>
    <row r="1391" spans="1:20" ht="22.5" hidden="1" customHeight="1" x14ac:dyDescent="0.25">
      <c r="A1391" s="208"/>
      <c r="B1391" s="238"/>
      <c r="C1391" s="198"/>
      <c r="D1391" s="198"/>
      <c r="E1391" s="199"/>
      <c r="F1391" s="200"/>
      <c r="G1391" s="201"/>
      <c r="H1391" s="208"/>
      <c r="I1391" s="209"/>
      <c r="J1391" s="209"/>
      <c r="K1391" s="198"/>
      <c r="L1391" s="204"/>
      <c r="M1391" s="205"/>
      <c r="N1391" s="206"/>
      <c r="O1391" s="207"/>
      <c r="P1391" s="207"/>
      <c r="Q1391" s="207"/>
      <c r="R1391" s="207"/>
      <c r="S1391" s="198"/>
      <c r="T1391" s="201"/>
    </row>
    <row r="1392" spans="1:20" ht="22.5" hidden="1" customHeight="1" x14ac:dyDescent="0.25">
      <c r="A1392" s="208"/>
      <c r="B1392" s="238"/>
      <c r="C1392" s="198"/>
      <c r="D1392" s="198"/>
      <c r="E1392" s="199"/>
      <c r="F1392" s="200"/>
      <c r="G1392" s="201"/>
      <c r="H1392" s="208"/>
      <c r="I1392" s="209"/>
      <c r="J1392" s="209"/>
      <c r="K1392" s="198"/>
      <c r="L1392" s="204"/>
      <c r="M1392" s="205"/>
      <c r="N1392" s="206"/>
      <c r="O1392" s="207"/>
      <c r="P1392" s="207"/>
      <c r="Q1392" s="207"/>
      <c r="R1392" s="207"/>
      <c r="S1392" s="198"/>
      <c r="T1392" s="201"/>
    </row>
    <row r="1393" spans="1:20" ht="22.5" hidden="1" customHeight="1" x14ac:dyDescent="0.25">
      <c r="A1393" s="208"/>
      <c r="B1393" s="238"/>
      <c r="C1393" s="198"/>
      <c r="D1393" s="198"/>
      <c r="E1393" s="199"/>
      <c r="F1393" s="200"/>
      <c r="G1393" s="201"/>
      <c r="H1393" s="208"/>
      <c r="I1393" s="209"/>
      <c r="J1393" s="209"/>
      <c r="K1393" s="198"/>
      <c r="L1393" s="204"/>
      <c r="M1393" s="205"/>
      <c r="N1393" s="206"/>
      <c r="O1393" s="207"/>
      <c r="P1393" s="207"/>
      <c r="Q1393" s="207"/>
      <c r="R1393" s="207"/>
      <c r="S1393" s="198"/>
      <c r="T1393" s="201"/>
    </row>
    <row r="1394" spans="1:20" ht="22.5" hidden="1" customHeight="1" x14ac:dyDescent="0.25">
      <c r="A1394" s="208"/>
      <c r="B1394" s="238"/>
      <c r="C1394" s="198"/>
      <c r="D1394" s="198"/>
      <c r="E1394" s="199"/>
      <c r="F1394" s="200"/>
      <c r="G1394" s="201"/>
      <c r="H1394" s="208"/>
      <c r="I1394" s="209"/>
      <c r="J1394" s="209"/>
      <c r="K1394" s="198"/>
      <c r="L1394" s="204"/>
      <c r="M1394" s="205"/>
      <c r="N1394" s="206"/>
      <c r="O1394" s="207"/>
      <c r="P1394" s="207"/>
      <c r="Q1394" s="207"/>
      <c r="R1394" s="207"/>
      <c r="S1394" s="198"/>
      <c r="T1394" s="201"/>
    </row>
    <row r="1395" spans="1:20" ht="22.5" hidden="1" customHeight="1" x14ac:dyDescent="0.25">
      <c r="A1395" s="208"/>
      <c r="B1395" s="238"/>
      <c r="C1395" s="198"/>
      <c r="D1395" s="198"/>
      <c r="E1395" s="199"/>
      <c r="F1395" s="200"/>
      <c r="G1395" s="201"/>
      <c r="H1395" s="208"/>
      <c r="I1395" s="209"/>
      <c r="J1395" s="209"/>
      <c r="K1395" s="198"/>
      <c r="L1395" s="204"/>
      <c r="M1395" s="205"/>
      <c r="N1395" s="206"/>
      <c r="O1395" s="207"/>
      <c r="P1395" s="207"/>
      <c r="Q1395" s="207"/>
      <c r="R1395" s="207"/>
      <c r="S1395" s="198"/>
      <c r="T1395" s="201"/>
    </row>
    <row r="1396" spans="1:20" ht="22.5" hidden="1" customHeight="1" x14ac:dyDescent="0.25">
      <c r="A1396" s="208"/>
      <c r="B1396" s="238"/>
      <c r="C1396" s="198"/>
      <c r="D1396" s="198"/>
      <c r="E1396" s="199"/>
      <c r="F1396" s="200"/>
      <c r="G1396" s="201"/>
      <c r="H1396" s="208"/>
      <c r="I1396" s="209"/>
      <c r="J1396" s="209"/>
      <c r="K1396" s="198"/>
      <c r="L1396" s="204"/>
      <c r="M1396" s="205"/>
      <c r="N1396" s="206"/>
      <c r="O1396" s="207"/>
      <c r="P1396" s="207"/>
      <c r="Q1396" s="207"/>
      <c r="R1396" s="207"/>
      <c r="S1396" s="198"/>
      <c r="T1396" s="201"/>
    </row>
    <row r="1397" spans="1:20" ht="22.5" hidden="1" customHeight="1" x14ac:dyDescent="0.25">
      <c r="A1397" s="208"/>
      <c r="B1397" s="238"/>
      <c r="C1397" s="198"/>
      <c r="D1397" s="198"/>
      <c r="E1397" s="199"/>
      <c r="F1397" s="200"/>
      <c r="G1397" s="201"/>
      <c r="H1397" s="208"/>
      <c r="I1397" s="209"/>
      <c r="J1397" s="209"/>
      <c r="K1397" s="198"/>
      <c r="L1397" s="204"/>
      <c r="M1397" s="205"/>
      <c r="N1397" s="206"/>
      <c r="O1397" s="207"/>
      <c r="P1397" s="207"/>
      <c r="Q1397" s="207"/>
      <c r="R1397" s="207"/>
      <c r="S1397" s="198"/>
      <c r="T1397" s="201"/>
    </row>
    <row r="1398" spans="1:20" ht="22.5" hidden="1" customHeight="1" x14ac:dyDescent="0.25">
      <c r="A1398" s="208"/>
      <c r="B1398" s="238"/>
      <c r="C1398" s="198"/>
      <c r="D1398" s="198"/>
      <c r="E1398" s="199"/>
      <c r="F1398" s="200"/>
      <c r="G1398" s="201"/>
      <c r="H1398" s="208"/>
      <c r="I1398" s="209"/>
      <c r="J1398" s="209"/>
      <c r="K1398" s="198"/>
      <c r="L1398" s="204"/>
      <c r="M1398" s="205"/>
      <c r="N1398" s="206"/>
      <c r="O1398" s="207"/>
      <c r="P1398" s="207"/>
      <c r="Q1398" s="207"/>
      <c r="R1398" s="207"/>
      <c r="S1398" s="198"/>
      <c r="T1398" s="201"/>
    </row>
    <row r="1399" spans="1:20" ht="22.5" hidden="1" customHeight="1" x14ac:dyDescent="0.25">
      <c r="A1399" s="208"/>
      <c r="B1399" s="238"/>
      <c r="C1399" s="198"/>
      <c r="D1399" s="198"/>
      <c r="E1399" s="199"/>
      <c r="F1399" s="200"/>
      <c r="G1399" s="201"/>
      <c r="H1399" s="208"/>
      <c r="I1399" s="209"/>
      <c r="J1399" s="209"/>
      <c r="K1399" s="198"/>
      <c r="L1399" s="204"/>
      <c r="M1399" s="205"/>
      <c r="N1399" s="206"/>
      <c r="O1399" s="207"/>
      <c r="P1399" s="207"/>
      <c r="Q1399" s="207"/>
      <c r="R1399" s="207"/>
      <c r="S1399" s="198"/>
      <c r="T1399" s="201"/>
    </row>
    <row r="1400" spans="1:20" ht="22.5" hidden="1" customHeight="1" x14ac:dyDescent="0.25">
      <c r="A1400" s="208"/>
      <c r="B1400" s="238"/>
      <c r="C1400" s="198"/>
      <c r="D1400" s="198"/>
      <c r="E1400" s="199"/>
      <c r="F1400" s="200"/>
      <c r="G1400" s="201"/>
      <c r="H1400" s="208"/>
      <c r="I1400" s="209"/>
      <c r="J1400" s="209"/>
      <c r="K1400" s="198"/>
      <c r="L1400" s="204"/>
      <c r="M1400" s="205"/>
      <c r="N1400" s="206"/>
      <c r="O1400" s="207"/>
      <c r="P1400" s="207"/>
      <c r="Q1400" s="207"/>
      <c r="R1400" s="207"/>
      <c r="S1400" s="198"/>
      <c r="T1400" s="201"/>
    </row>
    <row r="1401" spans="1:20" ht="22.5" hidden="1" customHeight="1" x14ac:dyDescent="0.25">
      <c r="A1401" s="208"/>
      <c r="B1401" s="238"/>
      <c r="C1401" s="198"/>
      <c r="D1401" s="198"/>
      <c r="E1401" s="199"/>
      <c r="F1401" s="200"/>
      <c r="G1401" s="201"/>
      <c r="H1401" s="208"/>
      <c r="I1401" s="209"/>
      <c r="J1401" s="209"/>
      <c r="K1401" s="198"/>
      <c r="L1401" s="204"/>
      <c r="M1401" s="205"/>
      <c r="N1401" s="206"/>
      <c r="O1401" s="207"/>
      <c r="P1401" s="207"/>
      <c r="Q1401" s="207"/>
      <c r="R1401" s="207"/>
      <c r="S1401" s="198"/>
      <c r="T1401" s="201"/>
    </row>
    <row r="1402" spans="1:20" ht="22.5" hidden="1" customHeight="1" x14ac:dyDescent="0.25">
      <c r="A1402" s="208"/>
      <c r="B1402" s="238"/>
      <c r="C1402" s="198"/>
      <c r="D1402" s="198"/>
      <c r="E1402" s="199"/>
      <c r="F1402" s="200"/>
      <c r="G1402" s="201"/>
      <c r="H1402" s="208"/>
      <c r="I1402" s="209"/>
      <c r="J1402" s="209"/>
      <c r="K1402" s="198"/>
      <c r="L1402" s="204"/>
      <c r="M1402" s="205"/>
      <c r="N1402" s="206"/>
      <c r="O1402" s="207"/>
      <c r="P1402" s="207"/>
      <c r="Q1402" s="207"/>
      <c r="R1402" s="207"/>
      <c r="S1402" s="198"/>
      <c r="T1402" s="201"/>
    </row>
    <row r="1403" spans="1:20" ht="22.5" hidden="1" customHeight="1" x14ac:dyDescent="0.25">
      <c r="A1403" s="208"/>
      <c r="B1403" s="238"/>
      <c r="C1403" s="198"/>
      <c r="D1403" s="198"/>
      <c r="E1403" s="199"/>
      <c r="F1403" s="200"/>
      <c r="G1403" s="201"/>
      <c r="H1403" s="208"/>
      <c r="I1403" s="209"/>
      <c r="J1403" s="209"/>
      <c r="K1403" s="198"/>
      <c r="L1403" s="204"/>
      <c r="M1403" s="205"/>
      <c r="N1403" s="206"/>
      <c r="O1403" s="207"/>
      <c r="P1403" s="207"/>
      <c r="Q1403" s="207"/>
      <c r="R1403" s="207"/>
      <c r="S1403" s="198"/>
      <c r="T1403" s="201"/>
    </row>
    <row r="1404" spans="1:20" ht="22.5" hidden="1" customHeight="1" x14ac:dyDescent="0.25">
      <c r="A1404" s="208"/>
      <c r="B1404" s="238"/>
      <c r="C1404" s="198"/>
      <c r="D1404" s="198"/>
      <c r="E1404" s="199"/>
      <c r="F1404" s="200"/>
      <c r="G1404" s="201"/>
      <c r="H1404" s="208"/>
      <c r="I1404" s="209"/>
      <c r="J1404" s="209"/>
      <c r="K1404" s="198"/>
      <c r="L1404" s="204"/>
      <c r="M1404" s="205"/>
      <c r="N1404" s="206"/>
      <c r="O1404" s="207"/>
      <c r="P1404" s="207"/>
      <c r="Q1404" s="207"/>
      <c r="R1404" s="207"/>
      <c r="S1404" s="198"/>
      <c r="T1404" s="201"/>
    </row>
    <row r="1405" spans="1:20" ht="22.5" hidden="1" customHeight="1" x14ac:dyDescent="0.25">
      <c r="A1405" s="208"/>
      <c r="B1405" s="238"/>
      <c r="C1405" s="198"/>
      <c r="D1405" s="198"/>
      <c r="E1405" s="199"/>
      <c r="F1405" s="200"/>
      <c r="G1405" s="201"/>
      <c r="H1405" s="208"/>
      <c r="I1405" s="209"/>
      <c r="J1405" s="209"/>
      <c r="K1405" s="198"/>
      <c r="L1405" s="204"/>
      <c r="M1405" s="205"/>
      <c r="N1405" s="206"/>
      <c r="O1405" s="207"/>
      <c r="P1405" s="207"/>
      <c r="Q1405" s="207"/>
      <c r="R1405" s="207"/>
      <c r="S1405" s="198"/>
      <c r="T1405" s="201"/>
    </row>
    <row r="1406" spans="1:20" ht="22.5" hidden="1" customHeight="1" x14ac:dyDescent="0.25">
      <c r="A1406" s="208"/>
      <c r="B1406" s="238"/>
      <c r="C1406" s="198"/>
      <c r="D1406" s="198"/>
      <c r="E1406" s="199"/>
      <c r="F1406" s="200"/>
      <c r="G1406" s="201"/>
      <c r="H1406" s="208"/>
      <c r="I1406" s="209"/>
      <c r="J1406" s="209"/>
      <c r="K1406" s="198"/>
      <c r="L1406" s="204"/>
      <c r="M1406" s="205"/>
      <c r="N1406" s="206"/>
      <c r="O1406" s="207"/>
      <c r="P1406" s="207"/>
      <c r="Q1406" s="207"/>
      <c r="R1406" s="207"/>
      <c r="S1406" s="198"/>
      <c r="T1406" s="201"/>
    </row>
    <row r="1407" spans="1:20" ht="22.5" hidden="1" customHeight="1" x14ac:dyDescent="0.25">
      <c r="A1407" s="208"/>
      <c r="B1407" s="238"/>
      <c r="C1407" s="198"/>
      <c r="D1407" s="198"/>
      <c r="E1407" s="199"/>
      <c r="F1407" s="200"/>
      <c r="G1407" s="201"/>
      <c r="H1407" s="208"/>
      <c r="I1407" s="209"/>
      <c r="J1407" s="209"/>
      <c r="K1407" s="198"/>
      <c r="L1407" s="204"/>
      <c r="M1407" s="205"/>
      <c r="N1407" s="206"/>
      <c r="O1407" s="207"/>
      <c r="P1407" s="207"/>
      <c r="Q1407" s="207"/>
      <c r="R1407" s="207"/>
      <c r="S1407" s="198"/>
      <c r="T1407" s="201"/>
    </row>
    <row r="1408" spans="1:20" ht="22.5" hidden="1" customHeight="1" x14ac:dyDescent="0.25">
      <c r="A1408" s="208"/>
      <c r="B1408" s="238"/>
      <c r="C1408" s="198"/>
      <c r="D1408" s="198"/>
      <c r="E1408" s="199"/>
      <c r="F1408" s="200"/>
      <c r="G1408" s="201"/>
      <c r="H1408" s="208"/>
      <c r="I1408" s="209"/>
      <c r="J1408" s="209"/>
      <c r="K1408" s="198"/>
      <c r="L1408" s="204"/>
      <c r="M1408" s="205"/>
      <c r="N1408" s="206"/>
      <c r="O1408" s="207"/>
      <c r="P1408" s="207"/>
      <c r="Q1408" s="207"/>
      <c r="R1408" s="207"/>
      <c r="S1408" s="198"/>
      <c r="T1408" s="201"/>
    </row>
    <row r="1409" spans="1:20" ht="22.5" hidden="1" customHeight="1" x14ac:dyDescent="0.25">
      <c r="A1409" s="208"/>
      <c r="B1409" s="238"/>
      <c r="C1409" s="198"/>
      <c r="D1409" s="198"/>
      <c r="E1409" s="199"/>
      <c r="F1409" s="200"/>
      <c r="G1409" s="201"/>
      <c r="H1409" s="208"/>
      <c r="I1409" s="209"/>
      <c r="J1409" s="209"/>
      <c r="K1409" s="198"/>
      <c r="L1409" s="204"/>
      <c r="M1409" s="205"/>
      <c r="N1409" s="206"/>
      <c r="O1409" s="207"/>
      <c r="P1409" s="207"/>
      <c r="Q1409" s="207"/>
      <c r="R1409" s="207"/>
      <c r="S1409" s="198"/>
      <c r="T1409" s="201"/>
    </row>
    <row r="1410" spans="1:20" ht="22.5" hidden="1" customHeight="1" x14ac:dyDescent="0.25">
      <c r="A1410" s="208"/>
      <c r="B1410" s="238"/>
      <c r="C1410" s="198"/>
      <c r="D1410" s="198"/>
      <c r="E1410" s="199"/>
      <c r="F1410" s="200"/>
      <c r="G1410" s="201"/>
      <c r="H1410" s="208"/>
      <c r="I1410" s="209"/>
      <c r="J1410" s="209"/>
      <c r="K1410" s="198"/>
      <c r="L1410" s="204"/>
      <c r="M1410" s="205"/>
      <c r="N1410" s="206"/>
      <c r="O1410" s="207"/>
      <c r="P1410" s="207"/>
      <c r="Q1410" s="207"/>
      <c r="R1410" s="207"/>
      <c r="S1410" s="198"/>
      <c r="T1410" s="201"/>
    </row>
    <row r="1411" spans="1:20" ht="22.5" hidden="1" customHeight="1" x14ac:dyDescent="0.25">
      <c r="A1411" s="208"/>
      <c r="B1411" s="238"/>
      <c r="C1411" s="198"/>
      <c r="D1411" s="198"/>
      <c r="E1411" s="199"/>
      <c r="F1411" s="200"/>
      <c r="G1411" s="201"/>
      <c r="H1411" s="208"/>
      <c r="I1411" s="209"/>
      <c r="J1411" s="209"/>
      <c r="K1411" s="198"/>
      <c r="L1411" s="204"/>
      <c r="M1411" s="205"/>
      <c r="N1411" s="206"/>
      <c r="O1411" s="207"/>
      <c r="P1411" s="207"/>
      <c r="Q1411" s="207"/>
      <c r="R1411" s="207"/>
      <c r="S1411" s="198"/>
      <c r="T1411" s="201"/>
    </row>
    <row r="1412" spans="1:20" ht="22.5" hidden="1" customHeight="1" x14ac:dyDescent="0.25">
      <c r="A1412" s="208"/>
      <c r="B1412" s="238"/>
      <c r="C1412" s="198"/>
      <c r="D1412" s="198"/>
      <c r="E1412" s="199"/>
      <c r="F1412" s="200"/>
      <c r="G1412" s="201"/>
      <c r="H1412" s="208"/>
      <c r="I1412" s="209"/>
      <c r="J1412" s="209"/>
      <c r="K1412" s="198"/>
      <c r="L1412" s="204"/>
      <c r="M1412" s="205"/>
      <c r="N1412" s="206"/>
      <c r="O1412" s="207"/>
      <c r="P1412" s="207"/>
      <c r="Q1412" s="207"/>
      <c r="R1412" s="207"/>
      <c r="S1412" s="198"/>
      <c r="T1412" s="201"/>
    </row>
    <row r="1413" spans="1:20" ht="22.5" hidden="1" customHeight="1" x14ac:dyDescent="0.25">
      <c r="A1413" s="208"/>
      <c r="B1413" s="238"/>
      <c r="C1413" s="198"/>
      <c r="D1413" s="198"/>
      <c r="E1413" s="199"/>
      <c r="F1413" s="200"/>
      <c r="G1413" s="201"/>
      <c r="H1413" s="208"/>
      <c r="I1413" s="209"/>
      <c r="J1413" s="209"/>
      <c r="K1413" s="198"/>
      <c r="L1413" s="204"/>
      <c r="M1413" s="205"/>
      <c r="N1413" s="206"/>
      <c r="O1413" s="207"/>
      <c r="P1413" s="207"/>
      <c r="Q1413" s="207"/>
      <c r="R1413" s="207"/>
      <c r="S1413" s="198"/>
      <c r="T1413" s="201"/>
    </row>
    <row r="1414" spans="1:20" ht="22.5" hidden="1" customHeight="1" x14ac:dyDescent="0.25">
      <c r="A1414" s="208"/>
      <c r="B1414" s="238"/>
      <c r="C1414" s="198"/>
      <c r="D1414" s="198"/>
      <c r="E1414" s="199"/>
      <c r="F1414" s="200"/>
      <c r="G1414" s="201"/>
      <c r="H1414" s="208"/>
      <c r="I1414" s="209"/>
      <c r="J1414" s="209"/>
      <c r="K1414" s="198"/>
      <c r="L1414" s="204"/>
      <c r="M1414" s="205"/>
      <c r="N1414" s="206"/>
      <c r="O1414" s="207"/>
      <c r="P1414" s="207"/>
      <c r="Q1414" s="207"/>
      <c r="R1414" s="207"/>
      <c r="S1414" s="198"/>
      <c r="T1414" s="201"/>
    </row>
    <row r="1415" spans="1:20" ht="22.5" hidden="1" customHeight="1" x14ac:dyDescent="0.25">
      <c r="A1415" s="208"/>
      <c r="B1415" s="238"/>
      <c r="C1415" s="198"/>
      <c r="D1415" s="198"/>
      <c r="E1415" s="199"/>
      <c r="F1415" s="200"/>
      <c r="G1415" s="201"/>
      <c r="H1415" s="208"/>
      <c r="I1415" s="209"/>
      <c r="J1415" s="209"/>
      <c r="K1415" s="198"/>
      <c r="L1415" s="204"/>
      <c r="M1415" s="205"/>
      <c r="N1415" s="206"/>
      <c r="O1415" s="207"/>
      <c r="P1415" s="207"/>
      <c r="Q1415" s="207"/>
      <c r="R1415" s="207"/>
      <c r="S1415" s="198"/>
      <c r="T1415" s="201"/>
    </row>
    <row r="1416" spans="1:20" ht="22.5" hidden="1" customHeight="1" x14ac:dyDescent="0.25">
      <c r="A1416" s="208"/>
      <c r="B1416" s="238"/>
      <c r="C1416" s="198"/>
      <c r="D1416" s="198"/>
      <c r="E1416" s="199"/>
      <c r="F1416" s="200"/>
      <c r="G1416" s="201"/>
      <c r="H1416" s="208"/>
      <c r="I1416" s="209"/>
      <c r="J1416" s="209"/>
      <c r="K1416" s="198"/>
      <c r="L1416" s="204"/>
      <c r="M1416" s="205"/>
      <c r="N1416" s="206"/>
      <c r="O1416" s="207"/>
      <c r="P1416" s="207"/>
      <c r="Q1416" s="207"/>
      <c r="R1416" s="207"/>
      <c r="S1416" s="198"/>
      <c r="T1416" s="201"/>
    </row>
    <row r="1417" spans="1:20" ht="22.5" hidden="1" customHeight="1" x14ac:dyDescent="0.25">
      <c r="A1417" s="208"/>
      <c r="B1417" s="238"/>
      <c r="C1417" s="198"/>
      <c r="D1417" s="198"/>
      <c r="E1417" s="199"/>
      <c r="F1417" s="200"/>
      <c r="G1417" s="201"/>
      <c r="H1417" s="208"/>
      <c r="I1417" s="209"/>
      <c r="J1417" s="209"/>
      <c r="K1417" s="198"/>
      <c r="L1417" s="204"/>
      <c r="M1417" s="205"/>
      <c r="N1417" s="206"/>
      <c r="O1417" s="207"/>
      <c r="P1417" s="207"/>
      <c r="Q1417" s="207"/>
      <c r="R1417" s="207"/>
      <c r="S1417" s="198"/>
      <c r="T1417" s="201"/>
    </row>
    <row r="1418" spans="1:20" ht="22.5" hidden="1" customHeight="1" x14ac:dyDescent="0.25">
      <c r="A1418" s="208"/>
      <c r="B1418" s="238"/>
      <c r="C1418" s="198"/>
      <c r="D1418" s="198"/>
      <c r="E1418" s="199"/>
      <c r="F1418" s="200"/>
      <c r="G1418" s="201"/>
      <c r="H1418" s="208"/>
      <c r="I1418" s="209"/>
      <c r="J1418" s="209"/>
      <c r="K1418" s="198"/>
      <c r="L1418" s="204"/>
      <c r="M1418" s="205"/>
      <c r="N1418" s="206"/>
      <c r="O1418" s="207"/>
      <c r="P1418" s="207"/>
      <c r="Q1418" s="207"/>
      <c r="R1418" s="207"/>
      <c r="S1418" s="198"/>
      <c r="T1418" s="201"/>
    </row>
    <row r="1419" spans="1:20" ht="22.5" hidden="1" customHeight="1" x14ac:dyDescent="0.25">
      <c r="A1419" s="208"/>
      <c r="B1419" s="238"/>
      <c r="C1419" s="198"/>
      <c r="D1419" s="198"/>
      <c r="E1419" s="199"/>
      <c r="F1419" s="200"/>
      <c r="G1419" s="201"/>
      <c r="H1419" s="208"/>
      <c r="I1419" s="209"/>
      <c r="J1419" s="209"/>
      <c r="K1419" s="198"/>
      <c r="L1419" s="204"/>
      <c r="M1419" s="205"/>
      <c r="N1419" s="206"/>
      <c r="O1419" s="207"/>
      <c r="P1419" s="207"/>
      <c r="Q1419" s="207"/>
      <c r="R1419" s="207"/>
      <c r="S1419" s="198"/>
      <c r="T1419" s="201"/>
    </row>
    <row r="1420" spans="1:20" ht="22.5" hidden="1" customHeight="1" x14ac:dyDescent="0.25">
      <c r="A1420" s="208"/>
      <c r="B1420" s="238"/>
      <c r="C1420" s="198"/>
      <c r="D1420" s="198"/>
      <c r="E1420" s="199"/>
      <c r="F1420" s="200"/>
      <c r="G1420" s="201"/>
      <c r="H1420" s="208"/>
      <c r="I1420" s="209"/>
      <c r="J1420" s="209"/>
      <c r="K1420" s="198"/>
      <c r="L1420" s="204"/>
      <c r="M1420" s="205"/>
      <c r="N1420" s="206"/>
      <c r="O1420" s="207"/>
      <c r="P1420" s="207"/>
      <c r="Q1420" s="207"/>
      <c r="R1420" s="207"/>
      <c r="S1420" s="198"/>
      <c r="T1420" s="201"/>
    </row>
    <row r="1421" spans="1:20" ht="22.5" hidden="1" customHeight="1" x14ac:dyDescent="0.25">
      <c r="A1421" s="208"/>
      <c r="B1421" s="238"/>
      <c r="C1421" s="198"/>
      <c r="D1421" s="198"/>
      <c r="E1421" s="199"/>
      <c r="F1421" s="200"/>
      <c r="G1421" s="201"/>
      <c r="H1421" s="208"/>
      <c r="I1421" s="209"/>
      <c r="J1421" s="209"/>
      <c r="K1421" s="198"/>
      <c r="L1421" s="204"/>
      <c r="M1421" s="205"/>
      <c r="N1421" s="206"/>
      <c r="O1421" s="207"/>
      <c r="P1421" s="207"/>
      <c r="Q1421" s="207"/>
      <c r="R1421" s="207"/>
      <c r="S1421" s="198"/>
      <c r="T1421" s="201"/>
    </row>
    <row r="1422" spans="1:20" ht="22.5" hidden="1" customHeight="1" x14ac:dyDescent="0.25">
      <c r="A1422" s="208"/>
      <c r="B1422" s="238"/>
      <c r="C1422" s="198"/>
      <c r="D1422" s="198"/>
      <c r="E1422" s="199"/>
      <c r="F1422" s="200"/>
      <c r="G1422" s="201"/>
      <c r="H1422" s="208"/>
      <c r="I1422" s="209"/>
      <c r="J1422" s="209"/>
      <c r="K1422" s="198"/>
      <c r="L1422" s="204"/>
      <c r="M1422" s="205"/>
      <c r="N1422" s="206"/>
      <c r="O1422" s="207"/>
      <c r="P1422" s="207"/>
      <c r="Q1422" s="207"/>
      <c r="R1422" s="207"/>
      <c r="S1422" s="198"/>
      <c r="T1422" s="201"/>
    </row>
    <row r="1423" spans="1:20" ht="22.5" hidden="1" customHeight="1" x14ac:dyDescent="0.25">
      <c r="A1423" s="208"/>
      <c r="B1423" s="238"/>
      <c r="C1423" s="198"/>
      <c r="D1423" s="198"/>
      <c r="E1423" s="199"/>
      <c r="F1423" s="200"/>
      <c r="G1423" s="201"/>
      <c r="H1423" s="208"/>
      <c r="I1423" s="209"/>
      <c r="J1423" s="209"/>
      <c r="K1423" s="198"/>
      <c r="L1423" s="204"/>
      <c r="M1423" s="205"/>
      <c r="N1423" s="206"/>
      <c r="O1423" s="207"/>
      <c r="P1423" s="207"/>
      <c r="Q1423" s="207"/>
      <c r="R1423" s="207"/>
      <c r="S1423" s="198"/>
      <c r="T1423" s="201"/>
    </row>
    <row r="1424" spans="1:20" ht="22.5" hidden="1" customHeight="1" x14ac:dyDescent="0.25">
      <c r="A1424" s="208"/>
      <c r="B1424" s="238"/>
      <c r="C1424" s="198"/>
      <c r="D1424" s="198"/>
      <c r="E1424" s="199"/>
      <c r="F1424" s="200"/>
      <c r="G1424" s="201"/>
      <c r="H1424" s="208"/>
      <c r="I1424" s="209"/>
      <c r="J1424" s="209"/>
      <c r="K1424" s="198"/>
      <c r="L1424" s="204"/>
      <c r="M1424" s="205"/>
      <c r="N1424" s="206"/>
      <c r="O1424" s="207"/>
      <c r="P1424" s="207"/>
      <c r="Q1424" s="207"/>
      <c r="R1424" s="207"/>
      <c r="S1424" s="198"/>
      <c r="T1424" s="201"/>
    </row>
    <row r="1425" spans="1:20" ht="22.5" hidden="1" customHeight="1" x14ac:dyDescent="0.25">
      <c r="A1425" s="208"/>
      <c r="B1425" s="238"/>
      <c r="C1425" s="198"/>
      <c r="D1425" s="198"/>
      <c r="E1425" s="199"/>
      <c r="F1425" s="200"/>
      <c r="G1425" s="201"/>
      <c r="H1425" s="208"/>
      <c r="I1425" s="209"/>
      <c r="J1425" s="209"/>
      <c r="K1425" s="198"/>
      <c r="L1425" s="204"/>
      <c r="M1425" s="205"/>
      <c r="N1425" s="206"/>
      <c r="O1425" s="207"/>
      <c r="P1425" s="207"/>
      <c r="Q1425" s="207"/>
      <c r="R1425" s="207"/>
      <c r="S1425" s="198"/>
      <c r="T1425" s="201"/>
    </row>
    <row r="1426" spans="1:20" ht="22.5" hidden="1" customHeight="1" x14ac:dyDescent="0.25">
      <c r="A1426" s="208"/>
      <c r="B1426" s="238"/>
      <c r="C1426" s="198"/>
      <c r="D1426" s="198"/>
      <c r="E1426" s="199"/>
      <c r="F1426" s="200"/>
      <c r="G1426" s="201"/>
      <c r="H1426" s="208"/>
      <c r="I1426" s="209"/>
      <c r="J1426" s="209"/>
      <c r="K1426" s="198"/>
      <c r="L1426" s="204"/>
      <c r="M1426" s="205"/>
      <c r="N1426" s="206"/>
      <c r="O1426" s="207"/>
      <c r="P1426" s="207"/>
      <c r="Q1426" s="207"/>
      <c r="R1426" s="207"/>
      <c r="S1426" s="198"/>
      <c r="T1426" s="201"/>
    </row>
    <row r="1427" spans="1:20" ht="22.5" hidden="1" customHeight="1" x14ac:dyDescent="0.25">
      <c r="A1427" s="208"/>
      <c r="B1427" s="238"/>
      <c r="C1427" s="198"/>
      <c r="D1427" s="198"/>
      <c r="E1427" s="199"/>
      <c r="F1427" s="200"/>
      <c r="G1427" s="201"/>
      <c r="H1427" s="208"/>
      <c r="I1427" s="209"/>
      <c r="J1427" s="209"/>
      <c r="K1427" s="198"/>
      <c r="L1427" s="204"/>
      <c r="M1427" s="205"/>
      <c r="N1427" s="206"/>
      <c r="O1427" s="207"/>
      <c r="P1427" s="207"/>
      <c r="Q1427" s="207"/>
      <c r="R1427" s="207"/>
      <c r="S1427" s="198"/>
      <c r="T1427" s="201"/>
    </row>
    <row r="1428" spans="1:20" ht="22.5" hidden="1" customHeight="1" x14ac:dyDescent="0.25">
      <c r="A1428" s="208"/>
      <c r="B1428" s="238"/>
      <c r="C1428" s="198"/>
      <c r="D1428" s="198"/>
      <c r="E1428" s="199"/>
      <c r="F1428" s="200"/>
      <c r="G1428" s="201"/>
      <c r="H1428" s="208"/>
      <c r="I1428" s="209"/>
      <c r="J1428" s="209"/>
      <c r="K1428" s="198"/>
      <c r="L1428" s="204"/>
      <c r="M1428" s="205"/>
      <c r="N1428" s="206"/>
      <c r="O1428" s="207"/>
      <c r="P1428" s="207"/>
      <c r="Q1428" s="207"/>
      <c r="R1428" s="207"/>
      <c r="S1428" s="198"/>
      <c r="T1428" s="201"/>
    </row>
    <row r="1429" spans="1:20" ht="22.5" hidden="1" customHeight="1" x14ac:dyDescent="0.25">
      <c r="A1429" s="208"/>
      <c r="B1429" s="238"/>
      <c r="C1429" s="198"/>
      <c r="D1429" s="198"/>
      <c r="E1429" s="199"/>
      <c r="F1429" s="200"/>
      <c r="G1429" s="201"/>
      <c r="H1429" s="208"/>
      <c r="I1429" s="209"/>
      <c r="J1429" s="209"/>
      <c r="K1429" s="198"/>
      <c r="L1429" s="204"/>
      <c r="M1429" s="205"/>
      <c r="N1429" s="206"/>
      <c r="O1429" s="207"/>
      <c r="P1429" s="207"/>
      <c r="Q1429" s="207"/>
      <c r="R1429" s="207"/>
      <c r="S1429" s="198"/>
      <c r="T1429" s="201"/>
    </row>
    <row r="1430" spans="1:20" ht="22.5" hidden="1" customHeight="1" x14ac:dyDescent="0.25">
      <c r="A1430" s="208"/>
      <c r="B1430" s="238"/>
      <c r="C1430" s="198"/>
      <c r="D1430" s="198"/>
      <c r="E1430" s="199"/>
      <c r="F1430" s="200"/>
      <c r="G1430" s="201"/>
      <c r="H1430" s="208"/>
      <c r="I1430" s="209"/>
      <c r="J1430" s="209"/>
      <c r="K1430" s="198"/>
      <c r="L1430" s="204"/>
      <c r="M1430" s="205"/>
      <c r="N1430" s="206"/>
      <c r="O1430" s="207"/>
      <c r="P1430" s="207"/>
      <c r="Q1430" s="207"/>
      <c r="R1430" s="207"/>
      <c r="S1430" s="198"/>
      <c r="T1430" s="201"/>
    </row>
    <row r="1431" spans="1:20" ht="22.5" hidden="1" customHeight="1" x14ac:dyDescent="0.25">
      <c r="A1431" s="208"/>
      <c r="B1431" s="238"/>
      <c r="C1431" s="198"/>
      <c r="D1431" s="198"/>
      <c r="E1431" s="199"/>
      <c r="F1431" s="200"/>
      <c r="G1431" s="201"/>
      <c r="H1431" s="208"/>
      <c r="I1431" s="209"/>
      <c r="J1431" s="209"/>
      <c r="K1431" s="198"/>
      <c r="L1431" s="204"/>
      <c r="M1431" s="205"/>
      <c r="N1431" s="206"/>
      <c r="O1431" s="207"/>
      <c r="P1431" s="207"/>
      <c r="Q1431" s="207"/>
      <c r="R1431" s="207"/>
      <c r="S1431" s="198"/>
      <c r="T1431" s="201"/>
    </row>
    <row r="1432" spans="1:20" ht="22.5" hidden="1" customHeight="1" x14ac:dyDescent="0.25">
      <c r="A1432" s="208"/>
      <c r="B1432" s="238"/>
      <c r="C1432" s="198"/>
      <c r="D1432" s="198"/>
      <c r="E1432" s="199"/>
      <c r="F1432" s="200"/>
      <c r="G1432" s="201"/>
      <c r="H1432" s="208"/>
      <c r="I1432" s="209"/>
      <c r="J1432" s="209"/>
      <c r="K1432" s="198"/>
      <c r="L1432" s="204"/>
      <c r="M1432" s="205"/>
      <c r="N1432" s="206"/>
      <c r="O1432" s="207"/>
      <c r="P1432" s="207"/>
      <c r="Q1432" s="207"/>
      <c r="R1432" s="207"/>
      <c r="S1432" s="198"/>
      <c r="T1432" s="201"/>
    </row>
    <row r="1433" spans="1:20" ht="22.5" hidden="1" customHeight="1" x14ac:dyDescent="0.25">
      <c r="A1433" s="208"/>
      <c r="B1433" s="238"/>
      <c r="C1433" s="198"/>
      <c r="D1433" s="198"/>
      <c r="E1433" s="199"/>
      <c r="F1433" s="200"/>
      <c r="G1433" s="201"/>
      <c r="H1433" s="208"/>
      <c r="I1433" s="209"/>
      <c r="J1433" s="209"/>
      <c r="K1433" s="198"/>
      <c r="L1433" s="204"/>
      <c r="M1433" s="205"/>
      <c r="N1433" s="206"/>
      <c r="O1433" s="207"/>
      <c r="P1433" s="207"/>
      <c r="Q1433" s="207"/>
      <c r="R1433" s="207"/>
      <c r="S1433" s="198"/>
      <c r="T1433" s="201"/>
    </row>
    <row r="1434" spans="1:20" ht="22.5" hidden="1" customHeight="1" x14ac:dyDescent="0.25">
      <c r="A1434" s="208"/>
      <c r="B1434" s="238"/>
      <c r="C1434" s="198"/>
      <c r="D1434" s="198"/>
      <c r="E1434" s="199"/>
      <c r="F1434" s="200"/>
      <c r="G1434" s="201"/>
      <c r="H1434" s="208"/>
      <c r="I1434" s="209"/>
      <c r="J1434" s="209"/>
      <c r="K1434" s="198"/>
      <c r="L1434" s="204"/>
      <c r="M1434" s="205"/>
      <c r="N1434" s="206"/>
      <c r="O1434" s="207"/>
      <c r="P1434" s="207"/>
      <c r="Q1434" s="207"/>
      <c r="R1434" s="207"/>
      <c r="S1434" s="198"/>
      <c r="T1434" s="201"/>
    </row>
    <row r="1435" spans="1:20" ht="22.5" hidden="1" customHeight="1" x14ac:dyDescent="0.25">
      <c r="A1435" s="208"/>
      <c r="B1435" s="238"/>
      <c r="C1435" s="198"/>
      <c r="D1435" s="198"/>
      <c r="E1435" s="199"/>
      <c r="F1435" s="200"/>
      <c r="G1435" s="201"/>
      <c r="H1435" s="208"/>
      <c r="I1435" s="209"/>
      <c r="J1435" s="209"/>
      <c r="K1435" s="198"/>
      <c r="L1435" s="204"/>
      <c r="M1435" s="205"/>
      <c r="N1435" s="206"/>
      <c r="O1435" s="207"/>
      <c r="P1435" s="207"/>
      <c r="Q1435" s="207"/>
      <c r="R1435" s="207"/>
      <c r="S1435" s="198"/>
      <c r="T1435" s="201"/>
    </row>
    <row r="1436" spans="1:20" ht="22.5" hidden="1" customHeight="1" x14ac:dyDescent="0.25">
      <c r="A1436" s="208"/>
      <c r="B1436" s="238"/>
      <c r="C1436" s="198"/>
      <c r="D1436" s="198"/>
      <c r="E1436" s="199"/>
      <c r="F1436" s="200"/>
      <c r="G1436" s="201"/>
      <c r="H1436" s="208"/>
      <c r="I1436" s="209"/>
      <c r="J1436" s="209"/>
      <c r="K1436" s="198"/>
      <c r="L1436" s="204"/>
      <c r="M1436" s="205"/>
      <c r="N1436" s="206"/>
      <c r="O1436" s="207"/>
      <c r="P1436" s="207"/>
      <c r="Q1436" s="207"/>
      <c r="R1436" s="207"/>
      <c r="S1436" s="198"/>
      <c r="T1436" s="201"/>
    </row>
    <row r="1437" spans="1:20" ht="22.5" hidden="1" customHeight="1" x14ac:dyDescent="0.25">
      <c r="A1437" s="208"/>
      <c r="B1437" s="238"/>
      <c r="C1437" s="198"/>
      <c r="D1437" s="198"/>
      <c r="E1437" s="199"/>
      <c r="F1437" s="200"/>
      <c r="G1437" s="201"/>
      <c r="H1437" s="208"/>
      <c r="I1437" s="209"/>
      <c r="J1437" s="209"/>
      <c r="K1437" s="198"/>
      <c r="L1437" s="204"/>
      <c r="M1437" s="205"/>
      <c r="N1437" s="206"/>
      <c r="O1437" s="207"/>
      <c r="P1437" s="207"/>
      <c r="Q1437" s="207"/>
      <c r="R1437" s="207"/>
      <c r="S1437" s="198"/>
      <c r="T1437" s="201"/>
    </row>
    <row r="1438" spans="1:20" ht="22.5" hidden="1" customHeight="1" x14ac:dyDescent="0.25">
      <c r="A1438" s="208"/>
      <c r="B1438" s="238"/>
      <c r="C1438" s="198"/>
      <c r="D1438" s="198"/>
      <c r="E1438" s="199"/>
      <c r="F1438" s="200"/>
      <c r="G1438" s="201"/>
      <c r="H1438" s="208"/>
      <c r="I1438" s="209"/>
      <c r="J1438" s="209"/>
      <c r="K1438" s="198"/>
      <c r="L1438" s="204"/>
      <c r="M1438" s="205"/>
      <c r="N1438" s="206"/>
      <c r="O1438" s="207"/>
      <c r="P1438" s="207"/>
      <c r="Q1438" s="207"/>
      <c r="R1438" s="207"/>
      <c r="S1438" s="198"/>
      <c r="T1438" s="201"/>
    </row>
    <row r="1439" spans="1:20" ht="22.5" hidden="1" customHeight="1" x14ac:dyDescent="0.25">
      <c r="A1439" s="208"/>
      <c r="B1439" s="238"/>
      <c r="C1439" s="198"/>
      <c r="D1439" s="198"/>
      <c r="E1439" s="199"/>
      <c r="F1439" s="200"/>
      <c r="G1439" s="201"/>
      <c r="H1439" s="208"/>
      <c r="I1439" s="209"/>
      <c r="J1439" s="209"/>
      <c r="K1439" s="198"/>
      <c r="L1439" s="204"/>
      <c r="M1439" s="205"/>
      <c r="N1439" s="206"/>
      <c r="O1439" s="207"/>
      <c r="P1439" s="207"/>
      <c r="Q1439" s="207"/>
      <c r="R1439" s="207"/>
      <c r="S1439" s="198"/>
      <c r="T1439" s="201"/>
    </row>
    <row r="1440" spans="1:20" ht="22.5" hidden="1" customHeight="1" x14ac:dyDescent="0.25">
      <c r="A1440" s="208"/>
      <c r="B1440" s="238"/>
      <c r="C1440" s="198"/>
      <c r="D1440" s="198"/>
      <c r="E1440" s="199"/>
      <c r="F1440" s="200"/>
      <c r="G1440" s="201"/>
      <c r="H1440" s="208"/>
      <c r="I1440" s="209"/>
      <c r="J1440" s="209"/>
      <c r="K1440" s="198"/>
      <c r="L1440" s="204"/>
      <c r="M1440" s="205"/>
      <c r="N1440" s="206"/>
      <c r="O1440" s="207"/>
      <c r="P1440" s="207"/>
      <c r="Q1440" s="207"/>
      <c r="R1440" s="207"/>
      <c r="S1440" s="198"/>
      <c r="T1440" s="201"/>
    </row>
    <row r="1441" spans="1:20" ht="22.5" hidden="1" customHeight="1" x14ac:dyDescent="0.25">
      <c r="A1441" s="208"/>
      <c r="B1441" s="238"/>
      <c r="C1441" s="198"/>
      <c r="D1441" s="198"/>
      <c r="E1441" s="199"/>
      <c r="F1441" s="200"/>
      <c r="G1441" s="201"/>
      <c r="H1441" s="208"/>
      <c r="I1441" s="209"/>
      <c r="J1441" s="209"/>
      <c r="K1441" s="198"/>
      <c r="L1441" s="204"/>
      <c r="M1441" s="205"/>
      <c r="N1441" s="206"/>
      <c r="O1441" s="207"/>
      <c r="P1441" s="207"/>
      <c r="Q1441" s="207"/>
      <c r="R1441" s="207"/>
      <c r="S1441" s="198"/>
      <c r="T1441" s="201"/>
    </row>
    <row r="1442" spans="1:20" ht="22.5" hidden="1" customHeight="1" x14ac:dyDescent="0.25">
      <c r="A1442" s="208"/>
      <c r="B1442" s="238"/>
      <c r="C1442" s="198"/>
      <c r="D1442" s="198"/>
      <c r="E1442" s="199"/>
      <c r="F1442" s="200"/>
      <c r="G1442" s="201"/>
      <c r="H1442" s="208"/>
      <c r="I1442" s="209"/>
      <c r="J1442" s="209"/>
      <c r="K1442" s="198"/>
      <c r="L1442" s="204"/>
      <c r="M1442" s="205"/>
      <c r="N1442" s="206"/>
      <c r="O1442" s="207"/>
      <c r="P1442" s="207"/>
      <c r="Q1442" s="207"/>
      <c r="R1442" s="207"/>
      <c r="S1442" s="198"/>
      <c r="T1442" s="201"/>
    </row>
    <row r="1443" spans="1:20" ht="22.5" hidden="1" customHeight="1" x14ac:dyDescent="0.25">
      <c r="A1443" s="208"/>
      <c r="B1443" s="238"/>
      <c r="C1443" s="198"/>
      <c r="D1443" s="198"/>
      <c r="E1443" s="199"/>
      <c r="F1443" s="200"/>
      <c r="G1443" s="201"/>
      <c r="H1443" s="208"/>
      <c r="I1443" s="209"/>
      <c r="J1443" s="209"/>
      <c r="K1443" s="198"/>
      <c r="L1443" s="204"/>
      <c r="M1443" s="205"/>
      <c r="N1443" s="206"/>
      <c r="O1443" s="207"/>
      <c r="P1443" s="207"/>
      <c r="Q1443" s="207"/>
      <c r="R1443" s="207"/>
      <c r="S1443" s="198"/>
      <c r="T1443" s="201"/>
    </row>
    <row r="1444" spans="1:20" ht="22.5" hidden="1" customHeight="1" x14ac:dyDescent="0.25">
      <c r="A1444" s="208"/>
      <c r="B1444" s="238"/>
      <c r="C1444" s="198"/>
      <c r="D1444" s="198"/>
      <c r="E1444" s="199"/>
      <c r="F1444" s="200"/>
      <c r="G1444" s="201"/>
      <c r="H1444" s="208"/>
      <c r="I1444" s="209"/>
      <c r="J1444" s="209"/>
      <c r="K1444" s="198"/>
      <c r="L1444" s="204"/>
      <c r="M1444" s="205"/>
      <c r="N1444" s="206"/>
      <c r="O1444" s="207"/>
      <c r="P1444" s="207"/>
      <c r="Q1444" s="207"/>
      <c r="R1444" s="207"/>
      <c r="S1444" s="198"/>
      <c r="T1444" s="201"/>
    </row>
    <row r="1445" spans="1:20" ht="22.5" hidden="1" customHeight="1" x14ac:dyDescent="0.25">
      <c r="A1445" s="208"/>
      <c r="B1445" s="238"/>
      <c r="C1445" s="198"/>
      <c r="D1445" s="198"/>
      <c r="E1445" s="199"/>
      <c r="F1445" s="200"/>
      <c r="G1445" s="201"/>
      <c r="H1445" s="208"/>
      <c r="I1445" s="209"/>
      <c r="J1445" s="209"/>
      <c r="K1445" s="198"/>
      <c r="L1445" s="204"/>
      <c r="M1445" s="205"/>
      <c r="N1445" s="206"/>
      <c r="O1445" s="207"/>
      <c r="P1445" s="207"/>
      <c r="Q1445" s="207"/>
      <c r="R1445" s="207"/>
      <c r="S1445" s="198"/>
      <c r="T1445" s="201"/>
    </row>
    <row r="1446" spans="1:20" ht="22.5" hidden="1" customHeight="1" x14ac:dyDescent="0.25">
      <c r="A1446" s="208"/>
      <c r="B1446" s="238"/>
      <c r="C1446" s="198"/>
      <c r="D1446" s="198"/>
      <c r="E1446" s="199"/>
      <c r="F1446" s="200"/>
      <c r="G1446" s="201"/>
      <c r="H1446" s="208"/>
      <c r="I1446" s="209"/>
      <c r="J1446" s="209"/>
      <c r="K1446" s="198"/>
      <c r="L1446" s="204"/>
      <c r="M1446" s="205"/>
      <c r="N1446" s="206"/>
      <c r="O1446" s="207"/>
      <c r="P1446" s="207"/>
      <c r="Q1446" s="207"/>
      <c r="R1446" s="207"/>
      <c r="S1446" s="198"/>
      <c r="T1446" s="201"/>
    </row>
    <row r="1447" spans="1:20" ht="22.5" hidden="1" customHeight="1" x14ac:dyDescent="0.25">
      <c r="A1447" s="208"/>
      <c r="B1447" s="238"/>
      <c r="C1447" s="198"/>
      <c r="D1447" s="198"/>
      <c r="E1447" s="199"/>
      <c r="F1447" s="200"/>
      <c r="G1447" s="201"/>
      <c r="H1447" s="208"/>
      <c r="I1447" s="209"/>
      <c r="J1447" s="209"/>
      <c r="K1447" s="198"/>
      <c r="L1447" s="204"/>
      <c r="M1447" s="205"/>
      <c r="N1447" s="206"/>
      <c r="O1447" s="207"/>
      <c r="P1447" s="207"/>
      <c r="Q1447" s="207"/>
      <c r="R1447" s="207"/>
      <c r="S1447" s="198"/>
      <c r="T1447" s="201"/>
    </row>
    <row r="1448" spans="1:20" ht="22.5" hidden="1" customHeight="1" x14ac:dyDescent="0.25">
      <c r="A1448" s="208"/>
      <c r="B1448" s="238"/>
      <c r="C1448" s="198"/>
      <c r="D1448" s="198"/>
      <c r="E1448" s="199"/>
      <c r="F1448" s="200"/>
      <c r="G1448" s="201"/>
      <c r="H1448" s="208"/>
      <c r="I1448" s="209"/>
      <c r="J1448" s="209"/>
      <c r="K1448" s="198"/>
      <c r="L1448" s="204"/>
      <c r="M1448" s="205"/>
      <c r="N1448" s="206"/>
      <c r="O1448" s="207"/>
      <c r="P1448" s="207"/>
      <c r="Q1448" s="207"/>
      <c r="R1448" s="207"/>
      <c r="S1448" s="198"/>
      <c r="T1448" s="201"/>
    </row>
    <row r="1449" spans="1:20" ht="22.5" hidden="1" customHeight="1" x14ac:dyDescent="0.25">
      <c r="A1449" s="208"/>
      <c r="B1449" s="238"/>
      <c r="C1449" s="198"/>
      <c r="D1449" s="198"/>
      <c r="E1449" s="199"/>
      <c r="F1449" s="200"/>
      <c r="G1449" s="201"/>
      <c r="H1449" s="208"/>
      <c r="I1449" s="209"/>
      <c r="J1449" s="209"/>
      <c r="K1449" s="198"/>
      <c r="L1449" s="204"/>
      <c r="M1449" s="205"/>
      <c r="N1449" s="206"/>
      <c r="O1449" s="207"/>
      <c r="P1449" s="207"/>
      <c r="Q1449" s="207"/>
      <c r="R1449" s="207"/>
      <c r="S1449" s="198"/>
      <c r="T1449" s="201"/>
    </row>
    <row r="1450" spans="1:20" ht="22.5" hidden="1" customHeight="1" x14ac:dyDescent="0.25">
      <c r="A1450" s="208"/>
      <c r="B1450" s="238"/>
      <c r="C1450" s="198"/>
      <c r="D1450" s="198"/>
      <c r="E1450" s="199"/>
      <c r="F1450" s="200"/>
      <c r="G1450" s="201"/>
      <c r="H1450" s="208"/>
      <c r="I1450" s="209"/>
      <c r="J1450" s="209"/>
      <c r="K1450" s="198"/>
      <c r="L1450" s="204"/>
      <c r="M1450" s="205"/>
      <c r="N1450" s="206"/>
      <c r="O1450" s="207"/>
      <c r="P1450" s="207"/>
      <c r="Q1450" s="207"/>
      <c r="R1450" s="207"/>
      <c r="S1450" s="198"/>
      <c r="T1450" s="201"/>
    </row>
    <row r="1451" spans="1:20" ht="22.5" hidden="1" customHeight="1" x14ac:dyDescent="0.25">
      <c r="A1451" s="208"/>
      <c r="B1451" s="238"/>
      <c r="C1451" s="198"/>
      <c r="D1451" s="198"/>
      <c r="E1451" s="199"/>
      <c r="F1451" s="200"/>
      <c r="G1451" s="201"/>
      <c r="H1451" s="208"/>
      <c r="I1451" s="209"/>
      <c r="J1451" s="209"/>
      <c r="K1451" s="198"/>
      <c r="L1451" s="204"/>
      <c r="M1451" s="205"/>
      <c r="N1451" s="206"/>
      <c r="O1451" s="207"/>
      <c r="P1451" s="207"/>
      <c r="Q1451" s="207"/>
      <c r="R1451" s="207"/>
      <c r="S1451" s="198"/>
      <c r="T1451" s="201"/>
    </row>
    <row r="1452" spans="1:20" ht="22.5" hidden="1" customHeight="1" x14ac:dyDescent="0.25">
      <c r="A1452" s="208"/>
      <c r="B1452" s="238"/>
      <c r="C1452" s="198"/>
      <c r="D1452" s="198"/>
      <c r="E1452" s="199"/>
      <c r="F1452" s="200"/>
      <c r="G1452" s="201"/>
      <c r="H1452" s="208"/>
      <c r="I1452" s="209"/>
      <c r="J1452" s="209"/>
      <c r="K1452" s="198"/>
      <c r="L1452" s="204"/>
      <c r="M1452" s="205"/>
      <c r="N1452" s="206"/>
      <c r="O1452" s="207"/>
      <c r="P1452" s="207"/>
      <c r="Q1452" s="207"/>
      <c r="R1452" s="207"/>
      <c r="S1452" s="198"/>
      <c r="T1452" s="201"/>
    </row>
    <row r="1453" spans="1:20" ht="22.5" hidden="1" customHeight="1" x14ac:dyDescent="0.25">
      <c r="A1453" s="208"/>
      <c r="B1453" s="238"/>
      <c r="C1453" s="198"/>
      <c r="D1453" s="198"/>
      <c r="E1453" s="199"/>
      <c r="F1453" s="200"/>
      <c r="G1453" s="201"/>
      <c r="H1453" s="208"/>
      <c r="I1453" s="209"/>
      <c r="J1453" s="209"/>
      <c r="K1453" s="198"/>
      <c r="L1453" s="204"/>
      <c r="M1453" s="205"/>
      <c r="N1453" s="206"/>
      <c r="O1453" s="207"/>
      <c r="P1453" s="207"/>
      <c r="Q1453" s="207"/>
      <c r="R1453" s="207"/>
      <c r="S1453" s="198"/>
      <c r="T1453" s="201"/>
    </row>
    <row r="1454" spans="1:20" ht="22.5" hidden="1" customHeight="1" x14ac:dyDescent="0.25">
      <c r="A1454" s="208"/>
      <c r="B1454" s="238"/>
      <c r="C1454" s="198"/>
      <c r="D1454" s="198"/>
      <c r="E1454" s="199"/>
      <c r="F1454" s="200"/>
      <c r="G1454" s="201"/>
      <c r="H1454" s="208"/>
      <c r="I1454" s="209"/>
      <c r="J1454" s="209"/>
      <c r="K1454" s="198"/>
      <c r="L1454" s="204"/>
      <c r="M1454" s="205"/>
      <c r="N1454" s="206"/>
      <c r="O1454" s="207"/>
      <c r="P1454" s="207"/>
      <c r="Q1454" s="207"/>
      <c r="R1454" s="207"/>
      <c r="S1454" s="198"/>
      <c r="T1454" s="201"/>
    </row>
    <row r="1455" spans="1:20" ht="22.5" hidden="1" customHeight="1" x14ac:dyDescent="0.25">
      <c r="A1455" s="208"/>
      <c r="B1455" s="238"/>
      <c r="C1455" s="198"/>
      <c r="D1455" s="198"/>
      <c r="E1455" s="199"/>
      <c r="F1455" s="200"/>
      <c r="G1455" s="201"/>
      <c r="H1455" s="208"/>
      <c r="I1455" s="209"/>
      <c r="J1455" s="209"/>
      <c r="K1455" s="198"/>
      <c r="L1455" s="204"/>
      <c r="M1455" s="205"/>
      <c r="N1455" s="206"/>
      <c r="O1455" s="207"/>
      <c r="P1455" s="207"/>
      <c r="Q1455" s="207"/>
      <c r="R1455" s="207"/>
      <c r="S1455" s="198"/>
      <c r="T1455" s="201"/>
    </row>
    <row r="1456" spans="1:20" ht="22.5" hidden="1" customHeight="1" x14ac:dyDescent="0.25">
      <c r="A1456" s="208"/>
      <c r="B1456" s="238"/>
      <c r="C1456" s="198"/>
      <c r="D1456" s="198"/>
      <c r="E1456" s="199"/>
      <c r="F1456" s="200"/>
      <c r="G1456" s="201"/>
      <c r="H1456" s="208"/>
      <c r="I1456" s="209"/>
      <c r="J1456" s="209"/>
      <c r="K1456" s="198"/>
      <c r="L1456" s="204"/>
      <c r="M1456" s="205"/>
      <c r="N1456" s="206"/>
      <c r="O1456" s="207"/>
      <c r="P1456" s="207"/>
      <c r="Q1456" s="207"/>
      <c r="R1456" s="207"/>
      <c r="S1456" s="198"/>
      <c r="T1456" s="201"/>
    </row>
    <row r="1457" spans="1:20" ht="22.5" hidden="1" customHeight="1" x14ac:dyDescent="0.25">
      <c r="A1457" s="208"/>
      <c r="B1457" s="238"/>
      <c r="C1457" s="198"/>
      <c r="D1457" s="198"/>
      <c r="E1457" s="199"/>
      <c r="F1457" s="200"/>
      <c r="G1457" s="201"/>
      <c r="H1457" s="208"/>
      <c r="I1457" s="209"/>
      <c r="J1457" s="209"/>
      <c r="K1457" s="198"/>
      <c r="L1457" s="204"/>
      <c r="M1457" s="205"/>
      <c r="N1457" s="206"/>
      <c r="O1457" s="207"/>
      <c r="P1457" s="207"/>
      <c r="Q1457" s="207"/>
      <c r="R1457" s="207"/>
      <c r="S1457" s="198"/>
      <c r="T1457" s="201"/>
    </row>
    <row r="1458" spans="1:20" ht="22.5" hidden="1" customHeight="1" x14ac:dyDescent="0.25">
      <c r="A1458" s="208"/>
      <c r="B1458" s="238"/>
      <c r="C1458" s="198"/>
      <c r="D1458" s="198"/>
      <c r="E1458" s="199"/>
      <c r="F1458" s="200"/>
      <c r="G1458" s="201"/>
      <c r="H1458" s="208"/>
      <c r="I1458" s="209"/>
      <c r="J1458" s="209"/>
      <c r="K1458" s="198"/>
      <c r="L1458" s="204"/>
      <c r="M1458" s="205"/>
      <c r="N1458" s="206"/>
      <c r="O1458" s="207"/>
      <c r="P1458" s="207"/>
      <c r="Q1458" s="207"/>
      <c r="R1458" s="207"/>
      <c r="S1458" s="198"/>
      <c r="T1458" s="201"/>
    </row>
    <row r="1459" spans="1:20" ht="22.5" hidden="1" customHeight="1" x14ac:dyDescent="0.25">
      <c r="A1459" s="208"/>
      <c r="B1459" s="238"/>
      <c r="C1459" s="198"/>
      <c r="D1459" s="198"/>
      <c r="E1459" s="199"/>
      <c r="F1459" s="200"/>
      <c r="G1459" s="201"/>
      <c r="H1459" s="208"/>
      <c r="I1459" s="209"/>
      <c r="J1459" s="209"/>
      <c r="K1459" s="198"/>
      <c r="L1459" s="204"/>
      <c r="M1459" s="205"/>
      <c r="N1459" s="206"/>
      <c r="O1459" s="207"/>
      <c r="P1459" s="207"/>
      <c r="Q1459" s="207"/>
      <c r="R1459" s="207"/>
      <c r="S1459" s="198"/>
      <c r="T1459" s="201"/>
    </row>
    <row r="1460" spans="1:20" ht="22.5" hidden="1" customHeight="1" x14ac:dyDescent="0.25">
      <c r="A1460" s="208"/>
      <c r="B1460" s="238"/>
      <c r="C1460" s="198"/>
      <c r="D1460" s="198"/>
      <c r="E1460" s="199"/>
      <c r="F1460" s="200"/>
      <c r="G1460" s="201"/>
      <c r="H1460" s="208"/>
      <c r="I1460" s="209"/>
      <c r="J1460" s="209"/>
      <c r="K1460" s="198"/>
      <c r="L1460" s="204"/>
      <c r="M1460" s="205"/>
      <c r="N1460" s="206"/>
      <c r="O1460" s="207"/>
      <c r="P1460" s="207"/>
      <c r="Q1460" s="207"/>
      <c r="R1460" s="207"/>
      <c r="S1460" s="198"/>
      <c r="T1460" s="201"/>
    </row>
    <row r="1461" spans="1:20" ht="22.5" hidden="1" customHeight="1" x14ac:dyDescent="0.25">
      <c r="A1461" s="208"/>
      <c r="B1461" s="238"/>
      <c r="C1461" s="198"/>
      <c r="D1461" s="198"/>
      <c r="E1461" s="199"/>
      <c r="F1461" s="200"/>
      <c r="G1461" s="201"/>
      <c r="H1461" s="208"/>
      <c r="I1461" s="209"/>
      <c r="J1461" s="209"/>
      <c r="K1461" s="198"/>
      <c r="L1461" s="204"/>
      <c r="M1461" s="205"/>
      <c r="N1461" s="206"/>
      <c r="O1461" s="207"/>
      <c r="P1461" s="207"/>
      <c r="Q1461" s="207"/>
      <c r="R1461" s="207"/>
      <c r="S1461" s="198"/>
      <c r="T1461" s="201"/>
    </row>
    <row r="1462" spans="1:20" ht="22.5" hidden="1" customHeight="1" x14ac:dyDescent="0.25">
      <c r="A1462" s="208"/>
      <c r="B1462" s="238"/>
      <c r="C1462" s="198"/>
      <c r="D1462" s="198"/>
      <c r="E1462" s="199"/>
      <c r="F1462" s="200"/>
      <c r="G1462" s="201"/>
      <c r="H1462" s="208"/>
      <c r="I1462" s="209"/>
      <c r="J1462" s="209"/>
      <c r="K1462" s="198"/>
      <c r="L1462" s="204"/>
      <c r="M1462" s="205"/>
      <c r="N1462" s="206"/>
      <c r="O1462" s="207"/>
      <c r="P1462" s="207"/>
      <c r="Q1462" s="207"/>
      <c r="R1462" s="207"/>
      <c r="S1462" s="198"/>
      <c r="T1462" s="201"/>
    </row>
    <row r="1463" spans="1:20" ht="22.5" hidden="1" customHeight="1" x14ac:dyDescent="0.25">
      <c r="A1463" s="208"/>
      <c r="B1463" s="238"/>
      <c r="C1463" s="198"/>
      <c r="D1463" s="198"/>
      <c r="E1463" s="199"/>
      <c r="F1463" s="200"/>
      <c r="G1463" s="201"/>
      <c r="H1463" s="208"/>
      <c r="I1463" s="209"/>
      <c r="J1463" s="209"/>
      <c r="K1463" s="198"/>
      <c r="L1463" s="204"/>
      <c r="M1463" s="205"/>
      <c r="N1463" s="206"/>
      <c r="O1463" s="207"/>
      <c r="P1463" s="207"/>
      <c r="Q1463" s="207"/>
      <c r="R1463" s="207"/>
      <c r="S1463" s="198"/>
      <c r="T1463" s="201"/>
    </row>
    <row r="1464" spans="1:20" ht="22.5" hidden="1" customHeight="1" x14ac:dyDescent="0.25">
      <c r="A1464" s="208"/>
      <c r="B1464" s="238"/>
      <c r="C1464" s="198"/>
      <c r="D1464" s="198"/>
      <c r="E1464" s="199"/>
      <c r="F1464" s="200"/>
      <c r="G1464" s="201"/>
      <c r="H1464" s="208"/>
      <c r="I1464" s="209"/>
      <c r="J1464" s="209"/>
      <c r="K1464" s="198"/>
      <c r="L1464" s="204"/>
      <c r="M1464" s="205"/>
      <c r="N1464" s="206"/>
      <c r="O1464" s="207"/>
      <c r="P1464" s="207"/>
      <c r="Q1464" s="207"/>
      <c r="R1464" s="207"/>
      <c r="S1464" s="198"/>
      <c r="T1464" s="201"/>
    </row>
    <row r="1465" spans="1:20" ht="22.5" hidden="1" customHeight="1" x14ac:dyDescent="0.25">
      <c r="A1465" s="208"/>
      <c r="B1465" s="238"/>
      <c r="C1465" s="198"/>
      <c r="D1465" s="198"/>
      <c r="E1465" s="199"/>
      <c r="F1465" s="200"/>
      <c r="G1465" s="201"/>
      <c r="H1465" s="208"/>
      <c r="I1465" s="209"/>
      <c r="J1465" s="209"/>
      <c r="K1465" s="198"/>
      <c r="L1465" s="204"/>
      <c r="M1465" s="205"/>
      <c r="N1465" s="206"/>
      <c r="O1465" s="207"/>
      <c r="P1465" s="207"/>
      <c r="Q1465" s="207"/>
      <c r="R1465" s="207"/>
      <c r="S1465" s="198"/>
      <c r="T1465" s="201"/>
    </row>
    <row r="1466" spans="1:20" ht="22.5" hidden="1" customHeight="1" x14ac:dyDescent="0.25">
      <c r="A1466" s="208"/>
      <c r="B1466" s="238"/>
      <c r="C1466" s="198"/>
      <c r="D1466" s="198"/>
      <c r="E1466" s="199"/>
      <c r="F1466" s="200"/>
      <c r="G1466" s="201"/>
      <c r="H1466" s="208"/>
      <c r="I1466" s="209"/>
      <c r="J1466" s="209"/>
      <c r="K1466" s="198"/>
      <c r="L1466" s="204"/>
      <c r="M1466" s="205"/>
      <c r="N1466" s="206"/>
      <c r="O1466" s="207"/>
      <c r="P1466" s="207"/>
      <c r="Q1466" s="207"/>
      <c r="R1466" s="207"/>
      <c r="S1466" s="198"/>
      <c r="T1466" s="201"/>
    </row>
    <row r="1467" spans="1:20" ht="22.5" hidden="1" customHeight="1" x14ac:dyDescent="0.25">
      <c r="A1467" s="208"/>
      <c r="B1467" s="238"/>
      <c r="C1467" s="198"/>
      <c r="D1467" s="198"/>
      <c r="E1467" s="199"/>
      <c r="F1467" s="200"/>
      <c r="G1467" s="201"/>
      <c r="H1467" s="208"/>
      <c r="I1467" s="209"/>
      <c r="J1467" s="209"/>
      <c r="K1467" s="198"/>
      <c r="L1467" s="204"/>
      <c r="M1467" s="205"/>
      <c r="N1467" s="206"/>
      <c r="O1467" s="207"/>
      <c r="P1467" s="207"/>
      <c r="Q1467" s="207"/>
      <c r="R1467" s="207"/>
      <c r="S1467" s="198"/>
      <c r="T1467" s="201"/>
    </row>
    <row r="1468" spans="1:20" ht="22.5" hidden="1" customHeight="1" x14ac:dyDescent="0.25">
      <c r="A1468" s="208"/>
      <c r="B1468" s="238"/>
      <c r="C1468" s="198"/>
      <c r="D1468" s="198"/>
      <c r="E1468" s="199"/>
      <c r="F1468" s="200"/>
      <c r="G1468" s="201"/>
      <c r="H1468" s="208"/>
      <c r="I1468" s="209"/>
      <c r="J1468" s="209"/>
      <c r="K1468" s="198"/>
      <c r="L1468" s="204"/>
      <c r="M1468" s="205"/>
      <c r="N1468" s="206"/>
      <c r="O1468" s="207"/>
      <c r="P1468" s="207"/>
      <c r="Q1468" s="207"/>
      <c r="R1468" s="207"/>
      <c r="S1468" s="198"/>
      <c r="T1468" s="201"/>
    </row>
    <row r="1469" spans="1:20" ht="22.5" hidden="1" customHeight="1" x14ac:dyDescent="0.25">
      <c r="A1469" s="208"/>
      <c r="B1469" s="238"/>
      <c r="C1469" s="198"/>
      <c r="D1469" s="198"/>
      <c r="E1469" s="199"/>
      <c r="F1469" s="200"/>
      <c r="G1469" s="201"/>
      <c r="H1469" s="208"/>
      <c r="I1469" s="209"/>
      <c r="J1469" s="209"/>
      <c r="K1469" s="198"/>
      <c r="L1469" s="204"/>
      <c r="M1469" s="205"/>
      <c r="N1469" s="206"/>
      <c r="O1469" s="207"/>
      <c r="P1469" s="207"/>
      <c r="Q1469" s="207"/>
      <c r="R1469" s="207"/>
      <c r="S1469" s="198"/>
      <c r="T1469" s="201"/>
    </row>
    <row r="1470" spans="1:20" ht="22.5" hidden="1" customHeight="1" x14ac:dyDescent="0.25">
      <c r="A1470" s="208"/>
      <c r="B1470" s="238"/>
      <c r="C1470" s="198"/>
      <c r="D1470" s="198"/>
      <c r="E1470" s="199"/>
      <c r="F1470" s="200"/>
      <c r="G1470" s="201"/>
      <c r="H1470" s="208"/>
      <c r="I1470" s="209"/>
      <c r="J1470" s="209"/>
      <c r="K1470" s="198"/>
      <c r="L1470" s="204"/>
      <c r="M1470" s="205"/>
      <c r="N1470" s="206"/>
      <c r="O1470" s="207"/>
      <c r="P1470" s="207"/>
      <c r="Q1470" s="207"/>
      <c r="R1470" s="207"/>
      <c r="S1470" s="198"/>
      <c r="T1470" s="201"/>
    </row>
    <row r="1471" spans="1:20" ht="22.5" hidden="1" customHeight="1" x14ac:dyDescent="0.25">
      <c r="A1471" s="208"/>
      <c r="B1471" s="238"/>
      <c r="C1471" s="198"/>
      <c r="D1471" s="198"/>
      <c r="E1471" s="199"/>
      <c r="F1471" s="200"/>
      <c r="G1471" s="201"/>
      <c r="H1471" s="208"/>
      <c r="I1471" s="209"/>
      <c r="J1471" s="209"/>
      <c r="K1471" s="198"/>
      <c r="L1471" s="204"/>
      <c r="M1471" s="205"/>
      <c r="N1471" s="206"/>
      <c r="O1471" s="207"/>
      <c r="P1471" s="207"/>
      <c r="Q1471" s="207"/>
      <c r="R1471" s="207"/>
      <c r="S1471" s="198"/>
      <c r="T1471" s="201"/>
    </row>
    <row r="1472" spans="1:20" ht="22.5" hidden="1" customHeight="1" x14ac:dyDescent="0.25">
      <c r="A1472" s="208"/>
      <c r="B1472" s="238"/>
      <c r="C1472" s="198"/>
      <c r="D1472" s="198"/>
      <c r="E1472" s="199"/>
      <c r="F1472" s="200"/>
      <c r="G1472" s="201"/>
      <c r="H1472" s="208"/>
      <c r="I1472" s="209"/>
      <c r="J1472" s="209"/>
      <c r="K1472" s="198"/>
      <c r="L1472" s="204"/>
      <c r="M1472" s="205"/>
      <c r="N1472" s="206"/>
      <c r="O1472" s="207"/>
      <c r="P1472" s="207"/>
      <c r="Q1472" s="207"/>
      <c r="R1472" s="207"/>
      <c r="S1472" s="198"/>
      <c r="T1472" s="201"/>
    </row>
    <row r="1473" spans="1:20" ht="22.5" hidden="1" customHeight="1" x14ac:dyDescent="0.25">
      <c r="A1473" s="208"/>
      <c r="B1473" s="238"/>
      <c r="C1473" s="198"/>
      <c r="D1473" s="198"/>
      <c r="E1473" s="199"/>
      <c r="F1473" s="200"/>
      <c r="G1473" s="201"/>
      <c r="H1473" s="208"/>
      <c r="I1473" s="209"/>
      <c r="J1473" s="209"/>
      <c r="K1473" s="198"/>
      <c r="L1473" s="204"/>
      <c r="M1473" s="205"/>
      <c r="N1473" s="206"/>
      <c r="O1473" s="207"/>
      <c r="P1473" s="207"/>
      <c r="Q1473" s="207"/>
      <c r="R1473" s="207"/>
      <c r="S1473" s="198"/>
      <c r="T1473" s="201"/>
    </row>
    <row r="1474" spans="1:20" ht="22.5" hidden="1" customHeight="1" x14ac:dyDescent="0.25">
      <c r="A1474" s="208"/>
      <c r="B1474" s="238"/>
      <c r="C1474" s="198"/>
      <c r="D1474" s="198"/>
      <c r="E1474" s="199"/>
      <c r="F1474" s="200"/>
      <c r="G1474" s="201"/>
      <c r="H1474" s="208"/>
      <c r="I1474" s="209"/>
      <c r="J1474" s="209"/>
      <c r="K1474" s="198"/>
      <c r="L1474" s="204"/>
      <c r="M1474" s="205"/>
      <c r="N1474" s="206"/>
      <c r="O1474" s="207"/>
      <c r="P1474" s="207"/>
      <c r="Q1474" s="207"/>
      <c r="R1474" s="207"/>
      <c r="S1474" s="198"/>
      <c r="T1474" s="201"/>
    </row>
    <row r="1475" spans="1:20" ht="22.5" hidden="1" customHeight="1" x14ac:dyDescent="0.25">
      <c r="A1475" s="208"/>
      <c r="B1475" s="238"/>
      <c r="C1475" s="198"/>
      <c r="D1475" s="198"/>
      <c r="E1475" s="199"/>
      <c r="F1475" s="200"/>
      <c r="G1475" s="201"/>
      <c r="H1475" s="208"/>
      <c r="I1475" s="209"/>
      <c r="J1475" s="209"/>
      <c r="K1475" s="198"/>
      <c r="L1475" s="204"/>
      <c r="M1475" s="205"/>
      <c r="N1475" s="206"/>
      <c r="O1475" s="207"/>
      <c r="P1475" s="207"/>
      <c r="Q1475" s="207"/>
      <c r="R1475" s="207"/>
      <c r="S1475" s="198"/>
      <c r="T1475" s="201"/>
    </row>
    <row r="1476" spans="1:20" ht="22.5" hidden="1" customHeight="1" x14ac:dyDescent="0.25">
      <c r="A1476" s="208"/>
      <c r="B1476" s="238"/>
      <c r="C1476" s="198"/>
      <c r="D1476" s="198"/>
      <c r="E1476" s="199"/>
      <c r="F1476" s="200"/>
      <c r="G1476" s="201"/>
      <c r="H1476" s="208"/>
      <c r="I1476" s="209"/>
      <c r="J1476" s="209"/>
      <c r="K1476" s="198"/>
      <c r="L1476" s="204"/>
      <c r="M1476" s="205"/>
      <c r="N1476" s="206"/>
      <c r="O1476" s="207"/>
      <c r="P1476" s="207"/>
      <c r="Q1476" s="207"/>
      <c r="R1476" s="207"/>
      <c r="S1476" s="198"/>
      <c r="T1476" s="201"/>
    </row>
    <row r="1477" spans="1:20" ht="22.5" hidden="1" customHeight="1" x14ac:dyDescent="0.25">
      <c r="A1477" s="208"/>
      <c r="B1477" s="238"/>
      <c r="C1477" s="198"/>
      <c r="D1477" s="198"/>
      <c r="E1477" s="199"/>
      <c r="F1477" s="200"/>
      <c r="G1477" s="201"/>
      <c r="H1477" s="208"/>
      <c r="I1477" s="209"/>
      <c r="J1477" s="209"/>
      <c r="K1477" s="198"/>
      <c r="L1477" s="204"/>
      <c r="M1477" s="205"/>
      <c r="N1477" s="206"/>
      <c r="O1477" s="207"/>
      <c r="P1477" s="207"/>
      <c r="Q1477" s="207"/>
      <c r="R1477" s="207"/>
      <c r="S1477" s="198"/>
      <c r="T1477" s="201"/>
    </row>
    <row r="1478" spans="1:20" ht="22.5" hidden="1" customHeight="1" x14ac:dyDescent="0.25">
      <c r="A1478" s="208"/>
      <c r="B1478" s="238"/>
      <c r="C1478" s="198"/>
      <c r="D1478" s="198"/>
      <c r="E1478" s="199"/>
      <c r="F1478" s="200"/>
      <c r="G1478" s="201"/>
      <c r="H1478" s="208"/>
      <c r="I1478" s="209"/>
      <c r="J1478" s="209"/>
      <c r="K1478" s="198"/>
      <c r="L1478" s="204"/>
      <c r="M1478" s="205"/>
      <c r="N1478" s="206"/>
      <c r="O1478" s="207"/>
      <c r="P1478" s="207"/>
      <c r="Q1478" s="207"/>
      <c r="R1478" s="207"/>
      <c r="S1478" s="198"/>
      <c r="T1478" s="201"/>
    </row>
    <row r="1479" spans="1:20" ht="22.5" hidden="1" customHeight="1" x14ac:dyDescent="0.25">
      <c r="A1479" s="208"/>
      <c r="B1479" s="238"/>
      <c r="C1479" s="198"/>
      <c r="D1479" s="198"/>
      <c r="E1479" s="199"/>
      <c r="F1479" s="200"/>
      <c r="G1479" s="201"/>
      <c r="H1479" s="208"/>
      <c r="I1479" s="209"/>
      <c r="J1479" s="209"/>
      <c r="K1479" s="198"/>
      <c r="L1479" s="204"/>
      <c r="M1479" s="205"/>
      <c r="N1479" s="206"/>
      <c r="O1479" s="207"/>
      <c r="P1479" s="207"/>
      <c r="Q1479" s="207"/>
      <c r="R1479" s="207"/>
      <c r="S1479" s="198"/>
      <c r="T1479" s="201"/>
    </row>
    <row r="1480" spans="1:20" ht="22.5" hidden="1" customHeight="1" x14ac:dyDescent="0.25">
      <c r="A1480" s="208"/>
      <c r="B1480" s="238"/>
      <c r="C1480" s="198"/>
      <c r="D1480" s="198"/>
      <c r="E1480" s="199"/>
      <c r="F1480" s="200"/>
      <c r="G1480" s="201"/>
      <c r="H1480" s="208"/>
      <c r="I1480" s="209"/>
      <c r="J1480" s="209"/>
      <c r="K1480" s="198"/>
      <c r="L1480" s="204"/>
      <c r="M1480" s="205"/>
      <c r="N1480" s="206"/>
      <c r="O1480" s="207"/>
      <c r="P1480" s="207"/>
      <c r="Q1480" s="207"/>
      <c r="R1480" s="207"/>
      <c r="S1480" s="198"/>
      <c r="T1480" s="201"/>
    </row>
    <row r="1481" spans="1:20" ht="22.5" hidden="1" customHeight="1" x14ac:dyDescent="0.25">
      <c r="A1481" s="208"/>
      <c r="B1481" s="238"/>
      <c r="C1481" s="198"/>
      <c r="D1481" s="198"/>
      <c r="E1481" s="199"/>
      <c r="F1481" s="200"/>
      <c r="G1481" s="201"/>
      <c r="H1481" s="208"/>
      <c r="I1481" s="209"/>
      <c r="J1481" s="209"/>
      <c r="K1481" s="198"/>
      <c r="L1481" s="204"/>
      <c r="M1481" s="205"/>
      <c r="N1481" s="206"/>
      <c r="O1481" s="207"/>
      <c r="P1481" s="207"/>
      <c r="Q1481" s="207"/>
      <c r="R1481" s="207"/>
      <c r="S1481" s="198"/>
      <c r="T1481" s="201"/>
    </row>
    <row r="1482" spans="1:20" ht="22.5" hidden="1" customHeight="1" x14ac:dyDescent="0.25">
      <c r="A1482" s="208"/>
      <c r="B1482" s="238"/>
      <c r="C1482" s="198"/>
      <c r="D1482" s="198"/>
      <c r="E1482" s="199"/>
      <c r="F1482" s="200"/>
      <c r="G1482" s="201"/>
      <c r="H1482" s="208"/>
      <c r="I1482" s="209"/>
      <c r="J1482" s="209"/>
      <c r="K1482" s="198"/>
      <c r="L1482" s="204"/>
      <c r="M1482" s="205"/>
      <c r="N1482" s="206"/>
      <c r="O1482" s="207"/>
      <c r="P1482" s="207"/>
      <c r="Q1482" s="207"/>
      <c r="R1482" s="207"/>
      <c r="S1482" s="198"/>
      <c r="T1482" s="201"/>
    </row>
    <row r="1483" spans="1:20" ht="22.5" hidden="1" customHeight="1" x14ac:dyDescent="0.25">
      <c r="A1483" s="208"/>
      <c r="B1483" s="238"/>
      <c r="C1483" s="198"/>
      <c r="D1483" s="198"/>
      <c r="E1483" s="199"/>
      <c r="F1483" s="200"/>
      <c r="G1483" s="201"/>
      <c r="H1483" s="208"/>
      <c r="I1483" s="209"/>
      <c r="J1483" s="209"/>
      <c r="K1483" s="198"/>
      <c r="L1483" s="204"/>
      <c r="M1483" s="205"/>
      <c r="N1483" s="206"/>
      <c r="O1483" s="207"/>
      <c r="P1483" s="207"/>
      <c r="Q1483" s="207"/>
      <c r="R1483" s="207"/>
      <c r="S1483" s="198"/>
      <c r="T1483" s="201"/>
    </row>
    <row r="1484" spans="1:20" ht="22.5" hidden="1" customHeight="1" x14ac:dyDescent="0.25">
      <c r="A1484" s="208"/>
      <c r="B1484" s="238"/>
      <c r="C1484" s="198"/>
      <c r="D1484" s="198"/>
      <c r="E1484" s="199"/>
      <c r="F1484" s="200"/>
      <c r="G1484" s="201"/>
      <c r="H1484" s="208"/>
      <c r="I1484" s="209"/>
      <c r="J1484" s="209"/>
      <c r="K1484" s="198"/>
      <c r="L1484" s="204"/>
      <c r="M1484" s="205"/>
      <c r="N1484" s="206"/>
      <c r="O1484" s="207"/>
      <c r="P1484" s="207"/>
      <c r="Q1484" s="207"/>
      <c r="R1484" s="207"/>
      <c r="S1484" s="198"/>
      <c r="T1484" s="201"/>
    </row>
    <row r="1485" spans="1:20" ht="22.5" hidden="1" customHeight="1" x14ac:dyDescent="0.25">
      <c r="A1485" s="208"/>
      <c r="B1485" s="238"/>
      <c r="C1485" s="198"/>
      <c r="D1485" s="198"/>
      <c r="E1485" s="199"/>
      <c r="F1485" s="200"/>
      <c r="G1485" s="201"/>
      <c r="H1485" s="208"/>
      <c r="I1485" s="209"/>
      <c r="J1485" s="209"/>
      <c r="K1485" s="198"/>
      <c r="L1485" s="204"/>
      <c r="M1485" s="205"/>
      <c r="N1485" s="206"/>
      <c r="O1485" s="207"/>
      <c r="P1485" s="207"/>
      <c r="Q1485" s="207"/>
      <c r="R1485" s="207"/>
      <c r="S1485" s="198"/>
      <c r="T1485" s="201"/>
    </row>
    <row r="1486" spans="1:20" ht="22.5" hidden="1" customHeight="1" x14ac:dyDescent="0.25">
      <c r="A1486" s="208"/>
      <c r="B1486" s="238"/>
      <c r="C1486" s="198"/>
      <c r="D1486" s="198"/>
      <c r="E1486" s="199"/>
      <c r="F1486" s="200"/>
      <c r="G1486" s="201"/>
      <c r="H1486" s="208"/>
      <c r="I1486" s="209"/>
      <c r="J1486" s="209"/>
      <c r="K1486" s="198"/>
      <c r="L1486" s="204"/>
      <c r="M1486" s="205"/>
      <c r="N1486" s="206"/>
      <c r="O1486" s="207"/>
      <c r="P1486" s="207"/>
      <c r="Q1486" s="207"/>
      <c r="R1486" s="207"/>
      <c r="S1486" s="198"/>
      <c r="T1486" s="201"/>
    </row>
    <row r="1487" spans="1:20" ht="22.5" hidden="1" customHeight="1" x14ac:dyDescent="0.25">
      <c r="A1487" s="208"/>
      <c r="B1487" s="238"/>
      <c r="C1487" s="198"/>
      <c r="D1487" s="198"/>
      <c r="E1487" s="199"/>
      <c r="F1487" s="200"/>
      <c r="G1487" s="201"/>
      <c r="H1487" s="208"/>
      <c r="I1487" s="209"/>
      <c r="J1487" s="209"/>
      <c r="K1487" s="198"/>
      <c r="L1487" s="204"/>
      <c r="M1487" s="205"/>
      <c r="N1487" s="206"/>
      <c r="O1487" s="207"/>
      <c r="P1487" s="207"/>
      <c r="Q1487" s="207"/>
      <c r="R1487" s="207"/>
      <c r="S1487" s="198"/>
      <c r="T1487" s="201"/>
    </row>
    <row r="1488" spans="1:20" ht="22.5" hidden="1" customHeight="1" x14ac:dyDescent="0.25">
      <c r="A1488" s="208"/>
      <c r="B1488" s="238"/>
      <c r="C1488" s="198"/>
      <c r="D1488" s="198"/>
      <c r="E1488" s="199"/>
      <c r="F1488" s="200"/>
      <c r="G1488" s="201"/>
      <c r="H1488" s="208"/>
      <c r="I1488" s="209"/>
      <c r="J1488" s="209"/>
      <c r="K1488" s="198"/>
      <c r="L1488" s="204"/>
      <c r="M1488" s="205"/>
      <c r="N1488" s="206"/>
      <c r="O1488" s="207"/>
      <c r="P1488" s="207"/>
      <c r="Q1488" s="207"/>
      <c r="R1488" s="207"/>
      <c r="S1488" s="198"/>
      <c r="T1488" s="201"/>
    </row>
    <row r="1489" spans="1:20" ht="22.5" hidden="1" customHeight="1" x14ac:dyDescent="0.25">
      <c r="A1489" s="208"/>
      <c r="B1489" s="238"/>
      <c r="C1489" s="198"/>
      <c r="D1489" s="198"/>
      <c r="E1489" s="199"/>
      <c r="F1489" s="200"/>
      <c r="G1489" s="201"/>
      <c r="H1489" s="208"/>
      <c r="I1489" s="209"/>
      <c r="J1489" s="209"/>
      <c r="K1489" s="198"/>
      <c r="L1489" s="204"/>
      <c r="M1489" s="205"/>
      <c r="N1489" s="206"/>
      <c r="O1489" s="207"/>
      <c r="P1489" s="207"/>
      <c r="Q1489" s="207"/>
      <c r="R1489" s="207"/>
      <c r="S1489" s="198"/>
      <c r="T1489" s="201"/>
    </row>
    <row r="1490" spans="1:20" ht="22.5" hidden="1" customHeight="1" x14ac:dyDescent="0.25">
      <c r="A1490" s="208"/>
      <c r="B1490" s="238"/>
      <c r="C1490" s="198"/>
      <c r="D1490" s="198"/>
      <c r="E1490" s="199"/>
      <c r="F1490" s="200"/>
      <c r="G1490" s="201"/>
      <c r="H1490" s="208"/>
      <c r="I1490" s="209"/>
      <c r="J1490" s="209"/>
      <c r="K1490" s="198"/>
      <c r="L1490" s="204"/>
      <c r="M1490" s="205"/>
      <c r="N1490" s="206"/>
      <c r="O1490" s="207"/>
      <c r="P1490" s="207"/>
      <c r="Q1490" s="207"/>
      <c r="R1490" s="207"/>
      <c r="S1490" s="198"/>
      <c r="T1490" s="201"/>
    </row>
    <row r="1491" spans="1:20" ht="22.5" hidden="1" customHeight="1" x14ac:dyDescent="0.25">
      <c r="A1491" s="208"/>
      <c r="B1491" s="238"/>
      <c r="C1491" s="198"/>
      <c r="D1491" s="198"/>
      <c r="E1491" s="199"/>
      <c r="F1491" s="200"/>
      <c r="G1491" s="201"/>
      <c r="H1491" s="208"/>
      <c r="I1491" s="209"/>
      <c r="J1491" s="209"/>
      <c r="K1491" s="198"/>
      <c r="L1491" s="204"/>
      <c r="M1491" s="205"/>
      <c r="N1491" s="206"/>
      <c r="O1491" s="207"/>
      <c r="P1491" s="207"/>
      <c r="Q1491" s="207"/>
      <c r="R1491" s="207"/>
      <c r="S1491" s="198"/>
      <c r="T1491" s="201"/>
    </row>
    <row r="1492" spans="1:20" ht="22.5" hidden="1" customHeight="1" x14ac:dyDescent="0.25">
      <c r="A1492" s="208"/>
      <c r="B1492" s="238"/>
      <c r="C1492" s="198"/>
      <c r="D1492" s="198"/>
      <c r="E1492" s="199"/>
      <c r="F1492" s="200"/>
      <c r="G1492" s="201"/>
      <c r="H1492" s="208"/>
      <c r="I1492" s="209"/>
      <c r="J1492" s="209"/>
      <c r="K1492" s="198"/>
      <c r="L1492" s="204"/>
      <c r="M1492" s="205"/>
      <c r="N1492" s="206"/>
      <c r="O1492" s="207"/>
      <c r="P1492" s="207"/>
      <c r="Q1492" s="207"/>
      <c r="R1492" s="207"/>
      <c r="S1492" s="198"/>
      <c r="T1492" s="201"/>
    </row>
    <row r="1493" spans="1:20" ht="22.5" hidden="1" customHeight="1" x14ac:dyDescent="0.25">
      <c r="A1493" s="208"/>
      <c r="B1493" s="238"/>
      <c r="C1493" s="198"/>
      <c r="D1493" s="198"/>
      <c r="E1493" s="199"/>
      <c r="F1493" s="200"/>
      <c r="G1493" s="201"/>
      <c r="H1493" s="208"/>
      <c r="I1493" s="209"/>
      <c r="J1493" s="209"/>
      <c r="K1493" s="198"/>
      <c r="L1493" s="204"/>
      <c r="M1493" s="205"/>
      <c r="N1493" s="206"/>
      <c r="O1493" s="207"/>
      <c r="P1493" s="207"/>
      <c r="Q1493" s="207"/>
      <c r="R1493" s="207"/>
      <c r="S1493" s="198"/>
      <c r="T1493" s="201"/>
    </row>
    <row r="1494" spans="1:20" ht="22.5" hidden="1" customHeight="1" x14ac:dyDescent="0.25">
      <c r="A1494" s="208"/>
      <c r="B1494" s="238"/>
      <c r="C1494" s="198"/>
      <c r="D1494" s="198"/>
      <c r="E1494" s="199"/>
      <c r="F1494" s="200"/>
      <c r="G1494" s="201"/>
      <c r="H1494" s="208"/>
      <c r="I1494" s="209"/>
      <c r="J1494" s="209"/>
      <c r="K1494" s="198"/>
      <c r="L1494" s="204"/>
      <c r="M1494" s="205"/>
      <c r="N1494" s="206"/>
      <c r="O1494" s="207"/>
      <c r="P1494" s="207"/>
      <c r="Q1494" s="207"/>
      <c r="R1494" s="207"/>
      <c r="S1494" s="198"/>
      <c r="T1494" s="201"/>
    </row>
    <row r="1495" spans="1:20" ht="22.5" hidden="1" customHeight="1" x14ac:dyDescent="0.25">
      <c r="A1495" s="208"/>
      <c r="B1495" s="238"/>
      <c r="C1495" s="198"/>
      <c r="D1495" s="198"/>
      <c r="E1495" s="199"/>
      <c r="F1495" s="200"/>
      <c r="G1495" s="201"/>
      <c r="H1495" s="208"/>
      <c r="I1495" s="209"/>
      <c r="J1495" s="209"/>
      <c r="K1495" s="198"/>
      <c r="L1495" s="204"/>
      <c r="M1495" s="205"/>
      <c r="N1495" s="206"/>
      <c r="O1495" s="207"/>
      <c r="P1495" s="207"/>
      <c r="Q1495" s="207"/>
      <c r="R1495" s="207"/>
      <c r="S1495" s="198"/>
      <c r="T1495" s="201"/>
    </row>
    <row r="1496" spans="1:20" ht="22.5" hidden="1" customHeight="1" x14ac:dyDescent="0.25">
      <c r="A1496" s="208"/>
      <c r="B1496" s="238"/>
      <c r="C1496" s="198"/>
      <c r="D1496" s="198"/>
      <c r="E1496" s="199"/>
      <c r="F1496" s="200"/>
      <c r="G1496" s="201"/>
      <c r="H1496" s="208"/>
      <c r="I1496" s="209"/>
      <c r="J1496" s="209"/>
      <c r="K1496" s="198"/>
      <c r="L1496" s="204"/>
      <c r="M1496" s="205"/>
      <c r="N1496" s="206"/>
      <c r="O1496" s="207"/>
      <c r="P1496" s="207"/>
      <c r="Q1496" s="207"/>
      <c r="R1496" s="207"/>
      <c r="S1496" s="198"/>
      <c r="T1496" s="201"/>
    </row>
    <row r="1497" spans="1:20" ht="22.5" hidden="1" customHeight="1" x14ac:dyDescent="0.25">
      <c r="A1497" s="208"/>
      <c r="B1497" s="238"/>
      <c r="C1497" s="198"/>
      <c r="D1497" s="198"/>
      <c r="E1497" s="199"/>
      <c r="F1497" s="200"/>
      <c r="G1497" s="201"/>
      <c r="H1497" s="208"/>
      <c r="I1497" s="209"/>
      <c r="J1497" s="209"/>
      <c r="K1497" s="198"/>
      <c r="L1497" s="204"/>
      <c r="M1497" s="205"/>
      <c r="N1497" s="206"/>
      <c r="O1497" s="207"/>
      <c r="P1497" s="207"/>
      <c r="Q1497" s="207"/>
      <c r="R1497" s="207"/>
      <c r="S1497" s="198"/>
      <c r="T1497" s="201"/>
    </row>
    <row r="1498" spans="1:20" ht="22.5" hidden="1" customHeight="1" x14ac:dyDescent="0.25">
      <c r="A1498" s="208"/>
      <c r="B1498" s="238"/>
      <c r="C1498" s="198"/>
      <c r="D1498" s="198"/>
      <c r="E1498" s="199"/>
      <c r="F1498" s="200"/>
      <c r="G1498" s="201"/>
      <c r="H1498" s="208"/>
      <c r="I1498" s="209"/>
      <c r="J1498" s="209"/>
      <c r="K1498" s="198"/>
      <c r="L1498" s="204"/>
      <c r="M1498" s="205"/>
      <c r="N1498" s="206"/>
      <c r="O1498" s="207"/>
      <c r="P1498" s="207"/>
      <c r="Q1498" s="207"/>
      <c r="R1498" s="207"/>
      <c r="S1498" s="198"/>
      <c r="T1498" s="201"/>
    </row>
    <row r="1499" spans="1:20" ht="22.5" hidden="1" customHeight="1" x14ac:dyDescent="0.25">
      <c r="A1499" s="208"/>
      <c r="B1499" s="238"/>
      <c r="C1499" s="198"/>
      <c r="D1499" s="198"/>
      <c r="E1499" s="199"/>
      <c r="F1499" s="200"/>
      <c r="G1499" s="201"/>
      <c r="H1499" s="208"/>
      <c r="I1499" s="209"/>
      <c r="J1499" s="209"/>
      <c r="K1499" s="198"/>
      <c r="L1499" s="204"/>
      <c r="M1499" s="205"/>
      <c r="N1499" s="206"/>
      <c r="O1499" s="207"/>
      <c r="P1499" s="207"/>
      <c r="Q1499" s="207"/>
      <c r="R1499" s="207"/>
      <c r="S1499" s="198"/>
      <c r="T1499" s="201"/>
    </row>
    <row r="1500" spans="1:20" ht="22.5" hidden="1" customHeight="1" x14ac:dyDescent="0.25">
      <c r="A1500" s="208"/>
      <c r="B1500" s="238"/>
      <c r="C1500" s="198"/>
      <c r="D1500" s="198"/>
      <c r="E1500" s="199"/>
      <c r="F1500" s="200"/>
      <c r="G1500" s="201"/>
      <c r="H1500" s="208"/>
      <c r="I1500" s="209"/>
      <c r="J1500" s="209"/>
      <c r="K1500" s="198"/>
      <c r="L1500" s="204"/>
      <c r="M1500" s="205"/>
      <c r="N1500" s="206"/>
      <c r="O1500" s="207"/>
      <c r="P1500" s="207"/>
      <c r="Q1500" s="207"/>
      <c r="R1500" s="207"/>
      <c r="S1500" s="198"/>
      <c r="T1500" s="201"/>
    </row>
    <row r="1501" spans="1:20" ht="22.5" hidden="1" customHeight="1" x14ac:dyDescent="0.25">
      <c r="A1501" s="208"/>
      <c r="B1501" s="238"/>
      <c r="C1501" s="198"/>
      <c r="D1501" s="198"/>
      <c r="E1501" s="199"/>
      <c r="F1501" s="200"/>
      <c r="G1501" s="201"/>
      <c r="H1501" s="208"/>
      <c r="I1501" s="209"/>
      <c r="J1501" s="209"/>
      <c r="K1501" s="198"/>
      <c r="L1501" s="204"/>
      <c r="M1501" s="205"/>
      <c r="N1501" s="206"/>
      <c r="O1501" s="207"/>
      <c r="P1501" s="207"/>
      <c r="Q1501" s="207"/>
      <c r="R1501" s="207"/>
      <c r="S1501" s="198"/>
      <c r="T1501" s="201"/>
    </row>
    <row r="1502" spans="1:20" ht="22.5" hidden="1" customHeight="1" x14ac:dyDescent="0.25">
      <c r="A1502" s="208"/>
      <c r="B1502" s="238"/>
      <c r="C1502" s="198"/>
      <c r="D1502" s="198"/>
      <c r="E1502" s="199"/>
      <c r="F1502" s="200"/>
      <c r="G1502" s="201"/>
      <c r="H1502" s="208"/>
      <c r="I1502" s="209"/>
      <c r="J1502" s="209"/>
      <c r="K1502" s="198"/>
      <c r="L1502" s="204"/>
      <c r="M1502" s="205"/>
      <c r="N1502" s="206"/>
      <c r="O1502" s="207"/>
      <c r="P1502" s="207"/>
      <c r="Q1502" s="207"/>
      <c r="R1502" s="207"/>
      <c r="S1502" s="198"/>
      <c r="T1502" s="201"/>
    </row>
    <row r="1503" spans="1:20" ht="22.5" hidden="1" customHeight="1" x14ac:dyDescent="0.25">
      <c r="A1503" s="208"/>
      <c r="B1503" s="238"/>
      <c r="C1503" s="198"/>
      <c r="D1503" s="198"/>
      <c r="E1503" s="199"/>
      <c r="F1503" s="200"/>
      <c r="G1503" s="201"/>
      <c r="H1503" s="208"/>
      <c r="I1503" s="209"/>
      <c r="J1503" s="209"/>
      <c r="K1503" s="198"/>
      <c r="L1503" s="204"/>
      <c r="M1503" s="205"/>
      <c r="N1503" s="206"/>
      <c r="O1503" s="207"/>
      <c r="P1503" s="207"/>
      <c r="Q1503" s="207"/>
      <c r="R1503" s="207"/>
      <c r="S1503" s="198"/>
      <c r="T1503" s="201"/>
    </row>
    <row r="1504" spans="1:20" ht="22.5" hidden="1" customHeight="1" x14ac:dyDescent="0.25">
      <c r="A1504" s="208"/>
      <c r="B1504" s="238"/>
      <c r="C1504" s="198"/>
      <c r="D1504" s="198"/>
      <c r="E1504" s="199"/>
      <c r="F1504" s="200"/>
      <c r="G1504" s="201"/>
      <c r="H1504" s="208"/>
      <c r="I1504" s="209"/>
      <c r="J1504" s="209"/>
      <c r="K1504" s="198"/>
      <c r="L1504" s="204"/>
      <c r="M1504" s="205"/>
      <c r="N1504" s="206"/>
      <c r="O1504" s="207"/>
      <c r="P1504" s="207"/>
      <c r="Q1504" s="207"/>
      <c r="R1504" s="207"/>
      <c r="S1504" s="198"/>
      <c r="T1504" s="201"/>
    </row>
    <row r="1505" spans="1:20" ht="22.5" hidden="1" customHeight="1" x14ac:dyDescent="0.25">
      <c r="A1505" s="208"/>
      <c r="B1505" s="238"/>
      <c r="C1505" s="198"/>
      <c r="D1505" s="198"/>
      <c r="E1505" s="199"/>
      <c r="F1505" s="200"/>
      <c r="G1505" s="201"/>
      <c r="H1505" s="208"/>
      <c r="I1505" s="209"/>
      <c r="J1505" s="209"/>
      <c r="K1505" s="198"/>
      <c r="L1505" s="204"/>
      <c r="M1505" s="205"/>
      <c r="N1505" s="206"/>
      <c r="O1505" s="207"/>
      <c r="P1505" s="207"/>
      <c r="Q1505" s="207"/>
      <c r="R1505" s="207"/>
      <c r="S1505" s="198"/>
      <c r="T1505" s="201"/>
    </row>
    <row r="1506" spans="1:20" ht="22.5" hidden="1" customHeight="1" x14ac:dyDescent="0.25">
      <c r="A1506" s="208"/>
      <c r="B1506" s="238"/>
      <c r="C1506" s="198"/>
      <c r="D1506" s="198"/>
      <c r="E1506" s="199"/>
      <c r="F1506" s="200"/>
      <c r="G1506" s="201"/>
      <c r="H1506" s="208"/>
      <c r="I1506" s="209"/>
      <c r="J1506" s="209"/>
      <c r="K1506" s="198"/>
      <c r="L1506" s="204"/>
      <c r="M1506" s="205"/>
      <c r="N1506" s="206"/>
      <c r="O1506" s="207"/>
      <c r="P1506" s="207"/>
      <c r="Q1506" s="207"/>
      <c r="R1506" s="207"/>
      <c r="S1506" s="198"/>
      <c r="T1506" s="201"/>
    </row>
    <row r="1507" spans="1:20" ht="22.5" hidden="1" customHeight="1" x14ac:dyDescent="0.25">
      <c r="A1507" s="208"/>
      <c r="B1507" s="238"/>
      <c r="C1507" s="198"/>
      <c r="D1507" s="198"/>
      <c r="E1507" s="199"/>
      <c r="F1507" s="200"/>
      <c r="G1507" s="201"/>
      <c r="H1507" s="208"/>
      <c r="I1507" s="209"/>
      <c r="J1507" s="209"/>
      <c r="K1507" s="198"/>
      <c r="L1507" s="204"/>
      <c r="M1507" s="205"/>
      <c r="N1507" s="206"/>
      <c r="O1507" s="207"/>
      <c r="P1507" s="207"/>
      <c r="Q1507" s="207"/>
      <c r="R1507" s="207"/>
      <c r="S1507" s="198"/>
      <c r="T1507" s="201"/>
    </row>
    <row r="1508" spans="1:20" ht="22.5" hidden="1" customHeight="1" x14ac:dyDescent="0.25">
      <c r="A1508" s="208"/>
      <c r="B1508" s="238"/>
      <c r="C1508" s="198"/>
      <c r="D1508" s="198"/>
      <c r="E1508" s="199"/>
      <c r="F1508" s="200"/>
      <c r="G1508" s="201"/>
      <c r="H1508" s="208"/>
      <c r="I1508" s="209"/>
      <c r="J1508" s="209"/>
      <c r="K1508" s="198"/>
      <c r="L1508" s="204"/>
      <c r="M1508" s="205"/>
      <c r="N1508" s="206"/>
      <c r="O1508" s="207"/>
      <c r="P1508" s="207"/>
      <c r="Q1508" s="207"/>
      <c r="R1508" s="207"/>
      <c r="S1508" s="198"/>
      <c r="T1508" s="201"/>
    </row>
    <row r="1509" spans="1:20" ht="22.5" hidden="1" customHeight="1" x14ac:dyDescent="0.25">
      <c r="A1509" s="208"/>
      <c r="B1509" s="238"/>
      <c r="C1509" s="198"/>
      <c r="D1509" s="198"/>
      <c r="E1509" s="199"/>
      <c r="F1509" s="200"/>
      <c r="G1509" s="201"/>
      <c r="H1509" s="208"/>
      <c r="I1509" s="209"/>
      <c r="J1509" s="209"/>
      <c r="K1509" s="198"/>
      <c r="L1509" s="204"/>
      <c r="M1509" s="205"/>
      <c r="N1509" s="206"/>
      <c r="O1509" s="207"/>
      <c r="P1509" s="207"/>
      <c r="Q1509" s="207"/>
      <c r="R1509" s="207"/>
      <c r="S1509" s="198"/>
      <c r="T1509" s="201"/>
    </row>
    <row r="1510" spans="1:20" ht="22.5" hidden="1" customHeight="1" x14ac:dyDescent="0.25">
      <c r="A1510" s="208"/>
      <c r="B1510" s="238"/>
      <c r="C1510" s="198"/>
      <c r="D1510" s="198"/>
      <c r="E1510" s="199"/>
      <c r="F1510" s="200"/>
      <c r="G1510" s="201"/>
      <c r="H1510" s="208"/>
      <c r="I1510" s="209"/>
      <c r="J1510" s="209"/>
      <c r="K1510" s="198"/>
      <c r="L1510" s="204"/>
      <c r="M1510" s="205"/>
      <c r="N1510" s="206"/>
      <c r="O1510" s="207"/>
      <c r="P1510" s="207"/>
      <c r="Q1510" s="207"/>
      <c r="R1510" s="207"/>
      <c r="S1510" s="198"/>
      <c r="T1510" s="201"/>
    </row>
    <row r="1511" spans="1:20" ht="22.5" hidden="1" customHeight="1" x14ac:dyDescent="0.25">
      <c r="A1511" s="208"/>
      <c r="B1511" s="238"/>
      <c r="C1511" s="198"/>
      <c r="D1511" s="198"/>
      <c r="E1511" s="199"/>
      <c r="F1511" s="200"/>
      <c r="G1511" s="201"/>
      <c r="H1511" s="208"/>
      <c r="I1511" s="209"/>
      <c r="J1511" s="209"/>
      <c r="K1511" s="198"/>
      <c r="L1511" s="204"/>
      <c r="M1511" s="205"/>
      <c r="N1511" s="206"/>
      <c r="O1511" s="207"/>
      <c r="P1511" s="207"/>
      <c r="Q1511" s="207"/>
      <c r="R1511" s="207"/>
      <c r="S1511" s="198"/>
      <c r="T1511" s="201"/>
    </row>
    <row r="1512" spans="1:20" ht="22.5" hidden="1" customHeight="1" x14ac:dyDescent="0.25">
      <c r="A1512" s="208"/>
      <c r="B1512" s="238"/>
      <c r="C1512" s="198"/>
      <c r="D1512" s="198"/>
      <c r="E1512" s="199"/>
      <c r="F1512" s="200"/>
      <c r="G1512" s="201"/>
      <c r="H1512" s="208"/>
      <c r="I1512" s="209"/>
      <c r="J1512" s="209"/>
      <c r="K1512" s="198"/>
      <c r="L1512" s="204"/>
      <c r="M1512" s="205"/>
      <c r="N1512" s="206"/>
      <c r="O1512" s="207"/>
      <c r="P1512" s="207"/>
      <c r="Q1512" s="207"/>
      <c r="R1512" s="207"/>
      <c r="S1512" s="198"/>
      <c r="T1512" s="201"/>
    </row>
    <row r="1513" spans="1:20" ht="22.5" hidden="1" customHeight="1" x14ac:dyDescent="0.25">
      <c r="A1513" s="208"/>
      <c r="B1513" s="238"/>
      <c r="C1513" s="198"/>
      <c r="D1513" s="198"/>
      <c r="E1513" s="199"/>
      <c r="F1513" s="200"/>
      <c r="G1513" s="201"/>
      <c r="H1513" s="208"/>
      <c r="I1513" s="209"/>
      <c r="J1513" s="209"/>
      <c r="K1513" s="198"/>
      <c r="L1513" s="204"/>
      <c r="M1513" s="205"/>
      <c r="N1513" s="206"/>
      <c r="O1513" s="207"/>
      <c r="P1513" s="207"/>
      <c r="Q1513" s="207"/>
      <c r="R1513" s="207"/>
      <c r="S1513" s="198"/>
      <c r="T1513" s="201"/>
    </row>
    <row r="1514" spans="1:20" ht="22.5" hidden="1" customHeight="1" x14ac:dyDescent="0.25">
      <c r="A1514" s="208"/>
      <c r="B1514" s="238"/>
      <c r="C1514" s="198"/>
      <c r="D1514" s="198"/>
      <c r="E1514" s="199"/>
      <c r="F1514" s="200"/>
      <c r="G1514" s="201"/>
      <c r="H1514" s="208"/>
      <c r="I1514" s="209"/>
      <c r="J1514" s="209"/>
      <c r="K1514" s="198"/>
      <c r="L1514" s="204"/>
      <c r="M1514" s="205"/>
      <c r="N1514" s="206"/>
      <c r="O1514" s="207"/>
      <c r="P1514" s="207"/>
      <c r="Q1514" s="207"/>
      <c r="R1514" s="207"/>
      <c r="S1514" s="198"/>
      <c r="T1514" s="201"/>
    </row>
    <row r="1515" spans="1:20" ht="22.5" hidden="1" customHeight="1" x14ac:dyDescent="0.25">
      <c r="A1515" s="208"/>
      <c r="B1515" s="238"/>
      <c r="C1515" s="198"/>
      <c r="D1515" s="198"/>
      <c r="E1515" s="199"/>
      <c r="F1515" s="200"/>
      <c r="G1515" s="201"/>
      <c r="H1515" s="208"/>
      <c r="I1515" s="209"/>
      <c r="J1515" s="209"/>
      <c r="K1515" s="198"/>
      <c r="L1515" s="204"/>
      <c r="M1515" s="205"/>
      <c r="N1515" s="206"/>
      <c r="O1515" s="207"/>
      <c r="P1515" s="207"/>
      <c r="Q1515" s="207"/>
      <c r="R1515" s="207"/>
      <c r="S1515" s="198"/>
      <c r="T1515" s="201"/>
    </row>
    <row r="1516" spans="1:20" ht="22.5" hidden="1" customHeight="1" x14ac:dyDescent="0.25">
      <c r="A1516" s="208"/>
      <c r="B1516" s="238"/>
      <c r="C1516" s="198"/>
      <c r="D1516" s="198"/>
      <c r="E1516" s="199"/>
      <c r="F1516" s="200"/>
      <c r="G1516" s="201"/>
      <c r="H1516" s="208"/>
      <c r="I1516" s="209"/>
      <c r="J1516" s="209"/>
      <c r="K1516" s="198"/>
      <c r="L1516" s="204"/>
      <c r="M1516" s="205"/>
      <c r="N1516" s="206"/>
      <c r="O1516" s="207"/>
      <c r="P1516" s="207"/>
      <c r="Q1516" s="207"/>
      <c r="R1516" s="207"/>
      <c r="S1516" s="198"/>
      <c r="T1516" s="201"/>
    </row>
    <row r="1517" spans="1:20" ht="22.5" hidden="1" customHeight="1" x14ac:dyDescent="0.25">
      <c r="A1517" s="208"/>
      <c r="B1517" s="238"/>
      <c r="C1517" s="198"/>
      <c r="D1517" s="198"/>
      <c r="E1517" s="199"/>
      <c r="F1517" s="200"/>
      <c r="G1517" s="201"/>
      <c r="H1517" s="208"/>
      <c r="I1517" s="209"/>
      <c r="J1517" s="209"/>
      <c r="K1517" s="198"/>
      <c r="L1517" s="204"/>
      <c r="M1517" s="205"/>
      <c r="N1517" s="206"/>
      <c r="O1517" s="207"/>
      <c r="P1517" s="207"/>
      <c r="Q1517" s="207"/>
      <c r="R1517" s="207"/>
      <c r="S1517" s="198"/>
      <c r="T1517" s="201"/>
    </row>
    <row r="1518" spans="1:20" ht="22.5" hidden="1" customHeight="1" x14ac:dyDescent="0.25">
      <c r="A1518" s="208"/>
      <c r="B1518" s="238"/>
      <c r="C1518" s="198"/>
      <c r="D1518" s="198"/>
      <c r="E1518" s="199"/>
      <c r="F1518" s="200"/>
      <c r="G1518" s="201"/>
      <c r="H1518" s="208"/>
      <c r="I1518" s="209"/>
      <c r="J1518" s="209"/>
      <c r="K1518" s="198"/>
      <c r="L1518" s="204"/>
      <c r="M1518" s="205"/>
      <c r="N1518" s="206"/>
      <c r="O1518" s="207"/>
      <c r="P1518" s="207"/>
      <c r="Q1518" s="207"/>
      <c r="R1518" s="207"/>
      <c r="S1518" s="198"/>
      <c r="T1518" s="201"/>
    </row>
    <row r="1519" spans="1:20" ht="22.5" hidden="1" customHeight="1" x14ac:dyDescent="0.25">
      <c r="A1519" s="208"/>
      <c r="B1519" s="238"/>
      <c r="C1519" s="198"/>
      <c r="D1519" s="198"/>
      <c r="E1519" s="199"/>
      <c r="F1519" s="200"/>
      <c r="G1519" s="201"/>
      <c r="H1519" s="208"/>
      <c r="I1519" s="209"/>
      <c r="J1519" s="209"/>
      <c r="K1519" s="198"/>
      <c r="L1519" s="204"/>
      <c r="M1519" s="205"/>
      <c r="N1519" s="206"/>
      <c r="O1519" s="207"/>
      <c r="P1519" s="207"/>
      <c r="Q1519" s="207"/>
      <c r="R1519" s="207"/>
      <c r="S1519" s="198"/>
      <c r="T1519" s="201"/>
    </row>
    <row r="1520" spans="1:20" ht="22.5" hidden="1" customHeight="1" x14ac:dyDescent="0.25">
      <c r="A1520" s="208"/>
      <c r="B1520" s="238"/>
      <c r="C1520" s="198"/>
      <c r="D1520" s="198"/>
      <c r="E1520" s="199"/>
      <c r="F1520" s="200"/>
      <c r="G1520" s="201"/>
      <c r="H1520" s="208"/>
      <c r="I1520" s="209"/>
      <c r="J1520" s="209"/>
      <c r="K1520" s="198"/>
      <c r="L1520" s="204"/>
      <c r="M1520" s="205"/>
      <c r="N1520" s="206"/>
      <c r="O1520" s="207"/>
      <c r="P1520" s="207"/>
      <c r="Q1520" s="207"/>
      <c r="R1520" s="207"/>
      <c r="S1520" s="198"/>
      <c r="T1520" s="201"/>
    </row>
    <row r="1521" spans="1:20" ht="22.5" hidden="1" customHeight="1" x14ac:dyDescent="0.25">
      <c r="A1521" s="208"/>
      <c r="B1521" s="238"/>
      <c r="C1521" s="198"/>
      <c r="D1521" s="198"/>
      <c r="E1521" s="199"/>
      <c r="F1521" s="200"/>
      <c r="G1521" s="201"/>
      <c r="H1521" s="208"/>
      <c r="I1521" s="209"/>
      <c r="J1521" s="209"/>
      <c r="K1521" s="198"/>
      <c r="L1521" s="204"/>
      <c r="M1521" s="205"/>
      <c r="N1521" s="206"/>
      <c r="O1521" s="207"/>
      <c r="P1521" s="207"/>
      <c r="Q1521" s="207"/>
      <c r="R1521" s="207"/>
      <c r="S1521" s="198"/>
      <c r="T1521" s="201"/>
    </row>
    <row r="1522" spans="1:20" ht="22.5" hidden="1" customHeight="1" x14ac:dyDescent="0.25">
      <c r="A1522" s="208"/>
      <c r="B1522" s="238"/>
      <c r="C1522" s="198"/>
      <c r="D1522" s="198"/>
      <c r="E1522" s="199"/>
      <c r="F1522" s="200"/>
      <c r="G1522" s="201"/>
      <c r="H1522" s="208"/>
      <c r="I1522" s="209"/>
      <c r="J1522" s="209"/>
      <c r="K1522" s="198"/>
      <c r="L1522" s="204"/>
      <c r="M1522" s="205"/>
      <c r="N1522" s="206"/>
      <c r="O1522" s="207"/>
      <c r="P1522" s="207"/>
      <c r="Q1522" s="207"/>
      <c r="R1522" s="207"/>
      <c r="S1522" s="198"/>
      <c r="T1522" s="201"/>
    </row>
    <row r="1523" spans="1:20" ht="22.5" hidden="1" customHeight="1" x14ac:dyDescent="0.25">
      <c r="A1523" s="208"/>
      <c r="B1523" s="238"/>
      <c r="C1523" s="198"/>
      <c r="D1523" s="198"/>
      <c r="E1523" s="199"/>
      <c r="F1523" s="200"/>
      <c r="G1523" s="201"/>
      <c r="H1523" s="208"/>
      <c r="I1523" s="209"/>
      <c r="J1523" s="209"/>
      <c r="K1523" s="198"/>
      <c r="L1523" s="204"/>
      <c r="M1523" s="205"/>
      <c r="N1523" s="206"/>
      <c r="O1523" s="207"/>
      <c r="P1523" s="207"/>
      <c r="Q1523" s="207"/>
      <c r="R1523" s="207"/>
      <c r="S1523" s="198"/>
      <c r="T1523" s="201"/>
    </row>
    <row r="1524" spans="1:20" ht="22.5" hidden="1" customHeight="1" x14ac:dyDescent="0.25">
      <c r="A1524" s="208"/>
      <c r="B1524" s="238"/>
      <c r="C1524" s="198"/>
      <c r="D1524" s="198"/>
      <c r="E1524" s="199"/>
      <c r="F1524" s="200"/>
      <c r="G1524" s="201"/>
      <c r="H1524" s="208"/>
      <c r="I1524" s="209"/>
      <c r="J1524" s="209"/>
      <c r="K1524" s="198"/>
      <c r="L1524" s="204"/>
      <c r="M1524" s="205"/>
      <c r="N1524" s="206"/>
      <c r="O1524" s="207"/>
      <c r="P1524" s="207"/>
      <c r="Q1524" s="207"/>
      <c r="R1524" s="207"/>
      <c r="S1524" s="198"/>
      <c r="T1524" s="201"/>
    </row>
    <row r="1525" spans="1:20" ht="22.5" hidden="1" customHeight="1" x14ac:dyDescent="0.25">
      <c r="A1525" s="208"/>
      <c r="B1525" s="238"/>
      <c r="C1525" s="198"/>
      <c r="D1525" s="198"/>
      <c r="E1525" s="199"/>
      <c r="F1525" s="200"/>
      <c r="G1525" s="201"/>
      <c r="H1525" s="208"/>
      <c r="I1525" s="209"/>
      <c r="J1525" s="209"/>
      <c r="K1525" s="198"/>
      <c r="L1525" s="204"/>
      <c r="M1525" s="205"/>
      <c r="N1525" s="206"/>
      <c r="O1525" s="207"/>
      <c r="P1525" s="207"/>
      <c r="Q1525" s="207"/>
      <c r="R1525" s="207"/>
      <c r="S1525" s="198"/>
      <c r="T1525" s="201"/>
    </row>
    <row r="1526" spans="1:20" ht="22.5" hidden="1" customHeight="1" x14ac:dyDescent="0.25">
      <c r="A1526" s="208"/>
      <c r="B1526" s="238"/>
      <c r="C1526" s="198"/>
      <c r="D1526" s="198"/>
      <c r="E1526" s="199"/>
      <c r="F1526" s="200"/>
      <c r="G1526" s="201"/>
      <c r="H1526" s="208"/>
      <c r="I1526" s="209"/>
      <c r="J1526" s="209"/>
      <c r="K1526" s="198"/>
      <c r="L1526" s="204"/>
      <c r="M1526" s="205"/>
      <c r="N1526" s="206"/>
      <c r="O1526" s="207"/>
      <c r="P1526" s="207"/>
      <c r="Q1526" s="207"/>
      <c r="R1526" s="207"/>
      <c r="S1526" s="198"/>
      <c r="T1526" s="201"/>
    </row>
    <row r="1527" spans="1:20" ht="22.5" hidden="1" customHeight="1" x14ac:dyDescent="0.25">
      <c r="A1527" s="208"/>
      <c r="B1527" s="238"/>
      <c r="C1527" s="198"/>
      <c r="D1527" s="198"/>
      <c r="E1527" s="199"/>
      <c r="F1527" s="200"/>
      <c r="G1527" s="201"/>
      <c r="H1527" s="208"/>
      <c r="I1527" s="209"/>
      <c r="J1527" s="209"/>
      <c r="K1527" s="198"/>
      <c r="L1527" s="204"/>
      <c r="M1527" s="205"/>
      <c r="N1527" s="206"/>
      <c r="O1527" s="207"/>
      <c r="P1527" s="207"/>
      <c r="Q1527" s="207"/>
      <c r="R1527" s="207"/>
      <c r="S1527" s="198"/>
      <c r="T1527" s="201"/>
    </row>
    <row r="1528" spans="1:20" ht="22.5" hidden="1" customHeight="1" x14ac:dyDescent="0.25">
      <c r="A1528" s="208"/>
      <c r="B1528" s="238"/>
      <c r="C1528" s="198"/>
      <c r="D1528" s="198"/>
      <c r="E1528" s="199"/>
      <c r="F1528" s="200"/>
      <c r="G1528" s="201"/>
      <c r="H1528" s="208"/>
      <c r="I1528" s="209"/>
      <c r="J1528" s="209"/>
      <c r="K1528" s="198"/>
      <c r="L1528" s="204"/>
      <c r="M1528" s="205"/>
      <c r="N1528" s="206"/>
      <c r="O1528" s="207"/>
      <c r="P1528" s="207"/>
      <c r="Q1528" s="207"/>
      <c r="R1528" s="207"/>
      <c r="S1528" s="198"/>
      <c r="T1528" s="201"/>
    </row>
    <row r="1529" spans="1:20" ht="22.5" hidden="1" customHeight="1" x14ac:dyDescent="0.25">
      <c r="A1529" s="208"/>
      <c r="B1529" s="238"/>
      <c r="C1529" s="198"/>
      <c r="D1529" s="198"/>
      <c r="E1529" s="199"/>
      <c r="F1529" s="200"/>
      <c r="G1529" s="201"/>
      <c r="H1529" s="208"/>
      <c r="I1529" s="209"/>
      <c r="J1529" s="209"/>
      <c r="K1529" s="198"/>
      <c r="L1529" s="204"/>
      <c r="M1529" s="205"/>
      <c r="N1529" s="206"/>
      <c r="O1529" s="207"/>
      <c r="P1529" s="207"/>
      <c r="Q1529" s="207"/>
      <c r="R1529" s="207"/>
      <c r="S1529" s="198"/>
      <c r="T1529" s="201"/>
    </row>
    <row r="1530" spans="1:20" ht="22.5" hidden="1" customHeight="1" x14ac:dyDescent="0.25">
      <c r="A1530" s="208"/>
      <c r="B1530" s="238"/>
      <c r="C1530" s="198"/>
      <c r="D1530" s="198"/>
      <c r="E1530" s="199"/>
      <c r="F1530" s="200"/>
      <c r="G1530" s="201"/>
      <c r="H1530" s="208"/>
      <c r="I1530" s="209"/>
      <c r="J1530" s="209"/>
      <c r="K1530" s="198"/>
      <c r="L1530" s="204"/>
      <c r="M1530" s="205"/>
      <c r="N1530" s="206"/>
      <c r="O1530" s="207"/>
      <c r="P1530" s="207"/>
      <c r="Q1530" s="207"/>
      <c r="R1530" s="207"/>
      <c r="S1530" s="198"/>
      <c r="T1530" s="201"/>
    </row>
    <row r="1531" spans="1:20" ht="22.5" hidden="1" customHeight="1" x14ac:dyDescent="0.25">
      <c r="A1531" s="208"/>
      <c r="B1531" s="238"/>
      <c r="C1531" s="198"/>
      <c r="D1531" s="198"/>
      <c r="E1531" s="199"/>
      <c r="F1531" s="200"/>
      <c r="G1531" s="201"/>
      <c r="H1531" s="208"/>
      <c r="I1531" s="209"/>
      <c r="J1531" s="209"/>
      <c r="K1531" s="198"/>
      <c r="L1531" s="204"/>
      <c r="M1531" s="205"/>
      <c r="N1531" s="206"/>
      <c r="O1531" s="207"/>
      <c r="P1531" s="207"/>
      <c r="Q1531" s="207"/>
      <c r="R1531" s="207"/>
      <c r="S1531" s="198"/>
      <c r="T1531" s="201"/>
    </row>
    <row r="1532" spans="1:20" ht="22.5" hidden="1" customHeight="1" x14ac:dyDescent="0.25">
      <c r="A1532" s="208"/>
      <c r="B1532" s="238"/>
      <c r="C1532" s="198"/>
      <c r="D1532" s="198"/>
      <c r="E1532" s="199"/>
      <c r="F1532" s="200"/>
      <c r="G1532" s="201"/>
      <c r="H1532" s="208"/>
      <c r="I1532" s="209"/>
      <c r="J1532" s="209"/>
      <c r="K1532" s="198"/>
      <c r="L1532" s="204"/>
      <c r="M1532" s="205"/>
      <c r="N1532" s="206"/>
      <c r="O1532" s="207"/>
      <c r="P1532" s="207"/>
      <c r="Q1532" s="207"/>
      <c r="R1532" s="207"/>
      <c r="S1532" s="198"/>
      <c r="T1532" s="201"/>
    </row>
    <row r="1533" spans="1:20" ht="22.5" hidden="1" customHeight="1" x14ac:dyDescent="0.25">
      <c r="A1533" s="208"/>
      <c r="B1533" s="238"/>
      <c r="C1533" s="198"/>
      <c r="D1533" s="198"/>
      <c r="E1533" s="199"/>
      <c r="F1533" s="200"/>
      <c r="G1533" s="201"/>
      <c r="H1533" s="208"/>
      <c r="I1533" s="209"/>
      <c r="J1533" s="209"/>
      <c r="K1533" s="198"/>
      <c r="L1533" s="204"/>
      <c r="M1533" s="205"/>
      <c r="N1533" s="206"/>
      <c r="O1533" s="207"/>
      <c r="P1533" s="207"/>
      <c r="Q1533" s="207"/>
      <c r="R1533" s="207"/>
      <c r="S1533" s="198"/>
      <c r="T1533" s="201"/>
    </row>
    <row r="1534" spans="1:20" ht="22.5" hidden="1" customHeight="1" x14ac:dyDescent="0.25">
      <c r="A1534" s="208"/>
      <c r="B1534" s="238"/>
      <c r="C1534" s="198"/>
      <c r="D1534" s="198"/>
      <c r="E1534" s="199"/>
      <c r="F1534" s="200"/>
      <c r="G1534" s="201"/>
      <c r="H1534" s="208"/>
      <c r="I1534" s="209"/>
      <c r="J1534" s="209"/>
      <c r="K1534" s="198"/>
      <c r="L1534" s="204"/>
      <c r="M1534" s="205"/>
      <c r="N1534" s="206"/>
      <c r="O1534" s="207"/>
      <c r="P1534" s="207"/>
      <c r="Q1534" s="207"/>
      <c r="R1534" s="207"/>
      <c r="S1534" s="198"/>
      <c r="T1534" s="201"/>
    </row>
    <row r="1535" spans="1:20" ht="22.5" hidden="1" customHeight="1" x14ac:dyDescent="0.25">
      <c r="A1535" s="208"/>
      <c r="B1535" s="238"/>
      <c r="C1535" s="198"/>
      <c r="D1535" s="198"/>
      <c r="E1535" s="199"/>
      <c r="F1535" s="200"/>
      <c r="G1535" s="201"/>
      <c r="H1535" s="208"/>
      <c r="I1535" s="209"/>
      <c r="J1535" s="209"/>
      <c r="K1535" s="198"/>
      <c r="L1535" s="204"/>
      <c r="M1535" s="205"/>
      <c r="N1535" s="206"/>
      <c r="O1535" s="207"/>
      <c r="P1535" s="207"/>
      <c r="Q1535" s="207"/>
      <c r="R1535" s="207"/>
      <c r="S1535" s="198"/>
      <c r="T1535" s="201"/>
    </row>
    <row r="1536" spans="1:20" ht="22.5" hidden="1" customHeight="1" x14ac:dyDescent="0.25">
      <c r="A1536" s="208"/>
      <c r="B1536" s="238"/>
      <c r="C1536" s="198"/>
      <c r="D1536" s="198"/>
      <c r="E1536" s="199"/>
      <c r="F1536" s="200"/>
      <c r="G1536" s="201"/>
      <c r="H1536" s="208"/>
      <c r="I1536" s="209"/>
      <c r="J1536" s="209"/>
      <c r="K1536" s="198"/>
      <c r="L1536" s="204"/>
      <c r="M1536" s="205"/>
      <c r="N1536" s="206"/>
      <c r="O1536" s="207"/>
      <c r="P1536" s="207"/>
      <c r="Q1536" s="207"/>
      <c r="R1536" s="207"/>
      <c r="S1536" s="198"/>
      <c r="T1536" s="201"/>
    </row>
    <row r="1537" spans="1:20" ht="22.5" hidden="1" customHeight="1" x14ac:dyDescent="0.25">
      <c r="A1537" s="208"/>
      <c r="B1537" s="238"/>
      <c r="C1537" s="198"/>
      <c r="D1537" s="198"/>
      <c r="E1537" s="199"/>
      <c r="F1537" s="200"/>
      <c r="G1537" s="201"/>
      <c r="H1537" s="208"/>
      <c r="I1537" s="209"/>
      <c r="J1537" s="209"/>
      <c r="K1537" s="198"/>
      <c r="L1537" s="204"/>
      <c r="M1537" s="205"/>
      <c r="N1537" s="206"/>
      <c r="O1537" s="207"/>
      <c r="P1537" s="207"/>
      <c r="Q1537" s="207"/>
      <c r="R1537" s="207"/>
      <c r="S1537" s="198"/>
      <c r="T1537" s="201"/>
    </row>
    <row r="1538" spans="1:20" ht="22.5" hidden="1" customHeight="1" x14ac:dyDescent="0.25">
      <c r="A1538" s="208"/>
      <c r="B1538" s="238"/>
      <c r="C1538" s="198"/>
      <c r="D1538" s="198"/>
      <c r="E1538" s="199"/>
      <c r="F1538" s="200"/>
      <c r="G1538" s="201"/>
      <c r="H1538" s="208"/>
      <c r="I1538" s="209"/>
      <c r="J1538" s="209"/>
      <c r="K1538" s="198"/>
      <c r="L1538" s="204"/>
      <c r="M1538" s="205"/>
      <c r="N1538" s="206"/>
      <c r="O1538" s="207"/>
      <c r="P1538" s="207"/>
      <c r="Q1538" s="207"/>
      <c r="R1538" s="207"/>
      <c r="S1538" s="198"/>
      <c r="T1538" s="201"/>
    </row>
    <row r="1539" spans="1:20" ht="22.5" hidden="1" customHeight="1" x14ac:dyDescent="0.25">
      <c r="A1539" s="208"/>
      <c r="B1539" s="238"/>
      <c r="C1539" s="198"/>
      <c r="D1539" s="198"/>
      <c r="E1539" s="199"/>
      <c r="F1539" s="200"/>
      <c r="G1539" s="201"/>
      <c r="H1539" s="208"/>
      <c r="I1539" s="209"/>
      <c r="J1539" s="209"/>
      <c r="K1539" s="198"/>
      <c r="L1539" s="204"/>
      <c r="M1539" s="205"/>
      <c r="N1539" s="206"/>
      <c r="O1539" s="207"/>
      <c r="P1539" s="207"/>
      <c r="Q1539" s="207"/>
      <c r="R1539" s="207"/>
      <c r="S1539" s="198"/>
      <c r="T1539" s="201"/>
    </row>
    <row r="1540" spans="1:20" ht="22.5" hidden="1" customHeight="1" x14ac:dyDescent="0.25">
      <c r="A1540" s="208"/>
      <c r="B1540" s="238"/>
      <c r="C1540" s="198"/>
      <c r="D1540" s="198"/>
      <c r="E1540" s="199"/>
      <c r="F1540" s="200"/>
      <c r="G1540" s="201"/>
      <c r="H1540" s="208"/>
      <c r="I1540" s="209"/>
      <c r="J1540" s="209"/>
      <c r="K1540" s="198"/>
      <c r="L1540" s="204"/>
      <c r="M1540" s="205"/>
      <c r="N1540" s="206"/>
      <c r="O1540" s="207"/>
      <c r="P1540" s="207"/>
      <c r="Q1540" s="207"/>
      <c r="R1540" s="207"/>
      <c r="S1540" s="198"/>
      <c r="T1540" s="201"/>
    </row>
    <row r="1541" spans="1:20" ht="22.5" hidden="1" customHeight="1" x14ac:dyDescent="0.25">
      <c r="A1541" s="208"/>
      <c r="B1541" s="238"/>
      <c r="C1541" s="198"/>
      <c r="D1541" s="198"/>
      <c r="E1541" s="199"/>
      <c r="F1541" s="200"/>
      <c r="G1541" s="201"/>
      <c r="H1541" s="208"/>
      <c r="I1541" s="209"/>
      <c r="J1541" s="209"/>
      <c r="K1541" s="198"/>
      <c r="L1541" s="204"/>
      <c r="M1541" s="205"/>
      <c r="N1541" s="206"/>
      <c r="O1541" s="207"/>
      <c r="P1541" s="207"/>
      <c r="Q1541" s="207"/>
      <c r="R1541" s="207"/>
      <c r="S1541" s="198"/>
      <c r="T1541" s="201"/>
    </row>
    <row r="1542" spans="1:20" ht="22.5" hidden="1" customHeight="1" x14ac:dyDescent="0.25">
      <c r="A1542" s="208"/>
      <c r="B1542" s="238"/>
      <c r="C1542" s="198"/>
      <c r="D1542" s="198"/>
      <c r="E1542" s="199"/>
      <c r="F1542" s="200"/>
      <c r="G1542" s="201"/>
      <c r="H1542" s="208"/>
      <c r="I1542" s="209"/>
      <c r="J1542" s="209"/>
      <c r="K1542" s="198"/>
      <c r="L1542" s="204"/>
      <c r="M1542" s="205"/>
      <c r="N1542" s="206"/>
      <c r="O1542" s="207"/>
      <c r="P1542" s="207"/>
      <c r="Q1542" s="207"/>
      <c r="R1542" s="207"/>
      <c r="S1542" s="198"/>
      <c r="T1542" s="201"/>
    </row>
    <row r="1543" spans="1:20" ht="22.5" hidden="1" customHeight="1" x14ac:dyDescent="0.25">
      <c r="A1543" s="208"/>
      <c r="B1543" s="238"/>
      <c r="C1543" s="198"/>
      <c r="D1543" s="198"/>
      <c r="E1543" s="199"/>
      <c r="F1543" s="200"/>
      <c r="G1543" s="201"/>
      <c r="H1543" s="208"/>
      <c r="I1543" s="209"/>
      <c r="J1543" s="209"/>
      <c r="K1543" s="198"/>
      <c r="L1543" s="204"/>
      <c r="M1543" s="205"/>
      <c r="N1543" s="206"/>
      <c r="O1543" s="207"/>
      <c r="P1543" s="207"/>
      <c r="Q1543" s="207"/>
      <c r="R1543" s="207"/>
      <c r="S1543" s="198"/>
      <c r="T1543" s="201"/>
    </row>
    <row r="1544" spans="1:20" ht="22.5" hidden="1" customHeight="1" x14ac:dyDescent="0.25">
      <c r="A1544" s="208"/>
      <c r="B1544" s="238"/>
      <c r="C1544" s="198"/>
      <c r="D1544" s="198"/>
      <c r="E1544" s="199"/>
      <c r="F1544" s="200"/>
      <c r="G1544" s="201"/>
      <c r="H1544" s="208"/>
      <c r="I1544" s="209"/>
      <c r="J1544" s="209"/>
      <c r="K1544" s="198"/>
      <c r="L1544" s="204"/>
      <c r="M1544" s="205"/>
      <c r="N1544" s="206"/>
      <c r="O1544" s="207"/>
      <c r="P1544" s="207"/>
      <c r="Q1544" s="207"/>
      <c r="R1544" s="207"/>
      <c r="S1544" s="198"/>
      <c r="T1544" s="201"/>
    </row>
    <row r="1545" spans="1:20" ht="22.5" hidden="1" customHeight="1" x14ac:dyDescent="0.25">
      <c r="A1545" s="208"/>
      <c r="B1545" s="238"/>
      <c r="C1545" s="198"/>
      <c r="D1545" s="198"/>
      <c r="E1545" s="199"/>
      <c r="F1545" s="200"/>
      <c r="G1545" s="201"/>
      <c r="H1545" s="208"/>
      <c r="I1545" s="209"/>
      <c r="J1545" s="209"/>
      <c r="K1545" s="198"/>
      <c r="L1545" s="204"/>
      <c r="M1545" s="205"/>
      <c r="N1545" s="206"/>
      <c r="O1545" s="207"/>
      <c r="P1545" s="207"/>
      <c r="Q1545" s="207"/>
      <c r="R1545" s="207"/>
      <c r="S1545" s="198"/>
      <c r="T1545" s="201"/>
    </row>
    <row r="1546" spans="1:20" ht="22.5" hidden="1" customHeight="1" x14ac:dyDescent="0.25">
      <c r="A1546" s="208"/>
      <c r="B1546" s="238"/>
      <c r="C1546" s="198"/>
      <c r="D1546" s="198"/>
      <c r="E1546" s="199"/>
      <c r="F1546" s="200"/>
      <c r="G1546" s="201"/>
      <c r="H1546" s="208"/>
      <c r="I1546" s="209"/>
      <c r="J1546" s="209"/>
      <c r="K1546" s="198"/>
      <c r="L1546" s="204"/>
      <c r="M1546" s="205"/>
      <c r="N1546" s="206"/>
      <c r="O1546" s="207"/>
      <c r="P1546" s="207"/>
      <c r="Q1546" s="207"/>
      <c r="R1546" s="207"/>
      <c r="S1546" s="198"/>
      <c r="T1546" s="201"/>
    </row>
    <row r="1547" spans="1:20" ht="22.5" hidden="1" customHeight="1" x14ac:dyDescent="0.25">
      <c r="A1547" s="208"/>
      <c r="B1547" s="238"/>
      <c r="C1547" s="198"/>
      <c r="D1547" s="198"/>
      <c r="E1547" s="199"/>
      <c r="F1547" s="200"/>
      <c r="G1547" s="201"/>
      <c r="H1547" s="208"/>
      <c r="I1547" s="209"/>
      <c r="J1547" s="209"/>
      <c r="K1547" s="198"/>
      <c r="L1547" s="204"/>
      <c r="M1547" s="205"/>
      <c r="N1547" s="206"/>
      <c r="O1547" s="207"/>
      <c r="P1547" s="207"/>
      <c r="Q1547" s="207"/>
      <c r="R1547" s="207"/>
      <c r="S1547" s="198"/>
      <c r="T1547" s="201"/>
    </row>
    <row r="1548" spans="1:20" ht="22.5" hidden="1" customHeight="1" x14ac:dyDescent="0.25">
      <c r="A1548" s="208"/>
      <c r="B1548" s="238"/>
      <c r="C1548" s="198"/>
      <c r="D1548" s="198"/>
      <c r="E1548" s="199"/>
      <c r="F1548" s="200"/>
      <c r="G1548" s="201"/>
      <c r="H1548" s="208"/>
      <c r="I1548" s="209"/>
      <c r="J1548" s="209"/>
      <c r="K1548" s="198"/>
      <c r="L1548" s="204"/>
      <c r="M1548" s="205"/>
      <c r="N1548" s="206"/>
      <c r="O1548" s="207"/>
      <c r="P1548" s="207"/>
      <c r="Q1548" s="207"/>
      <c r="R1548" s="207"/>
      <c r="S1548" s="198"/>
      <c r="T1548" s="201"/>
    </row>
    <row r="1549" spans="1:20" ht="22.5" hidden="1" customHeight="1" x14ac:dyDescent="0.25">
      <c r="A1549" s="208"/>
      <c r="B1549" s="238"/>
      <c r="C1549" s="198"/>
      <c r="D1549" s="198"/>
      <c r="E1549" s="199"/>
      <c r="F1549" s="200"/>
      <c r="G1549" s="201"/>
      <c r="H1549" s="208"/>
      <c r="I1549" s="209"/>
      <c r="J1549" s="209"/>
      <c r="K1549" s="198"/>
      <c r="L1549" s="204"/>
      <c r="M1549" s="205"/>
      <c r="N1549" s="206"/>
      <c r="O1549" s="207"/>
      <c r="P1549" s="207"/>
      <c r="Q1549" s="207"/>
      <c r="R1549" s="207"/>
      <c r="S1549" s="198"/>
      <c r="T1549" s="201"/>
    </row>
    <row r="1550" spans="1:20" ht="22.5" hidden="1" customHeight="1" x14ac:dyDescent="0.25">
      <c r="A1550" s="208"/>
      <c r="B1550" s="238"/>
      <c r="C1550" s="198"/>
      <c r="D1550" s="198"/>
      <c r="E1550" s="199"/>
      <c r="F1550" s="200"/>
      <c r="G1550" s="201"/>
      <c r="H1550" s="208"/>
      <c r="I1550" s="209"/>
      <c r="J1550" s="209"/>
      <c r="K1550" s="198"/>
      <c r="L1550" s="204"/>
      <c r="M1550" s="205"/>
      <c r="N1550" s="206"/>
      <c r="O1550" s="207"/>
      <c r="P1550" s="207"/>
      <c r="Q1550" s="207"/>
      <c r="R1550" s="207"/>
      <c r="S1550" s="198"/>
      <c r="T1550" s="201"/>
    </row>
    <row r="1551" spans="1:20" ht="22.5" hidden="1" customHeight="1" x14ac:dyDescent="0.25">
      <c r="A1551" s="208"/>
      <c r="B1551" s="238"/>
      <c r="C1551" s="198"/>
      <c r="D1551" s="198"/>
      <c r="E1551" s="199"/>
      <c r="F1551" s="200"/>
      <c r="G1551" s="201"/>
      <c r="H1551" s="208"/>
      <c r="I1551" s="209"/>
      <c r="J1551" s="209"/>
      <c r="K1551" s="198"/>
      <c r="L1551" s="204"/>
      <c r="M1551" s="205"/>
      <c r="N1551" s="206"/>
      <c r="O1551" s="207"/>
      <c r="P1551" s="207"/>
      <c r="Q1551" s="207"/>
      <c r="R1551" s="207"/>
      <c r="S1551" s="198"/>
      <c r="T1551" s="201"/>
    </row>
    <row r="1552" spans="1:20" ht="22.5" hidden="1" customHeight="1" x14ac:dyDescent="0.25">
      <c r="A1552" s="208"/>
      <c r="B1552" s="238"/>
      <c r="C1552" s="198"/>
      <c r="D1552" s="198"/>
      <c r="E1552" s="199"/>
      <c r="F1552" s="200"/>
      <c r="G1552" s="201"/>
      <c r="H1552" s="208"/>
      <c r="I1552" s="209"/>
      <c r="J1552" s="209"/>
      <c r="K1552" s="198"/>
      <c r="L1552" s="204"/>
      <c r="M1552" s="205"/>
      <c r="N1552" s="206"/>
      <c r="O1552" s="207"/>
      <c r="P1552" s="207"/>
      <c r="Q1552" s="207"/>
      <c r="R1552" s="207"/>
      <c r="S1552" s="198"/>
      <c r="T1552" s="201"/>
    </row>
    <row r="1553" spans="1:20" ht="22.5" hidden="1" customHeight="1" x14ac:dyDescent="0.25">
      <c r="A1553" s="208"/>
      <c r="B1553" s="238"/>
      <c r="C1553" s="198"/>
      <c r="D1553" s="198"/>
      <c r="E1553" s="199"/>
      <c r="F1553" s="200"/>
      <c r="G1553" s="201"/>
      <c r="H1553" s="208"/>
      <c r="I1553" s="209"/>
      <c r="J1553" s="209"/>
      <c r="K1553" s="198"/>
      <c r="L1553" s="204"/>
      <c r="M1553" s="205"/>
      <c r="N1553" s="206"/>
      <c r="O1553" s="207"/>
      <c r="P1553" s="207"/>
      <c r="Q1553" s="207"/>
      <c r="R1553" s="207"/>
      <c r="S1553" s="198"/>
      <c r="T1553" s="201"/>
    </row>
    <row r="1554" spans="1:20" ht="22.5" hidden="1" customHeight="1" x14ac:dyDescent="0.25">
      <c r="A1554" s="208"/>
      <c r="B1554" s="238"/>
      <c r="C1554" s="198"/>
      <c r="D1554" s="198"/>
      <c r="E1554" s="199"/>
      <c r="F1554" s="200"/>
      <c r="G1554" s="201"/>
      <c r="H1554" s="208"/>
      <c r="I1554" s="209"/>
      <c r="J1554" s="209"/>
      <c r="K1554" s="198"/>
      <c r="L1554" s="204"/>
      <c r="M1554" s="205"/>
      <c r="N1554" s="206"/>
      <c r="O1554" s="207"/>
      <c r="P1554" s="207"/>
      <c r="Q1554" s="207"/>
      <c r="R1554" s="207"/>
      <c r="S1554" s="198"/>
      <c r="T1554" s="201"/>
    </row>
    <row r="1555" spans="1:20" ht="22.5" hidden="1" customHeight="1" x14ac:dyDescent="0.25">
      <c r="A1555" s="208"/>
      <c r="B1555" s="238"/>
      <c r="C1555" s="198"/>
      <c r="D1555" s="198"/>
      <c r="E1555" s="199"/>
      <c r="F1555" s="200"/>
      <c r="G1555" s="201"/>
      <c r="H1555" s="208"/>
      <c r="I1555" s="209"/>
      <c r="J1555" s="209"/>
      <c r="K1555" s="198"/>
      <c r="L1555" s="204"/>
      <c r="M1555" s="205"/>
      <c r="N1555" s="206"/>
      <c r="O1555" s="207"/>
      <c r="P1555" s="207"/>
      <c r="Q1555" s="207"/>
      <c r="R1555" s="207"/>
      <c r="S1555" s="198"/>
      <c r="T1555" s="201"/>
    </row>
    <row r="1556" spans="1:20" ht="22.5" hidden="1" customHeight="1" x14ac:dyDescent="0.25">
      <c r="A1556" s="208"/>
      <c r="B1556" s="238"/>
      <c r="C1556" s="198"/>
      <c r="D1556" s="198"/>
      <c r="E1556" s="199"/>
      <c r="F1556" s="200"/>
      <c r="G1556" s="201"/>
      <c r="H1556" s="208"/>
      <c r="I1556" s="209"/>
      <c r="J1556" s="209"/>
      <c r="K1556" s="198"/>
      <c r="L1556" s="204"/>
      <c r="M1556" s="205"/>
      <c r="N1556" s="206"/>
      <c r="O1556" s="207"/>
      <c r="P1556" s="207"/>
      <c r="Q1556" s="207"/>
      <c r="R1556" s="207"/>
      <c r="S1556" s="198"/>
      <c r="T1556" s="201"/>
    </row>
    <row r="1557" spans="1:20" ht="22.5" hidden="1" customHeight="1" x14ac:dyDescent="0.25">
      <c r="A1557" s="208"/>
      <c r="B1557" s="238"/>
      <c r="C1557" s="198"/>
      <c r="D1557" s="198"/>
      <c r="E1557" s="199"/>
      <c r="F1557" s="200"/>
      <c r="G1557" s="201"/>
      <c r="H1557" s="208"/>
      <c r="I1557" s="209"/>
      <c r="J1557" s="209"/>
      <c r="K1557" s="198"/>
      <c r="L1557" s="204"/>
      <c r="M1557" s="205"/>
      <c r="N1557" s="206"/>
      <c r="O1557" s="207"/>
      <c r="P1557" s="207"/>
      <c r="Q1557" s="207"/>
      <c r="R1557" s="207"/>
      <c r="S1557" s="198"/>
      <c r="T1557" s="201"/>
    </row>
    <row r="1558" spans="1:20" ht="22.5" hidden="1" customHeight="1" x14ac:dyDescent="0.25">
      <c r="A1558" s="208"/>
      <c r="B1558" s="238"/>
      <c r="C1558" s="198"/>
      <c r="D1558" s="198"/>
      <c r="E1558" s="199"/>
      <c r="F1558" s="200"/>
      <c r="G1558" s="201"/>
      <c r="H1558" s="208"/>
      <c r="I1558" s="209"/>
      <c r="J1558" s="209"/>
      <c r="K1558" s="198"/>
      <c r="L1558" s="204"/>
      <c r="M1558" s="205"/>
      <c r="N1558" s="206"/>
      <c r="O1558" s="207"/>
      <c r="P1558" s="207"/>
      <c r="Q1558" s="207"/>
      <c r="R1558" s="207"/>
      <c r="S1558" s="198"/>
      <c r="T1558" s="201"/>
    </row>
    <row r="1559" spans="1:20" ht="22.5" hidden="1" customHeight="1" x14ac:dyDescent="0.25">
      <c r="A1559" s="208"/>
      <c r="B1559" s="238"/>
      <c r="C1559" s="198"/>
      <c r="D1559" s="198"/>
      <c r="E1559" s="199"/>
      <c r="F1559" s="200"/>
      <c r="G1559" s="201"/>
      <c r="H1559" s="208"/>
      <c r="I1559" s="209"/>
      <c r="J1559" s="209"/>
      <c r="K1559" s="198"/>
      <c r="L1559" s="204"/>
      <c r="M1559" s="205"/>
      <c r="N1559" s="206"/>
      <c r="O1559" s="207"/>
      <c r="P1559" s="207"/>
      <c r="Q1559" s="207"/>
      <c r="R1559" s="207"/>
      <c r="S1559" s="198"/>
      <c r="T1559" s="201"/>
    </row>
    <row r="1560" spans="1:20" ht="22.5" hidden="1" customHeight="1" x14ac:dyDescent="0.25">
      <c r="A1560" s="208"/>
      <c r="B1560" s="238"/>
      <c r="C1560" s="198"/>
      <c r="D1560" s="198"/>
      <c r="E1560" s="199"/>
      <c r="F1560" s="200"/>
      <c r="G1560" s="201"/>
      <c r="H1560" s="208"/>
      <c r="I1560" s="209"/>
      <c r="J1560" s="209"/>
      <c r="K1560" s="198"/>
      <c r="L1560" s="204"/>
      <c r="M1560" s="205"/>
      <c r="N1560" s="206"/>
      <c r="O1560" s="207"/>
      <c r="P1560" s="207"/>
      <c r="Q1560" s="207"/>
      <c r="R1560" s="207"/>
      <c r="S1560" s="198"/>
      <c r="T1560" s="201"/>
    </row>
    <row r="1561" spans="1:20" ht="22.5" hidden="1" customHeight="1" x14ac:dyDescent="0.25">
      <c r="A1561" s="208"/>
      <c r="B1561" s="238"/>
      <c r="C1561" s="198"/>
      <c r="D1561" s="198"/>
      <c r="E1561" s="199"/>
      <c r="F1561" s="200"/>
      <c r="G1561" s="201"/>
      <c r="H1561" s="208"/>
      <c r="I1561" s="209"/>
      <c r="J1561" s="209"/>
      <c r="K1561" s="198"/>
      <c r="L1561" s="204"/>
      <c r="M1561" s="205"/>
      <c r="N1561" s="206"/>
      <c r="O1561" s="207"/>
      <c r="P1561" s="207"/>
      <c r="Q1561" s="207"/>
      <c r="R1561" s="207"/>
      <c r="S1561" s="198"/>
      <c r="T1561" s="201"/>
    </row>
    <row r="1562" spans="1:20" ht="22.5" hidden="1" customHeight="1" x14ac:dyDescent="0.25">
      <c r="A1562" s="208"/>
      <c r="B1562" s="238"/>
      <c r="C1562" s="198"/>
      <c r="D1562" s="198"/>
      <c r="E1562" s="199"/>
      <c r="F1562" s="200"/>
      <c r="G1562" s="201"/>
      <c r="H1562" s="208"/>
      <c r="I1562" s="209"/>
      <c r="J1562" s="209"/>
      <c r="K1562" s="198"/>
      <c r="L1562" s="204"/>
      <c r="M1562" s="205"/>
      <c r="N1562" s="206"/>
      <c r="O1562" s="207"/>
      <c r="P1562" s="207"/>
      <c r="Q1562" s="207"/>
      <c r="R1562" s="207"/>
      <c r="S1562" s="198"/>
      <c r="T1562" s="201"/>
    </row>
    <row r="1563" spans="1:20" ht="22.5" hidden="1" customHeight="1" x14ac:dyDescent="0.25">
      <c r="A1563" s="208"/>
      <c r="B1563" s="238"/>
      <c r="C1563" s="198"/>
      <c r="D1563" s="198"/>
      <c r="E1563" s="199"/>
      <c r="F1563" s="200"/>
      <c r="G1563" s="201"/>
      <c r="H1563" s="208"/>
      <c r="I1563" s="209"/>
      <c r="J1563" s="209"/>
      <c r="K1563" s="198"/>
      <c r="L1563" s="204"/>
      <c r="M1563" s="205"/>
      <c r="N1563" s="206"/>
      <c r="O1563" s="207"/>
      <c r="P1563" s="207"/>
      <c r="Q1563" s="207"/>
      <c r="R1563" s="207"/>
      <c r="S1563" s="198"/>
      <c r="T1563" s="201"/>
    </row>
    <row r="1564" spans="1:20" ht="22.5" hidden="1" customHeight="1" x14ac:dyDescent="0.25">
      <c r="A1564" s="208"/>
      <c r="B1564" s="238"/>
      <c r="C1564" s="198"/>
      <c r="D1564" s="198"/>
      <c r="E1564" s="199"/>
      <c r="F1564" s="200"/>
      <c r="G1564" s="201"/>
      <c r="H1564" s="208"/>
      <c r="I1564" s="209"/>
      <c r="J1564" s="209"/>
      <c r="K1564" s="198"/>
      <c r="L1564" s="204"/>
      <c r="M1564" s="205"/>
      <c r="N1564" s="206"/>
      <c r="O1564" s="207"/>
      <c r="P1564" s="207"/>
      <c r="Q1564" s="207"/>
      <c r="R1564" s="207"/>
      <c r="S1564" s="198"/>
      <c r="T1564" s="201"/>
    </row>
    <row r="1565" spans="1:20" ht="22.5" hidden="1" customHeight="1" x14ac:dyDescent="0.25">
      <c r="A1565" s="208"/>
      <c r="B1565" s="238"/>
      <c r="C1565" s="198"/>
      <c r="D1565" s="198"/>
      <c r="E1565" s="199"/>
      <c r="F1565" s="200"/>
      <c r="G1565" s="201"/>
      <c r="H1565" s="208"/>
      <c r="I1565" s="209"/>
      <c r="J1565" s="209"/>
      <c r="K1565" s="198"/>
      <c r="L1565" s="204"/>
      <c r="M1565" s="205"/>
      <c r="N1565" s="206"/>
      <c r="O1565" s="207"/>
      <c r="P1565" s="207"/>
      <c r="Q1565" s="207"/>
      <c r="R1565" s="207"/>
      <c r="S1565" s="198"/>
      <c r="T1565" s="201"/>
    </row>
    <row r="1566" spans="1:20" ht="22.5" hidden="1" customHeight="1" x14ac:dyDescent="0.25">
      <c r="A1566" s="208"/>
      <c r="B1566" s="238"/>
      <c r="C1566" s="198"/>
      <c r="D1566" s="198"/>
      <c r="E1566" s="199"/>
      <c r="F1566" s="200"/>
      <c r="G1566" s="201"/>
      <c r="H1566" s="208"/>
      <c r="I1566" s="209"/>
      <c r="J1566" s="209"/>
      <c r="K1566" s="198"/>
      <c r="L1566" s="204"/>
      <c r="M1566" s="205"/>
      <c r="N1566" s="206"/>
      <c r="O1566" s="207"/>
      <c r="P1566" s="207"/>
      <c r="Q1566" s="207"/>
      <c r="R1566" s="207"/>
      <c r="S1566" s="198"/>
      <c r="T1566" s="201"/>
    </row>
    <row r="1567" spans="1:20" ht="22.5" hidden="1" customHeight="1" x14ac:dyDescent="0.25">
      <c r="A1567" s="208"/>
      <c r="B1567" s="238"/>
      <c r="C1567" s="198"/>
      <c r="D1567" s="198"/>
      <c r="E1567" s="199"/>
      <c r="F1567" s="200"/>
      <c r="G1567" s="201"/>
      <c r="H1567" s="208"/>
      <c r="I1567" s="209"/>
      <c r="J1567" s="209"/>
      <c r="K1567" s="198"/>
      <c r="L1567" s="204"/>
      <c r="M1567" s="205"/>
      <c r="N1567" s="206"/>
      <c r="O1567" s="207"/>
      <c r="P1567" s="207"/>
      <c r="Q1567" s="207"/>
      <c r="R1567" s="207"/>
      <c r="S1567" s="198"/>
      <c r="T1567" s="201"/>
    </row>
    <row r="1568" spans="1:20" ht="22.5" hidden="1" customHeight="1" x14ac:dyDescent="0.25">
      <c r="A1568" s="208"/>
      <c r="B1568" s="238"/>
      <c r="C1568" s="198"/>
      <c r="D1568" s="198"/>
      <c r="E1568" s="199"/>
      <c r="F1568" s="200"/>
      <c r="G1568" s="201"/>
      <c r="H1568" s="208"/>
      <c r="I1568" s="209"/>
      <c r="J1568" s="209"/>
      <c r="K1568" s="198"/>
      <c r="L1568" s="204"/>
      <c r="M1568" s="205"/>
      <c r="N1568" s="206"/>
      <c r="O1568" s="207"/>
      <c r="P1568" s="207"/>
      <c r="Q1568" s="207"/>
      <c r="R1568" s="207"/>
      <c r="S1568" s="198"/>
      <c r="T1568" s="201"/>
    </row>
    <row r="1569" spans="1:20" ht="22.5" hidden="1" customHeight="1" x14ac:dyDescent="0.25">
      <c r="A1569" s="208"/>
      <c r="B1569" s="238"/>
      <c r="C1569" s="198"/>
      <c r="D1569" s="198"/>
      <c r="E1569" s="199"/>
      <c r="F1569" s="200"/>
      <c r="G1569" s="201"/>
      <c r="H1569" s="208"/>
      <c r="I1569" s="209"/>
      <c r="J1569" s="209"/>
      <c r="K1569" s="198"/>
      <c r="L1569" s="204"/>
      <c r="M1569" s="205"/>
      <c r="N1569" s="206"/>
      <c r="O1569" s="207"/>
      <c r="P1569" s="207"/>
      <c r="Q1569" s="207"/>
      <c r="R1569" s="207"/>
      <c r="S1569" s="198"/>
      <c r="T1569" s="201"/>
    </row>
    <row r="1570" spans="1:20" ht="22.5" hidden="1" customHeight="1" x14ac:dyDescent="0.25">
      <c r="A1570" s="208"/>
      <c r="B1570" s="238"/>
      <c r="C1570" s="198"/>
      <c r="D1570" s="198"/>
      <c r="E1570" s="199"/>
      <c r="F1570" s="200"/>
      <c r="G1570" s="201"/>
      <c r="H1570" s="208"/>
      <c r="I1570" s="209"/>
      <c r="J1570" s="209"/>
      <c r="K1570" s="198"/>
      <c r="L1570" s="204"/>
      <c r="M1570" s="205"/>
      <c r="N1570" s="206"/>
      <c r="O1570" s="207"/>
      <c r="P1570" s="207"/>
      <c r="Q1570" s="207"/>
      <c r="R1570" s="207"/>
      <c r="S1570" s="198"/>
      <c r="T1570" s="201"/>
    </row>
    <row r="1571" spans="1:20" ht="22.5" hidden="1" customHeight="1" x14ac:dyDescent="0.25">
      <c r="A1571" s="208"/>
      <c r="B1571" s="238"/>
      <c r="C1571" s="198"/>
      <c r="D1571" s="198"/>
      <c r="E1571" s="199"/>
      <c r="F1571" s="200"/>
      <c r="G1571" s="201"/>
      <c r="H1571" s="208"/>
      <c r="I1571" s="209"/>
      <c r="J1571" s="209"/>
      <c r="K1571" s="198"/>
      <c r="L1571" s="204"/>
      <c r="M1571" s="205"/>
      <c r="N1571" s="206"/>
      <c r="O1571" s="207"/>
      <c r="P1571" s="207"/>
      <c r="Q1571" s="207"/>
      <c r="R1571" s="207"/>
      <c r="S1571" s="198"/>
      <c r="T1571" s="201"/>
    </row>
    <row r="1572" spans="1:20" ht="22.5" hidden="1" customHeight="1" x14ac:dyDescent="0.25">
      <c r="A1572" s="208"/>
      <c r="B1572" s="238"/>
      <c r="C1572" s="198"/>
      <c r="D1572" s="198"/>
      <c r="E1572" s="199"/>
      <c r="F1572" s="200"/>
      <c r="G1572" s="201"/>
      <c r="H1572" s="208"/>
      <c r="I1572" s="209"/>
      <c r="J1572" s="209"/>
      <c r="K1572" s="198"/>
      <c r="L1572" s="204"/>
      <c r="M1572" s="205"/>
      <c r="N1572" s="206"/>
      <c r="O1572" s="207"/>
      <c r="P1572" s="207"/>
      <c r="Q1572" s="207"/>
      <c r="R1572" s="207"/>
      <c r="S1572" s="198"/>
      <c r="T1572" s="201"/>
    </row>
    <row r="1573" spans="1:20" ht="22.5" hidden="1" customHeight="1" x14ac:dyDescent="0.25">
      <c r="A1573" s="208"/>
      <c r="B1573" s="238"/>
      <c r="C1573" s="198"/>
      <c r="D1573" s="198"/>
      <c r="E1573" s="199"/>
      <c r="F1573" s="200"/>
      <c r="G1573" s="201"/>
      <c r="H1573" s="208"/>
      <c r="I1573" s="209"/>
      <c r="J1573" s="209"/>
      <c r="K1573" s="198"/>
      <c r="L1573" s="204"/>
      <c r="M1573" s="205"/>
      <c r="N1573" s="206"/>
      <c r="O1573" s="207"/>
      <c r="P1573" s="207"/>
      <c r="Q1573" s="207"/>
      <c r="R1573" s="207"/>
      <c r="S1573" s="198"/>
      <c r="T1573" s="201"/>
    </row>
    <row r="1574" spans="1:20" ht="22.5" hidden="1" customHeight="1" x14ac:dyDescent="0.25">
      <c r="A1574" s="208"/>
      <c r="B1574" s="238"/>
      <c r="C1574" s="198"/>
      <c r="D1574" s="198"/>
      <c r="E1574" s="199"/>
      <c r="F1574" s="200"/>
      <c r="G1574" s="201"/>
      <c r="H1574" s="208"/>
      <c r="I1574" s="209"/>
      <c r="J1574" s="209"/>
      <c r="K1574" s="198"/>
      <c r="L1574" s="204"/>
      <c r="M1574" s="205"/>
      <c r="N1574" s="206"/>
      <c r="O1574" s="207"/>
      <c r="P1574" s="207"/>
      <c r="Q1574" s="207"/>
      <c r="R1574" s="207"/>
      <c r="S1574" s="198"/>
      <c r="T1574" s="201"/>
    </row>
    <row r="1575" spans="1:20" ht="22.5" hidden="1" customHeight="1" x14ac:dyDescent="0.25">
      <c r="A1575" s="208"/>
      <c r="B1575" s="238"/>
      <c r="C1575" s="198"/>
      <c r="D1575" s="198"/>
      <c r="E1575" s="199"/>
      <c r="F1575" s="200"/>
      <c r="G1575" s="201"/>
      <c r="H1575" s="208"/>
      <c r="I1575" s="209"/>
      <c r="J1575" s="209"/>
      <c r="K1575" s="198"/>
      <c r="L1575" s="204"/>
      <c r="M1575" s="205"/>
      <c r="N1575" s="206"/>
      <c r="O1575" s="207"/>
      <c r="P1575" s="207"/>
      <c r="Q1575" s="207"/>
      <c r="R1575" s="207"/>
      <c r="S1575" s="198"/>
      <c r="T1575" s="201"/>
    </row>
    <row r="1576" spans="1:20" ht="22.5" hidden="1" customHeight="1" x14ac:dyDescent="0.25">
      <c r="A1576" s="208"/>
      <c r="B1576" s="238"/>
      <c r="C1576" s="198"/>
      <c r="D1576" s="198"/>
      <c r="E1576" s="199"/>
      <c r="F1576" s="200"/>
      <c r="G1576" s="201"/>
      <c r="H1576" s="208"/>
      <c r="I1576" s="209"/>
      <c r="J1576" s="209"/>
      <c r="K1576" s="198"/>
      <c r="L1576" s="204"/>
      <c r="M1576" s="205"/>
      <c r="N1576" s="206"/>
      <c r="O1576" s="207"/>
      <c r="P1576" s="207"/>
      <c r="Q1576" s="207"/>
      <c r="R1576" s="207"/>
      <c r="S1576" s="198"/>
      <c r="T1576" s="201"/>
    </row>
    <row r="1577" spans="1:20" ht="22.5" hidden="1" customHeight="1" x14ac:dyDescent="0.25">
      <c r="A1577" s="208"/>
      <c r="B1577" s="238"/>
      <c r="C1577" s="198"/>
      <c r="D1577" s="198"/>
      <c r="E1577" s="199"/>
      <c r="F1577" s="200"/>
      <c r="G1577" s="201"/>
      <c r="H1577" s="208"/>
      <c r="I1577" s="209"/>
      <c r="J1577" s="209"/>
      <c r="K1577" s="198"/>
      <c r="L1577" s="204"/>
      <c r="M1577" s="205"/>
      <c r="N1577" s="206"/>
      <c r="O1577" s="207"/>
      <c r="P1577" s="207"/>
      <c r="Q1577" s="207"/>
      <c r="R1577" s="207"/>
      <c r="S1577" s="198"/>
      <c r="T1577" s="201"/>
    </row>
    <row r="1578" spans="1:20" ht="22.5" hidden="1" customHeight="1" x14ac:dyDescent="0.25">
      <c r="A1578" s="208"/>
      <c r="B1578" s="238"/>
      <c r="C1578" s="198"/>
      <c r="D1578" s="198"/>
      <c r="E1578" s="199"/>
      <c r="F1578" s="200"/>
      <c r="G1578" s="201"/>
      <c r="H1578" s="208"/>
      <c r="I1578" s="209"/>
      <c r="J1578" s="209"/>
      <c r="K1578" s="198"/>
      <c r="L1578" s="204"/>
      <c r="M1578" s="205"/>
      <c r="N1578" s="206"/>
      <c r="O1578" s="207"/>
      <c r="P1578" s="207"/>
      <c r="Q1578" s="207"/>
      <c r="R1578" s="207"/>
      <c r="S1578" s="198"/>
      <c r="T1578" s="201"/>
    </row>
    <row r="1579" spans="1:20" ht="22.5" hidden="1" customHeight="1" x14ac:dyDescent="0.25">
      <c r="A1579" s="208"/>
      <c r="B1579" s="238"/>
      <c r="C1579" s="198"/>
      <c r="D1579" s="198"/>
      <c r="E1579" s="199"/>
      <c r="F1579" s="200"/>
      <c r="G1579" s="201"/>
      <c r="H1579" s="208"/>
      <c r="I1579" s="209"/>
      <c r="J1579" s="209"/>
      <c r="K1579" s="198"/>
      <c r="L1579" s="204"/>
      <c r="M1579" s="205"/>
      <c r="N1579" s="206"/>
      <c r="O1579" s="207"/>
      <c r="P1579" s="207"/>
      <c r="Q1579" s="207"/>
      <c r="R1579" s="207"/>
      <c r="S1579" s="198"/>
      <c r="T1579" s="201"/>
    </row>
    <row r="1580" spans="1:20" ht="22.5" hidden="1" customHeight="1" x14ac:dyDescent="0.25">
      <c r="A1580" s="208"/>
      <c r="B1580" s="238"/>
      <c r="C1580" s="198"/>
      <c r="D1580" s="198"/>
      <c r="E1580" s="199"/>
      <c r="F1580" s="200"/>
      <c r="G1580" s="201"/>
      <c r="H1580" s="208"/>
      <c r="I1580" s="209"/>
      <c r="J1580" s="209"/>
      <c r="K1580" s="198"/>
      <c r="L1580" s="204"/>
      <c r="M1580" s="205"/>
      <c r="N1580" s="206"/>
      <c r="O1580" s="207"/>
      <c r="P1580" s="207"/>
      <c r="Q1580" s="207"/>
      <c r="R1580" s="207"/>
      <c r="S1580" s="198"/>
      <c r="T1580" s="201"/>
    </row>
    <row r="1581" spans="1:20" ht="22.5" hidden="1" customHeight="1" x14ac:dyDescent="0.25">
      <c r="A1581" s="208"/>
      <c r="B1581" s="238"/>
      <c r="C1581" s="198"/>
      <c r="D1581" s="198"/>
      <c r="E1581" s="199"/>
      <c r="F1581" s="200"/>
      <c r="G1581" s="201"/>
      <c r="H1581" s="208"/>
      <c r="I1581" s="209"/>
      <c r="J1581" s="209"/>
      <c r="K1581" s="198"/>
      <c r="L1581" s="204"/>
      <c r="M1581" s="205"/>
      <c r="N1581" s="206"/>
      <c r="O1581" s="207"/>
      <c r="P1581" s="207"/>
      <c r="Q1581" s="207"/>
      <c r="R1581" s="207"/>
      <c r="S1581" s="198"/>
      <c r="T1581" s="201"/>
    </row>
    <row r="1582" spans="1:20" ht="22.5" hidden="1" customHeight="1" x14ac:dyDescent="0.25">
      <c r="A1582" s="208"/>
      <c r="B1582" s="238"/>
      <c r="C1582" s="198"/>
      <c r="D1582" s="198"/>
      <c r="E1582" s="199"/>
      <c r="F1582" s="200"/>
      <c r="G1582" s="201"/>
      <c r="H1582" s="208"/>
      <c r="I1582" s="209"/>
      <c r="J1582" s="209"/>
      <c r="K1582" s="198"/>
      <c r="L1582" s="204"/>
      <c r="M1582" s="205"/>
      <c r="N1582" s="206"/>
      <c r="O1582" s="207"/>
      <c r="P1582" s="207"/>
      <c r="Q1582" s="207"/>
      <c r="R1582" s="207"/>
      <c r="S1582" s="198"/>
      <c r="T1582" s="201"/>
    </row>
    <row r="1583" spans="1:20" ht="22.5" hidden="1" customHeight="1" x14ac:dyDescent="0.25">
      <c r="A1583" s="208"/>
      <c r="B1583" s="238"/>
      <c r="C1583" s="198"/>
      <c r="D1583" s="198"/>
      <c r="E1583" s="199"/>
      <c r="F1583" s="200"/>
      <c r="G1583" s="201"/>
      <c r="H1583" s="208"/>
      <c r="I1583" s="209"/>
      <c r="J1583" s="209"/>
      <c r="K1583" s="198"/>
      <c r="L1583" s="204"/>
      <c r="M1583" s="205"/>
      <c r="N1583" s="206"/>
      <c r="O1583" s="207"/>
      <c r="P1583" s="207"/>
      <c r="Q1583" s="207"/>
      <c r="R1583" s="207"/>
      <c r="S1583" s="198"/>
      <c r="T1583" s="201"/>
    </row>
    <row r="1584" spans="1:20" ht="22.5" hidden="1" customHeight="1" x14ac:dyDescent="0.25">
      <c r="A1584" s="208"/>
      <c r="B1584" s="238"/>
      <c r="C1584" s="198"/>
      <c r="D1584" s="198"/>
      <c r="E1584" s="199"/>
      <c r="F1584" s="200"/>
      <c r="G1584" s="201"/>
      <c r="H1584" s="208"/>
      <c r="I1584" s="209"/>
      <c r="J1584" s="209"/>
      <c r="K1584" s="198"/>
      <c r="L1584" s="204"/>
      <c r="M1584" s="205"/>
      <c r="N1584" s="206"/>
      <c r="O1584" s="207"/>
      <c r="P1584" s="207"/>
      <c r="Q1584" s="207"/>
      <c r="R1584" s="207"/>
      <c r="S1584" s="198"/>
      <c r="T1584" s="201"/>
    </row>
    <row r="1585" spans="1:20" ht="22.5" hidden="1" customHeight="1" x14ac:dyDescent="0.25">
      <c r="A1585" s="208"/>
      <c r="B1585" s="238"/>
      <c r="C1585" s="198"/>
      <c r="D1585" s="198"/>
      <c r="E1585" s="199"/>
      <c r="F1585" s="200"/>
      <c r="G1585" s="201"/>
      <c r="H1585" s="208"/>
      <c r="I1585" s="209"/>
      <c r="J1585" s="209"/>
      <c r="K1585" s="198"/>
      <c r="L1585" s="204"/>
      <c r="M1585" s="205"/>
      <c r="N1585" s="206"/>
      <c r="O1585" s="207"/>
      <c r="P1585" s="207"/>
      <c r="Q1585" s="207"/>
      <c r="R1585" s="207"/>
      <c r="S1585" s="198"/>
      <c r="T1585" s="201"/>
    </row>
    <row r="1586" spans="1:20" ht="22.5" hidden="1" customHeight="1" x14ac:dyDescent="0.25">
      <c r="A1586" s="208"/>
      <c r="B1586" s="238"/>
      <c r="C1586" s="198"/>
      <c r="D1586" s="198"/>
      <c r="E1586" s="199"/>
      <c r="F1586" s="200"/>
      <c r="G1586" s="201"/>
      <c r="H1586" s="208"/>
      <c r="I1586" s="209"/>
      <c r="J1586" s="209"/>
      <c r="K1586" s="198"/>
      <c r="L1586" s="204"/>
      <c r="M1586" s="205"/>
      <c r="N1586" s="206"/>
      <c r="O1586" s="207"/>
      <c r="P1586" s="207"/>
      <c r="Q1586" s="207"/>
      <c r="R1586" s="207"/>
      <c r="S1586" s="198"/>
      <c r="T1586" s="201"/>
    </row>
    <row r="1587" spans="1:20" ht="22.5" hidden="1" customHeight="1" x14ac:dyDescent="0.25">
      <c r="A1587" s="208"/>
      <c r="B1587" s="238"/>
      <c r="C1587" s="198"/>
      <c r="D1587" s="198"/>
      <c r="E1587" s="199"/>
      <c r="F1587" s="200"/>
      <c r="G1587" s="201"/>
      <c r="H1587" s="208"/>
      <c r="I1587" s="209"/>
      <c r="J1587" s="209"/>
      <c r="K1587" s="198"/>
      <c r="L1587" s="204"/>
      <c r="M1587" s="205"/>
      <c r="N1587" s="206"/>
      <c r="O1587" s="207"/>
      <c r="P1587" s="207"/>
      <c r="Q1587" s="207"/>
      <c r="R1587" s="207"/>
      <c r="S1587" s="198"/>
      <c r="T1587" s="201"/>
    </row>
    <row r="1588" spans="1:20" ht="22.5" hidden="1" customHeight="1" x14ac:dyDescent="0.25">
      <c r="A1588" s="208"/>
      <c r="B1588" s="238"/>
      <c r="C1588" s="198"/>
      <c r="D1588" s="198"/>
      <c r="E1588" s="199"/>
      <c r="F1588" s="200"/>
      <c r="G1588" s="201"/>
      <c r="H1588" s="208"/>
      <c r="I1588" s="209"/>
      <c r="J1588" s="209"/>
      <c r="K1588" s="198"/>
      <c r="L1588" s="204"/>
      <c r="M1588" s="205"/>
      <c r="N1588" s="206"/>
      <c r="O1588" s="207"/>
      <c r="P1588" s="207"/>
      <c r="Q1588" s="207"/>
      <c r="R1588" s="207"/>
      <c r="S1588" s="198"/>
      <c r="T1588" s="201"/>
    </row>
    <row r="1589" spans="1:20" ht="22.5" hidden="1" customHeight="1" x14ac:dyDescent="0.25">
      <c r="A1589" s="208"/>
      <c r="B1589" s="238"/>
      <c r="C1589" s="198"/>
      <c r="D1589" s="198"/>
      <c r="E1589" s="199"/>
      <c r="F1589" s="200"/>
      <c r="G1589" s="201"/>
      <c r="H1589" s="208"/>
      <c r="I1589" s="209"/>
      <c r="J1589" s="209"/>
      <c r="K1589" s="198"/>
      <c r="L1589" s="204"/>
      <c r="M1589" s="205"/>
      <c r="N1589" s="206"/>
      <c r="O1589" s="207"/>
      <c r="P1589" s="207"/>
      <c r="Q1589" s="207"/>
      <c r="R1589" s="207"/>
      <c r="S1589" s="198"/>
      <c r="T1589" s="201"/>
    </row>
    <row r="1590" spans="1:20" ht="22.5" hidden="1" customHeight="1" x14ac:dyDescent="0.25">
      <c r="A1590" s="208"/>
      <c r="B1590" s="238"/>
      <c r="C1590" s="198"/>
      <c r="D1590" s="198"/>
      <c r="E1590" s="199"/>
      <c r="F1590" s="200"/>
      <c r="G1590" s="201"/>
      <c r="H1590" s="208"/>
      <c r="I1590" s="209"/>
      <c r="J1590" s="209"/>
      <c r="K1590" s="198"/>
      <c r="L1590" s="204"/>
      <c r="M1590" s="205"/>
      <c r="N1590" s="206"/>
      <c r="O1590" s="207"/>
      <c r="P1590" s="207"/>
      <c r="Q1590" s="207"/>
      <c r="R1590" s="207"/>
      <c r="S1590" s="198"/>
      <c r="T1590" s="201"/>
    </row>
    <row r="1591" spans="1:20" ht="22.5" hidden="1" customHeight="1" x14ac:dyDescent="0.25">
      <c r="A1591" s="208"/>
      <c r="B1591" s="238"/>
      <c r="C1591" s="198"/>
      <c r="D1591" s="198"/>
      <c r="E1591" s="199"/>
      <c r="F1591" s="200"/>
      <c r="G1591" s="201"/>
      <c r="H1591" s="208"/>
      <c r="I1591" s="209"/>
      <c r="J1591" s="209"/>
      <c r="K1591" s="198"/>
      <c r="L1591" s="204"/>
      <c r="M1591" s="205"/>
      <c r="N1591" s="206"/>
      <c r="O1591" s="207"/>
      <c r="P1591" s="207"/>
      <c r="Q1591" s="207"/>
      <c r="R1591" s="207"/>
      <c r="S1591" s="198"/>
      <c r="T1591" s="201"/>
    </row>
    <row r="1592" spans="1:20" ht="22.5" hidden="1" customHeight="1" x14ac:dyDescent="0.25">
      <c r="A1592" s="208"/>
      <c r="B1592" s="238"/>
      <c r="C1592" s="198"/>
      <c r="D1592" s="198"/>
      <c r="E1592" s="199"/>
      <c r="F1592" s="200"/>
      <c r="G1592" s="201"/>
      <c r="H1592" s="208"/>
      <c r="I1592" s="209"/>
      <c r="J1592" s="209"/>
      <c r="K1592" s="198"/>
      <c r="L1592" s="204"/>
      <c r="M1592" s="205"/>
      <c r="N1592" s="206"/>
      <c r="O1592" s="207"/>
      <c r="P1592" s="207"/>
      <c r="Q1592" s="207"/>
      <c r="R1592" s="207"/>
      <c r="S1592" s="198"/>
      <c r="T1592" s="201"/>
    </row>
    <row r="1593" spans="1:20" ht="22.5" hidden="1" customHeight="1" x14ac:dyDescent="0.25">
      <c r="A1593" s="208"/>
      <c r="B1593" s="238"/>
      <c r="C1593" s="198"/>
      <c r="D1593" s="198"/>
      <c r="E1593" s="199"/>
      <c r="F1593" s="200"/>
      <c r="G1593" s="201"/>
      <c r="H1593" s="208"/>
      <c r="I1593" s="209"/>
      <c r="J1593" s="209"/>
      <c r="K1593" s="198"/>
      <c r="L1593" s="204"/>
      <c r="M1593" s="205"/>
      <c r="N1593" s="206"/>
      <c r="O1593" s="207"/>
      <c r="P1593" s="207"/>
      <c r="Q1593" s="207"/>
      <c r="R1593" s="207"/>
      <c r="S1593" s="198"/>
      <c r="T1593" s="201"/>
    </row>
    <row r="1594" spans="1:20" ht="22.5" hidden="1" customHeight="1" x14ac:dyDescent="0.25">
      <c r="A1594" s="208"/>
      <c r="B1594" s="238"/>
      <c r="C1594" s="198"/>
      <c r="D1594" s="198"/>
      <c r="E1594" s="199"/>
      <c r="F1594" s="200"/>
      <c r="G1594" s="201"/>
      <c r="H1594" s="208"/>
      <c r="I1594" s="209"/>
      <c r="J1594" s="209"/>
      <c r="K1594" s="198"/>
      <c r="L1594" s="204"/>
      <c r="M1594" s="205"/>
      <c r="N1594" s="206"/>
      <c r="O1594" s="207"/>
      <c r="P1594" s="207"/>
      <c r="Q1594" s="207"/>
      <c r="R1594" s="207"/>
      <c r="S1594" s="198"/>
      <c r="T1594" s="201"/>
    </row>
    <row r="1595" spans="1:20" ht="22.5" hidden="1" customHeight="1" x14ac:dyDescent="0.25">
      <c r="A1595" s="208"/>
      <c r="B1595" s="238"/>
      <c r="C1595" s="198"/>
      <c r="D1595" s="198"/>
      <c r="E1595" s="199"/>
      <c r="F1595" s="200"/>
      <c r="G1595" s="201"/>
      <c r="H1595" s="208"/>
      <c r="I1595" s="209"/>
      <c r="J1595" s="209"/>
      <c r="K1595" s="198"/>
      <c r="L1595" s="204"/>
      <c r="M1595" s="205"/>
      <c r="N1595" s="206"/>
      <c r="O1595" s="207"/>
      <c r="P1595" s="207"/>
      <c r="Q1595" s="207"/>
      <c r="R1595" s="207"/>
      <c r="S1595" s="198"/>
      <c r="T1595" s="201"/>
    </row>
    <row r="1596" spans="1:20" ht="22.5" hidden="1" customHeight="1" x14ac:dyDescent="0.25">
      <c r="A1596" s="208"/>
      <c r="B1596" s="238"/>
      <c r="C1596" s="198"/>
      <c r="D1596" s="198"/>
      <c r="E1596" s="199"/>
      <c r="F1596" s="200"/>
      <c r="G1596" s="201"/>
      <c r="H1596" s="208"/>
      <c r="I1596" s="209"/>
      <c r="J1596" s="209"/>
      <c r="K1596" s="198"/>
      <c r="L1596" s="204"/>
      <c r="M1596" s="205"/>
      <c r="N1596" s="206"/>
      <c r="O1596" s="207"/>
      <c r="P1596" s="207"/>
      <c r="Q1596" s="207"/>
      <c r="R1596" s="207"/>
      <c r="S1596" s="198"/>
      <c r="T1596" s="201"/>
    </row>
    <row r="1597" spans="1:20" ht="22.5" hidden="1" customHeight="1" x14ac:dyDescent="0.25">
      <c r="A1597" s="208"/>
      <c r="B1597" s="238"/>
      <c r="C1597" s="198"/>
      <c r="D1597" s="198"/>
      <c r="E1597" s="199"/>
      <c r="F1597" s="200"/>
      <c r="G1597" s="201"/>
      <c r="H1597" s="208"/>
      <c r="I1597" s="209"/>
      <c r="J1597" s="209"/>
      <c r="K1597" s="198"/>
      <c r="L1597" s="204"/>
      <c r="M1597" s="205"/>
      <c r="N1597" s="206"/>
      <c r="O1597" s="207"/>
      <c r="P1597" s="207"/>
      <c r="Q1597" s="207"/>
      <c r="R1597" s="207"/>
      <c r="S1597" s="198"/>
      <c r="T1597" s="201"/>
    </row>
    <row r="1598" spans="1:20" ht="22.5" hidden="1" customHeight="1" x14ac:dyDescent="0.25">
      <c r="A1598" s="208"/>
      <c r="B1598" s="238"/>
      <c r="C1598" s="198"/>
      <c r="D1598" s="198"/>
      <c r="E1598" s="199"/>
      <c r="F1598" s="200"/>
      <c r="G1598" s="201"/>
      <c r="H1598" s="208"/>
      <c r="I1598" s="209"/>
      <c r="J1598" s="209"/>
      <c r="K1598" s="198"/>
      <c r="L1598" s="204"/>
      <c r="M1598" s="205"/>
      <c r="N1598" s="206"/>
      <c r="O1598" s="207"/>
      <c r="P1598" s="207"/>
      <c r="Q1598" s="207"/>
      <c r="R1598" s="207"/>
      <c r="S1598" s="198"/>
      <c r="T1598" s="201"/>
    </row>
    <row r="1599" spans="1:20" ht="22.5" hidden="1" customHeight="1" x14ac:dyDescent="0.25">
      <c r="A1599" s="208"/>
      <c r="B1599" s="238"/>
      <c r="C1599" s="198"/>
      <c r="D1599" s="198"/>
      <c r="E1599" s="199"/>
      <c r="F1599" s="200"/>
      <c r="G1599" s="201"/>
      <c r="H1599" s="208"/>
      <c r="I1599" s="209"/>
      <c r="J1599" s="209"/>
      <c r="K1599" s="198"/>
      <c r="L1599" s="204"/>
      <c r="M1599" s="205"/>
      <c r="N1599" s="206"/>
      <c r="O1599" s="207"/>
      <c r="P1599" s="207"/>
      <c r="Q1599" s="207"/>
      <c r="R1599" s="207"/>
      <c r="S1599" s="198"/>
      <c r="T1599" s="201"/>
    </row>
    <row r="1600" spans="1:20" ht="22.5" hidden="1" customHeight="1" x14ac:dyDescent="0.25">
      <c r="A1600" s="208"/>
      <c r="B1600" s="238"/>
      <c r="C1600" s="198"/>
      <c r="D1600" s="198"/>
      <c r="E1600" s="199"/>
      <c r="F1600" s="200"/>
      <c r="G1600" s="201"/>
      <c r="H1600" s="208"/>
      <c r="I1600" s="209"/>
      <c r="J1600" s="209"/>
      <c r="K1600" s="198"/>
      <c r="L1600" s="204"/>
      <c r="M1600" s="205"/>
      <c r="N1600" s="206"/>
      <c r="O1600" s="207"/>
      <c r="P1600" s="207"/>
      <c r="Q1600" s="207"/>
      <c r="R1600" s="207"/>
      <c r="S1600" s="198"/>
      <c r="T1600" s="201"/>
    </row>
    <row r="1601" spans="1:20" ht="22.5" hidden="1" customHeight="1" x14ac:dyDescent="0.25">
      <c r="A1601" s="208"/>
      <c r="B1601" s="238"/>
      <c r="C1601" s="198"/>
      <c r="D1601" s="198"/>
      <c r="E1601" s="199"/>
      <c r="F1601" s="200"/>
      <c r="G1601" s="201"/>
      <c r="H1601" s="208"/>
      <c r="I1601" s="209"/>
      <c r="J1601" s="209"/>
      <c r="K1601" s="198"/>
      <c r="L1601" s="204"/>
      <c r="M1601" s="205"/>
      <c r="N1601" s="206"/>
      <c r="O1601" s="207"/>
      <c r="P1601" s="207"/>
      <c r="Q1601" s="207"/>
      <c r="R1601" s="207"/>
      <c r="S1601" s="198"/>
      <c r="T1601" s="201"/>
    </row>
    <row r="1602" spans="1:20" ht="22.5" hidden="1" customHeight="1" x14ac:dyDescent="0.25">
      <c r="A1602" s="208"/>
      <c r="B1602" s="238"/>
      <c r="C1602" s="198"/>
      <c r="D1602" s="198"/>
      <c r="E1602" s="199"/>
      <c r="F1602" s="200"/>
      <c r="G1602" s="201"/>
      <c r="H1602" s="208"/>
      <c r="I1602" s="209"/>
      <c r="J1602" s="209"/>
      <c r="K1602" s="198"/>
      <c r="L1602" s="204"/>
      <c r="M1602" s="205"/>
      <c r="N1602" s="206"/>
      <c r="O1602" s="207"/>
      <c r="P1602" s="207"/>
      <c r="Q1602" s="207"/>
      <c r="R1602" s="207"/>
      <c r="S1602" s="198"/>
      <c r="T1602" s="201"/>
    </row>
    <row r="1603" spans="1:20" ht="22.5" hidden="1" customHeight="1" x14ac:dyDescent="0.25">
      <c r="A1603" s="208"/>
      <c r="B1603" s="238"/>
      <c r="C1603" s="198"/>
      <c r="D1603" s="198"/>
      <c r="E1603" s="199"/>
      <c r="F1603" s="200"/>
      <c r="G1603" s="201"/>
      <c r="H1603" s="208"/>
      <c r="I1603" s="209"/>
      <c r="J1603" s="209"/>
      <c r="K1603" s="198"/>
      <c r="L1603" s="204"/>
      <c r="M1603" s="205"/>
      <c r="N1603" s="206"/>
      <c r="O1603" s="207"/>
      <c r="P1603" s="207"/>
      <c r="Q1603" s="207"/>
      <c r="R1603" s="207"/>
      <c r="S1603" s="198"/>
      <c r="T1603" s="201"/>
    </row>
    <row r="1604" spans="1:20" ht="22.5" hidden="1" customHeight="1" x14ac:dyDescent="0.25">
      <c r="A1604" s="208"/>
      <c r="B1604" s="238"/>
      <c r="C1604" s="198"/>
      <c r="D1604" s="198"/>
      <c r="E1604" s="199"/>
      <c r="F1604" s="200"/>
      <c r="G1604" s="201"/>
      <c r="H1604" s="208"/>
      <c r="I1604" s="209"/>
      <c r="J1604" s="209"/>
      <c r="K1604" s="198"/>
      <c r="L1604" s="204"/>
      <c r="M1604" s="205"/>
      <c r="N1604" s="206"/>
      <c r="O1604" s="207"/>
      <c r="P1604" s="207"/>
      <c r="Q1604" s="207"/>
      <c r="R1604" s="207"/>
      <c r="S1604" s="198"/>
      <c r="T1604" s="201"/>
    </row>
    <row r="1605" spans="1:20" ht="22.5" hidden="1" customHeight="1" x14ac:dyDescent="0.25">
      <c r="A1605" s="208"/>
      <c r="B1605" s="238"/>
      <c r="C1605" s="198"/>
      <c r="D1605" s="198"/>
      <c r="E1605" s="199"/>
      <c r="F1605" s="200"/>
      <c r="G1605" s="201"/>
      <c r="H1605" s="208"/>
      <c r="I1605" s="209"/>
      <c r="J1605" s="209"/>
      <c r="K1605" s="198"/>
      <c r="L1605" s="204"/>
      <c r="M1605" s="205"/>
      <c r="N1605" s="206"/>
      <c r="O1605" s="207"/>
      <c r="P1605" s="207"/>
      <c r="Q1605" s="207"/>
      <c r="R1605" s="207"/>
      <c r="S1605" s="198"/>
      <c r="T1605" s="201"/>
    </row>
    <row r="1606" spans="1:20" ht="22.5" hidden="1" customHeight="1" x14ac:dyDescent="0.25">
      <c r="A1606" s="208"/>
      <c r="B1606" s="238"/>
      <c r="C1606" s="198"/>
      <c r="D1606" s="198"/>
      <c r="E1606" s="199"/>
      <c r="F1606" s="200"/>
      <c r="G1606" s="201"/>
      <c r="H1606" s="208"/>
      <c r="I1606" s="209"/>
      <c r="J1606" s="209"/>
      <c r="K1606" s="198"/>
      <c r="L1606" s="204"/>
      <c r="M1606" s="205"/>
      <c r="N1606" s="206"/>
      <c r="O1606" s="207"/>
      <c r="P1606" s="207"/>
      <c r="Q1606" s="207"/>
      <c r="R1606" s="207"/>
      <c r="S1606" s="198"/>
      <c r="T1606" s="201"/>
    </row>
    <row r="1607" spans="1:20" ht="22.5" hidden="1" customHeight="1" x14ac:dyDescent="0.25">
      <c r="A1607" s="208"/>
      <c r="B1607" s="238"/>
      <c r="C1607" s="198"/>
      <c r="D1607" s="198"/>
      <c r="E1607" s="199"/>
      <c r="F1607" s="200"/>
      <c r="G1607" s="201"/>
      <c r="H1607" s="208"/>
      <c r="I1607" s="209"/>
      <c r="J1607" s="209"/>
      <c r="K1607" s="198"/>
      <c r="L1607" s="204"/>
      <c r="M1607" s="205"/>
      <c r="N1607" s="206"/>
      <c r="O1607" s="207"/>
      <c r="P1607" s="207"/>
      <c r="Q1607" s="207"/>
      <c r="R1607" s="207"/>
      <c r="S1607" s="198"/>
      <c r="T1607" s="201"/>
    </row>
    <row r="1608" spans="1:20" ht="22.5" hidden="1" customHeight="1" x14ac:dyDescent="0.25">
      <c r="A1608" s="208"/>
      <c r="B1608" s="238"/>
      <c r="C1608" s="198"/>
      <c r="D1608" s="198"/>
      <c r="E1608" s="199"/>
      <c r="F1608" s="200"/>
      <c r="G1608" s="201"/>
      <c r="H1608" s="208"/>
      <c r="I1608" s="209"/>
      <c r="J1608" s="209"/>
      <c r="K1608" s="198"/>
      <c r="L1608" s="204"/>
      <c r="M1608" s="205"/>
      <c r="N1608" s="206"/>
      <c r="O1608" s="207"/>
      <c r="P1608" s="207"/>
      <c r="Q1608" s="207"/>
      <c r="R1608" s="207"/>
      <c r="S1608" s="198"/>
      <c r="T1608" s="201"/>
    </row>
    <row r="1609" spans="1:20" ht="22.5" hidden="1" customHeight="1" x14ac:dyDescent="0.25">
      <c r="A1609" s="208"/>
      <c r="B1609" s="238"/>
      <c r="C1609" s="198"/>
      <c r="D1609" s="198"/>
      <c r="E1609" s="199"/>
      <c r="F1609" s="200"/>
      <c r="G1609" s="201"/>
      <c r="H1609" s="208"/>
      <c r="I1609" s="209"/>
      <c r="J1609" s="209"/>
      <c r="K1609" s="198"/>
      <c r="L1609" s="204"/>
      <c r="M1609" s="205"/>
      <c r="N1609" s="206"/>
      <c r="O1609" s="207"/>
      <c r="P1609" s="207"/>
      <c r="Q1609" s="207"/>
      <c r="R1609" s="207"/>
      <c r="S1609" s="198"/>
      <c r="T1609" s="201"/>
    </row>
    <row r="1610" spans="1:20" ht="22.5" hidden="1" customHeight="1" x14ac:dyDescent="0.25">
      <c r="A1610" s="208"/>
      <c r="B1610" s="238"/>
      <c r="C1610" s="198"/>
      <c r="D1610" s="198"/>
      <c r="E1610" s="199"/>
      <c r="F1610" s="200"/>
      <c r="G1610" s="201"/>
      <c r="H1610" s="208"/>
      <c r="I1610" s="209"/>
      <c r="J1610" s="209"/>
      <c r="K1610" s="198"/>
      <c r="L1610" s="204"/>
      <c r="M1610" s="205"/>
      <c r="N1610" s="206"/>
      <c r="O1610" s="207"/>
      <c r="P1610" s="207"/>
      <c r="Q1610" s="207"/>
      <c r="R1610" s="207"/>
      <c r="S1610" s="198"/>
      <c r="T1610" s="201"/>
    </row>
    <row r="1611" spans="1:20" ht="22.5" hidden="1" customHeight="1" x14ac:dyDescent="0.25">
      <c r="A1611" s="208"/>
      <c r="B1611" s="238"/>
      <c r="C1611" s="198"/>
      <c r="D1611" s="198"/>
      <c r="E1611" s="199"/>
      <c r="F1611" s="200"/>
      <c r="G1611" s="201"/>
      <c r="H1611" s="208"/>
      <c r="I1611" s="209"/>
      <c r="J1611" s="209"/>
      <c r="K1611" s="198"/>
      <c r="L1611" s="204"/>
      <c r="M1611" s="205"/>
      <c r="N1611" s="206"/>
      <c r="O1611" s="207"/>
      <c r="P1611" s="207"/>
      <c r="Q1611" s="207"/>
      <c r="R1611" s="207"/>
      <c r="S1611" s="198"/>
      <c r="T1611" s="201"/>
    </row>
    <row r="1612" spans="1:20" ht="22.5" hidden="1" customHeight="1" x14ac:dyDescent="0.25">
      <c r="A1612" s="208"/>
      <c r="B1612" s="238"/>
      <c r="C1612" s="198"/>
      <c r="D1612" s="198"/>
      <c r="E1612" s="199"/>
      <c r="F1612" s="200"/>
      <c r="G1612" s="201"/>
      <c r="H1612" s="208"/>
      <c r="I1612" s="209"/>
      <c r="J1612" s="209"/>
      <c r="K1612" s="198"/>
      <c r="L1612" s="204"/>
      <c r="M1612" s="205"/>
      <c r="N1612" s="206"/>
      <c r="O1612" s="207"/>
      <c r="P1612" s="207"/>
      <c r="Q1612" s="207"/>
      <c r="R1612" s="207"/>
      <c r="S1612" s="198"/>
      <c r="T1612" s="201"/>
    </row>
    <row r="1613" spans="1:20" ht="22.5" hidden="1" customHeight="1" x14ac:dyDescent="0.25">
      <c r="A1613" s="208"/>
      <c r="B1613" s="238"/>
      <c r="C1613" s="198"/>
      <c r="D1613" s="198"/>
      <c r="E1613" s="199"/>
      <c r="F1613" s="200"/>
      <c r="G1613" s="201"/>
      <c r="H1613" s="208"/>
      <c r="I1613" s="209"/>
      <c r="J1613" s="209"/>
      <c r="K1613" s="198"/>
      <c r="L1613" s="204"/>
      <c r="M1613" s="205"/>
      <c r="N1613" s="206"/>
      <c r="O1613" s="207"/>
      <c r="P1613" s="207"/>
      <c r="Q1613" s="207"/>
      <c r="R1613" s="207"/>
      <c r="S1613" s="198"/>
      <c r="T1613" s="201"/>
    </row>
    <row r="1614" spans="1:20" ht="22.5" hidden="1" customHeight="1" x14ac:dyDescent="0.25">
      <c r="A1614" s="208"/>
      <c r="B1614" s="238"/>
      <c r="C1614" s="198"/>
      <c r="D1614" s="198"/>
      <c r="E1614" s="199"/>
      <c r="F1614" s="200"/>
      <c r="G1614" s="201"/>
      <c r="H1614" s="208"/>
      <c r="I1614" s="209"/>
      <c r="J1614" s="209"/>
      <c r="K1614" s="198"/>
      <c r="L1614" s="204"/>
      <c r="M1614" s="205"/>
      <c r="N1614" s="206"/>
      <c r="O1614" s="207"/>
      <c r="P1614" s="207"/>
      <c r="Q1614" s="207"/>
      <c r="R1614" s="207"/>
      <c r="S1614" s="198"/>
      <c r="T1614" s="201"/>
    </row>
    <row r="1615" spans="1:20" ht="22.5" hidden="1" customHeight="1" x14ac:dyDescent="0.25">
      <c r="A1615" s="208"/>
      <c r="B1615" s="238"/>
      <c r="C1615" s="198"/>
      <c r="D1615" s="198"/>
      <c r="E1615" s="199"/>
      <c r="F1615" s="200"/>
      <c r="G1615" s="201"/>
      <c r="H1615" s="208"/>
      <c r="I1615" s="209"/>
      <c r="J1615" s="209"/>
      <c r="K1615" s="198"/>
      <c r="L1615" s="204"/>
      <c r="M1615" s="205"/>
      <c r="N1615" s="206"/>
      <c r="O1615" s="207"/>
      <c r="P1615" s="207"/>
      <c r="Q1615" s="207"/>
      <c r="R1615" s="207"/>
      <c r="S1615" s="198"/>
      <c r="T1615" s="201"/>
    </row>
    <row r="1616" spans="1:20" ht="22.5" hidden="1" customHeight="1" x14ac:dyDescent="0.25">
      <c r="A1616" s="208"/>
      <c r="B1616" s="238"/>
      <c r="C1616" s="198"/>
      <c r="D1616" s="198"/>
      <c r="E1616" s="199"/>
      <c r="F1616" s="200"/>
      <c r="G1616" s="201"/>
      <c r="H1616" s="208"/>
      <c r="I1616" s="209"/>
      <c r="J1616" s="209"/>
      <c r="K1616" s="198"/>
      <c r="L1616" s="204"/>
      <c r="M1616" s="205"/>
      <c r="N1616" s="206"/>
      <c r="O1616" s="207"/>
      <c r="P1616" s="207"/>
      <c r="Q1616" s="207"/>
      <c r="R1616" s="207"/>
      <c r="S1616" s="198"/>
      <c r="T1616" s="201"/>
    </row>
    <row r="1617" spans="1:20" ht="22.5" hidden="1" customHeight="1" x14ac:dyDescent="0.25">
      <c r="A1617" s="208"/>
      <c r="B1617" s="238"/>
      <c r="C1617" s="198"/>
      <c r="D1617" s="198"/>
      <c r="E1617" s="199"/>
      <c r="F1617" s="200"/>
      <c r="G1617" s="201"/>
      <c r="H1617" s="208"/>
      <c r="I1617" s="209"/>
      <c r="J1617" s="209"/>
      <c r="K1617" s="198"/>
      <c r="L1617" s="204"/>
      <c r="M1617" s="205"/>
      <c r="N1617" s="206"/>
      <c r="O1617" s="207"/>
      <c r="P1617" s="207"/>
      <c r="Q1617" s="207"/>
      <c r="R1617" s="207"/>
      <c r="S1617" s="198"/>
      <c r="T1617" s="201"/>
    </row>
    <row r="1618" spans="1:20" ht="22.5" hidden="1" customHeight="1" x14ac:dyDescent="0.25">
      <c r="A1618" s="208"/>
      <c r="B1618" s="238"/>
      <c r="C1618" s="198"/>
      <c r="D1618" s="198"/>
      <c r="E1618" s="199"/>
      <c r="F1618" s="200"/>
      <c r="G1618" s="201"/>
      <c r="H1618" s="208"/>
      <c r="I1618" s="209"/>
      <c r="J1618" s="209"/>
      <c r="K1618" s="198"/>
      <c r="L1618" s="204"/>
      <c r="M1618" s="205"/>
      <c r="N1618" s="206"/>
      <c r="O1618" s="207"/>
      <c r="P1618" s="207"/>
      <c r="Q1618" s="207"/>
      <c r="R1618" s="207"/>
      <c r="S1618" s="198"/>
      <c r="T1618" s="201"/>
    </row>
    <row r="1619" spans="1:20" ht="22.5" hidden="1" customHeight="1" x14ac:dyDescent="0.25">
      <c r="A1619" s="208"/>
      <c r="B1619" s="238"/>
      <c r="C1619" s="198"/>
      <c r="D1619" s="198"/>
      <c r="E1619" s="199"/>
      <c r="F1619" s="200"/>
      <c r="G1619" s="201"/>
      <c r="H1619" s="208"/>
      <c r="I1619" s="209"/>
      <c r="J1619" s="209"/>
      <c r="K1619" s="198"/>
      <c r="L1619" s="204"/>
      <c r="M1619" s="205"/>
      <c r="N1619" s="206"/>
      <c r="O1619" s="207"/>
      <c r="P1619" s="207"/>
      <c r="Q1619" s="207"/>
      <c r="R1619" s="207"/>
      <c r="S1619" s="198"/>
      <c r="T1619" s="201"/>
    </row>
    <row r="1620" spans="1:20" ht="22.5" hidden="1" customHeight="1" x14ac:dyDescent="0.25">
      <c r="A1620" s="208"/>
      <c r="B1620" s="238"/>
      <c r="C1620" s="198"/>
      <c r="D1620" s="198"/>
      <c r="E1620" s="199"/>
      <c r="F1620" s="200"/>
      <c r="G1620" s="201"/>
      <c r="H1620" s="208"/>
      <c r="I1620" s="209"/>
      <c r="J1620" s="209"/>
      <c r="K1620" s="198"/>
      <c r="L1620" s="204"/>
      <c r="M1620" s="205"/>
      <c r="N1620" s="206"/>
      <c r="O1620" s="207"/>
      <c r="P1620" s="207"/>
      <c r="Q1620" s="207"/>
      <c r="R1620" s="207"/>
      <c r="S1620" s="198"/>
      <c r="T1620" s="201"/>
    </row>
    <row r="1621" spans="1:20" ht="22.5" hidden="1" customHeight="1" x14ac:dyDescent="0.25">
      <c r="A1621" s="208"/>
      <c r="B1621" s="238"/>
      <c r="C1621" s="198"/>
      <c r="D1621" s="198"/>
      <c r="E1621" s="199"/>
      <c r="F1621" s="200"/>
      <c r="G1621" s="201"/>
      <c r="H1621" s="208"/>
      <c r="I1621" s="209"/>
      <c r="J1621" s="209"/>
      <c r="K1621" s="198"/>
      <c r="L1621" s="204"/>
      <c r="M1621" s="205"/>
      <c r="N1621" s="206"/>
      <c r="O1621" s="207"/>
      <c r="P1621" s="207"/>
      <c r="Q1621" s="207"/>
      <c r="R1621" s="207"/>
      <c r="S1621" s="198"/>
      <c r="T1621" s="201"/>
    </row>
    <row r="1622" spans="1:20" ht="22.5" hidden="1" customHeight="1" x14ac:dyDescent="0.25">
      <c r="A1622" s="208"/>
      <c r="B1622" s="238"/>
      <c r="C1622" s="198"/>
      <c r="D1622" s="198"/>
      <c r="E1622" s="199"/>
      <c r="F1622" s="200"/>
      <c r="G1622" s="201"/>
      <c r="H1622" s="208"/>
      <c r="I1622" s="209"/>
      <c r="J1622" s="209"/>
      <c r="K1622" s="198"/>
      <c r="L1622" s="204"/>
      <c r="M1622" s="205"/>
      <c r="N1622" s="206"/>
      <c r="O1622" s="207"/>
      <c r="P1622" s="207"/>
      <c r="Q1622" s="207"/>
      <c r="R1622" s="207"/>
      <c r="S1622" s="198"/>
      <c r="T1622" s="201"/>
    </row>
    <row r="1623" spans="1:20" ht="22.5" hidden="1" customHeight="1" x14ac:dyDescent="0.25">
      <c r="A1623" s="208"/>
      <c r="B1623" s="238"/>
      <c r="C1623" s="198"/>
      <c r="D1623" s="198"/>
      <c r="E1623" s="199"/>
      <c r="F1623" s="200"/>
      <c r="G1623" s="201"/>
      <c r="H1623" s="208"/>
      <c r="I1623" s="209"/>
      <c r="J1623" s="209"/>
      <c r="K1623" s="198"/>
      <c r="L1623" s="204"/>
      <c r="M1623" s="205"/>
      <c r="N1623" s="206"/>
      <c r="O1623" s="207"/>
      <c r="P1623" s="207"/>
      <c r="Q1623" s="207"/>
      <c r="R1623" s="207"/>
      <c r="S1623" s="198"/>
      <c r="T1623" s="201"/>
    </row>
    <row r="1624" spans="1:20" ht="22.5" hidden="1" customHeight="1" x14ac:dyDescent="0.25">
      <c r="A1624" s="208"/>
      <c r="B1624" s="238"/>
      <c r="C1624" s="198"/>
      <c r="D1624" s="198"/>
      <c r="E1624" s="199"/>
      <c r="F1624" s="200"/>
      <c r="G1624" s="201"/>
      <c r="H1624" s="208"/>
      <c r="I1624" s="209"/>
      <c r="J1624" s="209"/>
      <c r="K1624" s="198"/>
      <c r="L1624" s="204"/>
      <c r="M1624" s="205"/>
      <c r="N1624" s="206"/>
      <c r="O1624" s="207"/>
      <c r="P1624" s="207"/>
      <c r="Q1624" s="207"/>
      <c r="R1624" s="207"/>
      <c r="S1624" s="198"/>
      <c r="T1624" s="201"/>
    </row>
    <row r="1625" spans="1:20" ht="22.5" hidden="1" customHeight="1" x14ac:dyDescent="0.25">
      <c r="A1625" s="208"/>
      <c r="B1625" s="238"/>
      <c r="C1625" s="198"/>
      <c r="D1625" s="198"/>
      <c r="E1625" s="199"/>
      <c r="F1625" s="200"/>
      <c r="G1625" s="201"/>
      <c r="H1625" s="208"/>
      <c r="I1625" s="209"/>
      <c r="J1625" s="209"/>
      <c r="K1625" s="198"/>
      <c r="L1625" s="204"/>
      <c r="M1625" s="205"/>
      <c r="N1625" s="206"/>
      <c r="O1625" s="207"/>
      <c r="P1625" s="207"/>
      <c r="Q1625" s="207"/>
      <c r="R1625" s="207"/>
      <c r="S1625" s="198"/>
      <c r="T1625" s="201"/>
    </row>
    <row r="1626" spans="1:20" ht="22.5" hidden="1" customHeight="1" x14ac:dyDescent="0.25">
      <c r="A1626" s="208"/>
      <c r="B1626" s="238"/>
      <c r="C1626" s="198"/>
      <c r="D1626" s="198"/>
      <c r="E1626" s="199"/>
      <c r="F1626" s="200"/>
      <c r="G1626" s="201"/>
      <c r="H1626" s="208"/>
      <c r="I1626" s="209"/>
      <c r="J1626" s="209"/>
      <c r="K1626" s="198"/>
      <c r="L1626" s="204"/>
      <c r="M1626" s="205"/>
      <c r="N1626" s="206"/>
      <c r="O1626" s="207"/>
      <c r="P1626" s="207"/>
      <c r="Q1626" s="207"/>
      <c r="R1626" s="207"/>
      <c r="S1626" s="198"/>
      <c r="T1626" s="201"/>
    </row>
    <row r="1627" spans="1:20" ht="22.5" hidden="1" customHeight="1" x14ac:dyDescent="0.25">
      <c r="A1627" s="208"/>
      <c r="B1627" s="238"/>
      <c r="C1627" s="198"/>
      <c r="D1627" s="198"/>
      <c r="E1627" s="199"/>
      <c r="F1627" s="200"/>
      <c r="G1627" s="201"/>
      <c r="H1627" s="208"/>
      <c r="I1627" s="209"/>
      <c r="J1627" s="209"/>
      <c r="K1627" s="198"/>
      <c r="L1627" s="204"/>
      <c r="M1627" s="205"/>
      <c r="N1627" s="206"/>
      <c r="O1627" s="207"/>
      <c r="P1627" s="207"/>
      <c r="Q1627" s="207"/>
      <c r="R1627" s="207"/>
      <c r="S1627" s="198"/>
      <c r="T1627" s="201"/>
    </row>
    <row r="1628" spans="1:20" ht="22.5" hidden="1" customHeight="1" x14ac:dyDescent="0.25">
      <c r="A1628" s="208"/>
      <c r="B1628" s="238"/>
      <c r="C1628" s="198"/>
      <c r="D1628" s="198"/>
      <c r="E1628" s="199"/>
      <c r="F1628" s="200"/>
      <c r="G1628" s="201"/>
      <c r="H1628" s="208"/>
      <c r="I1628" s="209"/>
      <c r="J1628" s="209"/>
      <c r="K1628" s="198"/>
      <c r="L1628" s="204"/>
      <c r="M1628" s="205"/>
      <c r="N1628" s="206"/>
      <c r="O1628" s="207"/>
      <c r="P1628" s="207"/>
      <c r="Q1628" s="207"/>
      <c r="R1628" s="207"/>
      <c r="S1628" s="198"/>
      <c r="T1628" s="201"/>
    </row>
    <row r="1629" spans="1:20" ht="22.5" hidden="1" customHeight="1" x14ac:dyDescent="0.25">
      <c r="A1629" s="208"/>
      <c r="B1629" s="238"/>
      <c r="C1629" s="198"/>
      <c r="D1629" s="198"/>
      <c r="E1629" s="199"/>
      <c r="F1629" s="200"/>
      <c r="G1629" s="201"/>
      <c r="H1629" s="208"/>
      <c r="I1629" s="209"/>
      <c r="J1629" s="209"/>
      <c r="K1629" s="198"/>
      <c r="L1629" s="204"/>
      <c r="M1629" s="205"/>
      <c r="N1629" s="206"/>
      <c r="O1629" s="207"/>
      <c r="P1629" s="207"/>
      <c r="Q1629" s="207"/>
      <c r="R1629" s="207"/>
      <c r="S1629" s="198"/>
      <c r="T1629" s="201"/>
    </row>
    <row r="1630" spans="1:20" ht="22.5" hidden="1" customHeight="1" x14ac:dyDescent="0.25">
      <c r="A1630" s="208"/>
      <c r="B1630" s="238"/>
      <c r="C1630" s="198"/>
      <c r="D1630" s="198"/>
      <c r="E1630" s="199"/>
      <c r="F1630" s="200"/>
      <c r="G1630" s="201"/>
      <c r="H1630" s="208"/>
      <c r="I1630" s="209"/>
      <c r="J1630" s="209"/>
      <c r="K1630" s="198"/>
      <c r="L1630" s="204"/>
      <c r="M1630" s="205"/>
      <c r="N1630" s="206"/>
      <c r="O1630" s="207"/>
      <c r="P1630" s="207"/>
      <c r="Q1630" s="207"/>
      <c r="R1630" s="207"/>
      <c r="S1630" s="198"/>
      <c r="T1630" s="201"/>
    </row>
    <row r="1631" spans="1:20" ht="22.5" hidden="1" customHeight="1" x14ac:dyDescent="0.25">
      <c r="A1631" s="208"/>
      <c r="B1631" s="238"/>
      <c r="C1631" s="198"/>
      <c r="D1631" s="198"/>
      <c r="E1631" s="199"/>
      <c r="F1631" s="200"/>
      <c r="G1631" s="201"/>
      <c r="H1631" s="208"/>
      <c r="I1631" s="209"/>
      <c r="J1631" s="209"/>
      <c r="K1631" s="198"/>
      <c r="L1631" s="204"/>
      <c r="M1631" s="205"/>
      <c r="N1631" s="206"/>
      <c r="O1631" s="207"/>
      <c r="P1631" s="207"/>
      <c r="Q1631" s="207"/>
      <c r="R1631" s="207"/>
      <c r="S1631" s="198"/>
      <c r="T1631" s="201"/>
    </row>
    <row r="1632" spans="1:20" ht="22.5" hidden="1" customHeight="1" x14ac:dyDescent="0.25">
      <c r="A1632" s="208"/>
      <c r="B1632" s="238"/>
      <c r="C1632" s="198"/>
      <c r="D1632" s="198"/>
      <c r="E1632" s="199"/>
      <c r="F1632" s="200"/>
      <c r="G1632" s="201"/>
      <c r="H1632" s="208"/>
      <c r="I1632" s="209"/>
      <c r="J1632" s="209"/>
      <c r="K1632" s="198"/>
      <c r="L1632" s="204"/>
      <c r="M1632" s="205"/>
      <c r="N1632" s="206"/>
      <c r="O1632" s="207"/>
      <c r="P1632" s="207"/>
      <c r="Q1632" s="207"/>
      <c r="R1632" s="207"/>
      <c r="S1632" s="198"/>
      <c r="T1632" s="201"/>
    </row>
    <row r="1633" spans="1:20" ht="22.5" hidden="1" customHeight="1" x14ac:dyDescent="0.25">
      <c r="A1633" s="208"/>
      <c r="B1633" s="238"/>
      <c r="C1633" s="198"/>
      <c r="D1633" s="198"/>
      <c r="E1633" s="199"/>
      <c r="F1633" s="200"/>
      <c r="G1633" s="201"/>
      <c r="H1633" s="208"/>
      <c r="I1633" s="209"/>
      <c r="J1633" s="209"/>
      <c r="K1633" s="198"/>
      <c r="L1633" s="204"/>
      <c r="M1633" s="205"/>
      <c r="N1633" s="206"/>
      <c r="O1633" s="207"/>
      <c r="P1633" s="207"/>
      <c r="Q1633" s="207"/>
      <c r="R1633" s="207"/>
      <c r="S1633" s="198"/>
      <c r="T1633" s="201"/>
    </row>
    <row r="1634" spans="1:20" ht="22.5" hidden="1" customHeight="1" x14ac:dyDescent="0.25">
      <c r="A1634" s="208"/>
      <c r="B1634" s="238"/>
      <c r="C1634" s="198"/>
      <c r="D1634" s="198"/>
      <c r="E1634" s="199"/>
      <c r="F1634" s="200"/>
      <c r="G1634" s="201"/>
      <c r="H1634" s="208"/>
      <c r="I1634" s="209"/>
      <c r="J1634" s="209"/>
      <c r="K1634" s="198"/>
      <c r="L1634" s="204"/>
      <c r="M1634" s="205"/>
      <c r="N1634" s="206"/>
      <c r="O1634" s="207"/>
      <c r="P1634" s="207"/>
      <c r="Q1634" s="207"/>
      <c r="R1634" s="207"/>
      <c r="S1634" s="198"/>
      <c r="T1634" s="201"/>
    </row>
    <row r="1635" spans="1:20" ht="22.5" hidden="1" customHeight="1" x14ac:dyDescent="0.25">
      <c r="A1635" s="208"/>
      <c r="B1635" s="238"/>
      <c r="C1635" s="198"/>
      <c r="D1635" s="198"/>
      <c r="E1635" s="199"/>
      <c r="F1635" s="200"/>
      <c r="G1635" s="201"/>
      <c r="H1635" s="208"/>
      <c r="I1635" s="209"/>
      <c r="J1635" s="209"/>
      <c r="K1635" s="198"/>
      <c r="L1635" s="204"/>
      <c r="M1635" s="205"/>
      <c r="N1635" s="206"/>
      <c r="O1635" s="207"/>
      <c r="P1635" s="207"/>
      <c r="Q1635" s="207"/>
      <c r="R1635" s="207"/>
      <c r="S1635" s="198"/>
      <c r="T1635" s="201"/>
    </row>
    <row r="1636" spans="1:20" ht="22.5" hidden="1" customHeight="1" x14ac:dyDescent="0.25">
      <c r="A1636" s="208"/>
      <c r="B1636" s="238"/>
      <c r="C1636" s="198"/>
      <c r="D1636" s="198"/>
      <c r="E1636" s="199"/>
      <c r="F1636" s="200"/>
      <c r="G1636" s="201"/>
      <c r="H1636" s="208"/>
      <c r="I1636" s="209"/>
      <c r="J1636" s="209"/>
      <c r="K1636" s="198"/>
      <c r="L1636" s="204"/>
      <c r="M1636" s="205"/>
      <c r="N1636" s="206"/>
      <c r="O1636" s="207"/>
      <c r="P1636" s="207"/>
      <c r="Q1636" s="207"/>
      <c r="R1636" s="207"/>
      <c r="S1636" s="198"/>
      <c r="T1636" s="201"/>
    </row>
    <row r="1637" spans="1:20" ht="22.5" hidden="1" customHeight="1" x14ac:dyDescent="0.25">
      <c r="A1637" s="208"/>
      <c r="B1637" s="238"/>
      <c r="C1637" s="198"/>
      <c r="D1637" s="198"/>
      <c r="E1637" s="199"/>
      <c r="F1637" s="200"/>
      <c r="G1637" s="201"/>
      <c r="H1637" s="208"/>
      <c r="I1637" s="209"/>
      <c r="J1637" s="209"/>
      <c r="K1637" s="198"/>
      <c r="L1637" s="204"/>
      <c r="M1637" s="205"/>
      <c r="N1637" s="206"/>
      <c r="O1637" s="207"/>
      <c r="P1637" s="207"/>
      <c r="Q1637" s="207"/>
      <c r="R1637" s="207"/>
      <c r="S1637" s="198"/>
      <c r="T1637" s="201"/>
    </row>
    <row r="1638" spans="1:20" ht="22.5" hidden="1" customHeight="1" x14ac:dyDescent="0.25">
      <c r="A1638" s="208"/>
      <c r="B1638" s="238"/>
      <c r="C1638" s="198"/>
      <c r="D1638" s="198"/>
      <c r="E1638" s="199"/>
      <c r="F1638" s="200"/>
      <c r="G1638" s="201"/>
      <c r="H1638" s="208"/>
      <c r="I1638" s="209"/>
      <c r="J1638" s="209"/>
      <c r="K1638" s="198"/>
      <c r="L1638" s="204"/>
      <c r="M1638" s="205"/>
      <c r="N1638" s="206"/>
      <c r="O1638" s="207"/>
      <c r="P1638" s="207"/>
      <c r="Q1638" s="207"/>
      <c r="R1638" s="207"/>
      <c r="S1638" s="198"/>
      <c r="T1638" s="201"/>
    </row>
    <row r="1639" spans="1:20" ht="22.5" hidden="1" customHeight="1" x14ac:dyDescent="0.25">
      <c r="A1639" s="208"/>
      <c r="B1639" s="238"/>
      <c r="C1639" s="198"/>
      <c r="D1639" s="198"/>
      <c r="E1639" s="199"/>
      <c r="F1639" s="200"/>
      <c r="G1639" s="201"/>
      <c r="H1639" s="208"/>
      <c r="I1639" s="209"/>
      <c r="J1639" s="209"/>
      <c r="K1639" s="198"/>
      <c r="L1639" s="204"/>
      <c r="M1639" s="205"/>
      <c r="N1639" s="206"/>
      <c r="O1639" s="207"/>
      <c r="P1639" s="207"/>
      <c r="Q1639" s="207"/>
      <c r="R1639" s="207"/>
      <c r="S1639" s="198"/>
      <c r="T1639" s="201"/>
    </row>
    <row r="1640" spans="1:20" ht="22.5" hidden="1" customHeight="1" x14ac:dyDescent="0.25">
      <c r="A1640" s="208"/>
      <c r="B1640" s="238"/>
      <c r="C1640" s="198"/>
      <c r="D1640" s="198"/>
      <c r="E1640" s="199"/>
      <c r="F1640" s="200"/>
      <c r="G1640" s="201"/>
      <c r="H1640" s="208"/>
      <c r="I1640" s="209"/>
      <c r="J1640" s="209"/>
      <c r="K1640" s="198"/>
      <c r="L1640" s="204"/>
      <c r="M1640" s="205"/>
      <c r="N1640" s="206"/>
      <c r="O1640" s="207"/>
      <c r="P1640" s="207"/>
      <c r="Q1640" s="207"/>
      <c r="R1640" s="207"/>
      <c r="S1640" s="198"/>
      <c r="T1640" s="201"/>
    </row>
    <row r="1641" spans="1:20" ht="22.5" hidden="1" customHeight="1" x14ac:dyDescent="0.25">
      <c r="A1641" s="208"/>
      <c r="B1641" s="238"/>
      <c r="C1641" s="198"/>
      <c r="D1641" s="198"/>
      <c r="E1641" s="199"/>
      <c r="F1641" s="200"/>
      <c r="G1641" s="201"/>
      <c r="H1641" s="208"/>
      <c r="I1641" s="209"/>
      <c r="J1641" s="209"/>
      <c r="K1641" s="198"/>
      <c r="L1641" s="204"/>
      <c r="M1641" s="205"/>
      <c r="N1641" s="206"/>
      <c r="O1641" s="207"/>
      <c r="P1641" s="207"/>
      <c r="Q1641" s="207"/>
      <c r="R1641" s="207"/>
      <c r="S1641" s="198"/>
      <c r="T1641" s="201"/>
    </row>
    <row r="1642" spans="1:20" ht="22.5" hidden="1" customHeight="1" x14ac:dyDescent="0.25">
      <c r="A1642" s="208"/>
      <c r="B1642" s="238"/>
      <c r="C1642" s="198"/>
      <c r="D1642" s="198"/>
      <c r="E1642" s="199"/>
      <c r="F1642" s="200"/>
      <c r="G1642" s="201"/>
      <c r="H1642" s="208"/>
      <c r="I1642" s="209"/>
      <c r="J1642" s="209"/>
      <c r="K1642" s="198"/>
      <c r="L1642" s="204"/>
      <c r="M1642" s="205"/>
      <c r="N1642" s="206"/>
      <c r="O1642" s="207"/>
      <c r="P1642" s="207"/>
      <c r="Q1642" s="207"/>
      <c r="R1642" s="207"/>
      <c r="S1642" s="198"/>
      <c r="T1642" s="201"/>
    </row>
    <row r="1643" spans="1:20" ht="22.5" hidden="1" customHeight="1" x14ac:dyDescent="0.25">
      <c r="A1643" s="208"/>
      <c r="B1643" s="238"/>
      <c r="C1643" s="198"/>
      <c r="D1643" s="198"/>
      <c r="E1643" s="199"/>
      <c r="F1643" s="200"/>
      <c r="G1643" s="201"/>
      <c r="H1643" s="208"/>
      <c r="I1643" s="209"/>
      <c r="J1643" s="209"/>
      <c r="K1643" s="198"/>
      <c r="L1643" s="204"/>
      <c r="M1643" s="205"/>
      <c r="N1643" s="206"/>
      <c r="O1643" s="207"/>
      <c r="P1643" s="207"/>
      <c r="Q1643" s="207"/>
      <c r="R1643" s="207"/>
      <c r="S1643" s="198"/>
      <c r="T1643" s="201"/>
    </row>
    <row r="1644" spans="1:20" ht="22.5" hidden="1" customHeight="1" x14ac:dyDescent="0.25">
      <c r="A1644" s="208"/>
      <c r="B1644" s="238"/>
      <c r="C1644" s="198"/>
      <c r="D1644" s="198"/>
      <c r="E1644" s="199"/>
      <c r="F1644" s="200"/>
      <c r="G1644" s="201"/>
      <c r="H1644" s="208"/>
      <c r="I1644" s="209"/>
      <c r="J1644" s="209"/>
      <c r="K1644" s="198"/>
      <c r="L1644" s="204"/>
      <c r="M1644" s="205"/>
      <c r="N1644" s="206"/>
      <c r="O1644" s="207"/>
      <c r="P1644" s="207"/>
      <c r="Q1644" s="207"/>
      <c r="R1644" s="207"/>
      <c r="S1644" s="198"/>
      <c r="T1644" s="201"/>
    </row>
    <row r="1645" spans="1:20" ht="22.5" hidden="1" customHeight="1" x14ac:dyDescent="0.25">
      <c r="A1645" s="208"/>
      <c r="B1645" s="238"/>
      <c r="C1645" s="198"/>
      <c r="D1645" s="198"/>
      <c r="E1645" s="199"/>
      <c r="F1645" s="200"/>
      <c r="G1645" s="201"/>
      <c r="H1645" s="208"/>
      <c r="I1645" s="209"/>
      <c r="J1645" s="209"/>
      <c r="K1645" s="198"/>
      <c r="L1645" s="204"/>
      <c r="M1645" s="205"/>
      <c r="N1645" s="206"/>
      <c r="O1645" s="207"/>
      <c r="P1645" s="207"/>
      <c r="Q1645" s="207"/>
      <c r="R1645" s="207"/>
      <c r="S1645" s="198"/>
      <c r="T1645" s="201"/>
    </row>
    <row r="1646" spans="1:20" ht="22.5" hidden="1" customHeight="1" x14ac:dyDescent="0.25">
      <c r="A1646" s="208"/>
      <c r="B1646" s="238"/>
      <c r="C1646" s="198"/>
      <c r="D1646" s="198"/>
      <c r="E1646" s="199"/>
      <c r="F1646" s="200"/>
      <c r="G1646" s="201"/>
      <c r="H1646" s="208"/>
      <c r="I1646" s="209"/>
      <c r="J1646" s="209"/>
      <c r="K1646" s="198"/>
      <c r="L1646" s="204"/>
      <c r="M1646" s="205"/>
      <c r="N1646" s="206"/>
      <c r="O1646" s="207"/>
      <c r="P1646" s="207"/>
      <c r="Q1646" s="207"/>
      <c r="R1646" s="207"/>
      <c r="S1646" s="198"/>
      <c r="T1646" s="201"/>
    </row>
    <row r="1647" spans="1:20" ht="22.5" hidden="1" customHeight="1" x14ac:dyDescent="0.25">
      <c r="A1647" s="208"/>
      <c r="B1647" s="238"/>
      <c r="C1647" s="198"/>
      <c r="D1647" s="198"/>
      <c r="E1647" s="199"/>
      <c r="F1647" s="200"/>
      <c r="G1647" s="201"/>
      <c r="H1647" s="208"/>
      <c r="I1647" s="209"/>
      <c r="J1647" s="209"/>
      <c r="K1647" s="198"/>
      <c r="L1647" s="204"/>
      <c r="M1647" s="205"/>
      <c r="N1647" s="206"/>
      <c r="O1647" s="207"/>
      <c r="P1647" s="207"/>
      <c r="Q1647" s="207"/>
      <c r="R1647" s="207"/>
      <c r="S1647" s="198"/>
      <c r="T1647" s="201"/>
    </row>
    <row r="1648" spans="1:20" ht="22.5" hidden="1" customHeight="1" x14ac:dyDescent="0.25">
      <c r="A1648" s="208"/>
      <c r="B1648" s="238"/>
      <c r="C1648" s="198"/>
      <c r="D1648" s="198"/>
      <c r="E1648" s="199"/>
      <c r="F1648" s="200"/>
      <c r="G1648" s="201"/>
      <c r="H1648" s="208"/>
      <c r="I1648" s="209"/>
      <c r="J1648" s="209"/>
      <c r="K1648" s="198"/>
      <c r="L1648" s="204"/>
      <c r="M1648" s="205"/>
      <c r="N1648" s="206"/>
      <c r="O1648" s="207"/>
      <c r="P1648" s="207"/>
      <c r="Q1648" s="207"/>
      <c r="R1648" s="207"/>
      <c r="S1648" s="198"/>
      <c r="T1648" s="201"/>
    </row>
    <row r="1649" spans="1:20" ht="22.5" hidden="1" customHeight="1" x14ac:dyDescent="0.25">
      <c r="A1649" s="208"/>
      <c r="B1649" s="238"/>
      <c r="C1649" s="198"/>
      <c r="D1649" s="198"/>
      <c r="E1649" s="199"/>
      <c r="F1649" s="200"/>
      <c r="G1649" s="201"/>
      <c r="H1649" s="208"/>
      <c r="I1649" s="209"/>
      <c r="J1649" s="209"/>
      <c r="K1649" s="198"/>
      <c r="L1649" s="204"/>
      <c r="M1649" s="205"/>
      <c r="N1649" s="206"/>
      <c r="O1649" s="207"/>
      <c r="P1649" s="207"/>
      <c r="Q1649" s="207"/>
      <c r="R1649" s="207"/>
      <c r="S1649" s="198"/>
      <c r="T1649" s="201"/>
    </row>
    <row r="1650" spans="1:20" ht="22.5" hidden="1" customHeight="1" x14ac:dyDescent="0.25">
      <c r="A1650" s="208"/>
      <c r="B1650" s="238"/>
      <c r="C1650" s="198"/>
      <c r="D1650" s="198"/>
      <c r="E1650" s="199"/>
      <c r="F1650" s="200"/>
      <c r="G1650" s="201"/>
      <c r="H1650" s="208"/>
      <c r="I1650" s="209"/>
      <c r="J1650" s="209"/>
      <c r="K1650" s="198"/>
      <c r="L1650" s="204"/>
      <c r="M1650" s="205"/>
      <c r="N1650" s="206"/>
      <c r="O1650" s="207"/>
      <c r="P1650" s="207"/>
      <c r="Q1650" s="207"/>
      <c r="R1650" s="207"/>
      <c r="S1650" s="198"/>
      <c r="T1650" s="201"/>
    </row>
    <row r="1651" spans="1:20" ht="22.5" hidden="1" customHeight="1" x14ac:dyDescent="0.25">
      <c r="A1651" s="208"/>
      <c r="B1651" s="238"/>
      <c r="C1651" s="198"/>
      <c r="D1651" s="198"/>
      <c r="E1651" s="199"/>
      <c r="F1651" s="200"/>
      <c r="G1651" s="201"/>
      <c r="H1651" s="208"/>
      <c r="I1651" s="209"/>
      <c r="J1651" s="209"/>
      <c r="K1651" s="198"/>
      <c r="L1651" s="204"/>
      <c r="M1651" s="205"/>
      <c r="N1651" s="206"/>
      <c r="O1651" s="207"/>
      <c r="P1651" s="207"/>
      <c r="Q1651" s="207"/>
      <c r="R1651" s="207"/>
      <c r="S1651" s="198"/>
      <c r="T1651" s="201"/>
    </row>
    <row r="1652" spans="1:20" ht="22.5" hidden="1" customHeight="1" x14ac:dyDescent="0.25">
      <c r="A1652" s="208"/>
      <c r="B1652" s="238"/>
      <c r="C1652" s="198"/>
      <c r="D1652" s="198"/>
      <c r="E1652" s="199"/>
      <c r="F1652" s="200"/>
      <c r="G1652" s="201"/>
      <c r="H1652" s="208"/>
      <c r="I1652" s="209"/>
      <c r="J1652" s="209"/>
      <c r="K1652" s="198"/>
      <c r="L1652" s="204"/>
      <c r="M1652" s="205"/>
      <c r="N1652" s="206"/>
      <c r="O1652" s="207"/>
      <c r="P1652" s="207"/>
      <c r="Q1652" s="207"/>
      <c r="R1652" s="207"/>
      <c r="S1652" s="198"/>
      <c r="T1652" s="201"/>
    </row>
    <row r="1653" spans="1:20" ht="22.5" hidden="1" customHeight="1" x14ac:dyDescent="0.25">
      <c r="A1653" s="208"/>
      <c r="B1653" s="238"/>
      <c r="C1653" s="198"/>
      <c r="D1653" s="198"/>
      <c r="E1653" s="199"/>
      <c r="F1653" s="200"/>
      <c r="G1653" s="201"/>
      <c r="H1653" s="208"/>
      <c r="I1653" s="209"/>
      <c r="J1653" s="209"/>
      <c r="K1653" s="198"/>
      <c r="L1653" s="204"/>
      <c r="M1653" s="205"/>
      <c r="N1653" s="206"/>
      <c r="O1653" s="207"/>
      <c r="P1653" s="207"/>
      <c r="Q1653" s="207"/>
      <c r="R1653" s="207"/>
      <c r="S1653" s="198"/>
      <c r="T1653" s="201"/>
    </row>
    <row r="1654" spans="1:20" ht="22.5" hidden="1" customHeight="1" x14ac:dyDescent="0.25">
      <c r="A1654" s="208"/>
      <c r="B1654" s="238"/>
      <c r="C1654" s="198"/>
      <c r="D1654" s="198"/>
      <c r="E1654" s="199"/>
      <c r="F1654" s="200"/>
      <c r="G1654" s="201"/>
      <c r="H1654" s="208"/>
      <c r="I1654" s="209"/>
      <c r="J1654" s="209"/>
      <c r="K1654" s="198"/>
      <c r="L1654" s="204"/>
      <c r="M1654" s="205"/>
      <c r="N1654" s="206"/>
      <c r="O1654" s="207"/>
      <c r="P1654" s="207"/>
      <c r="Q1654" s="207"/>
      <c r="R1654" s="207"/>
      <c r="S1654" s="198"/>
      <c r="T1654" s="201"/>
    </row>
    <row r="1655" spans="1:20" ht="22.5" hidden="1" customHeight="1" x14ac:dyDescent="0.25">
      <c r="A1655" s="208"/>
      <c r="B1655" s="238"/>
      <c r="C1655" s="198"/>
      <c r="D1655" s="198"/>
      <c r="E1655" s="199"/>
      <c r="F1655" s="200"/>
      <c r="G1655" s="201"/>
      <c r="H1655" s="208"/>
      <c r="I1655" s="209"/>
      <c r="J1655" s="209"/>
      <c r="K1655" s="198"/>
      <c r="L1655" s="204"/>
      <c r="M1655" s="205"/>
      <c r="N1655" s="206"/>
      <c r="O1655" s="207"/>
      <c r="P1655" s="207"/>
      <c r="Q1655" s="207"/>
      <c r="R1655" s="207"/>
      <c r="S1655" s="198"/>
      <c r="T1655" s="201"/>
    </row>
    <row r="1656" spans="1:20" ht="22.5" hidden="1" customHeight="1" x14ac:dyDescent="0.25">
      <c r="A1656" s="208"/>
      <c r="B1656" s="238"/>
      <c r="C1656" s="198"/>
      <c r="D1656" s="198"/>
      <c r="E1656" s="199"/>
      <c r="F1656" s="200"/>
      <c r="G1656" s="201"/>
      <c r="H1656" s="208"/>
      <c r="I1656" s="209"/>
      <c r="J1656" s="209"/>
      <c r="K1656" s="198"/>
      <c r="L1656" s="204"/>
      <c r="M1656" s="205"/>
      <c r="N1656" s="206"/>
      <c r="O1656" s="207"/>
      <c r="P1656" s="207"/>
      <c r="Q1656" s="207"/>
      <c r="R1656" s="207"/>
      <c r="S1656" s="198"/>
      <c r="T1656" s="201"/>
    </row>
    <row r="1657" spans="1:20" ht="22.5" hidden="1" customHeight="1" x14ac:dyDescent="0.25">
      <c r="A1657" s="208"/>
      <c r="B1657" s="238"/>
      <c r="C1657" s="198"/>
      <c r="D1657" s="198"/>
      <c r="E1657" s="199"/>
      <c r="F1657" s="200"/>
      <c r="G1657" s="201"/>
      <c r="H1657" s="208"/>
      <c r="I1657" s="209"/>
      <c r="J1657" s="209"/>
      <c r="K1657" s="198"/>
      <c r="L1657" s="204"/>
      <c r="M1657" s="205"/>
      <c r="N1657" s="206"/>
      <c r="O1657" s="207"/>
      <c r="P1657" s="207"/>
      <c r="Q1657" s="207"/>
      <c r="R1657" s="207"/>
      <c r="S1657" s="198"/>
      <c r="T1657" s="201"/>
    </row>
    <row r="1658" spans="1:20" ht="22.5" hidden="1" customHeight="1" x14ac:dyDescent="0.25">
      <c r="A1658" s="208"/>
      <c r="B1658" s="238"/>
      <c r="C1658" s="198"/>
      <c r="D1658" s="198"/>
      <c r="E1658" s="199"/>
      <c r="F1658" s="200"/>
      <c r="G1658" s="201"/>
      <c r="H1658" s="208"/>
      <c r="I1658" s="209"/>
      <c r="J1658" s="209"/>
      <c r="K1658" s="198"/>
      <c r="L1658" s="204"/>
      <c r="M1658" s="205"/>
      <c r="N1658" s="206"/>
      <c r="O1658" s="207"/>
      <c r="P1658" s="207"/>
      <c r="Q1658" s="207"/>
      <c r="R1658" s="207"/>
      <c r="S1658" s="198"/>
      <c r="T1658" s="201"/>
    </row>
    <row r="1659" spans="1:20" ht="22.5" hidden="1" customHeight="1" x14ac:dyDescent="0.25">
      <c r="A1659" s="208"/>
      <c r="B1659" s="238"/>
      <c r="C1659" s="198"/>
      <c r="D1659" s="198"/>
      <c r="E1659" s="199"/>
      <c r="F1659" s="200"/>
      <c r="G1659" s="201"/>
      <c r="H1659" s="208"/>
      <c r="I1659" s="209"/>
      <c r="J1659" s="209"/>
      <c r="K1659" s="198"/>
      <c r="L1659" s="204"/>
      <c r="M1659" s="205"/>
      <c r="N1659" s="206"/>
      <c r="O1659" s="207"/>
      <c r="P1659" s="207"/>
      <c r="Q1659" s="207"/>
      <c r="R1659" s="207"/>
      <c r="S1659" s="198"/>
      <c r="T1659" s="201"/>
    </row>
    <row r="1660" spans="1:20" ht="22.5" hidden="1" customHeight="1" x14ac:dyDescent="0.25">
      <c r="A1660" s="208"/>
      <c r="B1660" s="238"/>
      <c r="C1660" s="198"/>
      <c r="D1660" s="198"/>
      <c r="E1660" s="199"/>
      <c r="F1660" s="200"/>
      <c r="G1660" s="201"/>
      <c r="H1660" s="208"/>
      <c r="I1660" s="209"/>
      <c r="J1660" s="209"/>
      <c r="K1660" s="198"/>
      <c r="L1660" s="204"/>
      <c r="M1660" s="205"/>
      <c r="N1660" s="206"/>
      <c r="O1660" s="207"/>
      <c r="P1660" s="207"/>
      <c r="Q1660" s="207"/>
      <c r="R1660" s="207"/>
      <c r="S1660" s="198"/>
      <c r="T1660" s="201"/>
    </row>
    <row r="1661" spans="1:20" ht="22.5" hidden="1" customHeight="1" x14ac:dyDescent="0.25">
      <c r="A1661" s="208"/>
      <c r="B1661" s="238"/>
      <c r="C1661" s="198"/>
      <c r="D1661" s="198"/>
      <c r="E1661" s="199"/>
      <c r="F1661" s="200"/>
      <c r="G1661" s="201"/>
      <c r="H1661" s="208"/>
      <c r="I1661" s="209"/>
      <c r="J1661" s="209"/>
      <c r="K1661" s="198"/>
      <c r="L1661" s="204"/>
      <c r="M1661" s="205"/>
      <c r="N1661" s="206"/>
      <c r="O1661" s="207"/>
      <c r="P1661" s="207"/>
      <c r="Q1661" s="207"/>
      <c r="R1661" s="207"/>
      <c r="S1661" s="198"/>
      <c r="T1661" s="201"/>
    </row>
    <row r="1662" spans="1:20" ht="22.5" hidden="1" customHeight="1" x14ac:dyDescent="0.25">
      <c r="A1662" s="208"/>
      <c r="B1662" s="238"/>
      <c r="C1662" s="198"/>
      <c r="D1662" s="198"/>
      <c r="E1662" s="199"/>
      <c r="F1662" s="200"/>
      <c r="G1662" s="201"/>
      <c r="H1662" s="208"/>
      <c r="I1662" s="209"/>
      <c r="J1662" s="209"/>
      <c r="K1662" s="198"/>
      <c r="L1662" s="204"/>
      <c r="M1662" s="205"/>
      <c r="N1662" s="206"/>
      <c r="O1662" s="207"/>
      <c r="P1662" s="207"/>
      <c r="Q1662" s="207"/>
      <c r="R1662" s="207"/>
      <c r="S1662" s="198"/>
      <c r="T1662" s="201"/>
    </row>
    <row r="1663" spans="1:20" ht="22.5" hidden="1" customHeight="1" x14ac:dyDescent="0.25">
      <c r="A1663" s="208"/>
      <c r="B1663" s="238"/>
      <c r="C1663" s="198"/>
      <c r="D1663" s="198"/>
      <c r="E1663" s="199"/>
      <c r="F1663" s="200"/>
      <c r="G1663" s="201"/>
      <c r="H1663" s="208"/>
      <c r="I1663" s="209"/>
      <c r="J1663" s="209"/>
      <c r="K1663" s="198"/>
      <c r="L1663" s="204"/>
      <c r="M1663" s="205"/>
      <c r="N1663" s="206"/>
      <c r="O1663" s="207"/>
      <c r="P1663" s="207"/>
      <c r="Q1663" s="207"/>
      <c r="R1663" s="207"/>
      <c r="S1663" s="198"/>
      <c r="T1663" s="201"/>
    </row>
    <row r="1664" spans="1:20" ht="22.5" hidden="1" customHeight="1" x14ac:dyDescent="0.25">
      <c r="A1664" s="208"/>
      <c r="B1664" s="238"/>
      <c r="C1664" s="198"/>
      <c r="D1664" s="198"/>
      <c r="E1664" s="199"/>
      <c r="F1664" s="200"/>
      <c r="G1664" s="201"/>
      <c r="H1664" s="208"/>
      <c r="I1664" s="209"/>
      <c r="J1664" s="209"/>
      <c r="K1664" s="198"/>
      <c r="L1664" s="204"/>
      <c r="M1664" s="205"/>
      <c r="N1664" s="206"/>
      <c r="O1664" s="207"/>
      <c r="P1664" s="207"/>
      <c r="Q1664" s="207"/>
      <c r="R1664" s="207"/>
      <c r="S1664" s="198"/>
      <c r="T1664" s="201"/>
    </row>
    <row r="1665" spans="1:20" ht="22.5" hidden="1" customHeight="1" x14ac:dyDescent="0.25">
      <c r="A1665" s="208"/>
      <c r="B1665" s="238"/>
      <c r="C1665" s="198"/>
      <c r="D1665" s="198"/>
      <c r="E1665" s="199"/>
      <c r="F1665" s="200"/>
      <c r="G1665" s="201"/>
      <c r="H1665" s="208"/>
      <c r="I1665" s="209"/>
      <c r="J1665" s="209"/>
      <c r="K1665" s="198"/>
      <c r="L1665" s="204"/>
      <c r="M1665" s="205"/>
      <c r="N1665" s="206"/>
      <c r="O1665" s="207"/>
      <c r="P1665" s="207"/>
      <c r="Q1665" s="207"/>
      <c r="R1665" s="207"/>
      <c r="S1665" s="198"/>
      <c r="T1665" s="201"/>
    </row>
    <row r="1666" spans="1:20" ht="22.5" hidden="1" customHeight="1" x14ac:dyDescent="0.25">
      <c r="A1666" s="208"/>
      <c r="B1666" s="238"/>
      <c r="C1666" s="198"/>
      <c r="D1666" s="198"/>
      <c r="E1666" s="199"/>
      <c r="F1666" s="200"/>
      <c r="G1666" s="201"/>
      <c r="H1666" s="208"/>
      <c r="I1666" s="209"/>
      <c r="J1666" s="209"/>
      <c r="K1666" s="198"/>
      <c r="L1666" s="204"/>
      <c r="M1666" s="205"/>
      <c r="N1666" s="206"/>
      <c r="O1666" s="207"/>
      <c r="P1666" s="207"/>
      <c r="Q1666" s="207"/>
      <c r="R1666" s="207"/>
      <c r="S1666" s="198"/>
      <c r="T1666" s="201"/>
    </row>
    <row r="1667" spans="1:20" ht="22.5" hidden="1" customHeight="1" x14ac:dyDescent="0.25">
      <c r="A1667" s="208"/>
      <c r="B1667" s="238"/>
      <c r="C1667" s="198"/>
      <c r="D1667" s="198"/>
      <c r="E1667" s="199"/>
      <c r="F1667" s="200"/>
      <c r="G1667" s="201"/>
      <c r="H1667" s="208"/>
      <c r="I1667" s="209"/>
      <c r="J1667" s="209"/>
      <c r="K1667" s="198"/>
      <c r="L1667" s="204"/>
      <c r="M1667" s="205"/>
      <c r="N1667" s="206"/>
      <c r="O1667" s="207"/>
      <c r="P1667" s="207"/>
      <c r="Q1667" s="207"/>
      <c r="R1667" s="207"/>
      <c r="S1667" s="198"/>
      <c r="T1667" s="201"/>
    </row>
    <row r="1668" spans="1:20" ht="22.5" hidden="1" customHeight="1" x14ac:dyDescent="0.25">
      <c r="A1668" s="208"/>
      <c r="B1668" s="238"/>
      <c r="C1668" s="198"/>
      <c r="D1668" s="198"/>
      <c r="E1668" s="199"/>
      <c r="F1668" s="200"/>
      <c r="G1668" s="201"/>
      <c r="H1668" s="208"/>
      <c r="I1668" s="209"/>
      <c r="J1668" s="209"/>
      <c r="K1668" s="198"/>
      <c r="L1668" s="204"/>
      <c r="M1668" s="205"/>
      <c r="N1668" s="206"/>
      <c r="O1668" s="207"/>
      <c r="P1668" s="207"/>
      <c r="Q1668" s="207"/>
      <c r="R1668" s="207"/>
      <c r="S1668" s="198"/>
      <c r="T1668" s="201"/>
    </row>
    <row r="1669" spans="1:20" ht="22.5" hidden="1" customHeight="1" x14ac:dyDescent="0.25">
      <c r="A1669" s="208"/>
      <c r="B1669" s="238"/>
      <c r="C1669" s="198"/>
      <c r="D1669" s="198"/>
      <c r="E1669" s="199"/>
      <c r="F1669" s="200"/>
      <c r="G1669" s="201"/>
      <c r="H1669" s="208"/>
      <c r="I1669" s="209"/>
      <c r="J1669" s="209"/>
      <c r="K1669" s="198"/>
      <c r="L1669" s="204"/>
      <c r="M1669" s="205"/>
      <c r="N1669" s="206"/>
      <c r="O1669" s="207"/>
      <c r="P1669" s="207"/>
      <c r="Q1669" s="207"/>
      <c r="R1669" s="207"/>
      <c r="S1669" s="198"/>
      <c r="T1669" s="201"/>
    </row>
    <row r="1670" spans="1:20" ht="22.5" hidden="1" customHeight="1" x14ac:dyDescent="0.25">
      <c r="A1670" s="208"/>
      <c r="B1670" s="238"/>
      <c r="C1670" s="198"/>
      <c r="D1670" s="198"/>
      <c r="E1670" s="199"/>
      <c r="F1670" s="200"/>
      <c r="G1670" s="201"/>
      <c r="H1670" s="208"/>
      <c r="I1670" s="209"/>
      <c r="J1670" s="209"/>
      <c r="K1670" s="198"/>
      <c r="L1670" s="204"/>
      <c r="M1670" s="205"/>
      <c r="N1670" s="206"/>
      <c r="O1670" s="207"/>
      <c r="P1670" s="207"/>
      <c r="Q1670" s="207"/>
      <c r="R1670" s="207"/>
      <c r="S1670" s="198"/>
      <c r="T1670" s="201"/>
    </row>
    <row r="1671" spans="1:20" ht="22.5" hidden="1" customHeight="1" x14ac:dyDescent="0.25">
      <c r="A1671" s="208"/>
      <c r="B1671" s="238"/>
      <c r="C1671" s="198"/>
      <c r="D1671" s="198"/>
      <c r="E1671" s="199"/>
      <c r="F1671" s="200"/>
      <c r="G1671" s="201"/>
      <c r="H1671" s="208"/>
      <c r="I1671" s="209"/>
      <c r="J1671" s="209"/>
      <c r="K1671" s="198"/>
      <c r="L1671" s="204"/>
      <c r="M1671" s="205"/>
      <c r="N1671" s="206"/>
      <c r="O1671" s="207"/>
      <c r="P1671" s="207"/>
      <c r="Q1671" s="207"/>
      <c r="R1671" s="207"/>
      <c r="S1671" s="198"/>
      <c r="T1671" s="201"/>
    </row>
    <row r="1672" spans="1:20" ht="22.5" hidden="1" customHeight="1" x14ac:dyDescent="0.25">
      <c r="A1672" s="208"/>
      <c r="B1672" s="238"/>
      <c r="C1672" s="198"/>
      <c r="D1672" s="198"/>
      <c r="E1672" s="199"/>
      <c r="F1672" s="200"/>
      <c r="G1672" s="201"/>
      <c r="H1672" s="208"/>
      <c r="I1672" s="209"/>
      <c r="J1672" s="209"/>
      <c r="K1672" s="198"/>
      <c r="L1672" s="204"/>
      <c r="M1672" s="205"/>
      <c r="N1672" s="206"/>
      <c r="O1672" s="207"/>
      <c r="P1672" s="207"/>
      <c r="Q1672" s="207"/>
      <c r="R1672" s="207"/>
      <c r="S1672" s="198"/>
      <c r="T1672" s="201"/>
    </row>
    <row r="1673" spans="1:20" ht="22.5" hidden="1" customHeight="1" x14ac:dyDescent="0.25">
      <c r="A1673" s="208"/>
      <c r="B1673" s="238"/>
      <c r="C1673" s="198"/>
      <c r="D1673" s="198"/>
      <c r="E1673" s="199"/>
      <c r="F1673" s="200"/>
      <c r="G1673" s="201"/>
      <c r="H1673" s="208"/>
      <c r="I1673" s="209"/>
      <c r="J1673" s="209"/>
      <c r="K1673" s="198"/>
      <c r="L1673" s="204"/>
      <c r="M1673" s="205"/>
      <c r="N1673" s="206"/>
      <c r="O1673" s="207"/>
      <c r="P1673" s="207"/>
      <c r="Q1673" s="207"/>
      <c r="R1673" s="207"/>
      <c r="S1673" s="198"/>
      <c r="T1673" s="201"/>
    </row>
    <row r="1674" spans="1:20" ht="22.5" hidden="1" customHeight="1" x14ac:dyDescent="0.25">
      <c r="A1674" s="208"/>
      <c r="B1674" s="238"/>
      <c r="C1674" s="198"/>
      <c r="D1674" s="198"/>
      <c r="E1674" s="199"/>
      <c r="F1674" s="200"/>
      <c r="G1674" s="201"/>
      <c r="H1674" s="208"/>
      <c r="I1674" s="209"/>
      <c r="J1674" s="209"/>
      <c r="K1674" s="198"/>
      <c r="L1674" s="204"/>
      <c r="M1674" s="205"/>
      <c r="N1674" s="206"/>
      <c r="O1674" s="207"/>
      <c r="P1674" s="207"/>
      <c r="Q1674" s="207"/>
      <c r="R1674" s="207"/>
      <c r="S1674" s="198"/>
      <c r="T1674" s="201"/>
    </row>
    <row r="1675" spans="1:20" ht="22.5" hidden="1" customHeight="1" x14ac:dyDescent="0.25">
      <c r="A1675" s="208"/>
      <c r="B1675" s="238"/>
      <c r="C1675" s="198"/>
      <c r="D1675" s="198"/>
      <c r="E1675" s="199"/>
      <c r="F1675" s="200"/>
      <c r="G1675" s="201"/>
      <c r="H1675" s="208"/>
      <c r="I1675" s="209"/>
      <c r="J1675" s="209"/>
      <c r="K1675" s="198"/>
      <c r="L1675" s="204"/>
      <c r="M1675" s="205"/>
      <c r="N1675" s="206"/>
      <c r="O1675" s="207"/>
      <c r="P1675" s="207"/>
      <c r="Q1675" s="207"/>
      <c r="R1675" s="207"/>
      <c r="S1675" s="198"/>
      <c r="T1675" s="201"/>
    </row>
    <row r="1676" spans="1:20" ht="22.5" hidden="1" customHeight="1" x14ac:dyDescent="0.25">
      <c r="A1676" s="208"/>
      <c r="B1676" s="238"/>
      <c r="C1676" s="198"/>
      <c r="D1676" s="198"/>
      <c r="E1676" s="199"/>
      <c r="F1676" s="200"/>
      <c r="G1676" s="201"/>
      <c r="H1676" s="208"/>
      <c r="I1676" s="209"/>
      <c r="J1676" s="209"/>
      <c r="K1676" s="198"/>
      <c r="L1676" s="204"/>
      <c r="M1676" s="205"/>
      <c r="N1676" s="206"/>
      <c r="O1676" s="207"/>
      <c r="P1676" s="207"/>
      <c r="Q1676" s="207"/>
      <c r="R1676" s="207"/>
      <c r="S1676" s="198"/>
      <c r="T1676" s="201"/>
    </row>
    <row r="1677" spans="1:20" ht="22.5" hidden="1" customHeight="1" x14ac:dyDescent="0.25">
      <c r="A1677" s="208"/>
      <c r="B1677" s="238"/>
      <c r="C1677" s="198"/>
      <c r="D1677" s="198"/>
      <c r="E1677" s="199"/>
      <c r="F1677" s="200"/>
      <c r="G1677" s="201"/>
      <c r="H1677" s="208"/>
      <c r="I1677" s="209"/>
      <c r="J1677" s="209"/>
      <c r="K1677" s="198"/>
      <c r="L1677" s="204"/>
      <c r="M1677" s="205"/>
      <c r="N1677" s="206"/>
      <c r="O1677" s="207"/>
      <c r="P1677" s="207"/>
      <c r="Q1677" s="207"/>
      <c r="R1677" s="207"/>
      <c r="S1677" s="198"/>
      <c r="T1677" s="201"/>
    </row>
    <row r="1678" spans="1:20" ht="22.5" hidden="1" customHeight="1" x14ac:dyDescent="0.25">
      <c r="A1678" s="208"/>
      <c r="B1678" s="238"/>
      <c r="C1678" s="198"/>
      <c r="D1678" s="198"/>
      <c r="E1678" s="199"/>
      <c r="F1678" s="200"/>
      <c r="G1678" s="201"/>
      <c r="H1678" s="208"/>
      <c r="I1678" s="209"/>
      <c r="J1678" s="209"/>
      <c r="K1678" s="198"/>
      <c r="L1678" s="204"/>
      <c r="M1678" s="205"/>
      <c r="N1678" s="206"/>
      <c r="O1678" s="207"/>
      <c r="P1678" s="207"/>
      <c r="Q1678" s="207"/>
      <c r="R1678" s="207"/>
      <c r="S1678" s="198"/>
      <c r="T1678" s="201"/>
    </row>
    <row r="1679" spans="1:20" ht="22.5" hidden="1" customHeight="1" x14ac:dyDescent="0.25">
      <c r="A1679" s="208"/>
      <c r="B1679" s="238"/>
      <c r="C1679" s="198"/>
      <c r="D1679" s="198"/>
      <c r="E1679" s="199"/>
      <c r="F1679" s="200"/>
      <c r="G1679" s="201"/>
      <c r="H1679" s="208"/>
      <c r="I1679" s="209"/>
      <c r="J1679" s="209"/>
      <c r="K1679" s="198"/>
      <c r="L1679" s="204"/>
      <c r="M1679" s="205"/>
      <c r="N1679" s="206"/>
      <c r="O1679" s="207"/>
      <c r="P1679" s="207"/>
      <c r="Q1679" s="207"/>
      <c r="R1679" s="207"/>
      <c r="S1679" s="198"/>
      <c r="T1679" s="201"/>
    </row>
    <row r="1680" spans="1:20" ht="22.5" hidden="1" customHeight="1" x14ac:dyDescent="0.25">
      <c r="A1680" s="208"/>
      <c r="B1680" s="238"/>
      <c r="C1680" s="198"/>
      <c r="D1680" s="198"/>
      <c r="E1680" s="199"/>
      <c r="F1680" s="200"/>
      <c r="G1680" s="201"/>
      <c r="H1680" s="208"/>
      <c r="I1680" s="209"/>
      <c r="J1680" s="209"/>
      <c r="K1680" s="198"/>
      <c r="L1680" s="204"/>
      <c r="M1680" s="205"/>
      <c r="N1680" s="206"/>
      <c r="O1680" s="207"/>
      <c r="P1680" s="207"/>
      <c r="Q1680" s="207"/>
      <c r="R1680" s="207"/>
      <c r="S1680" s="198"/>
      <c r="T1680" s="201"/>
    </row>
    <row r="1681" spans="1:20" ht="22.5" hidden="1" customHeight="1" x14ac:dyDescent="0.25">
      <c r="A1681" s="208"/>
      <c r="B1681" s="238"/>
      <c r="C1681" s="198"/>
      <c r="D1681" s="198"/>
      <c r="E1681" s="199"/>
      <c r="F1681" s="200"/>
      <c r="G1681" s="201"/>
      <c r="H1681" s="208"/>
      <c r="I1681" s="209"/>
      <c r="J1681" s="209"/>
      <c r="K1681" s="198"/>
      <c r="L1681" s="204"/>
      <c r="M1681" s="205"/>
      <c r="N1681" s="206"/>
      <c r="O1681" s="207"/>
      <c r="P1681" s="207"/>
      <c r="Q1681" s="207"/>
      <c r="R1681" s="207"/>
      <c r="S1681" s="198"/>
      <c r="T1681" s="201"/>
    </row>
    <row r="1682" spans="1:20" ht="22.5" hidden="1" customHeight="1" x14ac:dyDescent="0.25">
      <c r="A1682" s="208"/>
      <c r="B1682" s="238"/>
      <c r="C1682" s="198"/>
      <c r="D1682" s="198"/>
      <c r="E1682" s="199"/>
      <c r="F1682" s="200"/>
      <c r="G1682" s="201"/>
      <c r="H1682" s="208"/>
      <c r="I1682" s="209"/>
      <c r="J1682" s="209"/>
      <c r="K1682" s="198"/>
      <c r="L1682" s="204"/>
      <c r="M1682" s="205"/>
      <c r="N1682" s="206"/>
      <c r="O1682" s="207"/>
      <c r="P1682" s="207"/>
      <c r="Q1682" s="207"/>
      <c r="R1682" s="207"/>
      <c r="S1682" s="198"/>
      <c r="T1682" s="201"/>
    </row>
    <row r="1683" spans="1:20" ht="22.5" hidden="1" customHeight="1" x14ac:dyDescent="0.25">
      <c r="A1683" s="208"/>
      <c r="B1683" s="238"/>
      <c r="C1683" s="198"/>
      <c r="D1683" s="198"/>
      <c r="E1683" s="199"/>
      <c r="F1683" s="200"/>
      <c r="G1683" s="201"/>
      <c r="H1683" s="208"/>
      <c r="I1683" s="209"/>
      <c r="J1683" s="209"/>
      <c r="K1683" s="198"/>
      <c r="L1683" s="204"/>
      <c r="M1683" s="205"/>
      <c r="N1683" s="206"/>
      <c r="O1683" s="207"/>
      <c r="P1683" s="207"/>
      <c r="Q1683" s="207"/>
      <c r="R1683" s="207"/>
      <c r="S1683" s="198"/>
      <c r="T1683" s="201"/>
    </row>
    <row r="1684" spans="1:20" ht="22.5" hidden="1" customHeight="1" x14ac:dyDescent="0.25">
      <c r="A1684" s="208"/>
      <c r="B1684" s="238"/>
      <c r="C1684" s="198"/>
      <c r="D1684" s="198"/>
      <c r="E1684" s="199"/>
      <c r="F1684" s="200"/>
      <c r="G1684" s="201"/>
      <c r="H1684" s="208"/>
      <c r="I1684" s="209"/>
      <c r="J1684" s="209"/>
      <c r="K1684" s="198"/>
      <c r="L1684" s="204"/>
      <c r="M1684" s="205"/>
      <c r="N1684" s="206"/>
      <c r="O1684" s="207"/>
      <c r="P1684" s="207"/>
      <c r="Q1684" s="207"/>
      <c r="R1684" s="207"/>
      <c r="S1684" s="198"/>
      <c r="T1684" s="201"/>
    </row>
    <row r="1685" spans="1:20" ht="22.5" hidden="1" customHeight="1" x14ac:dyDescent="0.25">
      <c r="A1685" s="208"/>
      <c r="B1685" s="238"/>
      <c r="C1685" s="198"/>
      <c r="D1685" s="198"/>
      <c r="E1685" s="199"/>
      <c r="F1685" s="200"/>
      <c r="G1685" s="201"/>
      <c r="H1685" s="208"/>
      <c r="I1685" s="209"/>
      <c r="J1685" s="209"/>
      <c r="K1685" s="198"/>
      <c r="L1685" s="204"/>
      <c r="M1685" s="205"/>
      <c r="N1685" s="206"/>
      <c r="O1685" s="207"/>
      <c r="P1685" s="207"/>
      <c r="Q1685" s="207"/>
      <c r="R1685" s="207"/>
      <c r="S1685" s="198"/>
      <c r="T1685" s="201"/>
    </row>
    <row r="1686" spans="1:20" ht="22.5" hidden="1" customHeight="1" x14ac:dyDescent="0.25">
      <c r="A1686" s="208"/>
      <c r="B1686" s="238"/>
      <c r="C1686" s="198"/>
      <c r="D1686" s="198"/>
      <c r="E1686" s="199"/>
      <c r="F1686" s="200"/>
      <c r="G1686" s="201"/>
      <c r="H1686" s="208"/>
      <c r="I1686" s="209"/>
      <c r="J1686" s="209"/>
      <c r="K1686" s="198"/>
      <c r="L1686" s="204"/>
      <c r="M1686" s="205"/>
      <c r="N1686" s="206"/>
      <c r="O1686" s="207"/>
      <c r="P1686" s="207"/>
      <c r="Q1686" s="207"/>
      <c r="R1686" s="207"/>
      <c r="S1686" s="198"/>
      <c r="T1686" s="201"/>
    </row>
    <row r="1687" spans="1:20" ht="22.5" hidden="1" customHeight="1" x14ac:dyDescent="0.25">
      <c r="A1687" s="208"/>
      <c r="B1687" s="238"/>
      <c r="C1687" s="198"/>
      <c r="D1687" s="198"/>
      <c r="E1687" s="199"/>
      <c r="F1687" s="200"/>
      <c r="G1687" s="201"/>
      <c r="H1687" s="208"/>
      <c r="I1687" s="209"/>
      <c r="J1687" s="209"/>
      <c r="K1687" s="198"/>
      <c r="L1687" s="204"/>
      <c r="M1687" s="205"/>
      <c r="N1687" s="206"/>
      <c r="O1687" s="207"/>
      <c r="P1687" s="207"/>
      <c r="Q1687" s="207"/>
      <c r="R1687" s="207"/>
      <c r="S1687" s="198"/>
      <c r="T1687" s="201"/>
    </row>
    <row r="1688" spans="1:20" ht="22.5" hidden="1" customHeight="1" x14ac:dyDescent="0.25">
      <c r="A1688" s="208"/>
      <c r="B1688" s="238"/>
      <c r="C1688" s="198"/>
      <c r="D1688" s="198"/>
      <c r="E1688" s="199"/>
      <c r="F1688" s="200"/>
      <c r="G1688" s="201"/>
      <c r="H1688" s="208"/>
      <c r="I1688" s="209"/>
      <c r="J1688" s="209"/>
      <c r="K1688" s="198"/>
      <c r="L1688" s="204"/>
      <c r="M1688" s="205"/>
      <c r="N1688" s="206"/>
      <c r="O1688" s="207"/>
      <c r="P1688" s="207"/>
      <c r="Q1688" s="207"/>
      <c r="R1688" s="207"/>
      <c r="S1688" s="198"/>
      <c r="T1688" s="201"/>
    </row>
    <row r="1689" spans="1:20" ht="22.5" hidden="1" customHeight="1" x14ac:dyDescent="0.25">
      <c r="A1689" s="208"/>
      <c r="B1689" s="238"/>
      <c r="C1689" s="198"/>
      <c r="D1689" s="198"/>
      <c r="E1689" s="199"/>
      <c r="F1689" s="200"/>
      <c r="G1689" s="201"/>
      <c r="H1689" s="208"/>
      <c r="I1689" s="209"/>
      <c r="J1689" s="209"/>
      <c r="K1689" s="198"/>
      <c r="L1689" s="204"/>
      <c r="M1689" s="205"/>
      <c r="N1689" s="206"/>
      <c r="O1689" s="207"/>
      <c r="P1689" s="207"/>
      <c r="Q1689" s="207"/>
      <c r="R1689" s="207"/>
      <c r="S1689" s="198"/>
      <c r="T1689" s="201"/>
    </row>
    <row r="1690" spans="1:20" ht="22.5" hidden="1" customHeight="1" x14ac:dyDescent="0.25">
      <c r="A1690" s="208"/>
      <c r="B1690" s="238"/>
      <c r="C1690" s="198"/>
      <c r="D1690" s="198"/>
      <c r="E1690" s="199"/>
      <c r="F1690" s="200"/>
      <c r="G1690" s="201"/>
      <c r="H1690" s="208"/>
      <c r="I1690" s="209"/>
      <c r="J1690" s="209"/>
      <c r="K1690" s="198"/>
      <c r="L1690" s="204"/>
      <c r="M1690" s="205"/>
      <c r="N1690" s="206"/>
      <c r="O1690" s="207"/>
      <c r="P1690" s="207"/>
      <c r="Q1690" s="207"/>
      <c r="R1690" s="207"/>
      <c r="S1690" s="198"/>
      <c r="T1690" s="201"/>
    </row>
    <row r="1691" spans="1:20" ht="22.5" hidden="1" customHeight="1" x14ac:dyDescent="0.25">
      <c r="A1691" s="208"/>
      <c r="B1691" s="238"/>
      <c r="C1691" s="198"/>
      <c r="D1691" s="198"/>
      <c r="E1691" s="199"/>
      <c r="F1691" s="200"/>
      <c r="G1691" s="201"/>
      <c r="H1691" s="208"/>
      <c r="I1691" s="209"/>
      <c r="J1691" s="209"/>
      <c r="K1691" s="198"/>
      <c r="L1691" s="204"/>
      <c r="M1691" s="205"/>
      <c r="N1691" s="206"/>
      <c r="O1691" s="207"/>
      <c r="P1691" s="207"/>
      <c r="Q1691" s="207"/>
      <c r="R1691" s="207"/>
      <c r="S1691" s="198"/>
      <c r="T1691" s="201"/>
    </row>
    <row r="1692" spans="1:20" ht="22.5" hidden="1" customHeight="1" x14ac:dyDescent="0.25">
      <c r="A1692" s="208"/>
      <c r="B1692" s="238"/>
      <c r="C1692" s="198"/>
      <c r="D1692" s="198"/>
      <c r="E1692" s="199"/>
      <c r="F1692" s="200"/>
      <c r="G1692" s="201"/>
      <c r="H1692" s="208"/>
      <c r="I1692" s="209"/>
      <c r="J1692" s="209"/>
      <c r="K1692" s="198"/>
      <c r="L1692" s="204"/>
      <c r="M1692" s="205"/>
      <c r="N1692" s="206"/>
      <c r="O1692" s="207"/>
      <c r="P1692" s="207"/>
      <c r="Q1692" s="207"/>
      <c r="R1692" s="207"/>
      <c r="S1692" s="198"/>
      <c r="T1692" s="201"/>
    </row>
    <row r="1693" spans="1:20" ht="22.5" hidden="1" customHeight="1" x14ac:dyDescent="0.25">
      <c r="A1693" s="208"/>
      <c r="B1693" s="238"/>
      <c r="C1693" s="198"/>
      <c r="D1693" s="198"/>
      <c r="E1693" s="199"/>
      <c r="F1693" s="200"/>
      <c r="G1693" s="201"/>
      <c r="H1693" s="208"/>
      <c r="I1693" s="209"/>
      <c r="J1693" s="209"/>
      <c r="K1693" s="198"/>
      <c r="L1693" s="204"/>
      <c r="M1693" s="205"/>
      <c r="N1693" s="206"/>
      <c r="O1693" s="207"/>
      <c r="P1693" s="207"/>
      <c r="Q1693" s="207"/>
      <c r="R1693" s="207"/>
      <c r="S1693" s="198"/>
      <c r="T1693" s="201"/>
    </row>
    <row r="1694" spans="1:20" ht="22.5" hidden="1" customHeight="1" x14ac:dyDescent="0.25">
      <c r="A1694" s="208"/>
      <c r="B1694" s="238"/>
      <c r="C1694" s="198"/>
      <c r="D1694" s="198"/>
      <c r="E1694" s="199"/>
      <c r="F1694" s="200"/>
      <c r="G1694" s="201"/>
      <c r="H1694" s="208"/>
      <c r="I1694" s="209"/>
      <c r="J1694" s="209"/>
      <c r="K1694" s="198"/>
      <c r="L1694" s="204"/>
      <c r="M1694" s="205"/>
      <c r="N1694" s="206"/>
      <c r="O1694" s="207"/>
      <c r="P1694" s="207"/>
      <c r="Q1694" s="207"/>
      <c r="R1694" s="207"/>
      <c r="S1694" s="198"/>
      <c r="T1694" s="201"/>
    </row>
    <row r="1695" spans="1:20" ht="22.5" hidden="1" customHeight="1" x14ac:dyDescent="0.25">
      <c r="A1695" s="208"/>
      <c r="B1695" s="238"/>
      <c r="C1695" s="198"/>
      <c r="D1695" s="198"/>
      <c r="E1695" s="199"/>
      <c r="F1695" s="200"/>
      <c r="G1695" s="201"/>
      <c r="H1695" s="208"/>
      <c r="I1695" s="209"/>
      <c r="J1695" s="209"/>
      <c r="K1695" s="198"/>
      <c r="L1695" s="204"/>
      <c r="M1695" s="205"/>
      <c r="N1695" s="206"/>
      <c r="O1695" s="207"/>
      <c r="P1695" s="207"/>
      <c r="Q1695" s="207"/>
      <c r="R1695" s="207"/>
      <c r="S1695" s="198"/>
      <c r="T1695" s="201"/>
    </row>
    <row r="1696" spans="1:20" ht="22.5" hidden="1" customHeight="1" x14ac:dyDescent="0.25">
      <c r="A1696" s="208"/>
      <c r="B1696" s="238"/>
      <c r="C1696" s="198"/>
      <c r="D1696" s="198"/>
      <c r="E1696" s="199"/>
      <c r="F1696" s="200"/>
      <c r="G1696" s="201"/>
      <c r="H1696" s="208"/>
      <c r="I1696" s="209"/>
      <c r="J1696" s="209"/>
      <c r="K1696" s="198"/>
      <c r="L1696" s="204"/>
      <c r="M1696" s="205"/>
      <c r="N1696" s="206"/>
      <c r="O1696" s="207"/>
      <c r="P1696" s="207"/>
      <c r="Q1696" s="207"/>
      <c r="R1696" s="207"/>
      <c r="S1696" s="198"/>
      <c r="T1696" s="201"/>
    </row>
    <row r="1697" spans="1:20" ht="22.5" hidden="1" customHeight="1" x14ac:dyDescent="0.25">
      <c r="A1697" s="208"/>
      <c r="B1697" s="238"/>
      <c r="C1697" s="198"/>
      <c r="D1697" s="198"/>
      <c r="E1697" s="199"/>
      <c r="F1697" s="200"/>
      <c r="G1697" s="201"/>
      <c r="H1697" s="208"/>
      <c r="I1697" s="209"/>
      <c r="J1697" s="209"/>
      <c r="K1697" s="198"/>
      <c r="L1697" s="204"/>
      <c r="M1697" s="205"/>
      <c r="N1697" s="206"/>
      <c r="O1697" s="207"/>
      <c r="P1697" s="207"/>
      <c r="Q1697" s="207"/>
      <c r="R1697" s="207"/>
      <c r="S1697" s="198"/>
      <c r="T1697" s="201"/>
    </row>
    <row r="1698" spans="1:20" ht="22.5" hidden="1" customHeight="1" x14ac:dyDescent="0.25">
      <c r="A1698" s="208"/>
      <c r="B1698" s="238"/>
      <c r="C1698" s="198"/>
      <c r="D1698" s="198"/>
      <c r="E1698" s="199"/>
      <c r="F1698" s="200"/>
      <c r="G1698" s="201"/>
      <c r="H1698" s="208"/>
      <c r="I1698" s="209"/>
      <c r="J1698" s="209"/>
      <c r="K1698" s="198"/>
      <c r="L1698" s="204"/>
      <c r="M1698" s="205"/>
      <c r="N1698" s="206"/>
      <c r="O1698" s="207"/>
      <c r="P1698" s="207"/>
      <c r="Q1698" s="207"/>
      <c r="R1698" s="207"/>
      <c r="S1698" s="198"/>
      <c r="T1698" s="201"/>
    </row>
    <row r="1699" spans="1:20" ht="22.5" hidden="1" customHeight="1" x14ac:dyDescent="0.25">
      <c r="A1699" s="208"/>
      <c r="B1699" s="238"/>
      <c r="C1699" s="198"/>
      <c r="D1699" s="198"/>
      <c r="E1699" s="199"/>
      <c r="F1699" s="200"/>
      <c r="G1699" s="201"/>
      <c r="H1699" s="208"/>
      <c r="I1699" s="209"/>
      <c r="J1699" s="209"/>
      <c r="K1699" s="198"/>
      <c r="L1699" s="204"/>
      <c r="M1699" s="205"/>
      <c r="N1699" s="206"/>
      <c r="O1699" s="207"/>
      <c r="P1699" s="207"/>
      <c r="Q1699" s="207"/>
      <c r="R1699" s="207"/>
      <c r="S1699" s="198"/>
      <c r="T1699" s="201"/>
    </row>
    <row r="1700" spans="1:20" ht="22.5" hidden="1" customHeight="1" x14ac:dyDescent="0.25">
      <c r="A1700" s="208"/>
      <c r="B1700" s="238"/>
      <c r="C1700" s="198"/>
      <c r="D1700" s="198"/>
      <c r="E1700" s="199"/>
      <c r="F1700" s="200"/>
      <c r="G1700" s="201"/>
      <c r="H1700" s="208"/>
      <c r="I1700" s="209"/>
      <c r="J1700" s="209"/>
      <c r="K1700" s="198"/>
      <c r="L1700" s="204"/>
      <c r="M1700" s="205"/>
      <c r="N1700" s="206"/>
      <c r="O1700" s="207"/>
      <c r="P1700" s="207"/>
      <c r="Q1700" s="207"/>
      <c r="R1700" s="207"/>
      <c r="S1700" s="198"/>
      <c r="T1700" s="201"/>
    </row>
    <row r="1701" spans="1:20" ht="22.5" hidden="1" customHeight="1" x14ac:dyDescent="0.25">
      <c r="A1701" s="208"/>
      <c r="B1701" s="238"/>
      <c r="C1701" s="198"/>
      <c r="D1701" s="198"/>
      <c r="E1701" s="199"/>
      <c r="F1701" s="200"/>
      <c r="G1701" s="201"/>
      <c r="H1701" s="208"/>
      <c r="I1701" s="209"/>
      <c r="J1701" s="209"/>
      <c r="K1701" s="198"/>
      <c r="L1701" s="204"/>
      <c r="M1701" s="205"/>
      <c r="N1701" s="206"/>
      <c r="O1701" s="207"/>
      <c r="P1701" s="207"/>
      <c r="Q1701" s="207"/>
      <c r="R1701" s="207"/>
      <c r="S1701" s="198"/>
      <c r="T1701" s="201"/>
    </row>
    <row r="1702" spans="1:20" ht="22.5" hidden="1" customHeight="1" x14ac:dyDescent="0.25">
      <c r="A1702" s="208"/>
      <c r="B1702" s="238"/>
      <c r="C1702" s="198"/>
      <c r="D1702" s="198"/>
      <c r="E1702" s="199"/>
      <c r="F1702" s="200"/>
      <c r="G1702" s="201"/>
      <c r="H1702" s="208"/>
      <c r="I1702" s="209"/>
      <c r="J1702" s="209"/>
      <c r="K1702" s="198"/>
      <c r="L1702" s="204"/>
      <c r="M1702" s="205"/>
      <c r="N1702" s="206"/>
      <c r="O1702" s="207"/>
      <c r="P1702" s="207"/>
      <c r="Q1702" s="207"/>
      <c r="R1702" s="207"/>
      <c r="S1702" s="198"/>
      <c r="T1702" s="201"/>
    </row>
    <row r="1703" spans="1:20" ht="22.5" hidden="1" customHeight="1" x14ac:dyDescent="0.25">
      <c r="A1703" s="208"/>
      <c r="B1703" s="238"/>
      <c r="C1703" s="198"/>
      <c r="D1703" s="198"/>
      <c r="E1703" s="199"/>
      <c r="F1703" s="200"/>
      <c r="G1703" s="201"/>
      <c r="H1703" s="208"/>
      <c r="I1703" s="209"/>
      <c r="J1703" s="209"/>
      <c r="K1703" s="198"/>
      <c r="L1703" s="204"/>
      <c r="M1703" s="205"/>
      <c r="N1703" s="206"/>
      <c r="O1703" s="207"/>
      <c r="P1703" s="207"/>
      <c r="Q1703" s="207"/>
      <c r="R1703" s="207"/>
      <c r="S1703" s="198"/>
      <c r="T1703" s="201"/>
    </row>
    <row r="1704" spans="1:20" ht="22.5" hidden="1" customHeight="1" x14ac:dyDescent="0.25">
      <c r="A1704" s="208"/>
      <c r="B1704" s="238"/>
      <c r="C1704" s="198"/>
      <c r="D1704" s="198"/>
      <c r="E1704" s="199"/>
      <c r="F1704" s="200"/>
      <c r="G1704" s="201"/>
      <c r="H1704" s="208"/>
      <c r="I1704" s="209"/>
      <c r="J1704" s="209"/>
      <c r="K1704" s="198"/>
      <c r="L1704" s="204"/>
      <c r="M1704" s="205"/>
      <c r="N1704" s="206"/>
      <c r="O1704" s="207"/>
      <c r="P1704" s="207"/>
      <c r="Q1704" s="207"/>
      <c r="R1704" s="207"/>
      <c r="S1704" s="198"/>
      <c r="T1704" s="201"/>
    </row>
    <row r="1705" spans="1:20" ht="22.5" hidden="1" customHeight="1" x14ac:dyDescent="0.25">
      <c r="A1705" s="208"/>
      <c r="B1705" s="238"/>
      <c r="C1705" s="198"/>
      <c r="D1705" s="198"/>
      <c r="E1705" s="199"/>
      <c r="F1705" s="200"/>
      <c r="G1705" s="201"/>
      <c r="H1705" s="208"/>
      <c r="I1705" s="209"/>
      <c r="J1705" s="209"/>
      <c r="K1705" s="198"/>
      <c r="L1705" s="204"/>
      <c r="M1705" s="205"/>
      <c r="N1705" s="206"/>
      <c r="O1705" s="207"/>
      <c r="P1705" s="207"/>
      <c r="Q1705" s="207"/>
      <c r="R1705" s="207"/>
      <c r="S1705" s="198"/>
      <c r="T1705" s="201"/>
    </row>
    <row r="1706" spans="1:20" ht="22.5" hidden="1" customHeight="1" x14ac:dyDescent="0.25">
      <c r="A1706" s="208"/>
      <c r="B1706" s="238"/>
      <c r="C1706" s="198"/>
      <c r="D1706" s="198"/>
      <c r="E1706" s="199"/>
      <c r="F1706" s="200"/>
      <c r="G1706" s="201"/>
      <c r="H1706" s="208"/>
      <c r="I1706" s="209"/>
      <c r="J1706" s="209"/>
      <c r="K1706" s="198"/>
      <c r="L1706" s="204"/>
      <c r="M1706" s="205"/>
      <c r="N1706" s="206"/>
      <c r="O1706" s="207"/>
      <c r="P1706" s="207"/>
      <c r="Q1706" s="207"/>
      <c r="R1706" s="207"/>
      <c r="S1706" s="198"/>
      <c r="T1706" s="201"/>
    </row>
    <row r="1707" spans="1:20" ht="22.5" hidden="1" customHeight="1" x14ac:dyDescent="0.25">
      <c r="A1707" s="208"/>
      <c r="B1707" s="238"/>
      <c r="C1707" s="198"/>
      <c r="D1707" s="198"/>
      <c r="E1707" s="199"/>
      <c r="F1707" s="200"/>
      <c r="G1707" s="201"/>
      <c r="H1707" s="208"/>
      <c r="I1707" s="209"/>
      <c r="J1707" s="209"/>
      <c r="K1707" s="198"/>
      <c r="L1707" s="204"/>
      <c r="M1707" s="205"/>
      <c r="N1707" s="206"/>
      <c r="O1707" s="207"/>
      <c r="P1707" s="207"/>
      <c r="Q1707" s="207"/>
      <c r="R1707" s="207"/>
      <c r="S1707" s="198"/>
      <c r="T1707" s="201"/>
    </row>
    <row r="1708" spans="1:20" ht="22.5" hidden="1" customHeight="1" x14ac:dyDescent="0.25">
      <c r="A1708" s="208"/>
      <c r="B1708" s="238"/>
      <c r="C1708" s="198"/>
      <c r="D1708" s="198"/>
      <c r="E1708" s="199"/>
      <c r="F1708" s="200"/>
      <c r="G1708" s="201"/>
      <c r="H1708" s="208"/>
      <c r="I1708" s="209"/>
      <c r="J1708" s="209"/>
      <c r="K1708" s="198"/>
      <c r="L1708" s="204"/>
      <c r="M1708" s="205"/>
      <c r="N1708" s="206"/>
      <c r="O1708" s="207"/>
      <c r="P1708" s="207"/>
      <c r="Q1708" s="207"/>
      <c r="R1708" s="207"/>
      <c r="S1708" s="198"/>
      <c r="T1708" s="201"/>
    </row>
    <row r="1709" spans="1:20" ht="22.5" hidden="1" customHeight="1" x14ac:dyDescent="0.25">
      <c r="A1709" s="208"/>
      <c r="B1709" s="238"/>
      <c r="C1709" s="198"/>
      <c r="D1709" s="198"/>
      <c r="E1709" s="199"/>
      <c r="F1709" s="200"/>
      <c r="G1709" s="201"/>
      <c r="H1709" s="208"/>
      <c r="I1709" s="209"/>
      <c r="J1709" s="209"/>
      <c r="K1709" s="198"/>
      <c r="L1709" s="204"/>
      <c r="M1709" s="205"/>
      <c r="N1709" s="206"/>
      <c r="O1709" s="207"/>
      <c r="P1709" s="207"/>
      <c r="Q1709" s="207"/>
      <c r="R1709" s="207"/>
      <c r="S1709" s="198"/>
      <c r="T1709" s="201"/>
    </row>
    <row r="1710" spans="1:20" ht="22.5" hidden="1" customHeight="1" x14ac:dyDescent="0.25">
      <c r="A1710" s="208"/>
      <c r="B1710" s="238"/>
      <c r="C1710" s="198"/>
      <c r="D1710" s="198"/>
      <c r="E1710" s="199"/>
      <c r="F1710" s="200"/>
      <c r="G1710" s="201"/>
      <c r="H1710" s="208"/>
      <c r="I1710" s="209"/>
      <c r="J1710" s="209"/>
      <c r="K1710" s="198"/>
      <c r="L1710" s="204"/>
      <c r="M1710" s="205"/>
      <c r="N1710" s="206"/>
      <c r="O1710" s="207"/>
      <c r="P1710" s="207"/>
      <c r="Q1710" s="207"/>
      <c r="R1710" s="207"/>
      <c r="S1710" s="198"/>
      <c r="T1710" s="201"/>
    </row>
    <row r="1711" spans="1:20" ht="22.5" hidden="1" customHeight="1" x14ac:dyDescent="0.25">
      <c r="A1711" s="208"/>
      <c r="B1711" s="238"/>
      <c r="C1711" s="198"/>
      <c r="D1711" s="198"/>
      <c r="E1711" s="199"/>
      <c r="F1711" s="200"/>
      <c r="G1711" s="201"/>
      <c r="H1711" s="208"/>
      <c r="I1711" s="209"/>
      <c r="J1711" s="209"/>
      <c r="K1711" s="198"/>
      <c r="L1711" s="204"/>
      <c r="M1711" s="205"/>
      <c r="N1711" s="206"/>
      <c r="O1711" s="207"/>
      <c r="P1711" s="207"/>
      <c r="Q1711" s="207"/>
      <c r="R1711" s="207"/>
      <c r="S1711" s="198"/>
      <c r="T1711" s="201"/>
    </row>
    <row r="1712" spans="1:20" ht="22.5" hidden="1" customHeight="1" x14ac:dyDescent="0.25">
      <c r="A1712" s="208"/>
      <c r="B1712" s="238"/>
      <c r="C1712" s="198"/>
      <c r="D1712" s="198"/>
      <c r="E1712" s="199"/>
      <c r="F1712" s="200"/>
      <c r="G1712" s="201"/>
      <c r="H1712" s="208"/>
      <c r="I1712" s="209"/>
      <c r="J1712" s="209"/>
      <c r="K1712" s="198"/>
      <c r="L1712" s="204"/>
      <c r="M1712" s="205"/>
      <c r="N1712" s="206"/>
      <c r="O1712" s="207"/>
      <c r="P1712" s="207"/>
      <c r="Q1712" s="207"/>
      <c r="R1712" s="207"/>
      <c r="S1712" s="198"/>
      <c r="T1712" s="201"/>
    </row>
    <row r="1713" spans="1:20" ht="22.5" hidden="1" customHeight="1" x14ac:dyDescent="0.25">
      <c r="A1713" s="208"/>
      <c r="B1713" s="238"/>
      <c r="C1713" s="198"/>
      <c r="D1713" s="198"/>
      <c r="E1713" s="199"/>
      <c r="F1713" s="200"/>
      <c r="G1713" s="201"/>
      <c r="H1713" s="208"/>
      <c r="I1713" s="209"/>
      <c r="J1713" s="209"/>
      <c r="K1713" s="198"/>
      <c r="L1713" s="204"/>
      <c r="M1713" s="205"/>
      <c r="N1713" s="206"/>
      <c r="O1713" s="207"/>
      <c r="P1713" s="207"/>
      <c r="Q1713" s="207"/>
      <c r="R1713" s="207"/>
      <c r="S1713" s="198"/>
      <c r="T1713" s="201"/>
    </row>
    <row r="1714" spans="1:20" ht="22.5" hidden="1" customHeight="1" x14ac:dyDescent="0.25">
      <c r="A1714" s="208"/>
      <c r="B1714" s="238"/>
      <c r="C1714" s="198"/>
      <c r="D1714" s="198"/>
      <c r="E1714" s="199"/>
      <c r="F1714" s="200"/>
      <c r="G1714" s="201"/>
      <c r="H1714" s="208"/>
      <c r="I1714" s="209"/>
      <c r="J1714" s="209"/>
      <c r="K1714" s="198"/>
      <c r="L1714" s="204"/>
      <c r="M1714" s="205"/>
      <c r="N1714" s="206"/>
      <c r="O1714" s="207"/>
      <c r="P1714" s="207"/>
      <c r="Q1714" s="207"/>
      <c r="R1714" s="207"/>
      <c r="S1714" s="198"/>
      <c r="T1714" s="201"/>
    </row>
    <row r="1715" spans="1:20" ht="22.5" hidden="1" customHeight="1" x14ac:dyDescent="0.25">
      <c r="A1715" s="208"/>
      <c r="B1715" s="238"/>
      <c r="C1715" s="198"/>
      <c r="D1715" s="198"/>
      <c r="E1715" s="199"/>
      <c r="F1715" s="200"/>
      <c r="G1715" s="201"/>
      <c r="H1715" s="208"/>
      <c r="I1715" s="209"/>
      <c r="J1715" s="209"/>
      <c r="K1715" s="198"/>
      <c r="L1715" s="204"/>
      <c r="M1715" s="205"/>
      <c r="N1715" s="206"/>
      <c r="O1715" s="207"/>
      <c r="P1715" s="207"/>
      <c r="Q1715" s="207"/>
      <c r="R1715" s="207"/>
      <c r="S1715" s="198"/>
      <c r="T1715" s="201"/>
    </row>
    <row r="1716" spans="1:20" ht="22.5" hidden="1" customHeight="1" x14ac:dyDescent="0.25">
      <c r="A1716" s="208"/>
      <c r="B1716" s="238"/>
      <c r="C1716" s="198"/>
      <c r="D1716" s="198"/>
      <c r="E1716" s="199"/>
      <c r="F1716" s="200"/>
      <c r="G1716" s="201"/>
      <c r="H1716" s="208"/>
      <c r="I1716" s="209"/>
      <c r="J1716" s="209"/>
      <c r="K1716" s="198"/>
      <c r="L1716" s="204"/>
      <c r="M1716" s="205"/>
      <c r="N1716" s="206"/>
      <c r="O1716" s="207"/>
      <c r="P1716" s="207"/>
      <c r="Q1716" s="207"/>
      <c r="R1716" s="207"/>
      <c r="S1716" s="198"/>
      <c r="T1716" s="201"/>
    </row>
    <row r="1717" spans="1:20" ht="22.5" hidden="1" customHeight="1" x14ac:dyDescent="0.25">
      <c r="A1717" s="208"/>
      <c r="B1717" s="238"/>
      <c r="C1717" s="198"/>
      <c r="D1717" s="198"/>
      <c r="E1717" s="199"/>
      <c r="F1717" s="200"/>
      <c r="G1717" s="201"/>
      <c r="H1717" s="208"/>
      <c r="I1717" s="209"/>
      <c r="J1717" s="209"/>
      <c r="K1717" s="198"/>
      <c r="L1717" s="204"/>
      <c r="M1717" s="205"/>
      <c r="N1717" s="206"/>
      <c r="O1717" s="207"/>
      <c r="P1717" s="207"/>
      <c r="Q1717" s="207"/>
      <c r="R1717" s="207"/>
      <c r="S1717" s="198"/>
      <c r="T1717" s="201"/>
    </row>
    <row r="1718" spans="1:20" ht="22.5" hidden="1" customHeight="1" x14ac:dyDescent="0.25">
      <c r="A1718" s="208"/>
      <c r="B1718" s="238"/>
      <c r="C1718" s="198"/>
      <c r="D1718" s="198"/>
      <c r="E1718" s="199"/>
      <c r="F1718" s="200"/>
      <c r="G1718" s="201"/>
      <c r="H1718" s="208"/>
      <c r="I1718" s="209"/>
      <c r="J1718" s="209"/>
      <c r="K1718" s="198"/>
      <c r="L1718" s="204"/>
      <c r="M1718" s="205"/>
      <c r="N1718" s="206"/>
      <c r="O1718" s="207"/>
      <c r="P1718" s="207"/>
      <c r="Q1718" s="207"/>
      <c r="R1718" s="207"/>
      <c r="S1718" s="198"/>
      <c r="T1718" s="201"/>
    </row>
    <row r="1719" spans="1:20" ht="22.5" hidden="1" customHeight="1" x14ac:dyDescent="0.25">
      <c r="A1719" s="208"/>
      <c r="B1719" s="238"/>
      <c r="C1719" s="198"/>
      <c r="D1719" s="198"/>
      <c r="E1719" s="199"/>
      <c r="F1719" s="200"/>
      <c r="G1719" s="201"/>
      <c r="H1719" s="208"/>
      <c r="I1719" s="209"/>
      <c r="J1719" s="209"/>
      <c r="K1719" s="198"/>
      <c r="L1719" s="204"/>
      <c r="M1719" s="205"/>
      <c r="N1719" s="206"/>
      <c r="O1719" s="207"/>
      <c r="P1719" s="207"/>
      <c r="Q1719" s="207"/>
      <c r="R1719" s="207"/>
      <c r="S1719" s="198"/>
      <c r="T1719" s="201"/>
    </row>
    <row r="1720" spans="1:20" ht="22.5" hidden="1" customHeight="1" x14ac:dyDescent="0.25">
      <c r="A1720" s="208"/>
      <c r="B1720" s="238"/>
      <c r="C1720" s="198"/>
      <c r="D1720" s="198"/>
      <c r="E1720" s="199"/>
      <c r="F1720" s="200"/>
      <c r="G1720" s="201"/>
      <c r="H1720" s="208"/>
      <c r="I1720" s="209"/>
      <c r="J1720" s="209"/>
      <c r="K1720" s="198"/>
      <c r="L1720" s="204"/>
      <c r="M1720" s="205"/>
      <c r="N1720" s="206"/>
      <c r="O1720" s="207"/>
      <c r="P1720" s="207"/>
      <c r="Q1720" s="207"/>
      <c r="R1720" s="207"/>
      <c r="S1720" s="198"/>
      <c r="T1720" s="201"/>
    </row>
    <row r="1721" spans="1:20" ht="22.5" hidden="1" customHeight="1" x14ac:dyDescent="0.25">
      <c r="A1721" s="208"/>
      <c r="B1721" s="238"/>
      <c r="C1721" s="198"/>
      <c r="D1721" s="198"/>
      <c r="E1721" s="199"/>
      <c r="F1721" s="200"/>
      <c r="G1721" s="201"/>
      <c r="H1721" s="208"/>
      <c r="I1721" s="209"/>
      <c r="J1721" s="209"/>
      <c r="K1721" s="198"/>
      <c r="L1721" s="204"/>
      <c r="M1721" s="205"/>
      <c r="N1721" s="206"/>
      <c r="O1721" s="207"/>
      <c r="P1721" s="207"/>
      <c r="Q1721" s="207"/>
      <c r="R1721" s="207"/>
      <c r="S1721" s="198"/>
      <c r="T1721" s="201"/>
    </row>
    <row r="1722" spans="1:20" ht="22.5" hidden="1" customHeight="1" x14ac:dyDescent="0.25">
      <c r="A1722" s="208"/>
      <c r="B1722" s="238"/>
      <c r="C1722" s="198"/>
      <c r="D1722" s="198"/>
      <c r="E1722" s="199"/>
      <c r="F1722" s="200"/>
      <c r="G1722" s="201"/>
      <c r="H1722" s="208"/>
      <c r="I1722" s="209"/>
      <c r="J1722" s="209"/>
      <c r="K1722" s="198"/>
      <c r="L1722" s="204"/>
      <c r="M1722" s="205"/>
      <c r="N1722" s="206"/>
      <c r="O1722" s="207"/>
      <c r="P1722" s="207"/>
      <c r="Q1722" s="207"/>
      <c r="R1722" s="207"/>
      <c r="S1722" s="198"/>
      <c r="T1722" s="201"/>
    </row>
    <row r="1723" spans="1:20" ht="22.5" hidden="1" customHeight="1" x14ac:dyDescent="0.25">
      <c r="A1723" s="208"/>
      <c r="B1723" s="238"/>
      <c r="C1723" s="198"/>
      <c r="D1723" s="198"/>
      <c r="E1723" s="199"/>
      <c r="F1723" s="200"/>
      <c r="G1723" s="201"/>
      <c r="H1723" s="208"/>
      <c r="I1723" s="209"/>
      <c r="J1723" s="209"/>
      <c r="K1723" s="198"/>
      <c r="L1723" s="204"/>
      <c r="M1723" s="205"/>
      <c r="N1723" s="206"/>
      <c r="O1723" s="207"/>
      <c r="P1723" s="207"/>
      <c r="Q1723" s="207"/>
      <c r="R1723" s="207"/>
      <c r="S1723" s="198"/>
      <c r="T1723" s="201"/>
    </row>
    <row r="1724" spans="1:20" ht="22.5" hidden="1" customHeight="1" x14ac:dyDescent="0.25">
      <c r="A1724" s="208"/>
      <c r="B1724" s="238"/>
      <c r="C1724" s="198"/>
      <c r="D1724" s="198"/>
      <c r="E1724" s="199"/>
      <c r="F1724" s="200"/>
      <c r="G1724" s="201"/>
      <c r="H1724" s="208"/>
      <c r="I1724" s="209"/>
      <c r="J1724" s="209"/>
      <c r="K1724" s="198"/>
      <c r="L1724" s="204"/>
      <c r="M1724" s="205"/>
      <c r="N1724" s="206"/>
      <c r="O1724" s="207"/>
      <c r="P1724" s="207"/>
      <c r="Q1724" s="207"/>
      <c r="R1724" s="207"/>
      <c r="S1724" s="198"/>
      <c r="T1724" s="201"/>
    </row>
    <row r="1725" spans="1:20" ht="22.5" hidden="1" customHeight="1" x14ac:dyDescent="0.25">
      <c r="A1725" s="208"/>
      <c r="B1725" s="238"/>
      <c r="C1725" s="198"/>
      <c r="D1725" s="198"/>
      <c r="E1725" s="199"/>
      <c r="F1725" s="200"/>
      <c r="G1725" s="201"/>
      <c r="H1725" s="208"/>
      <c r="I1725" s="209"/>
      <c r="J1725" s="209"/>
      <c r="K1725" s="198"/>
      <c r="L1725" s="204"/>
      <c r="M1725" s="205"/>
      <c r="N1725" s="206"/>
      <c r="O1725" s="207"/>
      <c r="P1725" s="207"/>
      <c r="Q1725" s="207"/>
      <c r="R1725" s="207"/>
      <c r="S1725" s="198"/>
      <c r="T1725" s="201"/>
    </row>
    <row r="1726" spans="1:20" ht="22.5" hidden="1" customHeight="1" x14ac:dyDescent="0.25">
      <c r="A1726" s="208"/>
      <c r="B1726" s="238"/>
      <c r="C1726" s="198"/>
      <c r="D1726" s="198"/>
      <c r="E1726" s="199"/>
      <c r="F1726" s="200"/>
      <c r="G1726" s="201"/>
      <c r="H1726" s="208"/>
      <c r="I1726" s="209"/>
      <c r="J1726" s="209"/>
      <c r="K1726" s="198"/>
      <c r="L1726" s="204"/>
      <c r="M1726" s="205"/>
      <c r="N1726" s="206"/>
      <c r="O1726" s="207"/>
      <c r="P1726" s="207"/>
      <c r="Q1726" s="207"/>
      <c r="R1726" s="207"/>
      <c r="S1726" s="198"/>
      <c r="T1726" s="201"/>
    </row>
    <row r="1727" spans="1:20" ht="22.5" hidden="1" customHeight="1" x14ac:dyDescent="0.25">
      <c r="A1727" s="208"/>
      <c r="B1727" s="238"/>
      <c r="C1727" s="198"/>
      <c r="D1727" s="198"/>
      <c r="E1727" s="199"/>
      <c r="F1727" s="200"/>
      <c r="G1727" s="201"/>
      <c r="H1727" s="208"/>
      <c r="I1727" s="209"/>
      <c r="J1727" s="209"/>
      <c r="K1727" s="198"/>
      <c r="L1727" s="204"/>
      <c r="M1727" s="205"/>
      <c r="N1727" s="206"/>
      <c r="O1727" s="207"/>
      <c r="P1727" s="207"/>
      <c r="Q1727" s="207"/>
      <c r="R1727" s="207"/>
      <c r="S1727" s="198"/>
      <c r="T1727" s="201"/>
    </row>
    <row r="1728" spans="1:20" ht="22.5" hidden="1" customHeight="1" x14ac:dyDescent="0.25">
      <c r="A1728" s="208"/>
      <c r="B1728" s="238"/>
      <c r="C1728" s="198"/>
      <c r="D1728" s="198"/>
      <c r="E1728" s="199"/>
      <c r="F1728" s="200"/>
      <c r="G1728" s="201"/>
      <c r="H1728" s="208"/>
      <c r="I1728" s="209"/>
      <c r="J1728" s="209"/>
      <c r="K1728" s="198"/>
      <c r="L1728" s="204"/>
      <c r="M1728" s="205"/>
      <c r="N1728" s="206"/>
      <c r="O1728" s="207"/>
      <c r="P1728" s="207"/>
      <c r="Q1728" s="207"/>
      <c r="R1728" s="207"/>
      <c r="S1728" s="198"/>
      <c r="T1728" s="201"/>
    </row>
    <row r="1729" spans="1:20" ht="22.5" hidden="1" customHeight="1" x14ac:dyDescent="0.25">
      <c r="A1729" s="208"/>
      <c r="B1729" s="238"/>
      <c r="C1729" s="198"/>
      <c r="D1729" s="198"/>
      <c r="E1729" s="199"/>
      <c r="F1729" s="200"/>
      <c r="G1729" s="201"/>
      <c r="H1729" s="208"/>
      <c r="I1729" s="209"/>
      <c r="J1729" s="209"/>
      <c r="K1729" s="198"/>
      <c r="L1729" s="204"/>
      <c r="M1729" s="205"/>
      <c r="N1729" s="206"/>
      <c r="O1729" s="207"/>
      <c r="P1729" s="207"/>
      <c r="Q1729" s="207"/>
      <c r="R1729" s="207"/>
      <c r="S1729" s="198"/>
      <c r="T1729" s="201"/>
    </row>
    <row r="1730" spans="1:20" ht="22.5" hidden="1" customHeight="1" x14ac:dyDescent="0.25">
      <c r="A1730" s="208"/>
      <c r="B1730" s="238"/>
      <c r="C1730" s="198"/>
      <c r="D1730" s="198"/>
      <c r="E1730" s="199"/>
      <c r="F1730" s="200"/>
      <c r="G1730" s="201"/>
      <c r="H1730" s="208"/>
      <c r="I1730" s="209"/>
      <c r="J1730" s="209"/>
      <c r="K1730" s="198"/>
      <c r="L1730" s="204"/>
      <c r="M1730" s="205"/>
      <c r="N1730" s="206"/>
      <c r="O1730" s="207"/>
      <c r="P1730" s="207"/>
      <c r="Q1730" s="207"/>
      <c r="R1730" s="207"/>
      <c r="S1730" s="198"/>
      <c r="T1730" s="201"/>
    </row>
    <row r="1731" spans="1:20" ht="22.5" hidden="1" customHeight="1" x14ac:dyDescent="0.25">
      <c r="A1731" s="208"/>
      <c r="B1731" s="238"/>
      <c r="C1731" s="198"/>
      <c r="D1731" s="198"/>
      <c r="E1731" s="199"/>
      <c r="F1731" s="200"/>
      <c r="G1731" s="201"/>
      <c r="H1731" s="208"/>
      <c r="I1731" s="209"/>
      <c r="J1731" s="209"/>
      <c r="K1731" s="198"/>
      <c r="L1731" s="204"/>
      <c r="M1731" s="205"/>
      <c r="N1731" s="206"/>
      <c r="O1731" s="207"/>
      <c r="P1731" s="207"/>
      <c r="Q1731" s="207"/>
      <c r="R1731" s="207"/>
      <c r="S1731" s="198"/>
      <c r="T1731" s="201"/>
    </row>
    <row r="1732" spans="1:20" ht="22.5" hidden="1" customHeight="1" x14ac:dyDescent="0.25">
      <c r="A1732" s="208"/>
      <c r="B1732" s="238"/>
      <c r="C1732" s="198"/>
      <c r="D1732" s="198"/>
      <c r="E1732" s="199"/>
      <c r="F1732" s="200"/>
      <c r="G1732" s="201"/>
      <c r="H1732" s="208"/>
      <c r="I1732" s="209"/>
      <c r="J1732" s="209"/>
      <c r="K1732" s="198"/>
      <c r="L1732" s="204"/>
      <c r="M1732" s="205"/>
      <c r="N1732" s="206"/>
      <c r="O1732" s="207"/>
      <c r="P1732" s="207"/>
      <c r="Q1732" s="207"/>
      <c r="R1732" s="207"/>
      <c r="S1732" s="198"/>
      <c r="T1732" s="201"/>
    </row>
    <row r="1733" spans="1:20" ht="22.5" hidden="1" customHeight="1" x14ac:dyDescent="0.25">
      <c r="A1733" s="208"/>
      <c r="B1733" s="238"/>
      <c r="C1733" s="198"/>
      <c r="D1733" s="198"/>
      <c r="E1733" s="199"/>
      <c r="F1733" s="200"/>
      <c r="G1733" s="201"/>
      <c r="H1733" s="208"/>
      <c r="I1733" s="209"/>
      <c r="J1733" s="209"/>
      <c r="K1733" s="198"/>
      <c r="L1733" s="204"/>
      <c r="M1733" s="205"/>
      <c r="N1733" s="206"/>
      <c r="O1733" s="207"/>
      <c r="P1733" s="207"/>
      <c r="Q1733" s="207"/>
      <c r="R1733" s="207"/>
      <c r="S1733" s="198"/>
      <c r="T1733" s="201"/>
    </row>
    <row r="1734" spans="1:20" ht="22.5" hidden="1" customHeight="1" x14ac:dyDescent="0.25">
      <c r="A1734" s="208"/>
      <c r="B1734" s="238"/>
      <c r="C1734" s="198"/>
      <c r="D1734" s="198"/>
      <c r="E1734" s="199"/>
      <c r="F1734" s="200"/>
      <c r="G1734" s="201"/>
      <c r="H1734" s="208"/>
      <c r="I1734" s="209"/>
      <c r="J1734" s="209"/>
      <c r="K1734" s="198"/>
      <c r="L1734" s="204"/>
      <c r="M1734" s="205"/>
      <c r="N1734" s="206"/>
      <c r="O1734" s="207"/>
      <c r="P1734" s="207"/>
      <c r="Q1734" s="207"/>
      <c r="R1734" s="207"/>
      <c r="S1734" s="198"/>
      <c r="T1734" s="201"/>
    </row>
    <row r="1735" spans="1:20" ht="22.5" hidden="1" customHeight="1" x14ac:dyDescent="0.25">
      <c r="A1735" s="208"/>
      <c r="B1735" s="238"/>
      <c r="C1735" s="198"/>
      <c r="D1735" s="198"/>
      <c r="E1735" s="199"/>
      <c r="F1735" s="200"/>
      <c r="G1735" s="201"/>
      <c r="H1735" s="208"/>
      <c r="I1735" s="209"/>
      <c r="J1735" s="209"/>
      <c r="K1735" s="198"/>
      <c r="L1735" s="204"/>
      <c r="M1735" s="205"/>
      <c r="N1735" s="206"/>
      <c r="O1735" s="207"/>
      <c r="P1735" s="207"/>
      <c r="Q1735" s="207"/>
      <c r="R1735" s="207"/>
      <c r="S1735" s="198"/>
      <c r="T1735" s="201"/>
    </row>
    <row r="1736" spans="1:20" ht="22.5" hidden="1" customHeight="1" x14ac:dyDescent="0.25">
      <c r="A1736" s="208"/>
      <c r="B1736" s="238"/>
      <c r="C1736" s="198"/>
      <c r="D1736" s="198"/>
      <c r="E1736" s="199"/>
      <c r="F1736" s="200"/>
      <c r="G1736" s="201"/>
      <c r="H1736" s="208"/>
      <c r="I1736" s="209"/>
      <c r="J1736" s="209"/>
      <c r="K1736" s="198"/>
      <c r="L1736" s="204"/>
      <c r="M1736" s="205"/>
      <c r="N1736" s="206"/>
      <c r="O1736" s="207"/>
      <c r="P1736" s="207"/>
      <c r="Q1736" s="207"/>
      <c r="R1736" s="207"/>
      <c r="S1736" s="198"/>
      <c r="T1736" s="201"/>
    </row>
    <row r="1737" spans="1:20" ht="22.5" hidden="1" customHeight="1" x14ac:dyDescent="0.25">
      <c r="A1737" s="208"/>
      <c r="B1737" s="238"/>
      <c r="C1737" s="198"/>
      <c r="D1737" s="198"/>
      <c r="E1737" s="199"/>
      <c r="F1737" s="200"/>
      <c r="G1737" s="201"/>
      <c r="H1737" s="208"/>
      <c r="I1737" s="209"/>
      <c r="J1737" s="209"/>
      <c r="K1737" s="198"/>
      <c r="L1737" s="204"/>
      <c r="M1737" s="205"/>
      <c r="N1737" s="206"/>
      <c r="O1737" s="207"/>
      <c r="P1737" s="207"/>
      <c r="Q1737" s="207"/>
      <c r="R1737" s="207"/>
      <c r="S1737" s="198"/>
      <c r="T1737" s="201"/>
    </row>
    <row r="1738" spans="1:20" ht="22.5" hidden="1" customHeight="1" x14ac:dyDescent="0.25">
      <c r="A1738" s="208"/>
      <c r="B1738" s="238"/>
      <c r="C1738" s="198"/>
      <c r="D1738" s="198"/>
      <c r="E1738" s="199"/>
      <c r="F1738" s="200"/>
      <c r="G1738" s="201"/>
      <c r="H1738" s="208"/>
      <c r="I1738" s="209"/>
      <c r="J1738" s="209"/>
      <c r="K1738" s="198"/>
      <c r="L1738" s="204"/>
      <c r="M1738" s="205"/>
      <c r="N1738" s="206"/>
      <c r="O1738" s="207"/>
      <c r="P1738" s="207"/>
      <c r="Q1738" s="207"/>
      <c r="R1738" s="207"/>
      <c r="S1738" s="198"/>
      <c r="T1738" s="201"/>
    </row>
    <row r="1739" spans="1:20" ht="22.5" hidden="1" customHeight="1" x14ac:dyDescent="0.25">
      <c r="A1739" s="208"/>
      <c r="B1739" s="238"/>
      <c r="C1739" s="198"/>
      <c r="D1739" s="198"/>
      <c r="E1739" s="199"/>
      <c r="F1739" s="200"/>
      <c r="G1739" s="201"/>
      <c r="H1739" s="208"/>
      <c r="I1739" s="209"/>
      <c r="J1739" s="209"/>
      <c r="K1739" s="198"/>
      <c r="L1739" s="204"/>
      <c r="M1739" s="205"/>
      <c r="N1739" s="206"/>
      <c r="O1739" s="207"/>
      <c r="P1739" s="207"/>
      <c r="Q1739" s="207"/>
      <c r="R1739" s="207"/>
      <c r="S1739" s="198"/>
      <c r="T1739" s="201"/>
    </row>
    <row r="1740" spans="1:20" ht="22.5" hidden="1" customHeight="1" x14ac:dyDescent="0.25">
      <c r="A1740" s="208"/>
      <c r="B1740" s="238"/>
      <c r="C1740" s="198"/>
      <c r="D1740" s="198"/>
      <c r="E1740" s="199"/>
      <c r="F1740" s="200"/>
      <c r="G1740" s="201"/>
      <c r="H1740" s="208"/>
      <c r="I1740" s="209"/>
      <c r="J1740" s="209"/>
      <c r="K1740" s="198"/>
      <c r="L1740" s="204"/>
      <c r="M1740" s="205"/>
      <c r="N1740" s="206"/>
      <c r="O1740" s="207"/>
      <c r="P1740" s="207"/>
      <c r="Q1740" s="207"/>
      <c r="R1740" s="207"/>
      <c r="S1740" s="198"/>
      <c r="T1740" s="201"/>
    </row>
    <row r="1741" spans="1:20" ht="22.5" hidden="1" customHeight="1" x14ac:dyDescent="0.25">
      <c r="A1741" s="208"/>
      <c r="B1741" s="238"/>
      <c r="C1741" s="198"/>
      <c r="D1741" s="198"/>
      <c r="E1741" s="199"/>
      <c r="F1741" s="200"/>
      <c r="G1741" s="201"/>
      <c r="H1741" s="208"/>
      <c r="I1741" s="209"/>
      <c r="J1741" s="209"/>
      <c r="K1741" s="198"/>
      <c r="L1741" s="204"/>
      <c r="M1741" s="205"/>
      <c r="N1741" s="206"/>
      <c r="O1741" s="207"/>
      <c r="P1741" s="207"/>
      <c r="Q1741" s="207"/>
      <c r="R1741" s="207"/>
      <c r="S1741" s="198"/>
      <c r="T1741" s="201"/>
    </row>
    <row r="1742" spans="1:20" ht="22.5" hidden="1" customHeight="1" x14ac:dyDescent="0.25">
      <c r="A1742" s="208"/>
      <c r="B1742" s="238"/>
      <c r="C1742" s="198"/>
      <c r="D1742" s="198"/>
      <c r="E1742" s="199"/>
      <c r="F1742" s="200"/>
      <c r="G1742" s="201"/>
      <c r="H1742" s="208"/>
      <c r="I1742" s="209"/>
      <c r="J1742" s="209"/>
      <c r="K1742" s="198"/>
      <c r="L1742" s="204"/>
      <c r="M1742" s="205"/>
      <c r="N1742" s="206"/>
      <c r="O1742" s="207"/>
      <c r="P1742" s="207"/>
      <c r="Q1742" s="207"/>
      <c r="R1742" s="207"/>
      <c r="S1742" s="198"/>
      <c r="T1742" s="201"/>
    </row>
    <row r="1743" spans="1:20" ht="22.5" hidden="1" customHeight="1" x14ac:dyDescent="0.25">
      <c r="A1743" s="208"/>
      <c r="B1743" s="238"/>
      <c r="C1743" s="198"/>
      <c r="D1743" s="198"/>
      <c r="E1743" s="199"/>
      <c r="F1743" s="200"/>
      <c r="G1743" s="201"/>
      <c r="H1743" s="208"/>
      <c r="I1743" s="209"/>
      <c r="J1743" s="209"/>
      <c r="K1743" s="198"/>
      <c r="L1743" s="204"/>
      <c r="M1743" s="205"/>
      <c r="N1743" s="206"/>
      <c r="O1743" s="207"/>
      <c r="P1743" s="207"/>
      <c r="Q1743" s="207"/>
      <c r="R1743" s="207"/>
      <c r="S1743" s="198"/>
      <c r="T1743" s="201"/>
    </row>
    <row r="1744" spans="1:20" ht="22.5" hidden="1" customHeight="1" x14ac:dyDescent="0.25">
      <c r="A1744" s="208"/>
      <c r="B1744" s="238"/>
      <c r="C1744" s="198"/>
      <c r="D1744" s="198"/>
      <c r="E1744" s="199"/>
      <c r="F1744" s="200"/>
      <c r="G1744" s="201"/>
      <c r="H1744" s="208"/>
      <c r="I1744" s="209"/>
      <c r="J1744" s="209"/>
      <c r="K1744" s="198"/>
      <c r="L1744" s="204"/>
      <c r="M1744" s="205"/>
      <c r="N1744" s="206"/>
      <c r="O1744" s="207"/>
      <c r="P1744" s="207"/>
      <c r="Q1744" s="207"/>
      <c r="R1744" s="207"/>
      <c r="S1744" s="198"/>
      <c r="T1744" s="201"/>
    </row>
    <row r="1745" spans="1:20" ht="22.5" hidden="1" customHeight="1" x14ac:dyDescent="0.25">
      <c r="A1745" s="208"/>
      <c r="B1745" s="238"/>
      <c r="C1745" s="198"/>
      <c r="D1745" s="198"/>
      <c r="E1745" s="199"/>
      <c r="F1745" s="200"/>
      <c r="G1745" s="201"/>
      <c r="H1745" s="208"/>
      <c r="I1745" s="209"/>
      <c r="J1745" s="209"/>
      <c r="K1745" s="198"/>
      <c r="L1745" s="204"/>
      <c r="M1745" s="205"/>
      <c r="N1745" s="206"/>
      <c r="O1745" s="207"/>
      <c r="P1745" s="207"/>
      <c r="Q1745" s="207"/>
      <c r="R1745" s="207"/>
      <c r="S1745" s="198"/>
      <c r="T1745" s="201"/>
    </row>
    <row r="1746" spans="1:20" ht="22.5" hidden="1" customHeight="1" x14ac:dyDescent="0.25">
      <c r="A1746" s="208"/>
      <c r="B1746" s="238"/>
      <c r="C1746" s="198"/>
      <c r="D1746" s="198"/>
      <c r="E1746" s="199"/>
      <c r="F1746" s="200"/>
      <c r="G1746" s="201"/>
      <c r="H1746" s="208"/>
      <c r="I1746" s="209"/>
      <c r="J1746" s="209"/>
      <c r="K1746" s="198"/>
      <c r="L1746" s="204"/>
      <c r="M1746" s="205"/>
      <c r="N1746" s="206"/>
      <c r="O1746" s="207"/>
      <c r="P1746" s="207"/>
      <c r="Q1746" s="207"/>
      <c r="R1746" s="207"/>
      <c r="S1746" s="198"/>
      <c r="T1746" s="201"/>
    </row>
    <row r="1747" spans="1:20" ht="22.5" hidden="1" customHeight="1" x14ac:dyDescent="0.25">
      <c r="A1747" s="208"/>
      <c r="B1747" s="238"/>
      <c r="C1747" s="198"/>
      <c r="D1747" s="198"/>
      <c r="E1747" s="199"/>
      <c r="F1747" s="200"/>
      <c r="G1747" s="201"/>
      <c r="H1747" s="208"/>
      <c r="I1747" s="209"/>
      <c r="J1747" s="209"/>
      <c r="K1747" s="198"/>
      <c r="L1747" s="204"/>
      <c r="M1747" s="205"/>
      <c r="N1747" s="206"/>
      <c r="O1747" s="207"/>
      <c r="P1747" s="207"/>
      <c r="Q1747" s="207"/>
      <c r="R1747" s="207"/>
      <c r="S1747" s="198"/>
      <c r="T1747" s="201"/>
    </row>
    <row r="1748" spans="1:20" ht="22.5" hidden="1" customHeight="1" x14ac:dyDescent="0.25">
      <c r="A1748" s="208"/>
      <c r="B1748" s="238"/>
      <c r="C1748" s="198"/>
      <c r="D1748" s="198"/>
      <c r="E1748" s="199"/>
      <c r="F1748" s="200"/>
      <c r="G1748" s="201"/>
      <c r="H1748" s="208"/>
      <c r="I1748" s="209"/>
      <c r="J1748" s="209"/>
      <c r="K1748" s="198"/>
      <c r="L1748" s="204"/>
      <c r="M1748" s="205"/>
      <c r="N1748" s="206"/>
      <c r="O1748" s="207"/>
      <c r="P1748" s="207"/>
      <c r="Q1748" s="207"/>
      <c r="R1748" s="207"/>
      <c r="S1748" s="198"/>
      <c r="T1748" s="201"/>
    </row>
    <row r="1749" spans="1:20" ht="22.5" hidden="1" customHeight="1" x14ac:dyDescent="0.25">
      <c r="A1749" s="208"/>
      <c r="B1749" s="238"/>
      <c r="C1749" s="198"/>
      <c r="D1749" s="198"/>
      <c r="E1749" s="199"/>
      <c r="F1749" s="200"/>
      <c r="G1749" s="201"/>
      <c r="H1749" s="208"/>
      <c r="I1749" s="209"/>
      <c r="J1749" s="209"/>
      <c r="K1749" s="198"/>
      <c r="L1749" s="204"/>
      <c r="M1749" s="205"/>
      <c r="N1749" s="206"/>
      <c r="O1749" s="207"/>
      <c r="P1749" s="207"/>
      <c r="Q1749" s="207"/>
      <c r="R1749" s="207"/>
      <c r="S1749" s="198"/>
      <c r="T1749" s="201"/>
    </row>
    <row r="1750" spans="1:20" ht="22.5" hidden="1" customHeight="1" x14ac:dyDescent="0.25">
      <c r="A1750" s="208"/>
      <c r="B1750" s="238"/>
      <c r="C1750" s="198"/>
      <c r="D1750" s="198"/>
      <c r="E1750" s="199"/>
      <c r="F1750" s="200"/>
      <c r="G1750" s="201"/>
      <c r="H1750" s="208"/>
      <c r="I1750" s="209"/>
      <c r="J1750" s="209"/>
      <c r="K1750" s="198"/>
      <c r="L1750" s="204"/>
      <c r="M1750" s="205"/>
      <c r="N1750" s="206"/>
      <c r="O1750" s="207"/>
      <c r="P1750" s="207"/>
      <c r="Q1750" s="207"/>
      <c r="R1750" s="207"/>
      <c r="S1750" s="198"/>
      <c r="T1750" s="201"/>
    </row>
    <row r="1751" spans="1:20" ht="22.5" hidden="1" customHeight="1" x14ac:dyDescent="0.25">
      <c r="A1751" s="208"/>
      <c r="B1751" s="238"/>
      <c r="C1751" s="198"/>
      <c r="D1751" s="198"/>
      <c r="E1751" s="199"/>
      <c r="F1751" s="200"/>
      <c r="G1751" s="201"/>
      <c r="H1751" s="208"/>
      <c r="I1751" s="209"/>
      <c r="J1751" s="209"/>
      <c r="K1751" s="198"/>
      <c r="L1751" s="204"/>
      <c r="M1751" s="205"/>
      <c r="N1751" s="206"/>
      <c r="O1751" s="207"/>
      <c r="P1751" s="207"/>
      <c r="Q1751" s="207"/>
      <c r="R1751" s="207"/>
      <c r="S1751" s="198"/>
      <c r="T1751" s="201"/>
    </row>
    <row r="1752" spans="1:20" ht="22.5" hidden="1" customHeight="1" x14ac:dyDescent="0.25">
      <c r="A1752" s="208"/>
      <c r="B1752" s="238"/>
      <c r="C1752" s="198"/>
      <c r="D1752" s="198"/>
      <c r="E1752" s="199"/>
      <c r="F1752" s="200"/>
      <c r="G1752" s="201"/>
      <c r="H1752" s="208"/>
      <c r="I1752" s="209"/>
      <c r="J1752" s="209"/>
      <c r="K1752" s="198"/>
      <c r="L1752" s="204"/>
      <c r="M1752" s="205"/>
      <c r="N1752" s="206"/>
      <c r="O1752" s="207"/>
      <c r="P1752" s="207"/>
      <c r="Q1752" s="207"/>
      <c r="R1752" s="207"/>
      <c r="S1752" s="198"/>
      <c r="T1752" s="201"/>
    </row>
    <row r="1753" spans="1:20" ht="22.5" hidden="1" customHeight="1" x14ac:dyDescent="0.25">
      <c r="A1753" s="208"/>
      <c r="B1753" s="238"/>
      <c r="C1753" s="198"/>
      <c r="D1753" s="198"/>
      <c r="E1753" s="199"/>
      <c r="F1753" s="200"/>
      <c r="G1753" s="201"/>
      <c r="H1753" s="208"/>
      <c r="I1753" s="209"/>
      <c r="J1753" s="209"/>
      <c r="K1753" s="198"/>
      <c r="L1753" s="204"/>
      <c r="M1753" s="205"/>
      <c r="N1753" s="206"/>
      <c r="O1753" s="207"/>
      <c r="P1753" s="207"/>
      <c r="Q1753" s="207"/>
      <c r="R1753" s="207"/>
      <c r="S1753" s="198"/>
      <c r="T1753" s="201"/>
    </row>
    <row r="1754" spans="1:20" ht="22.5" hidden="1" customHeight="1" x14ac:dyDescent="0.25">
      <c r="A1754" s="208"/>
      <c r="B1754" s="238"/>
      <c r="C1754" s="198"/>
      <c r="D1754" s="198"/>
      <c r="E1754" s="199"/>
      <c r="F1754" s="200"/>
      <c r="G1754" s="201"/>
      <c r="H1754" s="208"/>
      <c r="I1754" s="209"/>
      <c r="J1754" s="209"/>
      <c r="K1754" s="198"/>
      <c r="L1754" s="204"/>
      <c r="M1754" s="205"/>
      <c r="N1754" s="206"/>
      <c r="O1754" s="207"/>
      <c r="P1754" s="207"/>
      <c r="Q1754" s="207"/>
      <c r="R1754" s="207"/>
      <c r="S1754" s="198"/>
      <c r="T1754" s="201"/>
    </row>
    <row r="1755" spans="1:20" ht="22.5" hidden="1" customHeight="1" x14ac:dyDescent="0.25">
      <c r="A1755" s="208"/>
      <c r="B1755" s="238"/>
      <c r="C1755" s="198"/>
      <c r="D1755" s="198"/>
      <c r="E1755" s="199"/>
      <c r="F1755" s="200"/>
      <c r="G1755" s="201"/>
      <c r="H1755" s="208"/>
      <c r="I1755" s="209"/>
      <c r="J1755" s="209"/>
      <c r="K1755" s="198"/>
      <c r="L1755" s="204"/>
      <c r="M1755" s="205"/>
      <c r="N1755" s="206"/>
      <c r="O1755" s="207"/>
      <c r="P1755" s="207"/>
      <c r="Q1755" s="207"/>
      <c r="R1755" s="207"/>
      <c r="S1755" s="198"/>
      <c r="T1755" s="201"/>
    </row>
    <row r="1756" spans="1:20" ht="22.5" hidden="1" customHeight="1" x14ac:dyDescent="0.25">
      <c r="A1756" s="208"/>
      <c r="B1756" s="238"/>
      <c r="C1756" s="198"/>
      <c r="D1756" s="198"/>
      <c r="E1756" s="199"/>
      <c r="F1756" s="200"/>
      <c r="G1756" s="201"/>
      <c r="H1756" s="208"/>
      <c r="I1756" s="209"/>
      <c r="J1756" s="209"/>
      <c r="K1756" s="198"/>
      <c r="L1756" s="204"/>
      <c r="M1756" s="205"/>
      <c r="N1756" s="206"/>
      <c r="O1756" s="207"/>
      <c r="P1756" s="207"/>
      <c r="Q1756" s="207"/>
      <c r="R1756" s="207"/>
      <c r="S1756" s="198"/>
      <c r="T1756" s="201"/>
    </row>
    <row r="1757" spans="1:20" ht="22.5" hidden="1" customHeight="1" x14ac:dyDescent="0.25">
      <c r="A1757" s="208"/>
      <c r="B1757" s="238"/>
      <c r="C1757" s="198"/>
      <c r="D1757" s="198"/>
      <c r="E1757" s="199"/>
      <c r="F1757" s="200"/>
      <c r="G1757" s="201"/>
      <c r="H1757" s="208"/>
      <c r="I1757" s="209"/>
      <c r="J1757" s="209"/>
      <c r="K1757" s="198"/>
      <c r="L1757" s="204"/>
      <c r="M1757" s="205"/>
      <c r="N1757" s="206"/>
      <c r="O1757" s="207"/>
      <c r="P1757" s="207"/>
      <c r="Q1757" s="207"/>
      <c r="R1757" s="207"/>
      <c r="S1757" s="198"/>
      <c r="T1757" s="201"/>
    </row>
    <row r="1758" spans="1:20" ht="22.5" hidden="1" customHeight="1" x14ac:dyDescent="0.25">
      <c r="A1758" s="208"/>
      <c r="B1758" s="238"/>
      <c r="C1758" s="198"/>
      <c r="D1758" s="198"/>
      <c r="E1758" s="199"/>
      <c r="F1758" s="200"/>
      <c r="G1758" s="201"/>
      <c r="H1758" s="208"/>
      <c r="I1758" s="209"/>
      <c r="J1758" s="209"/>
      <c r="K1758" s="198"/>
      <c r="L1758" s="204"/>
      <c r="M1758" s="205"/>
      <c r="N1758" s="206"/>
      <c r="O1758" s="207"/>
      <c r="P1758" s="207"/>
      <c r="Q1758" s="207"/>
      <c r="R1758" s="207"/>
      <c r="S1758" s="198"/>
      <c r="T1758" s="201"/>
    </row>
    <row r="1759" spans="1:20" ht="22.5" hidden="1" customHeight="1" x14ac:dyDescent="0.25">
      <c r="A1759" s="208"/>
      <c r="B1759" s="238"/>
      <c r="C1759" s="198"/>
      <c r="D1759" s="198"/>
      <c r="E1759" s="199"/>
      <c r="F1759" s="200"/>
      <c r="G1759" s="201"/>
      <c r="H1759" s="208"/>
      <c r="I1759" s="209"/>
      <c r="J1759" s="209"/>
      <c r="K1759" s="198"/>
      <c r="L1759" s="204"/>
      <c r="M1759" s="205"/>
      <c r="N1759" s="206"/>
      <c r="O1759" s="207"/>
      <c r="P1759" s="207"/>
      <c r="Q1759" s="207"/>
      <c r="R1759" s="207"/>
      <c r="S1759" s="198"/>
      <c r="T1759" s="201"/>
    </row>
    <row r="1760" spans="1:20" ht="22.5" hidden="1" customHeight="1" x14ac:dyDescent="0.25">
      <c r="A1760" s="208"/>
      <c r="B1760" s="238"/>
      <c r="C1760" s="198"/>
      <c r="D1760" s="198"/>
      <c r="E1760" s="199"/>
      <c r="F1760" s="200"/>
      <c r="G1760" s="201"/>
      <c r="H1760" s="208"/>
      <c r="I1760" s="209"/>
      <c r="J1760" s="209"/>
      <c r="K1760" s="198"/>
      <c r="L1760" s="204"/>
      <c r="M1760" s="205"/>
      <c r="N1760" s="206"/>
      <c r="O1760" s="207"/>
      <c r="P1760" s="207"/>
      <c r="Q1760" s="207"/>
      <c r="R1760" s="207"/>
      <c r="S1760" s="198"/>
      <c r="T1760" s="201"/>
    </row>
    <row r="1761" spans="1:20" ht="22.5" hidden="1" customHeight="1" x14ac:dyDescent="0.25">
      <c r="A1761" s="208"/>
      <c r="B1761" s="238"/>
      <c r="C1761" s="198"/>
      <c r="D1761" s="198"/>
      <c r="E1761" s="199"/>
      <c r="F1761" s="200"/>
      <c r="G1761" s="201"/>
      <c r="H1761" s="208"/>
      <c r="I1761" s="209"/>
      <c r="J1761" s="209"/>
      <c r="K1761" s="198"/>
      <c r="L1761" s="204"/>
      <c r="M1761" s="205"/>
      <c r="N1761" s="206"/>
      <c r="O1761" s="207"/>
      <c r="P1761" s="207"/>
      <c r="Q1761" s="207"/>
      <c r="R1761" s="207"/>
      <c r="S1761" s="198"/>
      <c r="T1761" s="201"/>
    </row>
    <row r="1762" spans="1:20" ht="22.5" hidden="1" customHeight="1" x14ac:dyDescent="0.25">
      <c r="A1762" s="208"/>
      <c r="B1762" s="238"/>
      <c r="C1762" s="198"/>
      <c r="D1762" s="198"/>
      <c r="E1762" s="199"/>
      <c r="F1762" s="200"/>
      <c r="G1762" s="201"/>
      <c r="H1762" s="208"/>
      <c r="I1762" s="209"/>
      <c r="J1762" s="209"/>
      <c r="K1762" s="198"/>
      <c r="L1762" s="204"/>
      <c r="M1762" s="205"/>
      <c r="N1762" s="206"/>
      <c r="O1762" s="207"/>
      <c r="P1762" s="207"/>
      <c r="Q1762" s="207"/>
      <c r="R1762" s="207"/>
      <c r="S1762" s="198"/>
      <c r="T1762" s="201"/>
    </row>
    <row r="1763" spans="1:20" ht="22.5" hidden="1" customHeight="1" x14ac:dyDescent="0.25">
      <c r="A1763" s="208"/>
      <c r="B1763" s="238"/>
      <c r="C1763" s="198"/>
      <c r="D1763" s="198"/>
      <c r="E1763" s="199"/>
      <c r="F1763" s="200"/>
      <c r="G1763" s="201"/>
      <c r="H1763" s="208"/>
      <c r="I1763" s="209"/>
      <c r="J1763" s="209"/>
      <c r="K1763" s="198"/>
      <c r="L1763" s="204"/>
      <c r="M1763" s="205"/>
      <c r="N1763" s="206"/>
      <c r="O1763" s="207"/>
      <c r="P1763" s="207"/>
      <c r="Q1763" s="207"/>
      <c r="R1763" s="207"/>
      <c r="S1763" s="198"/>
      <c r="T1763" s="201"/>
    </row>
    <row r="1764" spans="1:20" ht="22.5" hidden="1" customHeight="1" x14ac:dyDescent="0.25">
      <c r="A1764" s="208"/>
      <c r="B1764" s="238"/>
      <c r="C1764" s="198"/>
      <c r="D1764" s="198"/>
      <c r="E1764" s="199"/>
      <c r="F1764" s="200"/>
      <c r="G1764" s="201"/>
      <c r="H1764" s="208"/>
      <c r="I1764" s="209"/>
      <c r="J1764" s="209"/>
      <c r="K1764" s="198"/>
      <c r="L1764" s="204"/>
      <c r="M1764" s="205"/>
      <c r="N1764" s="206"/>
      <c r="O1764" s="207"/>
      <c r="P1764" s="207"/>
      <c r="Q1764" s="207"/>
      <c r="R1764" s="207"/>
      <c r="S1764" s="198"/>
      <c r="T1764" s="201"/>
    </row>
    <row r="1765" spans="1:20" ht="22.5" hidden="1" customHeight="1" x14ac:dyDescent="0.25">
      <c r="A1765" s="208"/>
      <c r="B1765" s="238"/>
      <c r="C1765" s="198"/>
      <c r="D1765" s="198"/>
      <c r="E1765" s="199"/>
      <c r="F1765" s="200"/>
      <c r="G1765" s="201"/>
      <c r="H1765" s="208"/>
      <c r="I1765" s="209"/>
      <c r="J1765" s="209"/>
      <c r="K1765" s="198"/>
      <c r="L1765" s="204"/>
      <c r="M1765" s="205"/>
      <c r="N1765" s="206"/>
      <c r="O1765" s="207"/>
      <c r="P1765" s="207"/>
      <c r="Q1765" s="207"/>
      <c r="R1765" s="207"/>
      <c r="S1765" s="198"/>
      <c r="T1765" s="201"/>
    </row>
    <row r="1766" spans="1:20" ht="22.5" hidden="1" customHeight="1" x14ac:dyDescent="0.25">
      <c r="A1766" s="208"/>
      <c r="B1766" s="238"/>
      <c r="C1766" s="198"/>
      <c r="D1766" s="198"/>
      <c r="E1766" s="199"/>
      <c r="F1766" s="200"/>
      <c r="G1766" s="201"/>
      <c r="H1766" s="208"/>
      <c r="I1766" s="209"/>
      <c r="J1766" s="209"/>
      <c r="K1766" s="198"/>
      <c r="L1766" s="204"/>
      <c r="M1766" s="205"/>
      <c r="N1766" s="206"/>
      <c r="O1766" s="207"/>
      <c r="P1766" s="207"/>
      <c r="Q1766" s="207"/>
      <c r="R1766" s="207"/>
      <c r="S1766" s="198"/>
      <c r="T1766" s="201"/>
    </row>
    <row r="1767" spans="1:20" ht="22.5" hidden="1" customHeight="1" x14ac:dyDescent="0.25">
      <c r="A1767" s="208"/>
      <c r="B1767" s="238"/>
      <c r="C1767" s="198"/>
      <c r="D1767" s="198"/>
      <c r="E1767" s="199"/>
      <c r="F1767" s="200"/>
      <c r="G1767" s="201"/>
      <c r="H1767" s="208"/>
      <c r="I1767" s="209"/>
      <c r="J1767" s="209"/>
      <c r="K1767" s="198"/>
      <c r="L1767" s="204"/>
      <c r="M1767" s="205"/>
      <c r="N1767" s="206"/>
      <c r="O1767" s="207"/>
      <c r="P1767" s="207"/>
      <c r="Q1767" s="207"/>
      <c r="R1767" s="207"/>
      <c r="S1767" s="198"/>
      <c r="T1767" s="201"/>
    </row>
    <row r="1768" spans="1:20" ht="22.5" hidden="1" customHeight="1" x14ac:dyDescent="0.25">
      <c r="A1768" s="208"/>
      <c r="B1768" s="238"/>
      <c r="C1768" s="198"/>
      <c r="D1768" s="198"/>
      <c r="E1768" s="199"/>
      <c r="F1768" s="200"/>
      <c r="G1768" s="201"/>
      <c r="H1768" s="208"/>
      <c r="I1768" s="209"/>
      <c r="J1768" s="209"/>
      <c r="K1768" s="198"/>
      <c r="L1768" s="204"/>
      <c r="M1768" s="205"/>
      <c r="N1768" s="206"/>
      <c r="O1768" s="207"/>
      <c r="P1768" s="207"/>
      <c r="Q1768" s="207"/>
      <c r="R1768" s="207"/>
      <c r="S1768" s="198"/>
      <c r="T1768" s="201"/>
    </row>
    <row r="1769" spans="1:20" ht="22.5" hidden="1" customHeight="1" x14ac:dyDescent="0.25">
      <c r="A1769" s="208"/>
      <c r="B1769" s="238"/>
      <c r="C1769" s="198"/>
      <c r="D1769" s="198"/>
      <c r="E1769" s="199"/>
      <c r="F1769" s="200"/>
      <c r="G1769" s="201"/>
      <c r="H1769" s="208"/>
      <c r="I1769" s="209"/>
      <c r="J1769" s="209"/>
      <c r="K1769" s="198"/>
      <c r="L1769" s="204"/>
      <c r="M1769" s="205"/>
      <c r="N1769" s="206"/>
      <c r="O1769" s="207"/>
      <c r="P1769" s="207"/>
      <c r="Q1769" s="207"/>
      <c r="R1769" s="207"/>
      <c r="S1769" s="198"/>
      <c r="T1769" s="201"/>
    </row>
    <row r="1770" spans="1:20" ht="22.5" hidden="1" customHeight="1" x14ac:dyDescent="0.25">
      <c r="A1770" s="208"/>
      <c r="B1770" s="238"/>
      <c r="C1770" s="198"/>
      <c r="D1770" s="198"/>
      <c r="E1770" s="199"/>
      <c r="F1770" s="200"/>
      <c r="G1770" s="201"/>
      <c r="H1770" s="208"/>
      <c r="I1770" s="209"/>
      <c r="J1770" s="209"/>
      <c r="K1770" s="198"/>
      <c r="L1770" s="204"/>
      <c r="M1770" s="205"/>
      <c r="N1770" s="206"/>
      <c r="O1770" s="207"/>
      <c r="P1770" s="207"/>
      <c r="Q1770" s="207"/>
      <c r="R1770" s="207"/>
      <c r="S1770" s="198"/>
      <c r="T1770" s="201"/>
    </row>
    <row r="1771" spans="1:20" ht="22.5" hidden="1" customHeight="1" x14ac:dyDescent="0.25">
      <c r="A1771" s="208"/>
      <c r="B1771" s="238"/>
      <c r="C1771" s="198"/>
      <c r="D1771" s="198"/>
      <c r="E1771" s="199"/>
      <c r="F1771" s="200"/>
      <c r="G1771" s="201"/>
      <c r="H1771" s="208"/>
      <c r="I1771" s="209"/>
      <c r="J1771" s="209"/>
      <c r="K1771" s="198"/>
      <c r="L1771" s="204"/>
      <c r="M1771" s="205"/>
      <c r="N1771" s="206"/>
      <c r="O1771" s="207"/>
      <c r="P1771" s="207"/>
      <c r="Q1771" s="207"/>
      <c r="R1771" s="207"/>
      <c r="S1771" s="198"/>
      <c r="T1771" s="201"/>
    </row>
    <row r="1772" spans="1:20" ht="22.5" hidden="1" customHeight="1" x14ac:dyDescent="0.25">
      <c r="A1772" s="208"/>
      <c r="B1772" s="238"/>
      <c r="C1772" s="198"/>
      <c r="D1772" s="198"/>
      <c r="E1772" s="199"/>
      <c r="F1772" s="200"/>
      <c r="G1772" s="201"/>
      <c r="H1772" s="208"/>
      <c r="I1772" s="209"/>
      <c r="J1772" s="209"/>
      <c r="K1772" s="198"/>
      <c r="L1772" s="204"/>
      <c r="M1772" s="205"/>
      <c r="N1772" s="206"/>
      <c r="O1772" s="207"/>
      <c r="P1772" s="207"/>
      <c r="Q1772" s="207"/>
      <c r="R1772" s="207"/>
      <c r="S1772" s="198"/>
      <c r="T1772" s="201"/>
    </row>
    <row r="1773" spans="1:20" ht="22.5" hidden="1" customHeight="1" x14ac:dyDescent="0.25">
      <c r="A1773" s="208"/>
      <c r="B1773" s="238"/>
      <c r="C1773" s="198"/>
      <c r="D1773" s="198"/>
      <c r="E1773" s="199"/>
      <c r="F1773" s="200"/>
      <c r="G1773" s="201"/>
      <c r="H1773" s="208"/>
      <c r="I1773" s="209"/>
      <c r="J1773" s="209"/>
      <c r="K1773" s="198"/>
      <c r="L1773" s="204"/>
      <c r="M1773" s="205"/>
      <c r="N1773" s="206"/>
      <c r="O1773" s="207"/>
      <c r="P1773" s="207"/>
      <c r="Q1773" s="207"/>
      <c r="R1773" s="207"/>
      <c r="S1773" s="198"/>
      <c r="T1773" s="201"/>
    </row>
    <row r="1774" spans="1:20" ht="22.5" hidden="1" customHeight="1" x14ac:dyDescent="0.25">
      <c r="A1774" s="208"/>
      <c r="B1774" s="238"/>
      <c r="C1774" s="198"/>
      <c r="D1774" s="198"/>
      <c r="E1774" s="199"/>
      <c r="F1774" s="200"/>
      <c r="G1774" s="201"/>
      <c r="H1774" s="208"/>
      <c r="I1774" s="209"/>
      <c r="J1774" s="209"/>
      <c r="K1774" s="198"/>
      <c r="L1774" s="204"/>
      <c r="M1774" s="205"/>
      <c r="N1774" s="206"/>
      <c r="O1774" s="207"/>
      <c r="P1774" s="207"/>
      <c r="Q1774" s="207"/>
      <c r="R1774" s="207"/>
      <c r="S1774" s="198"/>
      <c r="T1774" s="201"/>
    </row>
    <row r="1775" spans="1:20" ht="22.5" hidden="1" customHeight="1" x14ac:dyDescent="0.25">
      <c r="A1775" s="208"/>
      <c r="B1775" s="238"/>
      <c r="C1775" s="198"/>
      <c r="D1775" s="198"/>
      <c r="E1775" s="199"/>
      <c r="F1775" s="200"/>
      <c r="G1775" s="201"/>
      <c r="H1775" s="208"/>
      <c r="I1775" s="209"/>
      <c r="J1775" s="209"/>
      <c r="K1775" s="198"/>
      <c r="L1775" s="204"/>
      <c r="M1775" s="205"/>
      <c r="N1775" s="206"/>
      <c r="O1775" s="207"/>
      <c r="P1775" s="207"/>
      <c r="Q1775" s="207"/>
      <c r="R1775" s="207"/>
      <c r="S1775" s="198"/>
      <c r="T1775" s="201"/>
    </row>
    <row r="1776" spans="1:20" ht="22.5" hidden="1" customHeight="1" x14ac:dyDescent="0.25">
      <c r="A1776" s="208"/>
      <c r="B1776" s="238"/>
      <c r="C1776" s="198"/>
      <c r="D1776" s="198"/>
      <c r="E1776" s="199"/>
      <c r="F1776" s="200"/>
      <c r="G1776" s="201"/>
      <c r="H1776" s="208"/>
      <c r="I1776" s="209"/>
      <c r="J1776" s="209"/>
      <c r="K1776" s="198"/>
      <c r="L1776" s="204"/>
      <c r="M1776" s="205"/>
      <c r="N1776" s="206"/>
      <c r="O1776" s="207"/>
      <c r="P1776" s="207"/>
      <c r="Q1776" s="207"/>
      <c r="R1776" s="207"/>
      <c r="S1776" s="198"/>
      <c r="T1776" s="201"/>
    </row>
    <row r="1777" spans="1:20" ht="22.5" hidden="1" customHeight="1" x14ac:dyDescent="0.25">
      <c r="A1777" s="208"/>
      <c r="B1777" s="238"/>
      <c r="C1777" s="198"/>
      <c r="D1777" s="198"/>
      <c r="E1777" s="199"/>
      <c r="F1777" s="200"/>
      <c r="G1777" s="201"/>
      <c r="H1777" s="208"/>
      <c r="I1777" s="209"/>
      <c r="J1777" s="209"/>
      <c r="K1777" s="198"/>
      <c r="L1777" s="204"/>
      <c r="M1777" s="205"/>
      <c r="N1777" s="206"/>
      <c r="O1777" s="207"/>
      <c r="P1777" s="207"/>
      <c r="Q1777" s="207"/>
      <c r="R1777" s="207"/>
      <c r="S1777" s="198"/>
      <c r="T1777" s="201"/>
    </row>
    <row r="1778" spans="1:20" ht="22.5" hidden="1" customHeight="1" x14ac:dyDescent="0.25">
      <c r="A1778" s="208"/>
      <c r="B1778" s="238"/>
      <c r="C1778" s="198"/>
      <c r="D1778" s="198"/>
      <c r="E1778" s="199"/>
      <c r="F1778" s="200"/>
      <c r="G1778" s="201"/>
      <c r="H1778" s="208"/>
      <c r="I1778" s="209"/>
      <c r="J1778" s="209"/>
      <c r="K1778" s="198"/>
      <c r="L1778" s="204"/>
      <c r="M1778" s="205"/>
      <c r="N1778" s="206"/>
      <c r="O1778" s="207"/>
      <c r="P1778" s="207"/>
      <c r="Q1778" s="207"/>
      <c r="R1778" s="207"/>
      <c r="S1778" s="198"/>
      <c r="T1778" s="201"/>
    </row>
    <row r="1779" spans="1:20" ht="22.5" hidden="1" customHeight="1" x14ac:dyDescent="0.25">
      <c r="A1779" s="208"/>
      <c r="B1779" s="238"/>
      <c r="C1779" s="198"/>
      <c r="D1779" s="198"/>
      <c r="E1779" s="199"/>
      <c r="F1779" s="200"/>
      <c r="G1779" s="201"/>
      <c r="H1779" s="208"/>
      <c r="I1779" s="209"/>
      <c r="J1779" s="209"/>
      <c r="K1779" s="198"/>
      <c r="L1779" s="204"/>
      <c r="M1779" s="205"/>
      <c r="N1779" s="206"/>
      <c r="O1779" s="207"/>
      <c r="P1779" s="207"/>
      <c r="Q1779" s="207"/>
      <c r="R1779" s="207"/>
      <c r="S1779" s="198"/>
      <c r="T1779" s="201"/>
    </row>
    <row r="1780" spans="1:20" ht="22.5" hidden="1" customHeight="1" x14ac:dyDescent="0.25">
      <c r="A1780" s="208"/>
      <c r="B1780" s="238"/>
      <c r="C1780" s="198"/>
      <c r="D1780" s="198"/>
      <c r="E1780" s="199"/>
      <c r="F1780" s="200"/>
      <c r="G1780" s="201"/>
      <c r="H1780" s="208"/>
      <c r="I1780" s="209"/>
      <c r="J1780" s="209"/>
      <c r="K1780" s="198"/>
      <c r="L1780" s="204"/>
      <c r="M1780" s="205"/>
      <c r="N1780" s="206"/>
      <c r="O1780" s="207"/>
      <c r="P1780" s="207"/>
      <c r="Q1780" s="207"/>
      <c r="R1780" s="207"/>
      <c r="S1780" s="198"/>
      <c r="T1780" s="201"/>
    </row>
    <row r="1781" spans="1:20" ht="22.5" hidden="1" customHeight="1" x14ac:dyDescent="0.25">
      <c r="A1781" s="208"/>
      <c r="B1781" s="238"/>
      <c r="C1781" s="198"/>
      <c r="D1781" s="198"/>
      <c r="E1781" s="199"/>
      <c r="F1781" s="200"/>
      <c r="G1781" s="201"/>
      <c r="H1781" s="208"/>
      <c r="I1781" s="209"/>
      <c r="J1781" s="209"/>
      <c r="K1781" s="198"/>
      <c r="L1781" s="204"/>
      <c r="M1781" s="205"/>
      <c r="N1781" s="206"/>
      <c r="O1781" s="207"/>
      <c r="P1781" s="207"/>
      <c r="Q1781" s="207"/>
      <c r="R1781" s="207"/>
      <c r="S1781" s="198"/>
      <c r="T1781" s="201"/>
    </row>
    <row r="1782" spans="1:20" ht="22.5" hidden="1" customHeight="1" x14ac:dyDescent="0.25">
      <c r="A1782" s="208"/>
      <c r="B1782" s="238"/>
      <c r="C1782" s="198"/>
      <c r="D1782" s="198"/>
      <c r="E1782" s="199"/>
      <c r="F1782" s="200"/>
      <c r="G1782" s="201"/>
      <c r="H1782" s="208"/>
      <c r="I1782" s="209"/>
      <c r="J1782" s="209"/>
      <c r="K1782" s="198"/>
      <c r="L1782" s="204"/>
      <c r="M1782" s="205"/>
      <c r="N1782" s="206"/>
      <c r="O1782" s="207"/>
      <c r="P1782" s="207"/>
      <c r="Q1782" s="207"/>
      <c r="R1782" s="207"/>
      <c r="S1782" s="198"/>
      <c r="T1782" s="201"/>
    </row>
    <row r="1783" spans="1:20" ht="22.5" hidden="1" customHeight="1" x14ac:dyDescent="0.25">
      <c r="A1783" s="208"/>
      <c r="B1783" s="238"/>
      <c r="C1783" s="198"/>
      <c r="D1783" s="198"/>
      <c r="E1783" s="199"/>
      <c r="F1783" s="200"/>
      <c r="G1783" s="201"/>
      <c r="H1783" s="208"/>
      <c r="I1783" s="209"/>
      <c r="J1783" s="209"/>
      <c r="K1783" s="198"/>
      <c r="L1783" s="204"/>
      <c r="M1783" s="205"/>
      <c r="N1783" s="206"/>
      <c r="O1783" s="207"/>
      <c r="P1783" s="207"/>
      <c r="Q1783" s="207"/>
      <c r="R1783" s="207"/>
      <c r="S1783" s="198"/>
      <c r="T1783" s="201"/>
    </row>
    <row r="1784" spans="1:20" ht="22.5" hidden="1" customHeight="1" x14ac:dyDescent="0.25">
      <c r="A1784" s="208"/>
      <c r="B1784" s="238"/>
      <c r="C1784" s="198"/>
      <c r="D1784" s="198"/>
      <c r="E1784" s="199"/>
      <c r="F1784" s="200"/>
      <c r="G1784" s="201"/>
      <c r="H1784" s="208"/>
      <c r="I1784" s="209"/>
      <c r="J1784" s="209"/>
      <c r="K1784" s="198"/>
      <c r="L1784" s="204"/>
      <c r="M1784" s="205"/>
      <c r="N1784" s="206"/>
      <c r="O1784" s="207"/>
      <c r="P1784" s="207"/>
      <c r="Q1784" s="207"/>
      <c r="R1784" s="207"/>
      <c r="S1784" s="198"/>
      <c r="T1784" s="201"/>
    </row>
    <row r="1785" spans="1:20" ht="22.5" hidden="1" customHeight="1" x14ac:dyDescent="0.25">
      <c r="A1785" s="208"/>
      <c r="B1785" s="238"/>
      <c r="C1785" s="198"/>
      <c r="D1785" s="198"/>
      <c r="E1785" s="199"/>
      <c r="F1785" s="200"/>
      <c r="G1785" s="201"/>
      <c r="H1785" s="208"/>
      <c r="I1785" s="209"/>
      <c r="J1785" s="209"/>
      <c r="K1785" s="198"/>
      <c r="L1785" s="204"/>
      <c r="M1785" s="205"/>
      <c r="N1785" s="206"/>
      <c r="O1785" s="207"/>
      <c r="P1785" s="207"/>
      <c r="Q1785" s="207"/>
      <c r="R1785" s="207"/>
      <c r="S1785" s="198"/>
      <c r="T1785" s="201"/>
    </row>
    <row r="1786" spans="1:20" ht="22.5" hidden="1" customHeight="1" x14ac:dyDescent="0.25">
      <c r="A1786" s="208"/>
      <c r="B1786" s="238"/>
      <c r="C1786" s="198"/>
      <c r="D1786" s="198"/>
      <c r="E1786" s="199"/>
      <c r="F1786" s="200"/>
      <c r="G1786" s="201"/>
      <c r="H1786" s="208"/>
      <c r="I1786" s="209"/>
      <c r="J1786" s="209"/>
      <c r="K1786" s="198"/>
      <c r="L1786" s="204"/>
      <c r="M1786" s="205"/>
      <c r="N1786" s="206"/>
      <c r="O1786" s="207"/>
      <c r="P1786" s="207"/>
      <c r="Q1786" s="207"/>
      <c r="R1786" s="207"/>
      <c r="S1786" s="198"/>
      <c r="T1786" s="201"/>
    </row>
    <row r="1787" spans="1:20" ht="22.5" hidden="1" customHeight="1" x14ac:dyDescent="0.25">
      <c r="A1787" s="208"/>
      <c r="B1787" s="238"/>
      <c r="C1787" s="198"/>
      <c r="D1787" s="198"/>
      <c r="E1787" s="199"/>
      <c r="F1787" s="200"/>
      <c r="G1787" s="201"/>
      <c r="H1787" s="208"/>
      <c r="I1787" s="209"/>
      <c r="J1787" s="209"/>
      <c r="K1787" s="198"/>
      <c r="L1787" s="204"/>
      <c r="M1787" s="205"/>
      <c r="N1787" s="206"/>
      <c r="O1787" s="207"/>
      <c r="P1787" s="207"/>
      <c r="Q1787" s="207"/>
      <c r="R1787" s="207"/>
      <c r="S1787" s="198"/>
      <c r="T1787" s="201"/>
    </row>
    <row r="1788" spans="1:20" ht="22.5" hidden="1" customHeight="1" x14ac:dyDescent="0.25">
      <c r="A1788" s="208"/>
      <c r="B1788" s="238"/>
      <c r="C1788" s="198"/>
      <c r="D1788" s="198"/>
      <c r="E1788" s="199"/>
      <c r="F1788" s="200"/>
      <c r="G1788" s="201"/>
      <c r="H1788" s="208"/>
      <c r="I1788" s="209"/>
      <c r="J1788" s="209"/>
      <c r="K1788" s="198"/>
      <c r="L1788" s="204"/>
      <c r="M1788" s="205"/>
      <c r="N1788" s="206"/>
      <c r="O1788" s="207"/>
      <c r="P1788" s="207"/>
      <c r="Q1788" s="207"/>
      <c r="R1788" s="207"/>
      <c r="S1788" s="198"/>
      <c r="T1788" s="201"/>
    </row>
    <row r="1789" spans="1:20" ht="22.5" hidden="1" customHeight="1" x14ac:dyDescent="0.25">
      <c r="A1789" s="208"/>
      <c r="B1789" s="238"/>
      <c r="C1789" s="198"/>
      <c r="D1789" s="198"/>
      <c r="E1789" s="199"/>
      <c r="F1789" s="200"/>
      <c r="G1789" s="201"/>
      <c r="H1789" s="208"/>
      <c r="I1789" s="209"/>
      <c r="J1789" s="209"/>
      <c r="K1789" s="198"/>
      <c r="L1789" s="204"/>
      <c r="M1789" s="205"/>
      <c r="N1789" s="206"/>
      <c r="O1789" s="207"/>
      <c r="P1789" s="207"/>
      <c r="Q1789" s="207"/>
      <c r="R1789" s="207"/>
      <c r="S1789" s="198"/>
      <c r="T1789" s="201"/>
    </row>
    <row r="1790" spans="1:20" ht="22.5" hidden="1" customHeight="1" x14ac:dyDescent="0.25">
      <c r="A1790" s="208"/>
      <c r="B1790" s="238"/>
      <c r="C1790" s="198"/>
      <c r="D1790" s="198"/>
      <c r="E1790" s="199"/>
      <c r="F1790" s="200"/>
      <c r="G1790" s="201"/>
      <c r="H1790" s="208"/>
      <c r="I1790" s="209"/>
      <c r="J1790" s="209"/>
      <c r="K1790" s="198"/>
      <c r="L1790" s="204"/>
      <c r="M1790" s="205"/>
      <c r="N1790" s="206"/>
      <c r="O1790" s="207"/>
      <c r="P1790" s="207"/>
      <c r="Q1790" s="207"/>
      <c r="R1790" s="207"/>
      <c r="S1790" s="198"/>
      <c r="T1790" s="201"/>
    </row>
    <row r="1791" spans="1:20" ht="22.5" hidden="1" customHeight="1" x14ac:dyDescent="0.25">
      <c r="A1791" s="208"/>
      <c r="B1791" s="238"/>
      <c r="C1791" s="198"/>
      <c r="D1791" s="198"/>
      <c r="E1791" s="199"/>
      <c r="F1791" s="200"/>
      <c r="G1791" s="201"/>
      <c r="H1791" s="208"/>
      <c r="I1791" s="209"/>
      <c r="J1791" s="209"/>
      <c r="K1791" s="198"/>
      <c r="L1791" s="204"/>
      <c r="M1791" s="205"/>
      <c r="N1791" s="206"/>
      <c r="O1791" s="207"/>
      <c r="P1791" s="207"/>
      <c r="Q1791" s="207"/>
      <c r="R1791" s="207"/>
      <c r="S1791" s="198"/>
      <c r="T1791" s="201"/>
    </row>
    <row r="1792" spans="1:20" ht="22.5" hidden="1" customHeight="1" x14ac:dyDescent="0.25">
      <c r="A1792" s="208"/>
      <c r="B1792" s="238"/>
      <c r="C1792" s="198"/>
      <c r="D1792" s="198"/>
      <c r="E1792" s="199"/>
      <c r="F1792" s="200"/>
      <c r="G1792" s="201"/>
      <c r="H1792" s="208"/>
      <c r="I1792" s="209"/>
      <c r="J1792" s="209"/>
      <c r="K1792" s="198"/>
      <c r="L1792" s="204"/>
      <c r="M1792" s="205"/>
      <c r="N1792" s="206"/>
      <c r="O1792" s="207"/>
      <c r="P1792" s="207"/>
      <c r="Q1792" s="207"/>
      <c r="R1792" s="207"/>
      <c r="S1792" s="198"/>
      <c r="T1792" s="201"/>
    </row>
    <row r="1793" spans="1:20" ht="22.5" hidden="1" customHeight="1" x14ac:dyDescent="0.25">
      <c r="A1793" s="208"/>
      <c r="B1793" s="238"/>
      <c r="C1793" s="198"/>
      <c r="D1793" s="198"/>
      <c r="E1793" s="199"/>
      <c r="F1793" s="200"/>
      <c r="G1793" s="201"/>
      <c r="H1793" s="208"/>
      <c r="I1793" s="209"/>
      <c r="J1793" s="209"/>
      <c r="K1793" s="198"/>
      <c r="L1793" s="204"/>
      <c r="M1793" s="205"/>
      <c r="N1793" s="206"/>
      <c r="O1793" s="207"/>
      <c r="P1793" s="207"/>
      <c r="Q1793" s="207"/>
      <c r="R1793" s="207"/>
      <c r="S1793" s="198"/>
      <c r="T1793" s="201"/>
    </row>
    <row r="1794" spans="1:20" ht="22.5" hidden="1" customHeight="1" x14ac:dyDescent="0.25">
      <c r="A1794" s="208"/>
      <c r="B1794" s="238"/>
      <c r="C1794" s="198"/>
      <c r="D1794" s="198"/>
      <c r="E1794" s="199"/>
      <c r="F1794" s="200"/>
      <c r="G1794" s="201"/>
      <c r="H1794" s="208"/>
      <c r="I1794" s="209"/>
      <c r="J1794" s="209"/>
      <c r="K1794" s="198"/>
      <c r="L1794" s="204"/>
      <c r="M1794" s="205"/>
      <c r="N1794" s="206"/>
      <c r="O1794" s="207"/>
      <c r="P1794" s="207"/>
      <c r="Q1794" s="207"/>
      <c r="R1794" s="207"/>
      <c r="S1794" s="198"/>
      <c r="T1794" s="201"/>
    </row>
    <row r="1795" spans="1:20" ht="22.5" hidden="1" customHeight="1" x14ac:dyDescent="0.25">
      <c r="A1795" s="208"/>
      <c r="B1795" s="238"/>
      <c r="C1795" s="198"/>
      <c r="D1795" s="198"/>
      <c r="E1795" s="199"/>
      <c r="F1795" s="200"/>
      <c r="G1795" s="201"/>
      <c r="H1795" s="208"/>
      <c r="I1795" s="209"/>
      <c r="J1795" s="209"/>
      <c r="K1795" s="198"/>
      <c r="L1795" s="204"/>
      <c r="M1795" s="205"/>
      <c r="N1795" s="206"/>
      <c r="O1795" s="207"/>
      <c r="P1795" s="207"/>
      <c r="Q1795" s="207"/>
      <c r="R1795" s="207"/>
      <c r="S1795" s="198"/>
      <c r="T1795" s="201"/>
    </row>
    <row r="1796" spans="1:20" ht="22.5" hidden="1" customHeight="1" x14ac:dyDescent="0.25">
      <c r="A1796" s="208"/>
      <c r="B1796" s="238"/>
      <c r="C1796" s="198"/>
      <c r="D1796" s="198"/>
      <c r="E1796" s="199"/>
      <c r="F1796" s="200"/>
      <c r="G1796" s="201"/>
      <c r="H1796" s="208"/>
      <c r="I1796" s="209"/>
      <c r="J1796" s="209"/>
      <c r="K1796" s="198"/>
      <c r="L1796" s="204"/>
      <c r="M1796" s="205"/>
      <c r="N1796" s="206"/>
      <c r="O1796" s="207"/>
      <c r="P1796" s="207"/>
      <c r="Q1796" s="207"/>
      <c r="R1796" s="207"/>
      <c r="S1796" s="198"/>
      <c r="T1796" s="201"/>
    </row>
    <row r="1797" spans="1:20" ht="22.5" hidden="1" customHeight="1" x14ac:dyDescent="0.25">
      <c r="A1797" s="208"/>
      <c r="B1797" s="238"/>
      <c r="C1797" s="198"/>
      <c r="D1797" s="198"/>
      <c r="E1797" s="199"/>
      <c r="F1797" s="200"/>
      <c r="G1797" s="201"/>
      <c r="H1797" s="208"/>
      <c r="I1797" s="209"/>
      <c r="J1797" s="209"/>
      <c r="K1797" s="198"/>
      <c r="L1797" s="204"/>
      <c r="M1797" s="205"/>
      <c r="N1797" s="206"/>
      <c r="O1797" s="207"/>
      <c r="P1797" s="207"/>
      <c r="Q1797" s="207"/>
      <c r="R1797" s="207"/>
      <c r="S1797" s="198"/>
      <c r="T1797" s="201"/>
    </row>
    <row r="1798" spans="1:20" ht="22.5" hidden="1" customHeight="1" x14ac:dyDescent="0.25">
      <c r="A1798" s="208"/>
      <c r="B1798" s="238"/>
      <c r="C1798" s="198"/>
      <c r="D1798" s="198"/>
      <c r="E1798" s="199"/>
      <c r="F1798" s="200"/>
      <c r="G1798" s="201"/>
      <c r="H1798" s="208"/>
      <c r="I1798" s="209"/>
      <c r="J1798" s="209"/>
      <c r="K1798" s="198"/>
      <c r="L1798" s="204"/>
      <c r="M1798" s="205"/>
      <c r="N1798" s="206"/>
      <c r="O1798" s="207"/>
      <c r="P1798" s="207"/>
      <c r="Q1798" s="207"/>
      <c r="R1798" s="207"/>
      <c r="S1798" s="198"/>
      <c r="T1798" s="201"/>
    </row>
    <row r="1799" spans="1:20" ht="22.5" hidden="1" customHeight="1" x14ac:dyDescent="0.25">
      <c r="A1799" s="208"/>
      <c r="B1799" s="238"/>
      <c r="C1799" s="198"/>
      <c r="D1799" s="198"/>
      <c r="E1799" s="199"/>
      <c r="F1799" s="200"/>
      <c r="G1799" s="201"/>
      <c r="H1799" s="208"/>
      <c r="I1799" s="209"/>
      <c r="J1799" s="209"/>
      <c r="K1799" s="198"/>
      <c r="L1799" s="204"/>
      <c r="M1799" s="205"/>
      <c r="N1799" s="206"/>
      <c r="O1799" s="207"/>
      <c r="P1799" s="207"/>
      <c r="Q1799" s="207"/>
      <c r="R1799" s="207"/>
      <c r="S1799" s="198"/>
      <c r="T1799" s="201"/>
    </row>
    <row r="1800" spans="1:20" ht="22.5" hidden="1" customHeight="1" x14ac:dyDescent="0.25">
      <c r="A1800" s="208"/>
      <c r="B1800" s="238"/>
      <c r="C1800" s="198"/>
      <c r="D1800" s="198"/>
      <c r="E1800" s="199"/>
      <c r="F1800" s="200"/>
      <c r="G1800" s="201"/>
      <c r="H1800" s="208"/>
      <c r="I1800" s="209"/>
      <c r="J1800" s="209"/>
      <c r="K1800" s="198"/>
      <c r="L1800" s="204"/>
      <c r="M1800" s="205"/>
      <c r="N1800" s="206"/>
      <c r="O1800" s="207"/>
      <c r="P1800" s="207"/>
      <c r="Q1800" s="207"/>
      <c r="R1800" s="207"/>
      <c r="S1800" s="198"/>
      <c r="T1800" s="201"/>
    </row>
    <row r="1801" spans="1:20" ht="22.5" hidden="1" customHeight="1" x14ac:dyDescent="0.25">
      <c r="A1801" s="208"/>
      <c r="B1801" s="238"/>
      <c r="C1801" s="198"/>
      <c r="D1801" s="198"/>
      <c r="E1801" s="199"/>
      <c r="F1801" s="200"/>
      <c r="G1801" s="201"/>
      <c r="H1801" s="208"/>
      <c r="I1801" s="209"/>
      <c r="J1801" s="209"/>
      <c r="K1801" s="198"/>
      <c r="L1801" s="204"/>
      <c r="M1801" s="205"/>
      <c r="N1801" s="206"/>
      <c r="O1801" s="207"/>
      <c r="P1801" s="207"/>
      <c r="Q1801" s="207"/>
      <c r="R1801" s="207"/>
      <c r="S1801" s="198"/>
      <c r="T1801" s="201"/>
    </row>
    <row r="1802" spans="1:20" ht="22.5" hidden="1" customHeight="1" x14ac:dyDescent="0.25">
      <c r="A1802" s="208"/>
      <c r="B1802" s="238"/>
      <c r="C1802" s="198"/>
      <c r="D1802" s="198"/>
      <c r="E1802" s="199"/>
      <c r="F1802" s="200"/>
      <c r="G1802" s="201"/>
      <c r="H1802" s="208"/>
      <c r="I1802" s="209"/>
      <c r="J1802" s="209"/>
      <c r="K1802" s="198"/>
      <c r="L1802" s="204"/>
      <c r="M1802" s="205"/>
      <c r="N1802" s="206"/>
      <c r="O1802" s="207"/>
      <c r="P1802" s="207"/>
      <c r="Q1802" s="207"/>
      <c r="R1802" s="207"/>
      <c r="S1802" s="198"/>
      <c r="T1802" s="201"/>
    </row>
    <row r="1803" spans="1:20" ht="22.5" hidden="1" customHeight="1" x14ac:dyDescent="0.25">
      <c r="A1803" s="208"/>
      <c r="B1803" s="238"/>
      <c r="C1803" s="198"/>
      <c r="D1803" s="198"/>
      <c r="E1803" s="199"/>
      <c r="F1803" s="200"/>
      <c r="G1803" s="201"/>
      <c r="H1803" s="208"/>
      <c r="I1803" s="209"/>
      <c r="J1803" s="209"/>
      <c r="K1803" s="198"/>
      <c r="L1803" s="204"/>
      <c r="M1803" s="205"/>
      <c r="N1803" s="206"/>
      <c r="O1803" s="207"/>
      <c r="P1803" s="207"/>
      <c r="Q1803" s="207"/>
      <c r="R1803" s="207"/>
      <c r="S1803" s="198"/>
      <c r="T1803" s="201"/>
    </row>
    <row r="1804" spans="1:20" ht="22.5" hidden="1" customHeight="1" x14ac:dyDescent="0.25">
      <c r="A1804" s="208"/>
      <c r="B1804" s="238"/>
      <c r="C1804" s="198"/>
      <c r="D1804" s="198"/>
      <c r="E1804" s="199"/>
      <c r="F1804" s="200"/>
      <c r="G1804" s="201"/>
      <c r="H1804" s="208"/>
      <c r="I1804" s="209"/>
      <c r="J1804" s="209"/>
      <c r="K1804" s="198"/>
      <c r="L1804" s="204"/>
      <c r="M1804" s="205"/>
      <c r="N1804" s="206"/>
      <c r="O1804" s="207"/>
      <c r="P1804" s="207"/>
      <c r="Q1804" s="207"/>
      <c r="R1804" s="207"/>
      <c r="S1804" s="198"/>
      <c r="T1804" s="201"/>
    </row>
    <row r="1805" spans="1:20" ht="22.5" hidden="1" customHeight="1" x14ac:dyDescent="0.25">
      <c r="A1805" s="208"/>
      <c r="B1805" s="238"/>
      <c r="C1805" s="198"/>
      <c r="D1805" s="198"/>
      <c r="E1805" s="199"/>
      <c r="F1805" s="200"/>
      <c r="G1805" s="201"/>
      <c r="H1805" s="208"/>
      <c r="I1805" s="209"/>
      <c r="J1805" s="209"/>
      <c r="K1805" s="198"/>
      <c r="L1805" s="204"/>
      <c r="M1805" s="205"/>
      <c r="N1805" s="206"/>
      <c r="O1805" s="207"/>
      <c r="P1805" s="207"/>
      <c r="Q1805" s="207"/>
      <c r="R1805" s="207"/>
      <c r="S1805" s="198"/>
      <c r="T1805" s="201"/>
    </row>
    <row r="1806" spans="1:20" ht="22.5" hidden="1" customHeight="1" x14ac:dyDescent="0.25">
      <c r="A1806" s="208"/>
      <c r="B1806" s="238"/>
      <c r="C1806" s="198"/>
      <c r="D1806" s="198"/>
      <c r="E1806" s="199"/>
      <c r="F1806" s="200"/>
      <c r="G1806" s="201"/>
      <c r="H1806" s="208"/>
      <c r="I1806" s="209"/>
      <c r="J1806" s="209"/>
      <c r="K1806" s="198"/>
      <c r="L1806" s="204"/>
      <c r="M1806" s="205"/>
      <c r="N1806" s="206"/>
      <c r="O1806" s="207"/>
      <c r="P1806" s="207"/>
      <c r="Q1806" s="207"/>
      <c r="R1806" s="207"/>
      <c r="S1806" s="198"/>
      <c r="T1806" s="201"/>
    </row>
    <row r="1807" spans="1:20" ht="22.5" hidden="1" customHeight="1" x14ac:dyDescent="0.25">
      <c r="A1807" s="208"/>
      <c r="B1807" s="238"/>
      <c r="C1807" s="198"/>
      <c r="D1807" s="198"/>
      <c r="E1807" s="199"/>
      <c r="F1807" s="200"/>
      <c r="G1807" s="201"/>
      <c r="H1807" s="208"/>
      <c r="I1807" s="209"/>
      <c r="J1807" s="209"/>
      <c r="K1807" s="198"/>
      <c r="L1807" s="204"/>
      <c r="M1807" s="205"/>
      <c r="N1807" s="206"/>
      <c r="O1807" s="207"/>
      <c r="P1807" s="207"/>
      <c r="Q1807" s="207"/>
      <c r="R1807" s="207"/>
      <c r="S1807" s="198"/>
      <c r="T1807" s="201"/>
    </row>
    <row r="1808" spans="1:20" ht="22.5" hidden="1" customHeight="1" x14ac:dyDescent="0.25">
      <c r="A1808" s="208"/>
      <c r="B1808" s="238"/>
      <c r="C1808" s="198"/>
      <c r="D1808" s="198"/>
      <c r="E1808" s="199"/>
      <c r="F1808" s="200"/>
      <c r="G1808" s="201"/>
      <c r="H1808" s="208"/>
      <c r="I1808" s="209"/>
      <c r="J1808" s="209"/>
      <c r="K1808" s="198"/>
      <c r="L1808" s="204"/>
      <c r="M1808" s="205"/>
      <c r="N1808" s="206"/>
      <c r="O1808" s="207"/>
      <c r="P1808" s="207"/>
      <c r="Q1808" s="207"/>
      <c r="R1808" s="207"/>
      <c r="S1808" s="198"/>
      <c r="T1808" s="201"/>
    </row>
    <row r="1809" spans="1:20" ht="22.5" hidden="1" customHeight="1" x14ac:dyDescent="0.25">
      <c r="A1809" s="208"/>
      <c r="B1809" s="238"/>
      <c r="C1809" s="198"/>
      <c r="D1809" s="198"/>
      <c r="E1809" s="199"/>
      <c r="F1809" s="200"/>
      <c r="G1809" s="201"/>
      <c r="H1809" s="208"/>
      <c r="I1809" s="209"/>
      <c r="J1809" s="209"/>
      <c r="K1809" s="198"/>
      <c r="L1809" s="204"/>
      <c r="M1809" s="205"/>
      <c r="N1809" s="206"/>
      <c r="O1809" s="207"/>
      <c r="P1809" s="207"/>
      <c r="Q1809" s="207"/>
      <c r="R1809" s="207"/>
      <c r="S1809" s="198"/>
      <c r="T1809" s="201"/>
    </row>
    <row r="1810" spans="1:20" ht="22.5" hidden="1" customHeight="1" x14ac:dyDescent="0.25">
      <c r="A1810" s="208"/>
      <c r="B1810" s="238"/>
      <c r="C1810" s="198"/>
      <c r="D1810" s="198"/>
      <c r="E1810" s="199"/>
      <c r="F1810" s="200"/>
      <c r="G1810" s="201"/>
      <c r="H1810" s="208"/>
      <c r="I1810" s="209"/>
      <c r="J1810" s="209"/>
      <c r="K1810" s="198"/>
      <c r="L1810" s="204"/>
      <c r="M1810" s="205"/>
      <c r="N1810" s="206"/>
      <c r="O1810" s="207"/>
      <c r="P1810" s="207"/>
      <c r="Q1810" s="207"/>
      <c r="R1810" s="207"/>
      <c r="S1810" s="198"/>
      <c r="T1810" s="201"/>
    </row>
    <row r="1811" spans="1:20" ht="22.5" hidden="1" customHeight="1" x14ac:dyDescent="0.25">
      <c r="A1811" s="208"/>
      <c r="B1811" s="238"/>
      <c r="C1811" s="198"/>
      <c r="D1811" s="198"/>
      <c r="E1811" s="199"/>
      <c r="F1811" s="200"/>
      <c r="G1811" s="201"/>
      <c r="H1811" s="208"/>
      <c r="I1811" s="209"/>
      <c r="J1811" s="209"/>
      <c r="K1811" s="198"/>
      <c r="L1811" s="204"/>
      <c r="M1811" s="205"/>
      <c r="N1811" s="206"/>
      <c r="O1811" s="207"/>
      <c r="P1811" s="207"/>
      <c r="Q1811" s="207"/>
      <c r="R1811" s="207"/>
      <c r="S1811" s="198"/>
      <c r="T1811" s="201"/>
    </row>
    <row r="1812" spans="1:20" ht="22.5" hidden="1" customHeight="1" x14ac:dyDescent="0.25">
      <c r="A1812" s="208"/>
      <c r="B1812" s="238"/>
      <c r="C1812" s="198"/>
      <c r="D1812" s="198"/>
      <c r="E1812" s="199"/>
      <c r="F1812" s="200"/>
      <c r="G1812" s="201"/>
      <c r="H1812" s="208"/>
      <c r="I1812" s="209"/>
      <c r="J1812" s="209"/>
      <c r="K1812" s="198"/>
      <c r="L1812" s="204"/>
      <c r="M1812" s="205"/>
      <c r="N1812" s="206"/>
      <c r="O1812" s="207"/>
      <c r="P1812" s="207"/>
      <c r="Q1812" s="207"/>
      <c r="R1812" s="207"/>
      <c r="S1812" s="198"/>
      <c r="T1812" s="201"/>
    </row>
    <row r="1813" spans="1:20" ht="22.5" hidden="1" customHeight="1" x14ac:dyDescent="0.25">
      <c r="A1813" s="208"/>
      <c r="B1813" s="238"/>
      <c r="C1813" s="198"/>
      <c r="D1813" s="198"/>
      <c r="E1813" s="199"/>
      <c r="F1813" s="200"/>
      <c r="G1813" s="201"/>
      <c r="H1813" s="208"/>
      <c r="I1813" s="209"/>
      <c r="J1813" s="209"/>
      <c r="K1813" s="198"/>
      <c r="L1813" s="204"/>
      <c r="M1813" s="205"/>
      <c r="N1813" s="206"/>
      <c r="O1813" s="207"/>
      <c r="P1813" s="207"/>
      <c r="Q1813" s="207"/>
      <c r="R1813" s="207"/>
      <c r="S1813" s="198"/>
      <c r="T1813" s="201"/>
    </row>
    <row r="1814" spans="1:20" ht="22.5" hidden="1" customHeight="1" x14ac:dyDescent="0.25">
      <c r="A1814" s="208"/>
      <c r="B1814" s="238"/>
      <c r="C1814" s="198"/>
      <c r="D1814" s="198"/>
      <c r="E1814" s="199"/>
      <c r="F1814" s="200"/>
      <c r="G1814" s="201"/>
      <c r="H1814" s="208"/>
      <c r="I1814" s="209"/>
      <c r="J1814" s="209"/>
      <c r="K1814" s="198"/>
      <c r="L1814" s="204"/>
      <c r="M1814" s="205"/>
      <c r="N1814" s="206"/>
      <c r="O1814" s="207"/>
      <c r="P1814" s="207"/>
      <c r="Q1814" s="207"/>
      <c r="R1814" s="207"/>
      <c r="S1814" s="198"/>
      <c r="T1814" s="201"/>
    </row>
    <row r="1815" spans="1:20" ht="22.5" hidden="1" customHeight="1" x14ac:dyDescent="0.25">
      <c r="A1815" s="208"/>
      <c r="B1815" s="238"/>
      <c r="C1815" s="198"/>
      <c r="D1815" s="198"/>
      <c r="E1815" s="199"/>
      <c r="F1815" s="200"/>
      <c r="G1815" s="201"/>
      <c r="H1815" s="208"/>
      <c r="I1815" s="209"/>
      <c r="J1815" s="209"/>
      <c r="K1815" s="198"/>
      <c r="L1815" s="204"/>
      <c r="M1815" s="205"/>
      <c r="N1815" s="206"/>
      <c r="O1815" s="207"/>
      <c r="P1815" s="207"/>
      <c r="Q1815" s="207"/>
      <c r="R1815" s="207"/>
      <c r="S1815" s="198"/>
      <c r="T1815" s="201"/>
    </row>
    <row r="1816" spans="1:20" ht="22.5" hidden="1" customHeight="1" x14ac:dyDescent="0.25">
      <c r="A1816" s="208"/>
      <c r="B1816" s="238"/>
      <c r="C1816" s="198"/>
      <c r="D1816" s="198"/>
      <c r="E1816" s="199"/>
      <c r="F1816" s="200"/>
      <c r="G1816" s="201"/>
      <c r="H1816" s="208"/>
      <c r="I1816" s="209"/>
      <c r="J1816" s="209"/>
      <c r="K1816" s="198"/>
      <c r="L1816" s="204"/>
      <c r="M1816" s="205"/>
      <c r="N1816" s="206"/>
      <c r="O1816" s="207"/>
      <c r="P1816" s="207"/>
      <c r="Q1816" s="207"/>
      <c r="R1816" s="207"/>
      <c r="S1816" s="198"/>
      <c r="T1816" s="201"/>
    </row>
    <row r="1817" spans="1:20" ht="22.5" hidden="1" customHeight="1" x14ac:dyDescent="0.25">
      <c r="A1817" s="208"/>
      <c r="B1817" s="238"/>
      <c r="C1817" s="198"/>
      <c r="D1817" s="198"/>
      <c r="E1817" s="199"/>
      <c r="F1817" s="200"/>
      <c r="G1817" s="201"/>
      <c r="H1817" s="208"/>
      <c r="I1817" s="209"/>
      <c r="J1817" s="209"/>
      <c r="K1817" s="198"/>
      <c r="L1817" s="204"/>
      <c r="M1817" s="205"/>
      <c r="N1817" s="206"/>
      <c r="O1817" s="207"/>
      <c r="P1817" s="207"/>
      <c r="Q1817" s="207"/>
      <c r="R1817" s="207"/>
      <c r="S1817" s="198"/>
      <c r="T1817" s="201"/>
    </row>
    <row r="1818" spans="1:20" ht="22.5" hidden="1" customHeight="1" x14ac:dyDescent="0.25">
      <c r="A1818" s="208"/>
      <c r="B1818" s="238"/>
      <c r="C1818" s="198"/>
      <c r="D1818" s="198"/>
      <c r="E1818" s="199"/>
      <c r="F1818" s="200"/>
      <c r="G1818" s="201"/>
      <c r="H1818" s="208"/>
      <c r="I1818" s="209"/>
      <c r="J1818" s="209"/>
      <c r="K1818" s="198"/>
      <c r="L1818" s="204"/>
      <c r="M1818" s="205"/>
      <c r="N1818" s="206"/>
      <c r="O1818" s="207"/>
      <c r="P1818" s="207"/>
      <c r="Q1818" s="207"/>
      <c r="R1818" s="207"/>
      <c r="S1818" s="198"/>
      <c r="T1818" s="201"/>
    </row>
    <row r="1819" spans="1:20" ht="22.5" hidden="1" customHeight="1" x14ac:dyDescent="0.25">
      <c r="A1819" s="208"/>
      <c r="B1819" s="238"/>
      <c r="C1819" s="198"/>
      <c r="D1819" s="198"/>
      <c r="E1819" s="199"/>
      <c r="F1819" s="200"/>
      <c r="G1819" s="201"/>
      <c r="H1819" s="208"/>
      <c r="I1819" s="209"/>
      <c r="J1819" s="209"/>
      <c r="K1819" s="198"/>
      <c r="L1819" s="204"/>
      <c r="M1819" s="205"/>
      <c r="N1819" s="206"/>
      <c r="O1819" s="207"/>
      <c r="P1819" s="207"/>
      <c r="Q1819" s="207"/>
      <c r="R1819" s="207"/>
      <c r="S1819" s="198"/>
      <c r="T1819" s="201"/>
    </row>
    <row r="1820" spans="1:20" ht="22.5" hidden="1" customHeight="1" x14ac:dyDescent="0.25">
      <c r="A1820" s="208"/>
      <c r="B1820" s="238"/>
      <c r="C1820" s="198"/>
      <c r="D1820" s="198"/>
      <c r="E1820" s="199"/>
      <c r="F1820" s="200"/>
      <c r="G1820" s="201"/>
      <c r="H1820" s="208"/>
      <c r="I1820" s="209"/>
      <c r="J1820" s="209"/>
      <c r="K1820" s="198"/>
      <c r="L1820" s="204"/>
      <c r="M1820" s="205"/>
      <c r="N1820" s="206"/>
      <c r="O1820" s="207"/>
      <c r="P1820" s="207"/>
      <c r="Q1820" s="207"/>
      <c r="R1820" s="207"/>
      <c r="S1820" s="198"/>
      <c r="T1820" s="201"/>
    </row>
    <row r="1821" spans="1:20" ht="22.5" hidden="1" customHeight="1" x14ac:dyDescent="0.25">
      <c r="A1821" s="208"/>
      <c r="B1821" s="238"/>
      <c r="C1821" s="198"/>
      <c r="D1821" s="198"/>
      <c r="E1821" s="199"/>
      <c r="F1821" s="200"/>
      <c r="G1821" s="201"/>
      <c r="H1821" s="208"/>
      <c r="I1821" s="209"/>
      <c r="J1821" s="209"/>
      <c r="K1821" s="198"/>
      <c r="L1821" s="204"/>
      <c r="M1821" s="205"/>
      <c r="N1821" s="206"/>
      <c r="O1821" s="207"/>
      <c r="P1821" s="207"/>
      <c r="Q1821" s="207"/>
      <c r="R1821" s="207"/>
      <c r="S1821" s="198"/>
      <c r="T1821" s="201"/>
    </row>
    <row r="1822" spans="1:20" ht="22.5" hidden="1" customHeight="1" x14ac:dyDescent="0.25">
      <c r="A1822" s="208"/>
      <c r="B1822" s="238"/>
      <c r="C1822" s="198"/>
      <c r="D1822" s="198"/>
      <c r="E1822" s="199"/>
      <c r="F1822" s="200"/>
      <c r="G1822" s="201"/>
      <c r="H1822" s="208"/>
      <c r="I1822" s="209"/>
      <c r="J1822" s="209"/>
      <c r="K1822" s="198"/>
      <c r="L1822" s="204"/>
      <c r="M1822" s="205"/>
      <c r="N1822" s="206"/>
      <c r="O1822" s="207"/>
      <c r="P1822" s="207"/>
      <c r="Q1822" s="207"/>
      <c r="R1822" s="207"/>
      <c r="S1822" s="198"/>
      <c r="T1822" s="201"/>
    </row>
    <row r="1823" spans="1:20" ht="22.5" hidden="1" customHeight="1" x14ac:dyDescent="0.25">
      <c r="A1823" s="208"/>
      <c r="B1823" s="238"/>
      <c r="C1823" s="198"/>
      <c r="D1823" s="198"/>
      <c r="E1823" s="199"/>
      <c r="F1823" s="200"/>
      <c r="G1823" s="201"/>
      <c r="H1823" s="208"/>
      <c r="I1823" s="209"/>
      <c r="J1823" s="209"/>
      <c r="K1823" s="198"/>
      <c r="L1823" s="204"/>
      <c r="M1823" s="205"/>
      <c r="N1823" s="206"/>
      <c r="O1823" s="207"/>
      <c r="P1823" s="207"/>
      <c r="Q1823" s="207"/>
      <c r="R1823" s="207"/>
      <c r="S1823" s="198"/>
      <c r="T1823" s="201"/>
    </row>
    <row r="1824" spans="1:20" ht="22.5" hidden="1" customHeight="1" x14ac:dyDescent="0.25">
      <c r="A1824" s="208"/>
      <c r="B1824" s="238"/>
      <c r="C1824" s="198"/>
      <c r="D1824" s="198"/>
      <c r="E1824" s="199"/>
      <c r="F1824" s="200"/>
      <c r="G1824" s="201"/>
      <c r="H1824" s="208"/>
      <c r="I1824" s="209"/>
      <c r="J1824" s="209"/>
      <c r="K1824" s="198"/>
      <c r="L1824" s="204"/>
      <c r="M1824" s="205"/>
      <c r="N1824" s="206"/>
      <c r="O1824" s="207"/>
      <c r="P1824" s="207"/>
      <c r="Q1824" s="207"/>
      <c r="R1824" s="207"/>
      <c r="S1824" s="198"/>
      <c r="T1824" s="201"/>
    </row>
    <row r="1825" spans="1:20" ht="22.5" hidden="1" customHeight="1" x14ac:dyDescent="0.25">
      <c r="A1825" s="208"/>
      <c r="B1825" s="238"/>
      <c r="C1825" s="198"/>
      <c r="D1825" s="198"/>
      <c r="E1825" s="199"/>
      <c r="F1825" s="200"/>
      <c r="G1825" s="201"/>
      <c r="H1825" s="208"/>
      <c r="I1825" s="209"/>
      <c r="J1825" s="209"/>
      <c r="K1825" s="198"/>
      <c r="L1825" s="204"/>
      <c r="M1825" s="205"/>
      <c r="N1825" s="206"/>
      <c r="O1825" s="207"/>
      <c r="P1825" s="207"/>
      <c r="Q1825" s="207"/>
      <c r="R1825" s="207"/>
      <c r="S1825" s="198"/>
      <c r="T1825" s="201"/>
    </row>
    <row r="1826" spans="1:20" ht="22.5" hidden="1" customHeight="1" x14ac:dyDescent="0.25">
      <c r="A1826" s="208"/>
      <c r="B1826" s="238"/>
      <c r="C1826" s="198"/>
      <c r="D1826" s="198"/>
      <c r="E1826" s="199"/>
      <c r="F1826" s="200"/>
      <c r="G1826" s="201"/>
      <c r="H1826" s="208"/>
      <c r="I1826" s="209"/>
      <c r="J1826" s="209"/>
      <c r="K1826" s="198"/>
      <c r="L1826" s="204"/>
      <c r="M1826" s="205"/>
      <c r="N1826" s="206"/>
      <c r="O1826" s="207"/>
      <c r="P1826" s="207"/>
      <c r="Q1826" s="207"/>
      <c r="R1826" s="207"/>
      <c r="S1826" s="198"/>
      <c r="T1826" s="201"/>
    </row>
    <row r="1827" spans="1:20" ht="22.5" hidden="1" customHeight="1" x14ac:dyDescent="0.25">
      <c r="A1827" s="208"/>
      <c r="B1827" s="238"/>
      <c r="C1827" s="198"/>
      <c r="D1827" s="198"/>
      <c r="E1827" s="199"/>
      <c r="F1827" s="200"/>
      <c r="G1827" s="201"/>
      <c r="H1827" s="208"/>
      <c r="I1827" s="209"/>
      <c r="J1827" s="209"/>
      <c r="K1827" s="198"/>
      <c r="L1827" s="204"/>
      <c r="M1827" s="205"/>
      <c r="N1827" s="206"/>
      <c r="O1827" s="207"/>
      <c r="P1827" s="207"/>
      <c r="Q1827" s="207"/>
      <c r="R1827" s="207"/>
      <c r="S1827" s="198"/>
      <c r="T1827" s="201"/>
    </row>
    <row r="1828" spans="1:20" ht="22.5" hidden="1" customHeight="1" x14ac:dyDescent="0.25">
      <c r="A1828" s="208"/>
      <c r="B1828" s="238"/>
      <c r="C1828" s="198"/>
      <c r="D1828" s="198"/>
      <c r="E1828" s="199"/>
      <c r="F1828" s="200"/>
      <c r="G1828" s="201"/>
      <c r="H1828" s="208"/>
      <c r="I1828" s="209"/>
      <c r="J1828" s="209"/>
      <c r="K1828" s="198"/>
      <c r="L1828" s="204"/>
      <c r="M1828" s="205"/>
      <c r="N1828" s="206"/>
      <c r="O1828" s="207"/>
      <c r="P1828" s="207"/>
      <c r="Q1828" s="207"/>
      <c r="R1828" s="207"/>
      <c r="S1828" s="198"/>
      <c r="T1828" s="201"/>
    </row>
    <row r="1829" spans="1:20" ht="22.5" hidden="1" customHeight="1" x14ac:dyDescent="0.25">
      <c r="A1829" s="208"/>
      <c r="B1829" s="238"/>
      <c r="C1829" s="198"/>
      <c r="D1829" s="198"/>
      <c r="E1829" s="199"/>
      <c r="F1829" s="200"/>
      <c r="G1829" s="201"/>
      <c r="H1829" s="208"/>
      <c r="I1829" s="209"/>
      <c r="J1829" s="209"/>
      <c r="K1829" s="198"/>
      <c r="L1829" s="204"/>
      <c r="M1829" s="205"/>
      <c r="N1829" s="206"/>
      <c r="O1829" s="207"/>
      <c r="P1829" s="207"/>
      <c r="Q1829" s="207"/>
      <c r="R1829" s="207"/>
      <c r="S1829" s="198"/>
      <c r="T1829" s="201"/>
    </row>
    <row r="1830" spans="1:20" ht="22.5" hidden="1" customHeight="1" x14ac:dyDescent="0.25">
      <c r="A1830" s="208"/>
      <c r="B1830" s="238"/>
      <c r="C1830" s="198"/>
      <c r="D1830" s="198"/>
      <c r="E1830" s="199"/>
      <c r="F1830" s="200"/>
      <c r="G1830" s="201"/>
      <c r="H1830" s="208"/>
      <c r="I1830" s="209"/>
      <c r="J1830" s="209"/>
      <c r="K1830" s="198"/>
      <c r="L1830" s="204"/>
      <c r="M1830" s="205"/>
      <c r="N1830" s="206"/>
      <c r="O1830" s="207"/>
      <c r="P1830" s="207"/>
      <c r="Q1830" s="207"/>
      <c r="R1830" s="207"/>
      <c r="S1830" s="198"/>
      <c r="T1830" s="201"/>
    </row>
    <row r="1831" spans="1:20" ht="22.5" hidden="1" customHeight="1" x14ac:dyDescent="0.25">
      <c r="A1831" s="208"/>
      <c r="B1831" s="238"/>
      <c r="C1831" s="198"/>
      <c r="D1831" s="198"/>
      <c r="E1831" s="199"/>
      <c r="F1831" s="200"/>
      <c r="G1831" s="201"/>
      <c r="H1831" s="208"/>
      <c r="I1831" s="209"/>
      <c r="J1831" s="209"/>
      <c r="K1831" s="198"/>
      <c r="L1831" s="204"/>
      <c r="M1831" s="205"/>
      <c r="N1831" s="206"/>
      <c r="O1831" s="207"/>
      <c r="P1831" s="207"/>
      <c r="Q1831" s="207"/>
      <c r="R1831" s="207"/>
      <c r="S1831" s="198"/>
      <c r="T1831" s="201"/>
    </row>
    <row r="1832" spans="1:20" ht="22.5" hidden="1" customHeight="1" x14ac:dyDescent="0.25">
      <c r="A1832" s="208"/>
      <c r="B1832" s="238"/>
      <c r="C1832" s="198"/>
      <c r="D1832" s="198"/>
      <c r="E1832" s="199"/>
      <c r="F1832" s="200"/>
      <c r="G1832" s="201"/>
      <c r="H1832" s="208"/>
      <c r="I1832" s="209"/>
      <c r="J1832" s="209"/>
      <c r="K1832" s="198"/>
      <c r="L1832" s="204"/>
      <c r="M1832" s="205"/>
      <c r="N1832" s="206"/>
      <c r="O1832" s="207"/>
      <c r="P1832" s="207"/>
      <c r="Q1832" s="207"/>
      <c r="R1832" s="207"/>
      <c r="S1832" s="198"/>
      <c r="T1832" s="201"/>
    </row>
    <row r="1833" spans="1:20" ht="22.5" hidden="1" customHeight="1" x14ac:dyDescent="0.25">
      <c r="A1833" s="208"/>
      <c r="B1833" s="238"/>
      <c r="C1833" s="198"/>
      <c r="D1833" s="198"/>
      <c r="E1833" s="199"/>
      <c r="F1833" s="200"/>
      <c r="G1833" s="201"/>
      <c r="H1833" s="208"/>
      <c r="I1833" s="209"/>
      <c r="J1833" s="209"/>
      <c r="K1833" s="198"/>
      <c r="L1833" s="204"/>
      <c r="M1833" s="205"/>
      <c r="N1833" s="206"/>
      <c r="O1833" s="207"/>
      <c r="P1833" s="207"/>
      <c r="Q1833" s="207"/>
      <c r="R1833" s="207"/>
      <c r="S1833" s="198"/>
      <c r="T1833" s="201"/>
    </row>
    <row r="1834" spans="1:20" ht="22.5" hidden="1" customHeight="1" x14ac:dyDescent="0.25">
      <c r="A1834" s="208"/>
      <c r="B1834" s="238"/>
      <c r="C1834" s="198"/>
      <c r="D1834" s="198"/>
      <c r="E1834" s="199"/>
      <c r="F1834" s="200"/>
      <c r="G1834" s="201"/>
      <c r="H1834" s="208"/>
      <c r="I1834" s="209"/>
      <c r="J1834" s="209"/>
      <c r="K1834" s="198"/>
      <c r="L1834" s="204"/>
      <c r="M1834" s="205"/>
      <c r="N1834" s="206"/>
      <c r="O1834" s="207"/>
      <c r="P1834" s="207"/>
      <c r="Q1834" s="207"/>
      <c r="R1834" s="207"/>
      <c r="S1834" s="198"/>
      <c r="T1834" s="201"/>
    </row>
    <row r="1835" spans="1:20" ht="22.5" hidden="1" customHeight="1" x14ac:dyDescent="0.25">
      <c r="A1835" s="208"/>
      <c r="B1835" s="238"/>
      <c r="C1835" s="198"/>
      <c r="D1835" s="198"/>
      <c r="E1835" s="199"/>
      <c r="F1835" s="200"/>
      <c r="G1835" s="201"/>
      <c r="H1835" s="208"/>
      <c r="I1835" s="209"/>
      <c r="J1835" s="209"/>
      <c r="K1835" s="198"/>
      <c r="L1835" s="204"/>
      <c r="M1835" s="205"/>
      <c r="N1835" s="206"/>
      <c r="O1835" s="207"/>
      <c r="P1835" s="207"/>
      <c r="Q1835" s="207"/>
      <c r="R1835" s="207"/>
      <c r="S1835" s="198"/>
      <c r="T1835" s="201"/>
    </row>
    <row r="1836" spans="1:20" ht="22.5" hidden="1" customHeight="1" x14ac:dyDescent="0.25">
      <c r="A1836" s="208"/>
      <c r="B1836" s="238"/>
      <c r="C1836" s="198"/>
      <c r="D1836" s="198"/>
      <c r="E1836" s="199"/>
      <c r="F1836" s="200"/>
      <c r="G1836" s="201"/>
      <c r="H1836" s="208"/>
      <c r="I1836" s="209"/>
      <c r="J1836" s="209"/>
      <c r="K1836" s="198"/>
      <c r="L1836" s="204"/>
      <c r="M1836" s="205"/>
      <c r="N1836" s="206"/>
      <c r="O1836" s="207"/>
      <c r="P1836" s="207"/>
      <c r="Q1836" s="207"/>
      <c r="R1836" s="207"/>
      <c r="S1836" s="198"/>
      <c r="T1836" s="201"/>
    </row>
    <row r="1837" spans="1:20" ht="22.5" hidden="1" customHeight="1" x14ac:dyDescent="0.25">
      <c r="A1837" s="208"/>
      <c r="B1837" s="238"/>
      <c r="C1837" s="198"/>
      <c r="D1837" s="198"/>
      <c r="E1837" s="199"/>
      <c r="F1837" s="200"/>
      <c r="G1837" s="201"/>
      <c r="H1837" s="208"/>
      <c r="I1837" s="209"/>
      <c r="J1837" s="209"/>
      <c r="K1837" s="198"/>
      <c r="L1837" s="204"/>
      <c r="M1837" s="205"/>
      <c r="N1837" s="206"/>
      <c r="O1837" s="207"/>
      <c r="P1837" s="207"/>
      <c r="Q1837" s="207"/>
      <c r="R1837" s="207"/>
      <c r="S1837" s="198"/>
      <c r="T1837" s="201"/>
    </row>
    <row r="1838" spans="1:20" ht="22.5" hidden="1" customHeight="1" x14ac:dyDescent="0.25">
      <c r="A1838" s="208"/>
      <c r="B1838" s="238"/>
      <c r="C1838" s="198"/>
      <c r="D1838" s="198"/>
      <c r="E1838" s="199"/>
      <c r="F1838" s="200"/>
      <c r="G1838" s="201"/>
      <c r="H1838" s="208"/>
      <c r="I1838" s="209"/>
      <c r="J1838" s="209"/>
      <c r="K1838" s="198"/>
      <c r="L1838" s="204"/>
      <c r="M1838" s="205"/>
      <c r="N1838" s="206"/>
      <c r="O1838" s="207"/>
      <c r="P1838" s="207"/>
      <c r="Q1838" s="207"/>
      <c r="R1838" s="207"/>
      <c r="S1838" s="198"/>
      <c r="T1838" s="201"/>
    </row>
    <row r="1839" spans="1:20" ht="22.5" hidden="1" customHeight="1" x14ac:dyDescent="0.25">
      <c r="A1839" s="208"/>
      <c r="B1839" s="238"/>
      <c r="C1839" s="198"/>
      <c r="D1839" s="198"/>
      <c r="E1839" s="199"/>
      <c r="F1839" s="200"/>
      <c r="G1839" s="201"/>
      <c r="H1839" s="208"/>
      <c r="I1839" s="209"/>
      <c r="J1839" s="209"/>
      <c r="K1839" s="198"/>
      <c r="L1839" s="204"/>
      <c r="M1839" s="205"/>
      <c r="N1839" s="206"/>
      <c r="O1839" s="207"/>
      <c r="P1839" s="207"/>
      <c r="Q1839" s="207"/>
      <c r="R1839" s="207"/>
      <c r="S1839" s="198"/>
      <c r="T1839" s="201"/>
    </row>
    <row r="1840" spans="1:20" ht="22.5" hidden="1" customHeight="1" x14ac:dyDescent="0.25">
      <c r="A1840" s="208"/>
      <c r="B1840" s="238"/>
      <c r="C1840" s="198"/>
      <c r="D1840" s="198"/>
      <c r="E1840" s="199"/>
      <c r="F1840" s="200"/>
      <c r="G1840" s="201"/>
      <c r="H1840" s="208"/>
      <c r="I1840" s="209"/>
      <c r="J1840" s="209"/>
      <c r="K1840" s="198"/>
      <c r="L1840" s="204"/>
      <c r="M1840" s="205"/>
      <c r="N1840" s="206"/>
      <c r="O1840" s="207"/>
      <c r="P1840" s="207"/>
      <c r="Q1840" s="207"/>
      <c r="R1840" s="207"/>
      <c r="S1840" s="198"/>
      <c r="T1840" s="201"/>
    </row>
    <row r="1841" spans="1:20" ht="22.5" hidden="1" customHeight="1" x14ac:dyDescent="0.25">
      <c r="A1841" s="208"/>
      <c r="B1841" s="238"/>
      <c r="C1841" s="198"/>
      <c r="D1841" s="198"/>
      <c r="E1841" s="199"/>
      <c r="F1841" s="200"/>
      <c r="G1841" s="201"/>
      <c r="H1841" s="208"/>
      <c r="I1841" s="209"/>
      <c r="J1841" s="209"/>
      <c r="K1841" s="198"/>
      <c r="L1841" s="204"/>
      <c r="M1841" s="205"/>
      <c r="N1841" s="206"/>
      <c r="O1841" s="207"/>
      <c r="P1841" s="207"/>
      <c r="Q1841" s="207"/>
      <c r="R1841" s="207"/>
      <c r="S1841" s="198"/>
      <c r="T1841" s="201"/>
    </row>
    <row r="1842" spans="1:20" ht="22.5" hidden="1" customHeight="1" x14ac:dyDescent="0.25">
      <c r="A1842" s="208"/>
      <c r="B1842" s="238"/>
      <c r="C1842" s="198"/>
      <c r="D1842" s="198"/>
      <c r="E1842" s="199"/>
      <c r="F1842" s="200"/>
      <c r="G1842" s="201"/>
      <c r="H1842" s="208"/>
      <c r="I1842" s="209"/>
      <c r="J1842" s="209"/>
      <c r="K1842" s="198"/>
      <c r="L1842" s="204"/>
      <c r="M1842" s="205"/>
      <c r="N1842" s="206"/>
      <c r="O1842" s="207"/>
      <c r="P1842" s="207"/>
      <c r="Q1842" s="207"/>
      <c r="R1842" s="207"/>
      <c r="S1842" s="198"/>
      <c r="T1842" s="201"/>
    </row>
    <row r="1843" spans="1:20" ht="22.5" hidden="1" customHeight="1" x14ac:dyDescent="0.25">
      <c r="A1843" s="208"/>
      <c r="B1843" s="238"/>
      <c r="C1843" s="198"/>
      <c r="D1843" s="198"/>
      <c r="E1843" s="199"/>
      <c r="F1843" s="200"/>
      <c r="G1843" s="201"/>
      <c r="H1843" s="208"/>
      <c r="I1843" s="209"/>
      <c r="J1843" s="209"/>
      <c r="K1843" s="198"/>
      <c r="L1843" s="204"/>
      <c r="M1843" s="205"/>
      <c r="N1843" s="206"/>
      <c r="O1843" s="207"/>
      <c r="P1843" s="207"/>
      <c r="Q1843" s="207"/>
      <c r="R1843" s="207"/>
      <c r="S1843" s="198"/>
      <c r="T1843" s="201"/>
    </row>
    <row r="1844" spans="1:20" ht="22.5" hidden="1" customHeight="1" x14ac:dyDescent="0.25">
      <c r="A1844" s="208"/>
      <c r="B1844" s="238"/>
      <c r="C1844" s="198"/>
      <c r="D1844" s="198"/>
      <c r="E1844" s="199"/>
      <c r="F1844" s="200"/>
      <c r="G1844" s="201"/>
      <c r="H1844" s="208"/>
      <c r="I1844" s="209"/>
      <c r="J1844" s="209"/>
      <c r="K1844" s="198"/>
      <c r="L1844" s="204"/>
      <c r="M1844" s="205"/>
      <c r="N1844" s="206"/>
      <c r="O1844" s="207"/>
      <c r="P1844" s="207"/>
      <c r="Q1844" s="207"/>
      <c r="R1844" s="207"/>
      <c r="S1844" s="198"/>
      <c r="T1844" s="201"/>
    </row>
    <row r="1845" spans="1:20" ht="22.5" hidden="1" customHeight="1" x14ac:dyDescent="0.25">
      <c r="A1845" s="208"/>
      <c r="B1845" s="238"/>
      <c r="C1845" s="198"/>
      <c r="D1845" s="198"/>
      <c r="E1845" s="199"/>
      <c r="F1845" s="200"/>
      <c r="G1845" s="201"/>
      <c r="H1845" s="208"/>
      <c r="I1845" s="209"/>
      <c r="J1845" s="209"/>
      <c r="K1845" s="198"/>
      <c r="L1845" s="204"/>
      <c r="M1845" s="205"/>
      <c r="N1845" s="206"/>
      <c r="O1845" s="207"/>
      <c r="P1845" s="207"/>
      <c r="Q1845" s="207"/>
      <c r="R1845" s="207"/>
      <c r="S1845" s="198"/>
      <c r="T1845" s="201"/>
    </row>
    <row r="1846" spans="1:20" ht="22.5" hidden="1" customHeight="1" x14ac:dyDescent="0.25">
      <c r="A1846" s="208"/>
      <c r="B1846" s="238"/>
      <c r="C1846" s="198"/>
      <c r="D1846" s="198"/>
      <c r="E1846" s="199"/>
      <c r="F1846" s="200"/>
      <c r="G1846" s="201"/>
      <c r="H1846" s="208"/>
      <c r="I1846" s="209"/>
      <c r="J1846" s="209"/>
      <c r="K1846" s="198"/>
      <c r="L1846" s="204"/>
      <c r="M1846" s="205"/>
      <c r="N1846" s="206"/>
      <c r="O1846" s="207"/>
      <c r="P1846" s="207"/>
      <c r="Q1846" s="207"/>
      <c r="R1846" s="207"/>
      <c r="S1846" s="198"/>
      <c r="T1846" s="201"/>
    </row>
    <row r="1847" spans="1:20" ht="22.5" hidden="1" customHeight="1" x14ac:dyDescent="0.25">
      <c r="A1847" s="208"/>
      <c r="B1847" s="238"/>
      <c r="C1847" s="198"/>
      <c r="D1847" s="198"/>
      <c r="E1847" s="199"/>
      <c r="F1847" s="200"/>
      <c r="G1847" s="201"/>
      <c r="H1847" s="208"/>
      <c r="I1847" s="209"/>
      <c r="J1847" s="209"/>
      <c r="K1847" s="198"/>
      <c r="L1847" s="204"/>
      <c r="M1847" s="205"/>
      <c r="N1847" s="206"/>
      <c r="O1847" s="207"/>
      <c r="P1847" s="207"/>
      <c r="Q1847" s="207"/>
      <c r="R1847" s="207"/>
      <c r="S1847" s="198"/>
      <c r="T1847" s="201"/>
    </row>
    <row r="1848" spans="1:20" ht="22.5" hidden="1" customHeight="1" x14ac:dyDescent="0.25">
      <c r="A1848" s="208"/>
      <c r="B1848" s="238"/>
      <c r="C1848" s="198"/>
      <c r="D1848" s="198"/>
      <c r="E1848" s="199"/>
      <c r="F1848" s="200"/>
      <c r="G1848" s="201"/>
      <c r="H1848" s="208"/>
      <c r="I1848" s="209"/>
      <c r="J1848" s="209"/>
      <c r="K1848" s="198"/>
      <c r="L1848" s="204"/>
      <c r="M1848" s="205"/>
      <c r="N1848" s="206"/>
      <c r="O1848" s="207"/>
      <c r="P1848" s="207"/>
      <c r="Q1848" s="207"/>
      <c r="R1848" s="207"/>
      <c r="S1848" s="198"/>
      <c r="T1848" s="201"/>
    </row>
    <row r="1849" spans="1:20" ht="22.5" hidden="1" customHeight="1" x14ac:dyDescent="0.25">
      <c r="A1849" s="208"/>
      <c r="B1849" s="238"/>
      <c r="C1849" s="198"/>
      <c r="D1849" s="198"/>
      <c r="E1849" s="199"/>
      <c r="F1849" s="200"/>
      <c r="G1849" s="201"/>
      <c r="H1849" s="208"/>
      <c r="I1849" s="209"/>
      <c r="J1849" s="209"/>
      <c r="K1849" s="198"/>
      <c r="L1849" s="204"/>
      <c r="M1849" s="205"/>
      <c r="N1849" s="206"/>
      <c r="O1849" s="207"/>
      <c r="P1849" s="207"/>
      <c r="Q1849" s="207"/>
      <c r="R1849" s="207"/>
      <c r="S1849" s="198"/>
      <c r="T1849" s="201"/>
    </row>
    <row r="1850" spans="1:20" ht="22.5" hidden="1" customHeight="1" x14ac:dyDescent="0.25">
      <c r="A1850" s="208"/>
      <c r="B1850" s="238"/>
      <c r="C1850" s="198"/>
      <c r="D1850" s="198"/>
      <c r="E1850" s="199"/>
      <c r="F1850" s="200"/>
      <c r="G1850" s="201"/>
      <c r="H1850" s="208"/>
      <c r="I1850" s="209"/>
      <c r="J1850" s="209"/>
      <c r="K1850" s="198"/>
      <c r="L1850" s="204"/>
      <c r="M1850" s="205"/>
      <c r="N1850" s="206"/>
      <c r="O1850" s="207"/>
      <c r="P1850" s="207"/>
      <c r="Q1850" s="207"/>
      <c r="R1850" s="207"/>
      <c r="S1850" s="198"/>
      <c r="T1850" s="201"/>
    </row>
    <row r="1851" spans="1:20" ht="22.5" hidden="1" customHeight="1" x14ac:dyDescent="0.25">
      <c r="A1851" s="208"/>
      <c r="B1851" s="238"/>
      <c r="C1851" s="198"/>
      <c r="D1851" s="198"/>
      <c r="E1851" s="199"/>
      <c r="F1851" s="200"/>
      <c r="G1851" s="201"/>
      <c r="H1851" s="208"/>
      <c r="I1851" s="209"/>
      <c r="J1851" s="209"/>
      <c r="K1851" s="198"/>
      <c r="L1851" s="204"/>
      <c r="M1851" s="205"/>
      <c r="N1851" s="206"/>
      <c r="O1851" s="207"/>
      <c r="P1851" s="207"/>
      <c r="Q1851" s="207"/>
      <c r="R1851" s="207"/>
      <c r="S1851" s="198"/>
      <c r="T1851" s="201"/>
    </row>
    <row r="1852" spans="1:20" ht="22.5" hidden="1" customHeight="1" x14ac:dyDescent="0.25">
      <c r="A1852" s="208"/>
      <c r="B1852" s="238"/>
      <c r="C1852" s="198"/>
      <c r="D1852" s="198"/>
      <c r="E1852" s="199"/>
      <c r="F1852" s="200"/>
      <c r="G1852" s="201"/>
      <c r="H1852" s="208"/>
      <c r="I1852" s="209"/>
      <c r="J1852" s="209"/>
      <c r="K1852" s="198"/>
      <c r="L1852" s="204"/>
      <c r="M1852" s="205"/>
      <c r="N1852" s="206"/>
      <c r="O1852" s="207"/>
      <c r="P1852" s="207"/>
      <c r="Q1852" s="207"/>
      <c r="R1852" s="207"/>
      <c r="S1852" s="198"/>
      <c r="T1852" s="201"/>
    </row>
    <row r="1853" spans="1:20" ht="22.5" hidden="1" customHeight="1" x14ac:dyDescent="0.25">
      <c r="A1853" s="208"/>
      <c r="B1853" s="238"/>
      <c r="C1853" s="198"/>
      <c r="D1853" s="198"/>
      <c r="E1853" s="199"/>
      <c r="F1853" s="200"/>
      <c r="G1853" s="201"/>
      <c r="H1853" s="208"/>
      <c r="I1853" s="209"/>
      <c r="J1853" s="209"/>
      <c r="K1853" s="198"/>
      <c r="L1853" s="204"/>
      <c r="M1853" s="205"/>
      <c r="N1853" s="206"/>
      <c r="O1853" s="207"/>
      <c r="P1853" s="207"/>
      <c r="Q1853" s="207"/>
      <c r="R1853" s="207"/>
      <c r="S1853" s="198"/>
      <c r="T1853" s="201"/>
    </row>
    <row r="1854" spans="1:20" ht="22.5" hidden="1" customHeight="1" x14ac:dyDescent="0.25">
      <c r="A1854" s="208"/>
      <c r="B1854" s="238"/>
      <c r="C1854" s="198"/>
      <c r="D1854" s="198"/>
      <c r="E1854" s="199"/>
      <c r="F1854" s="200"/>
      <c r="G1854" s="201"/>
      <c r="H1854" s="208"/>
      <c r="I1854" s="209"/>
      <c r="J1854" s="209"/>
      <c r="K1854" s="198"/>
      <c r="L1854" s="204"/>
      <c r="M1854" s="205"/>
      <c r="N1854" s="206"/>
      <c r="O1854" s="207"/>
      <c r="P1854" s="207"/>
      <c r="Q1854" s="207"/>
      <c r="R1854" s="207"/>
      <c r="S1854" s="198"/>
      <c r="T1854" s="201"/>
    </row>
    <row r="1855" spans="1:20" ht="22.5" hidden="1" customHeight="1" x14ac:dyDescent="0.25">
      <c r="A1855" s="208"/>
      <c r="B1855" s="238"/>
      <c r="C1855" s="198"/>
      <c r="D1855" s="198"/>
      <c r="E1855" s="199"/>
      <c r="F1855" s="200"/>
      <c r="G1855" s="201"/>
      <c r="H1855" s="208"/>
      <c r="I1855" s="209"/>
      <c r="J1855" s="209"/>
      <c r="K1855" s="198"/>
      <c r="L1855" s="204"/>
      <c r="M1855" s="205"/>
      <c r="N1855" s="206"/>
      <c r="O1855" s="207"/>
      <c r="P1855" s="207"/>
      <c r="Q1855" s="207"/>
      <c r="R1855" s="207"/>
      <c r="S1855" s="198"/>
      <c r="T1855" s="201"/>
    </row>
    <row r="1856" spans="1:20" ht="22.5" hidden="1" customHeight="1" x14ac:dyDescent="0.25">
      <c r="A1856" s="208"/>
      <c r="B1856" s="238"/>
      <c r="C1856" s="198"/>
      <c r="D1856" s="198"/>
      <c r="E1856" s="199"/>
      <c r="F1856" s="200"/>
      <c r="G1856" s="201"/>
      <c r="H1856" s="208"/>
      <c r="I1856" s="209"/>
      <c r="J1856" s="209"/>
      <c r="K1856" s="198"/>
      <c r="L1856" s="204"/>
      <c r="M1856" s="205"/>
      <c r="N1856" s="206"/>
      <c r="O1856" s="207"/>
      <c r="P1856" s="207"/>
      <c r="Q1856" s="207"/>
      <c r="R1856" s="207"/>
      <c r="S1856" s="198"/>
      <c r="T1856" s="201"/>
    </row>
    <row r="1857" spans="1:20" ht="22.5" hidden="1" customHeight="1" x14ac:dyDescent="0.25">
      <c r="A1857" s="208"/>
      <c r="B1857" s="238"/>
      <c r="C1857" s="198"/>
      <c r="D1857" s="198"/>
      <c r="E1857" s="199"/>
      <c r="F1857" s="200"/>
      <c r="G1857" s="201"/>
      <c r="H1857" s="208"/>
      <c r="I1857" s="209"/>
      <c r="J1857" s="209"/>
      <c r="K1857" s="198"/>
      <c r="L1857" s="204"/>
      <c r="M1857" s="205"/>
      <c r="N1857" s="206"/>
      <c r="O1857" s="207"/>
      <c r="P1857" s="207"/>
      <c r="Q1857" s="207"/>
      <c r="R1857" s="207"/>
      <c r="S1857" s="198"/>
      <c r="T1857" s="201"/>
    </row>
    <row r="1858" spans="1:20" ht="22.5" hidden="1" customHeight="1" x14ac:dyDescent="0.25">
      <c r="A1858" s="208"/>
      <c r="B1858" s="238"/>
      <c r="C1858" s="198"/>
      <c r="D1858" s="198"/>
      <c r="E1858" s="199"/>
      <c r="F1858" s="200"/>
      <c r="G1858" s="201"/>
      <c r="H1858" s="208"/>
      <c r="I1858" s="209"/>
      <c r="J1858" s="209"/>
      <c r="K1858" s="198"/>
      <c r="L1858" s="204"/>
      <c r="M1858" s="205"/>
      <c r="N1858" s="206"/>
      <c r="O1858" s="207"/>
      <c r="P1858" s="207"/>
      <c r="Q1858" s="207"/>
      <c r="R1858" s="207"/>
      <c r="S1858" s="198"/>
      <c r="T1858" s="201"/>
    </row>
    <row r="1859" spans="1:20" ht="22.5" hidden="1" customHeight="1" x14ac:dyDescent="0.25">
      <c r="A1859" s="208"/>
      <c r="B1859" s="238"/>
      <c r="C1859" s="198"/>
      <c r="D1859" s="198"/>
      <c r="E1859" s="199"/>
      <c r="F1859" s="200"/>
      <c r="G1859" s="201"/>
      <c r="H1859" s="208"/>
      <c r="I1859" s="209"/>
      <c r="J1859" s="209"/>
      <c r="K1859" s="198"/>
      <c r="L1859" s="204"/>
      <c r="M1859" s="205"/>
      <c r="N1859" s="206"/>
      <c r="O1859" s="207"/>
      <c r="P1859" s="207"/>
      <c r="Q1859" s="207"/>
      <c r="R1859" s="207"/>
      <c r="S1859" s="198"/>
      <c r="T1859" s="201"/>
    </row>
    <row r="1860" spans="1:20" ht="22.5" hidden="1" customHeight="1" x14ac:dyDescent="0.25">
      <c r="A1860" s="208"/>
      <c r="B1860" s="238"/>
      <c r="C1860" s="198"/>
      <c r="D1860" s="198"/>
      <c r="E1860" s="199"/>
      <c r="F1860" s="200"/>
      <c r="G1860" s="201"/>
      <c r="H1860" s="208"/>
      <c r="I1860" s="209"/>
      <c r="J1860" s="209"/>
      <c r="K1860" s="198"/>
      <c r="L1860" s="204"/>
      <c r="M1860" s="205"/>
      <c r="N1860" s="206"/>
      <c r="O1860" s="207"/>
      <c r="P1860" s="207"/>
      <c r="Q1860" s="207"/>
      <c r="R1860" s="207"/>
      <c r="S1860" s="198"/>
      <c r="T1860" s="201"/>
    </row>
    <row r="1861" spans="1:20" ht="22.5" hidden="1" customHeight="1" x14ac:dyDescent="0.25">
      <c r="A1861" s="208"/>
      <c r="B1861" s="238"/>
      <c r="C1861" s="198"/>
      <c r="D1861" s="198"/>
      <c r="E1861" s="199"/>
      <c r="F1861" s="200"/>
      <c r="G1861" s="201"/>
      <c r="H1861" s="208"/>
      <c r="I1861" s="209"/>
      <c r="J1861" s="209"/>
      <c r="K1861" s="198"/>
      <c r="L1861" s="204"/>
      <c r="M1861" s="205"/>
      <c r="N1861" s="206"/>
      <c r="O1861" s="207"/>
      <c r="P1861" s="207"/>
      <c r="Q1861" s="207"/>
      <c r="R1861" s="207"/>
      <c r="S1861" s="198"/>
      <c r="T1861" s="201"/>
    </row>
    <row r="1862" spans="1:20" ht="22.5" hidden="1" customHeight="1" x14ac:dyDescent="0.25">
      <c r="A1862" s="208"/>
      <c r="B1862" s="238"/>
      <c r="C1862" s="198"/>
      <c r="D1862" s="198"/>
      <c r="E1862" s="199"/>
      <c r="F1862" s="200"/>
      <c r="G1862" s="201"/>
      <c r="H1862" s="208"/>
      <c r="I1862" s="209"/>
      <c r="J1862" s="209"/>
      <c r="K1862" s="198"/>
      <c r="L1862" s="204"/>
      <c r="M1862" s="205"/>
      <c r="N1862" s="206"/>
      <c r="O1862" s="207"/>
      <c r="P1862" s="207"/>
      <c r="Q1862" s="207"/>
      <c r="R1862" s="207"/>
      <c r="S1862" s="198"/>
      <c r="T1862" s="201"/>
    </row>
    <row r="1863" spans="1:20" ht="22.5" hidden="1" customHeight="1" x14ac:dyDescent="0.25">
      <c r="A1863" s="208"/>
      <c r="B1863" s="238"/>
      <c r="C1863" s="198"/>
      <c r="D1863" s="198"/>
      <c r="E1863" s="199"/>
      <c r="F1863" s="200"/>
      <c r="G1863" s="201"/>
      <c r="H1863" s="208"/>
      <c r="I1863" s="209"/>
      <c r="J1863" s="209"/>
      <c r="K1863" s="198"/>
      <c r="L1863" s="204"/>
      <c r="M1863" s="205"/>
      <c r="N1863" s="206"/>
      <c r="O1863" s="207"/>
      <c r="P1863" s="207"/>
      <c r="Q1863" s="207"/>
      <c r="R1863" s="207"/>
      <c r="S1863" s="198"/>
      <c r="T1863" s="201"/>
    </row>
    <row r="1864" spans="1:20" ht="22.5" hidden="1" customHeight="1" x14ac:dyDescent="0.25">
      <c r="A1864" s="208"/>
      <c r="B1864" s="238"/>
      <c r="C1864" s="198"/>
      <c r="D1864" s="198"/>
      <c r="E1864" s="199"/>
      <c r="F1864" s="200"/>
      <c r="G1864" s="201"/>
      <c r="H1864" s="208"/>
      <c r="I1864" s="209"/>
      <c r="J1864" s="209"/>
      <c r="K1864" s="198"/>
      <c r="L1864" s="204"/>
      <c r="M1864" s="205"/>
      <c r="N1864" s="206"/>
      <c r="O1864" s="207"/>
      <c r="P1864" s="207"/>
      <c r="Q1864" s="207"/>
      <c r="R1864" s="207"/>
      <c r="S1864" s="198"/>
      <c r="T1864" s="201"/>
    </row>
    <row r="1865" spans="1:20" ht="22.5" hidden="1" customHeight="1" x14ac:dyDescent="0.25">
      <c r="A1865" s="208"/>
      <c r="B1865" s="238"/>
      <c r="C1865" s="198"/>
      <c r="D1865" s="198"/>
      <c r="E1865" s="199"/>
      <c r="F1865" s="200"/>
      <c r="G1865" s="201"/>
      <c r="H1865" s="208"/>
      <c r="I1865" s="209"/>
      <c r="J1865" s="209"/>
      <c r="K1865" s="198"/>
      <c r="L1865" s="204"/>
      <c r="M1865" s="205"/>
      <c r="N1865" s="206"/>
      <c r="O1865" s="207"/>
      <c r="P1865" s="207"/>
      <c r="Q1865" s="207"/>
      <c r="R1865" s="207"/>
      <c r="S1865" s="198"/>
      <c r="T1865" s="201"/>
    </row>
    <row r="1866" spans="1:20" ht="22.5" hidden="1" customHeight="1" x14ac:dyDescent="0.25">
      <c r="A1866" s="208"/>
      <c r="B1866" s="238"/>
      <c r="C1866" s="198"/>
      <c r="D1866" s="198"/>
      <c r="E1866" s="199"/>
      <c r="F1866" s="200"/>
      <c r="G1866" s="201"/>
      <c r="H1866" s="208"/>
      <c r="I1866" s="209"/>
      <c r="J1866" s="209"/>
      <c r="K1866" s="198"/>
      <c r="L1866" s="204"/>
      <c r="M1866" s="205"/>
      <c r="N1866" s="206"/>
      <c r="O1866" s="207"/>
      <c r="P1866" s="207"/>
      <c r="Q1866" s="207"/>
      <c r="R1866" s="207"/>
      <c r="S1866" s="198"/>
      <c r="T1866" s="201"/>
    </row>
    <row r="1867" spans="1:20" ht="22.5" hidden="1" customHeight="1" x14ac:dyDescent="0.25">
      <c r="A1867" s="208"/>
      <c r="B1867" s="238"/>
      <c r="C1867" s="198"/>
      <c r="D1867" s="198"/>
      <c r="E1867" s="199"/>
      <c r="F1867" s="200"/>
      <c r="G1867" s="201"/>
      <c r="H1867" s="208"/>
      <c r="I1867" s="209"/>
      <c r="J1867" s="209"/>
      <c r="K1867" s="198"/>
      <c r="L1867" s="204"/>
      <c r="M1867" s="205"/>
      <c r="N1867" s="206"/>
      <c r="O1867" s="207"/>
      <c r="P1867" s="207"/>
      <c r="Q1867" s="207"/>
      <c r="R1867" s="207"/>
      <c r="S1867" s="198"/>
      <c r="T1867" s="201"/>
    </row>
    <row r="1868" spans="1:20" ht="22.5" hidden="1" customHeight="1" x14ac:dyDescent="0.25">
      <c r="A1868" s="208"/>
      <c r="B1868" s="238"/>
      <c r="C1868" s="198"/>
      <c r="D1868" s="198"/>
      <c r="E1868" s="199"/>
      <c r="F1868" s="200"/>
      <c r="G1868" s="201"/>
      <c r="H1868" s="208"/>
      <c r="I1868" s="209"/>
      <c r="J1868" s="209"/>
      <c r="K1868" s="198"/>
      <c r="L1868" s="204"/>
      <c r="M1868" s="205"/>
      <c r="N1868" s="206"/>
      <c r="O1868" s="207"/>
      <c r="P1868" s="207"/>
      <c r="Q1868" s="207"/>
      <c r="R1868" s="207"/>
      <c r="S1868" s="198"/>
      <c r="T1868" s="201"/>
    </row>
    <row r="1869" spans="1:20" ht="22.5" hidden="1" customHeight="1" x14ac:dyDescent="0.25">
      <c r="A1869" s="208"/>
      <c r="B1869" s="238"/>
      <c r="C1869" s="198"/>
      <c r="D1869" s="198"/>
      <c r="E1869" s="199"/>
      <c r="F1869" s="200"/>
      <c r="G1869" s="201"/>
      <c r="H1869" s="208"/>
      <c r="I1869" s="209"/>
      <c r="J1869" s="209"/>
      <c r="K1869" s="198"/>
      <c r="L1869" s="204"/>
      <c r="M1869" s="205"/>
      <c r="N1869" s="206"/>
      <c r="O1869" s="207"/>
      <c r="P1869" s="207"/>
      <c r="Q1869" s="207"/>
      <c r="R1869" s="207"/>
      <c r="S1869" s="198"/>
      <c r="T1869" s="201"/>
    </row>
    <row r="1870" spans="1:20" ht="22.5" hidden="1" customHeight="1" x14ac:dyDescent="0.25">
      <c r="A1870" s="208"/>
      <c r="B1870" s="238"/>
      <c r="C1870" s="198"/>
      <c r="D1870" s="198"/>
      <c r="E1870" s="199"/>
      <c r="F1870" s="200"/>
      <c r="G1870" s="201"/>
      <c r="H1870" s="208"/>
      <c r="I1870" s="209"/>
      <c r="J1870" s="209"/>
      <c r="K1870" s="198"/>
      <c r="L1870" s="204"/>
      <c r="M1870" s="205"/>
      <c r="N1870" s="206"/>
      <c r="O1870" s="207"/>
      <c r="P1870" s="207"/>
      <c r="Q1870" s="207"/>
      <c r="R1870" s="207"/>
      <c r="S1870" s="198"/>
      <c r="T1870" s="201"/>
    </row>
    <row r="1871" spans="1:20" ht="22.5" hidden="1" customHeight="1" x14ac:dyDescent="0.25">
      <c r="A1871" s="208"/>
      <c r="B1871" s="238"/>
      <c r="C1871" s="198"/>
      <c r="D1871" s="198"/>
      <c r="E1871" s="199"/>
      <c r="F1871" s="200"/>
      <c r="G1871" s="201"/>
      <c r="H1871" s="208"/>
      <c r="I1871" s="209"/>
      <c r="J1871" s="209"/>
      <c r="K1871" s="198"/>
      <c r="L1871" s="204"/>
      <c r="M1871" s="205"/>
      <c r="N1871" s="206"/>
      <c r="O1871" s="207"/>
      <c r="P1871" s="207"/>
      <c r="Q1871" s="207"/>
      <c r="R1871" s="207"/>
      <c r="S1871" s="198"/>
      <c r="T1871" s="201"/>
    </row>
    <row r="1872" spans="1:20" ht="22.5" hidden="1" customHeight="1" x14ac:dyDescent="0.25">
      <c r="A1872" s="208"/>
      <c r="B1872" s="238"/>
      <c r="C1872" s="198"/>
      <c r="D1872" s="198"/>
      <c r="E1872" s="199"/>
      <c r="F1872" s="200"/>
      <c r="G1872" s="201"/>
      <c r="H1872" s="208"/>
      <c r="I1872" s="209"/>
      <c r="J1872" s="209"/>
      <c r="K1872" s="198"/>
      <c r="L1872" s="204"/>
      <c r="M1872" s="205"/>
      <c r="N1872" s="206"/>
      <c r="O1872" s="207"/>
      <c r="P1872" s="207"/>
      <c r="Q1872" s="207"/>
      <c r="R1872" s="207"/>
      <c r="S1872" s="198"/>
      <c r="T1872" s="201"/>
    </row>
    <row r="1873" spans="1:20" ht="22.5" hidden="1" customHeight="1" x14ac:dyDescent="0.25">
      <c r="A1873" s="208"/>
      <c r="B1873" s="238"/>
      <c r="C1873" s="198"/>
      <c r="D1873" s="198"/>
      <c r="E1873" s="199"/>
      <c r="F1873" s="200"/>
      <c r="G1873" s="201"/>
      <c r="H1873" s="208"/>
      <c r="I1873" s="209"/>
      <c r="J1873" s="209"/>
      <c r="K1873" s="198"/>
      <c r="L1873" s="204"/>
      <c r="M1873" s="205"/>
      <c r="N1873" s="206"/>
      <c r="O1873" s="207"/>
      <c r="P1873" s="207"/>
      <c r="Q1873" s="207"/>
      <c r="R1873" s="207"/>
      <c r="S1873" s="198"/>
      <c r="T1873" s="201"/>
    </row>
    <row r="1874" spans="1:20" ht="22.5" hidden="1" customHeight="1" x14ac:dyDescent="0.25">
      <c r="A1874" s="208"/>
      <c r="B1874" s="238"/>
      <c r="C1874" s="198"/>
      <c r="D1874" s="198"/>
      <c r="E1874" s="199"/>
      <c r="F1874" s="200"/>
      <c r="G1874" s="201"/>
      <c r="H1874" s="208"/>
      <c r="I1874" s="209"/>
      <c r="J1874" s="209"/>
      <c r="K1874" s="198"/>
      <c r="L1874" s="204"/>
      <c r="M1874" s="205"/>
      <c r="N1874" s="206"/>
      <c r="O1874" s="207"/>
      <c r="P1874" s="207"/>
      <c r="Q1874" s="207"/>
      <c r="R1874" s="207"/>
      <c r="S1874" s="198"/>
      <c r="T1874" s="201"/>
    </row>
    <row r="1875" spans="1:20" ht="22.5" hidden="1" customHeight="1" x14ac:dyDescent="0.25">
      <c r="A1875" s="208"/>
      <c r="B1875" s="238"/>
      <c r="C1875" s="198"/>
      <c r="D1875" s="198"/>
      <c r="E1875" s="199"/>
      <c r="F1875" s="200"/>
      <c r="G1875" s="201"/>
      <c r="H1875" s="208"/>
      <c r="I1875" s="209"/>
      <c r="J1875" s="209"/>
      <c r="K1875" s="198"/>
      <c r="L1875" s="204"/>
      <c r="M1875" s="205"/>
      <c r="N1875" s="206"/>
      <c r="O1875" s="207"/>
      <c r="P1875" s="207"/>
      <c r="Q1875" s="207"/>
      <c r="R1875" s="207"/>
      <c r="S1875" s="198"/>
      <c r="T1875" s="201"/>
    </row>
    <row r="1876" spans="1:20" ht="22.5" hidden="1" customHeight="1" x14ac:dyDescent="0.25">
      <c r="A1876" s="208"/>
      <c r="B1876" s="238"/>
      <c r="C1876" s="198"/>
      <c r="D1876" s="198"/>
      <c r="E1876" s="199"/>
      <c r="F1876" s="200"/>
      <c r="G1876" s="201"/>
      <c r="H1876" s="208"/>
      <c r="I1876" s="209"/>
      <c r="J1876" s="209"/>
      <c r="K1876" s="198"/>
      <c r="L1876" s="204"/>
      <c r="M1876" s="205"/>
      <c r="N1876" s="206"/>
      <c r="O1876" s="207"/>
      <c r="P1876" s="207"/>
      <c r="Q1876" s="207"/>
      <c r="R1876" s="207"/>
      <c r="S1876" s="198"/>
      <c r="T1876" s="201"/>
    </row>
    <row r="1877" spans="1:20" ht="22.5" hidden="1" customHeight="1" x14ac:dyDescent="0.25">
      <c r="A1877" s="208"/>
      <c r="B1877" s="238"/>
      <c r="C1877" s="198"/>
      <c r="D1877" s="198"/>
      <c r="E1877" s="199"/>
      <c r="F1877" s="200"/>
      <c r="G1877" s="201"/>
      <c r="H1877" s="208"/>
      <c r="I1877" s="209"/>
      <c r="J1877" s="209"/>
      <c r="K1877" s="198"/>
      <c r="L1877" s="204"/>
      <c r="M1877" s="205"/>
      <c r="N1877" s="206"/>
      <c r="O1877" s="207"/>
      <c r="P1877" s="207"/>
      <c r="Q1877" s="207"/>
      <c r="R1877" s="207"/>
      <c r="S1877" s="198"/>
      <c r="T1877" s="201"/>
    </row>
    <row r="1878" spans="1:20" ht="22.5" hidden="1" customHeight="1" x14ac:dyDescent="0.25">
      <c r="A1878" s="208"/>
      <c r="B1878" s="238"/>
      <c r="C1878" s="198"/>
      <c r="D1878" s="198"/>
      <c r="E1878" s="199"/>
      <c r="F1878" s="200"/>
      <c r="G1878" s="201"/>
      <c r="H1878" s="208"/>
      <c r="I1878" s="209"/>
      <c r="J1878" s="209"/>
      <c r="K1878" s="198"/>
      <c r="L1878" s="204"/>
      <c r="M1878" s="205"/>
      <c r="N1878" s="206"/>
      <c r="O1878" s="207"/>
      <c r="P1878" s="207"/>
      <c r="Q1878" s="207"/>
      <c r="R1878" s="207"/>
      <c r="S1878" s="198"/>
      <c r="T1878" s="201"/>
    </row>
    <row r="1879" spans="1:20" ht="22.5" hidden="1" customHeight="1" x14ac:dyDescent="0.25">
      <c r="A1879" s="208"/>
      <c r="B1879" s="238"/>
      <c r="C1879" s="198"/>
      <c r="D1879" s="198"/>
      <c r="E1879" s="199"/>
      <c r="F1879" s="200"/>
      <c r="G1879" s="201"/>
      <c r="H1879" s="208"/>
      <c r="I1879" s="209"/>
      <c r="J1879" s="209"/>
      <c r="K1879" s="198"/>
      <c r="L1879" s="204"/>
      <c r="M1879" s="205"/>
      <c r="N1879" s="206"/>
      <c r="O1879" s="207"/>
      <c r="P1879" s="207"/>
      <c r="Q1879" s="207"/>
      <c r="R1879" s="207"/>
      <c r="S1879" s="198"/>
      <c r="T1879" s="201"/>
    </row>
    <row r="1880" spans="1:20" ht="22.5" hidden="1" customHeight="1" x14ac:dyDescent="0.25">
      <c r="A1880" s="208"/>
      <c r="B1880" s="238"/>
      <c r="C1880" s="198"/>
      <c r="D1880" s="198"/>
      <c r="E1880" s="199"/>
      <c r="F1880" s="200"/>
      <c r="G1880" s="201"/>
      <c r="H1880" s="208"/>
      <c r="I1880" s="209"/>
      <c r="J1880" s="209"/>
      <c r="K1880" s="198"/>
      <c r="L1880" s="204"/>
      <c r="M1880" s="205"/>
      <c r="N1880" s="206"/>
      <c r="O1880" s="207"/>
      <c r="P1880" s="207"/>
      <c r="Q1880" s="207"/>
      <c r="R1880" s="207"/>
      <c r="S1880" s="198"/>
      <c r="T1880" s="201"/>
    </row>
    <row r="1881" spans="1:20" ht="22.5" hidden="1" customHeight="1" x14ac:dyDescent="0.25">
      <c r="A1881" s="208"/>
      <c r="B1881" s="238"/>
      <c r="C1881" s="198"/>
      <c r="D1881" s="198"/>
      <c r="E1881" s="199"/>
      <c r="F1881" s="200"/>
      <c r="G1881" s="201"/>
      <c r="H1881" s="208"/>
      <c r="I1881" s="209"/>
      <c r="J1881" s="209"/>
      <c r="K1881" s="198"/>
      <c r="L1881" s="204"/>
      <c r="M1881" s="205"/>
      <c r="N1881" s="206"/>
      <c r="O1881" s="207"/>
      <c r="P1881" s="207"/>
      <c r="Q1881" s="207"/>
      <c r="R1881" s="207"/>
      <c r="S1881" s="198"/>
      <c r="T1881" s="201"/>
    </row>
    <row r="1882" spans="1:20" ht="22.5" hidden="1" customHeight="1" x14ac:dyDescent="0.25">
      <c r="A1882" s="208"/>
      <c r="B1882" s="238"/>
      <c r="C1882" s="198"/>
      <c r="D1882" s="198"/>
      <c r="E1882" s="199"/>
      <c r="F1882" s="200"/>
      <c r="G1882" s="201"/>
      <c r="H1882" s="208"/>
      <c r="I1882" s="209"/>
      <c r="J1882" s="209"/>
      <c r="K1882" s="198"/>
      <c r="L1882" s="204"/>
      <c r="M1882" s="205"/>
      <c r="N1882" s="206"/>
      <c r="O1882" s="207"/>
      <c r="P1882" s="207"/>
      <c r="Q1882" s="207"/>
      <c r="R1882" s="207"/>
      <c r="S1882" s="198"/>
      <c r="T1882" s="201"/>
    </row>
    <row r="1883" spans="1:20" ht="22.5" hidden="1" customHeight="1" x14ac:dyDescent="0.25">
      <c r="A1883" s="208"/>
      <c r="B1883" s="238"/>
      <c r="C1883" s="198"/>
      <c r="D1883" s="198"/>
      <c r="E1883" s="199"/>
      <c r="F1883" s="200"/>
      <c r="G1883" s="201"/>
      <c r="H1883" s="208"/>
      <c r="I1883" s="209"/>
      <c r="J1883" s="209"/>
      <c r="K1883" s="198"/>
      <c r="L1883" s="204"/>
      <c r="M1883" s="205"/>
      <c r="N1883" s="206"/>
      <c r="O1883" s="207"/>
      <c r="P1883" s="207"/>
      <c r="Q1883" s="207"/>
      <c r="R1883" s="207"/>
      <c r="S1883" s="198"/>
      <c r="T1883" s="201"/>
    </row>
    <row r="1884" spans="1:20" ht="22.5" hidden="1" customHeight="1" x14ac:dyDescent="0.25">
      <c r="A1884" s="208"/>
      <c r="B1884" s="238"/>
      <c r="C1884" s="198"/>
      <c r="D1884" s="198"/>
      <c r="E1884" s="199"/>
      <c r="F1884" s="200"/>
      <c r="G1884" s="201"/>
      <c r="H1884" s="208"/>
      <c r="I1884" s="209"/>
      <c r="J1884" s="209"/>
      <c r="K1884" s="198"/>
      <c r="L1884" s="204"/>
      <c r="M1884" s="205"/>
      <c r="N1884" s="206"/>
      <c r="O1884" s="207"/>
      <c r="P1884" s="207"/>
      <c r="Q1884" s="207"/>
      <c r="R1884" s="207"/>
      <c r="S1884" s="198"/>
      <c r="T1884" s="201"/>
    </row>
    <row r="1885" spans="1:20" ht="22.5" hidden="1" customHeight="1" x14ac:dyDescent="0.25">
      <c r="A1885" s="208"/>
      <c r="B1885" s="238"/>
      <c r="C1885" s="198"/>
      <c r="D1885" s="198"/>
      <c r="E1885" s="199"/>
      <c r="F1885" s="200"/>
      <c r="G1885" s="201"/>
      <c r="H1885" s="208"/>
      <c r="I1885" s="209"/>
      <c r="J1885" s="209"/>
      <c r="K1885" s="198"/>
      <c r="L1885" s="204"/>
      <c r="M1885" s="205"/>
      <c r="N1885" s="206"/>
      <c r="O1885" s="207"/>
      <c r="P1885" s="207"/>
      <c r="Q1885" s="207"/>
      <c r="R1885" s="207"/>
      <c r="S1885" s="198"/>
      <c r="T1885" s="201"/>
    </row>
    <row r="1886" spans="1:20" ht="22.5" hidden="1" customHeight="1" x14ac:dyDescent="0.25">
      <c r="A1886" s="208"/>
      <c r="B1886" s="238"/>
      <c r="C1886" s="198"/>
      <c r="D1886" s="198"/>
      <c r="E1886" s="199"/>
      <c r="F1886" s="200"/>
      <c r="G1886" s="201"/>
      <c r="H1886" s="208"/>
      <c r="I1886" s="209"/>
      <c r="J1886" s="209"/>
      <c r="K1886" s="198"/>
      <c r="L1886" s="204"/>
      <c r="M1886" s="205"/>
      <c r="N1886" s="206"/>
      <c r="O1886" s="207"/>
      <c r="P1886" s="207"/>
      <c r="Q1886" s="207"/>
      <c r="R1886" s="207"/>
      <c r="S1886" s="198"/>
      <c r="T1886" s="201"/>
    </row>
    <row r="1887" spans="1:20" ht="22.5" hidden="1" customHeight="1" x14ac:dyDescent="0.25">
      <c r="A1887" s="208"/>
      <c r="B1887" s="238"/>
      <c r="C1887" s="198"/>
      <c r="D1887" s="198"/>
      <c r="E1887" s="199"/>
      <c r="F1887" s="200"/>
      <c r="G1887" s="201"/>
      <c r="H1887" s="208"/>
      <c r="I1887" s="209"/>
      <c r="J1887" s="209"/>
      <c r="K1887" s="198"/>
      <c r="L1887" s="204"/>
      <c r="M1887" s="205"/>
      <c r="N1887" s="206"/>
      <c r="O1887" s="207"/>
      <c r="P1887" s="207"/>
      <c r="Q1887" s="207"/>
      <c r="R1887" s="207"/>
      <c r="S1887" s="198"/>
      <c r="T1887" s="201"/>
    </row>
    <row r="1888" spans="1:20" ht="22.5" hidden="1" customHeight="1" x14ac:dyDescent="0.25">
      <c r="A1888" s="208"/>
      <c r="B1888" s="238"/>
      <c r="C1888" s="198"/>
      <c r="D1888" s="198"/>
      <c r="E1888" s="199"/>
      <c r="F1888" s="200"/>
      <c r="G1888" s="201"/>
      <c r="H1888" s="208"/>
      <c r="I1888" s="209"/>
      <c r="J1888" s="209"/>
      <c r="K1888" s="198"/>
      <c r="L1888" s="204"/>
      <c r="M1888" s="205"/>
      <c r="N1888" s="206"/>
      <c r="O1888" s="207"/>
      <c r="P1888" s="207"/>
      <c r="Q1888" s="207"/>
      <c r="R1888" s="207"/>
      <c r="S1888" s="198"/>
      <c r="T1888" s="201"/>
    </row>
    <row r="1889" spans="1:20" ht="22.5" hidden="1" customHeight="1" x14ac:dyDescent="0.25">
      <c r="A1889" s="208"/>
      <c r="B1889" s="238"/>
      <c r="C1889" s="198"/>
      <c r="D1889" s="198"/>
      <c r="E1889" s="199"/>
      <c r="F1889" s="200"/>
      <c r="G1889" s="201"/>
      <c r="H1889" s="208"/>
      <c r="I1889" s="209"/>
      <c r="J1889" s="209"/>
      <c r="K1889" s="198"/>
      <c r="L1889" s="204"/>
      <c r="M1889" s="205"/>
      <c r="N1889" s="206"/>
      <c r="O1889" s="207"/>
      <c r="P1889" s="207"/>
      <c r="Q1889" s="207"/>
      <c r="R1889" s="207"/>
      <c r="S1889" s="198"/>
      <c r="T1889" s="201"/>
    </row>
    <row r="1890" spans="1:20" ht="22.5" hidden="1" customHeight="1" x14ac:dyDescent="0.25">
      <c r="A1890" s="208"/>
      <c r="B1890" s="238"/>
      <c r="C1890" s="198"/>
      <c r="D1890" s="198"/>
      <c r="E1890" s="199"/>
      <c r="F1890" s="200"/>
      <c r="G1890" s="201"/>
      <c r="H1890" s="208"/>
      <c r="I1890" s="209"/>
      <c r="J1890" s="209"/>
      <c r="K1890" s="198"/>
      <c r="L1890" s="204"/>
      <c r="M1890" s="205"/>
      <c r="N1890" s="206"/>
      <c r="O1890" s="207"/>
      <c r="P1890" s="207"/>
      <c r="Q1890" s="207"/>
      <c r="R1890" s="207"/>
      <c r="S1890" s="198"/>
      <c r="T1890" s="201"/>
    </row>
    <row r="1891" spans="1:20" ht="22.5" hidden="1" customHeight="1" x14ac:dyDescent="0.25">
      <c r="A1891" s="208"/>
      <c r="B1891" s="238"/>
      <c r="C1891" s="198"/>
      <c r="D1891" s="198"/>
      <c r="E1891" s="199"/>
      <c r="F1891" s="200"/>
      <c r="G1891" s="201"/>
      <c r="H1891" s="208"/>
      <c r="I1891" s="209"/>
      <c r="J1891" s="209"/>
      <c r="K1891" s="198"/>
      <c r="L1891" s="204"/>
      <c r="M1891" s="205"/>
      <c r="N1891" s="206"/>
      <c r="O1891" s="207"/>
      <c r="P1891" s="207"/>
      <c r="Q1891" s="207"/>
      <c r="R1891" s="207"/>
      <c r="S1891" s="198"/>
      <c r="T1891" s="201"/>
    </row>
    <row r="1892" spans="1:20" ht="22.5" hidden="1" customHeight="1" x14ac:dyDescent="0.25">
      <c r="A1892" s="208"/>
      <c r="B1892" s="238"/>
      <c r="C1892" s="198"/>
      <c r="D1892" s="198"/>
      <c r="E1892" s="199"/>
      <c r="F1892" s="200"/>
      <c r="G1892" s="201"/>
      <c r="H1892" s="208"/>
      <c r="I1892" s="209"/>
      <c r="J1892" s="209"/>
      <c r="K1892" s="198"/>
      <c r="L1892" s="204"/>
      <c r="M1892" s="205"/>
      <c r="N1892" s="206"/>
      <c r="O1892" s="207"/>
      <c r="P1892" s="207"/>
      <c r="Q1892" s="207"/>
      <c r="R1892" s="207"/>
      <c r="S1892" s="198"/>
      <c r="T1892" s="201"/>
    </row>
    <row r="1893" spans="1:20" ht="22.5" hidden="1" customHeight="1" x14ac:dyDescent="0.25">
      <c r="A1893" s="208"/>
      <c r="B1893" s="238"/>
      <c r="C1893" s="198"/>
      <c r="D1893" s="198"/>
      <c r="E1893" s="199"/>
      <c r="F1893" s="200"/>
      <c r="G1893" s="201"/>
      <c r="H1893" s="208"/>
      <c r="I1893" s="209"/>
      <c r="J1893" s="209"/>
      <c r="K1893" s="198"/>
      <c r="L1893" s="204"/>
      <c r="M1893" s="205"/>
      <c r="N1893" s="206"/>
      <c r="O1893" s="207"/>
      <c r="P1893" s="207"/>
      <c r="Q1893" s="207"/>
      <c r="R1893" s="207"/>
      <c r="S1893" s="198"/>
      <c r="T1893" s="201"/>
    </row>
    <row r="1894" spans="1:20" ht="22.5" hidden="1" customHeight="1" x14ac:dyDescent="0.25">
      <c r="A1894" s="208"/>
      <c r="B1894" s="238"/>
      <c r="C1894" s="198"/>
      <c r="D1894" s="198"/>
      <c r="E1894" s="199"/>
      <c r="F1894" s="200"/>
      <c r="G1894" s="201"/>
      <c r="H1894" s="208"/>
      <c r="I1894" s="209"/>
      <c r="J1894" s="209"/>
      <c r="K1894" s="198"/>
      <c r="L1894" s="204"/>
      <c r="M1894" s="205"/>
      <c r="N1894" s="206"/>
      <c r="O1894" s="207"/>
      <c r="P1894" s="207"/>
      <c r="Q1894" s="207"/>
      <c r="R1894" s="207"/>
      <c r="S1894" s="198"/>
      <c r="T1894" s="201"/>
    </row>
    <row r="1895" spans="1:20" ht="22.5" hidden="1" customHeight="1" x14ac:dyDescent="0.25">
      <c r="A1895" s="208"/>
      <c r="B1895" s="238"/>
      <c r="C1895" s="198"/>
      <c r="D1895" s="198"/>
      <c r="E1895" s="199"/>
      <c r="F1895" s="200"/>
      <c r="G1895" s="201"/>
      <c r="H1895" s="208"/>
      <c r="I1895" s="209"/>
      <c r="J1895" s="209"/>
      <c r="K1895" s="198"/>
      <c r="L1895" s="204"/>
      <c r="M1895" s="205"/>
      <c r="N1895" s="206"/>
      <c r="O1895" s="207"/>
      <c r="P1895" s="207"/>
      <c r="Q1895" s="207"/>
      <c r="R1895" s="207"/>
      <c r="S1895" s="198"/>
      <c r="T1895" s="201"/>
    </row>
    <row r="1896" spans="1:20" ht="22.5" hidden="1" customHeight="1" x14ac:dyDescent="0.25">
      <c r="A1896" s="208"/>
      <c r="B1896" s="238"/>
      <c r="C1896" s="198"/>
      <c r="D1896" s="198"/>
      <c r="E1896" s="199"/>
      <c r="F1896" s="200"/>
      <c r="G1896" s="201"/>
      <c r="H1896" s="208"/>
      <c r="I1896" s="209"/>
      <c r="J1896" s="209"/>
      <c r="K1896" s="198"/>
      <c r="L1896" s="204"/>
      <c r="M1896" s="205"/>
      <c r="N1896" s="206"/>
      <c r="O1896" s="207"/>
      <c r="P1896" s="207"/>
      <c r="Q1896" s="207"/>
      <c r="R1896" s="207"/>
      <c r="S1896" s="198"/>
      <c r="T1896" s="201"/>
    </row>
    <row r="1897" spans="1:20" ht="22.5" hidden="1" customHeight="1" x14ac:dyDescent="0.25">
      <c r="A1897" s="208"/>
      <c r="B1897" s="238"/>
      <c r="C1897" s="198"/>
      <c r="D1897" s="198"/>
      <c r="E1897" s="199"/>
      <c r="F1897" s="200"/>
      <c r="G1897" s="201"/>
      <c r="H1897" s="208"/>
      <c r="I1897" s="209"/>
      <c r="J1897" s="209"/>
      <c r="K1897" s="198"/>
      <c r="L1897" s="204"/>
      <c r="M1897" s="205"/>
      <c r="N1897" s="206"/>
      <c r="O1897" s="207"/>
      <c r="P1897" s="207"/>
      <c r="Q1897" s="207"/>
      <c r="R1897" s="207"/>
      <c r="S1897" s="198"/>
      <c r="T1897" s="201"/>
    </row>
    <row r="1898" spans="1:20" ht="22.5" hidden="1" customHeight="1" x14ac:dyDescent="0.25">
      <c r="A1898" s="208"/>
      <c r="B1898" s="238"/>
      <c r="C1898" s="198"/>
      <c r="D1898" s="198"/>
      <c r="E1898" s="199"/>
      <c r="F1898" s="200"/>
      <c r="G1898" s="201"/>
      <c r="H1898" s="208"/>
      <c r="I1898" s="209"/>
      <c r="J1898" s="209"/>
      <c r="K1898" s="198"/>
      <c r="L1898" s="204"/>
      <c r="M1898" s="205"/>
      <c r="N1898" s="206"/>
      <c r="O1898" s="207"/>
      <c r="P1898" s="207"/>
      <c r="Q1898" s="207"/>
      <c r="R1898" s="207"/>
      <c r="S1898" s="198"/>
      <c r="T1898" s="201"/>
    </row>
    <row r="1899" spans="1:20" ht="22.5" hidden="1" customHeight="1" x14ac:dyDescent="0.25">
      <c r="A1899" s="208"/>
      <c r="B1899" s="238"/>
      <c r="C1899" s="198"/>
      <c r="D1899" s="198"/>
      <c r="E1899" s="199"/>
      <c r="F1899" s="200"/>
      <c r="G1899" s="201"/>
      <c r="H1899" s="208"/>
      <c r="I1899" s="209"/>
      <c r="J1899" s="209"/>
      <c r="K1899" s="198"/>
      <c r="L1899" s="204"/>
      <c r="M1899" s="205"/>
      <c r="N1899" s="206"/>
      <c r="O1899" s="207"/>
      <c r="P1899" s="207"/>
      <c r="Q1899" s="207"/>
      <c r="R1899" s="207"/>
      <c r="S1899" s="198"/>
      <c r="T1899" s="201"/>
    </row>
    <row r="1900" spans="1:20" ht="22.5" hidden="1" customHeight="1" x14ac:dyDescent="0.25">
      <c r="A1900" s="208"/>
      <c r="B1900" s="238"/>
      <c r="C1900" s="198"/>
      <c r="D1900" s="198"/>
      <c r="E1900" s="199"/>
      <c r="F1900" s="200"/>
      <c r="G1900" s="201"/>
      <c r="H1900" s="208"/>
      <c r="I1900" s="209"/>
      <c r="J1900" s="209"/>
      <c r="K1900" s="198"/>
      <c r="L1900" s="204"/>
      <c r="M1900" s="205"/>
      <c r="N1900" s="206"/>
      <c r="O1900" s="207"/>
      <c r="P1900" s="207"/>
      <c r="Q1900" s="207"/>
      <c r="R1900" s="207"/>
      <c r="S1900" s="198"/>
      <c r="T1900" s="201"/>
    </row>
    <row r="1901" spans="1:20" ht="22.5" hidden="1" customHeight="1" x14ac:dyDescent="0.25">
      <c r="A1901" s="208"/>
      <c r="B1901" s="238"/>
      <c r="C1901" s="198"/>
      <c r="D1901" s="198"/>
      <c r="E1901" s="199"/>
      <c r="F1901" s="200"/>
      <c r="G1901" s="201"/>
      <c r="H1901" s="208"/>
      <c r="I1901" s="209"/>
      <c r="J1901" s="209"/>
      <c r="K1901" s="198"/>
      <c r="L1901" s="204"/>
      <c r="M1901" s="205"/>
      <c r="N1901" s="206"/>
      <c r="O1901" s="207"/>
      <c r="P1901" s="207"/>
      <c r="Q1901" s="207"/>
      <c r="R1901" s="207"/>
      <c r="S1901" s="198"/>
      <c r="T1901" s="201"/>
    </row>
    <row r="1902" spans="1:20" ht="22.5" hidden="1" customHeight="1" x14ac:dyDescent="0.25">
      <c r="A1902" s="208"/>
      <c r="B1902" s="238"/>
      <c r="C1902" s="198"/>
      <c r="D1902" s="198"/>
      <c r="E1902" s="199"/>
      <c r="F1902" s="200"/>
      <c r="G1902" s="201"/>
      <c r="H1902" s="208"/>
      <c r="I1902" s="209"/>
      <c r="J1902" s="209"/>
      <c r="K1902" s="198"/>
      <c r="L1902" s="204"/>
      <c r="M1902" s="205"/>
      <c r="N1902" s="206"/>
      <c r="O1902" s="207"/>
      <c r="P1902" s="207"/>
      <c r="Q1902" s="207"/>
      <c r="R1902" s="207"/>
      <c r="S1902" s="198"/>
      <c r="T1902" s="201"/>
    </row>
    <row r="1903" spans="1:20" ht="22.5" hidden="1" customHeight="1" x14ac:dyDescent="0.25">
      <c r="A1903" s="208"/>
      <c r="B1903" s="238"/>
      <c r="C1903" s="198"/>
      <c r="D1903" s="198"/>
      <c r="E1903" s="199"/>
      <c r="F1903" s="200"/>
      <c r="G1903" s="201"/>
      <c r="H1903" s="208"/>
      <c r="I1903" s="209"/>
      <c r="J1903" s="209"/>
      <c r="K1903" s="198"/>
      <c r="L1903" s="204"/>
      <c r="M1903" s="205"/>
      <c r="N1903" s="206"/>
      <c r="O1903" s="207"/>
      <c r="P1903" s="207"/>
      <c r="Q1903" s="207"/>
      <c r="R1903" s="207"/>
      <c r="S1903" s="198"/>
      <c r="T1903" s="201"/>
    </row>
    <row r="1904" spans="1:20" ht="22.5" hidden="1" customHeight="1" x14ac:dyDescent="0.25">
      <c r="A1904" s="208"/>
      <c r="B1904" s="238"/>
      <c r="C1904" s="198"/>
      <c r="D1904" s="198"/>
      <c r="E1904" s="199"/>
      <c r="F1904" s="200"/>
      <c r="G1904" s="201"/>
      <c r="H1904" s="208"/>
      <c r="I1904" s="209"/>
      <c r="J1904" s="209"/>
      <c r="K1904" s="198"/>
      <c r="L1904" s="204"/>
      <c r="M1904" s="205"/>
      <c r="N1904" s="206"/>
      <c r="O1904" s="207"/>
      <c r="P1904" s="207"/>
      <c r="Q1904" s="207"/>
      <c r="R1904" s="207"/>
      <c r="S1904" s="198"/>
      <c r="T1904" s="201"/>
    </row>
    <row r="1905" spans="1:20" ht="22.5" hidden="1" customHeight="1" x14ac:dyDescent="0.25">
      <c r="A1905" s="208"/>
      <c r="B1905" s="238"/>
      <c r="C1905" s="198"/>
      <c r="D1905" s="198"/>
      <c r="E1905" s="199"/>
      <c r="F1905" s="200"/>
      <c r="G1905" s="201"/>
      <c r="H1905" s="208"/>
      <c r="I1905" s="209"/>
      <c r="J1905" s="209"/>
      <c r="K1905" s="198"/>
      <c r="L1905" s="204"/>
      <c r="M1905" s="205"/>
      <c r="N1905" s="206"/>
      <c r="O1905" s="207"/>
      <c r="P1905" s="207"/>
      <c r="Q1905" s="207"/>
      <c r="R1905" s="207"/>
      <c r="S1905" s="198"/>
      <c r="T1905" s="201"/>
    </row>
    <row r="1906" spans="1:20" ht="22.5" hidden="1" customHeight="1" x14ac:dyDescent="0.25">
      <c r="A1906" s="208"/>
      <c r="B1906" s="238"/>
      <c r="C1906" s="198"/>
      <c r="D1906" s="198"/>
      <c r="E1906" s="199"/>
      <c r="F1906" s="200"/>
      <c r="G1906" s="201"/>
      <c r="H1906" s="208"/>
      <c r="I1906" s="209"/>
      <c r="J1906" s="209"/>
      <c r="K1906" s="198"/>
      <c r="L1906" s="204"/>
      <c r="M1906" s="205"/>
      <c r="N1906" s="206"/>
      <c r="O1906" s="207"/>
      <c r="P1906" s="207"/>
      <c r="Q1906" s="207"/>
      <c r="R1906" s="207"/>
      <c r="S1906" s="198"/>
      <c r="T1906" s="201"/>
    </row>
    <row r="1907" spans="1:20" ht="22.5" hidden="1" customHeight="1" x14ac:dyDescent="0.25">
      <c r="A1907" s="208"/>
      <c r="B1907" s="238"/>
      <c r="C1907" s="198"/>
      <c r="D1907" s="198"/>
      <c r="E1907" s="199"/>
      <c r="F1907" s="200"/>
      <c r="G1907" s="201"/>
      <c r="H1907" s="208"/>
      <c r="I1907" s="209"/>
      <c r="J1907" s="209"/>
      <c r="K1907" s="198"/>
      <c r="L1907" s="204"/>
      <c r="M1907" s="205"/>
      <c r="N1907" s="206"/>
      <c r="O1907" s="207"/>
      <c r="P1907" s="207"/>
      <c r="Q1907" s="207"/>
      <c r="R1907" s="207"/>
      <c r="S1907" s="198"/>
      <c r="T1907" s="201"/>
    </row>
    <row r="1908" spans="1:20" ht="22.5" hidden="1" customHeight="1" x14ac:dyDescent="0.25">
      <c r="A1908" s="208"/>
      <c r="B1908" s="238"/>
      <c r="C1908" s="198"/>
      <c r="D1908" s="198"/>
      <c r="E1908" s="199"/>
      <c r="F1908" s="200"/>
      <c r="G1908" s="201"/>
      <c r="H1908" s="208"/>
      <c r="I1908" s="209"/>
      <c r="J1908" s="209"/>
      <c r="K1908" s="198"/>
      <c r="L1908" s="204"/>
      <c r="M1908" s="205"/>
      <c r="N1908" s="206"/>
      <c r="O1908" s="207"/>
      <c r="P1908" s="207"/>
      <c r="Q1908" s="207"/>
      <c r="R1908" s="207"/>
      <c r="S1908" s="198"/>
      <c r="T1908" s="201"/>
    </row>
    <row r="1909" spans="1:20" ht="22.5" hidden="1" customHeight="1" x14ac:dyDescent="0.25">
      <c r="A1909" s="208"/>
      <c r="B1909" s="238"/>
      <c r="C1909" s="198"/>
      <c r="D1909" s="198"/>
      <c r="E1909" s="199"/>
      <c r="F1909" s="200"/>
      <c r="G1909" s="201"/>
      <c r="H1909" s="208"/>
      <c r="I1909" s="209"/>
      <c r="J1909" s="209"/>
      <c r="K1909" s="198"/>
      <c r="L1909" s="204"/>
      <c r="M1909" s="205"/>
      <c r="N1909" s="206"/>
      <c r="O1909" s="207"/>
      <c r="P1909" s="207"/>
      <c r="Q1909" s="207"/>
      <c r="R1909" s="207"/>
      <c r="S1909" s="198"/>
      <c r="T1909" s="201"/>
    </row>
    <row r="1910" spans="1:20" ht="22.5" hidden="1" customHeight="1" x14ac:dyDescent="0.25">
      <c r="A1910" s="208"/>
      <c r="B1910" s="238"/>
      <c r="C1910" s="198"/>
      <c r="D1910" s="198"/>
      <c r="E1910" s="199"/>
      <c r="F1910" s="200"/>
      <c r="G1910" s="201"/>
      <c r="H1910" s="208"/>
      <c r="I1910" s="209"/>
      <c r="J1910" s="209"/>
      <c r="K1910" s="198"/>
      <c r="L1910" s="204"/>
      <c r="M1910" s="205"/>
      <c r="N1910" s="206"/>
      <c r="O1910" s="207"/>
      <c r="P1910" s="207"/>
      <c r="Q1910" s="207"/>
      <c r="R1910" s="207"/>
      <c r="S1910" s="198"/>
      <c r="T1910" s="201"/>
    </row>
    <row r="1911" spans="1:20" ht="22.5" hidden="1" customHeight="1" x14ac:dyDescent="0.25">
      <c r="A1911" s="208"/>
      <c r="B1911" s="238"/>
      <c r="C1911" s="198"/>
      <c r="D1911" s="198"/>
      <c r="E1911" s="199"/>
      <c r="F1911" s="200"/>
      <c r="G1911" s="201"/>
      <c r="H1911" s="208"/>
      <c r="I1911" s="209"/>
      <c r="J1911" s="209"/>
      <c r="K1911" s="198"/>
      <c r="L1911" s="204"/>
      <c r="M1911" s="205"/>
      <c r="N1911" s="206"/>
      <c r="O1911" s="207"/>
      <c r="P1911" s="207"/>
      <c r="Q1911" s="207"/>
      <c r="R1911" s="207"/>
      <c r="S1911" s="198"/>
      <c r="T1911" s="201"/>
    </row>
    <row r="1912" spans="1:20" ht="22.5" hidden="1" customHeight="1" x14ac:dyDescent="0.25">
      <c r="A1912" s="208"/>
      <c r="B1912" s="238"/>
      <c r="C1912" s="198"/>
      <c r="D1912" s="198"/>
      <c r="E1912" s="199"/>
      <c r="F1912" s="200"/>
      <c r="G1912" s="201"/>
      <c r="H1912" s="208"/>
      <c r="I1912" s="209"/>
      <c r="J1912" s="209"/>
      <c r="K1912" s="198"/>
      <c r="L1912" s="204"/>
      <c r="M1912" s="205"/>
      <c r="N1912" s="206"/>
      <c r="O1912" s="207"/>
      <c r="P1912" s="207"/>
      <c r="Q1912" s="207"/>
      <c r="R1912" s="207"/>
      <c r="S1912" s="198"/>
      <c r="T1912" s="201"/>
    </row>
    <row r="1913" spans="1:20" ht="22.5" hidden="1" customHeight="1" x14ac:dyDescent="0.25">
      <c r="A1913" s="208"/>
      <c r="B1913" s="238"/>
      <c r="C1913" s="198"/>
      <c r="D1913" s="198"/>
      <c r="E1913" s="199"/>
      <c r="F1913" s="200"/>
      <c r="G1913" s="201"/>
      <c r="H1913" s="208"/>
      <c r="I1913" s="209"/>
      <c r="J1913" s="209"/>
      <c r="K1913" s="198"/>
      <c r="L1913" s="204"/>
      <c r="M1913" s="205"/>
      <c r="N1913" s="206"/>
      <c r="O1913" s="207"/>
      <c r="P1913" s="207"/>
      <c r="Q1913" s="207"/>
      <c r="R1913" s="207"/>
      <c r="S1913" s="198"/>
      <c r="T1913" s="201"/>
    </row>
    <row r="1914" spans="1:20" ht="22.5" hidden="1" customHeight="1" x14ac:dyDescent="0.25">
      <c r="A1914" s="208"/>
      <c r="B1914" s="238"/>
      <c r="C1914" s="198"/>
      <c r="D1914" s="198"/>
      <c r="E1914" s="199"/>
      <c r="F1914" s="200"/>
      <c r="G1914" s="201"/>
      <c r="H1914" s="208"/>
      <c r="I1914" s="209"/>
      <c r="J1914" s="209"/>
      <c r="K1914" s="198"/>
      <c r="L1914" s="204"/>
      <c r="M1914" s="205"/>
      <c r="N1914" s="206"/>
      <c r="O1914" s="207"/>
      <c r="P1914" s="207"/>
      <c r="Q1914" s="207"/>
      <c r="R1914" s="207"/>
      <c r="S1914" s="198"/>
      <c r="T1914" s="201"/>
    </row>
    <row r="1915" spans="1:20" ht="22.5" hidden="1" customHeight="1" x14ac:dyDescent="0.25">
      <c r="A1915" s="208"/>
      <c r="B1915" s="238"/>
      <c r="C1915" s="198"/>
      <c r="D1915" s="198"/>
      <c r="E1915" s="199"/>
      <c r="F1915" s="200"/>
      <c r="G1915" s="201"/>
      <c r="H1915" s="208"/>
      <c r="I1915" s="209"/>
      <c r="J1915" s="209"/>
      <c r="K1915" s="198"/>
      <c r="L1915" s="204"/>
      <c r="M1915" s="205"/>
      <c r="N1915" s="206"/>
      <c r="O1915" s="207"/>
      <c r="P1915" s="207"/>
      <c r="Q1915" s="207"/>
      <c r="R1915" s="207"/>
      <c r="S1915" s="198"/>
      <c r="T1915" s="201"/>
    </row>
    <row r="1916" spans="1:20" ht="22.5" hidden="1" customHeight="1" x14ac:dyDescent="0.25">
      <c r="A1916" s="208"/>
      <c r="B1916" s="238"/>
      <c r="C1916" s="198"/>
      <c r="D1916" s="198"/>
      <c r="E1916" s="199"/>
      <c r="F1916" s="200"/>
      <c r="G1916" s="201"/>
      <c r="H1916" s="208"/>
      <c r="I1916" s="209"/>
      <c r="J1916" s="209"/>
      <c r="K1916" s="198"/>
      <c r="L1916" s="204"/>
      <c r="M1916" s="205"/>
      <c r="N1916" s="206"/>
      <c r="O1916" s="207"/>
      <c r="P1916" s="207"/>
      <c r="Q1916" s="207"/>
      <c r="R1916" s="207"/>
      <c r="S1916" s="198"/>
      <c r="T1916" s="201"/>
    </row>
    <row r="1917" spans="1:20" ht="22.5" hidden="1" customHeight="1" x14ac:dyDescent="0.25">
      <c r="A1917" s="208"/>
      <c r="B1917" s="238"/>
      <c r="C1917" s="198"/>
      <c r="D1917" s="198"/>
      <c r="E1917" s="199"/>
      <c r="F1917" s="200"/>
      <c r="G1917" s="201"/>
      <c r="H1917" s="208"/>
      <c r="I1917" s="209"/>
      <c r="J1917" s="209"/>
      <c r="K1917" s="198"/>
      <c r="L1917" s="204"/>
      <c r="M1917" s="205"/>
      <c r="N1917" s="206"/>
      <c r="O1917" s="207"/>
      <c r="P1917" s="207"/>
      <c r="Q1917" s="207"/>
      <c r="R1917" s="207"/>
      <c r="S1917" s="198"/>
      <c r="T1917" s="201"/>
    </row>
    <row r="1918" spans="1:20" ht="22.5" hidden="1" customHeight="1" x14ac:dyDescent="0.25">
      <c r="A1918" s="208"/>
      <c r="B1918" s="238"/>
      <c r="C1918" s="198"/>
      <c r="D1918" s="198"/>
      <c r="E1918" s="199"/>
      <c r="F1918" s="200"/>
      <c r="G1918" s="201"/>
      <c r="H1918" s="208"/>
      <c r="I1918" s="209"/>
      <c r="J1918" s="209"/>
      <c r="K1918" s="198"/>
      <c r="L1918" s="204"/>
      <c r="M1918" s="205"/>
      <c r="N1918" s="206"/>
      <c r="O1918" s="207"/>
      <c r="P1918" s="207"/>
      <c r="Q1918" s="207"/>
      <c r="R1918" s="207"/>
      <c r="S1918" s="198"/>
      <c r="T1918" s="201"/>
    </row>
    <row r="1919" spans="1:20" ht="22.5" hidden="1" customHeight="1" x14ac:dyDescent="0.25">
      <c r="A1919" s="208"/>
      <c r="B1919" s="238"/>
      <c r="C1919" s="198"/>
      <c r="D1919" s="198"/>
      <c r="E1919" s="199"/>
      <c r="F1919" s="200"/>
      <c r="G1919" s="201"/>
      <c r="H1919" s="208"/>
      <c r="I1919" s="209"/>
      <c r="J1919" s="209"/>
      <c r="K1919" s="198"/>
      <c r="L1919" s="204"/>
      <c r="M1919" s="205"/>
      <c r="N1919" s="206"/>
      <c r="O1919" s="207"/>
      <c r="P1919" s="207"/>
      <c r="Q1919" s="207"/>
      <c r="R1919" s="207"/>
      <c r="S1919" s="198"/>
      <c r="T1919" s="201"/>
    </row>
    <row r="1920" spans="1:20" ht="22.5" hidden="1" customHeight="1" x14ac:dyDescent="0.25">
      <c r="A1920" s="208"/>
      <c r="B1920" s="238"/>
      <c r="C1920" s="198"/>
      <c r="D1920" s="198"/>
      <c r="E1920" s="199"/>
      <c r="F1920" s="200"/>
      <c r="G1920" s="201"/>
      <c r="H1920" s="208"/>
      <c r="I1920" s="209"/>
      <c r="J1920" s="209"/>
      <c r="K1920" s="198"/>
      <c r="L1920" s="204"/>
      <c r="M1920" s="205"/>
      <c r="N1920" s="206"/>
      <c r="O1920" s="207"/>
      <c r="P1920" s="207"/>
      <c r="Q1920" s="207"/>
      <c r="R1920" s="207"/>
      <c r="S1920" s="198"/>
      <c r="T1920" s="201"/>
    </row>
    <row r="1921" spans="1:20" ht="22.5" hidden="1" customHeight="1" x14ac:dyDescent="0.25">
      <c r="A1921" s="208"/>
      <c r="B1921" s="238"/>
      <c r="C1921" s="198"/>
      <c r="D1921" s="198"/>
      <c r="E1921" s="199"/>
      <c r="F1921" s="200"/>
      <c r="G1921" s="201"/>
      <c r="H1921" s="208"/>
      <c r="I1921" s="209"/>
      <c r="J1921" s="209"/>
      <c r="K1921" s="198"/>
      <c r="L1921" s="204"/>
      <c r="M1921" s="205"/>
      <c r="N1921" s="206"/>
      <c r="O1921" s="207"/>
      <c r="P1921" s="207"/>
      <c r="Q1921" s="207"/>
      <c r="R1921" s="207"/>
      <c r="S1921" s="198"/>
      <c r="T1921" s="201"/>
    </row>
    <row r="1922" spans="1:20" ht="22.5" hidden="1" customHeight="1" x14ac:dyDescent="0.25">
      <c r="A1922" s="208"/>
      <c r="B1922" s="238"/>
      <c r="C1922" s="198"/>
      <c r="D1922" s="198"/>
      <c r="E1922" s="199"/>
      <c r="F1922" s="200"/>
      <c r="G1922" s="201"/>
      <c r="H1922" s="208"/>
      <c r="I1922" s="209"/>
      <c r="J1922" s="209"/>
      <c r="K1922" s="198"/>
      <c r="L1922" s="204"/>
      <c r="M1922" s="205"/>
      <c r="N1922" s="206"/>
      <c r="O1922" s="207"/>
      <c r="P1922" s="207"/>
      <c r="Q1922" s="207"/>
      <c r="R1922" s="207"/>
      <c r="S1922" s="198"/>
      <c r="T1922" s="201"/>
    </row>
    <row r="1923" spans="1:20" ht="22.5" hidden="1" customHeight="1" x14ac:dyDescent="0.25">
      <c r="A1923" s="208"/>
      <c r="B1923" s="238"/>
      <c r="C1923" s="198"/>
      <c r="D1923" s="198"/>
      <c r="E1923" s="199"/>
      <c r="F1923" s="200"/>
      <c r="G1923" s="201"/>
      <c r="H1923" s="208"/>
      <c r="I1923" s="209"/>
      <c r="J1923" s="209"/>
      <c r="K1923" s="198"/>
      <c r="L1923" s="204"/>
      <c r="M1923" s="205"/>
      <c r="N1923" s="206"/>
      <c r="O1923" s="207"/>
      <c r="P1923" s="207"/>
      <c r="Q1923" s="207"/>
      <c r="R1923" s="207"/>
      <c r="S1923" s="198"/>
      <c r="T1923" s="201"/>
    </row>
    <row r="1924" spans="1:20" ht="22.5" hidden="1" customHeight="1" x14ac:dyDescent="0.25">
      <c r="A1924" s="208"/>
      <c r="B1924" s="238"/>
      <c r="C1924" s="198"/>
      <c r="D1924" s="198"/>
      <c r="E1924" s="199"/>
      <c r="F1924" s="200"/>
      <c r="G1924" s="201"/>
      <c r="H1924" s="208"/>
      <c r="I1924" s="209"/>
      <c r="J1924" s="209"/>
      <c r="K1924" s="198"/>
      <c r="L1924" s="204"/>
      <c r="M1924" s="205"/>
      <c r="N1924" s="206"/>
      <c r="O1924" s="207"/>
      <c r="P1924" s="207"/>
      <c r="Q1924" s="207"/>
      <c r="R1924" s="207"/>
      <c r="S1924" s="198"/>
      <c r="T1924" s="201"/>
    </row>
    <row r="1925" spans="1:20" ht="22.5" hidden="1" customHeight="1" x14ac:dyDescent="0.25">
      <c r="A1925" s="208"/>
      <c r="B1925" s="238"/>
      <c r="C1925" s="198"/>
      <c r="D1925" s="198"/>
      <c r="E1925" s="199"/>
      <c r="F1925" s="200"/>
      <c r="G1925" s="201"/>
      <c r="H1925" s="208"/>
      <c r="I1925" s="209"/>
      <c r="J1925" s="209"/>
      <c r="K1925" s="198"/>
      <c r="L1925" s="204"/>
      <c r="M1925" s="205"/>
      <c r="N1925" s="206"/>
      <c r="O1925" s="207"/>
      <c r="P1925" s="207"/>
      <c r="Q1925" s="207"/>
      <c r="R1925" s="207"/>
      <c r="S1925" s="198"/>
      <c r="T1925" s="201"/>
    </row>
    <row r="1926" spans="1:20" ht="22.5" hidden="1" customHeight="1" x14ac:dyDescent="0.25">
      <c r="A1926" s="208"/>
      <c r="B1926" s="238"/>
      <c r="C1926" s="198"/>
      <c r="D1926" s="198"/>
      <c r="E1926" s="199"/>
      <c r="F1926" s="200"/>
      <c r="G1926" s="201"/>
      <c r="H1926" s="208"/>
      <c r="I1926" s="209"/>
      <c r="J1926" s="209"/>
      <c r="K1926" s="198"/>
      <c r="L1926" s="204"/>
      <c r="M1926" s="205"/>
      <c r="N1926" s="206"/>
      <c r="O1926" s="207"/>
      <c r="P1926" s="207"/>
      <c r="Q1926" s="207"/>
      <c r="R1926" s="207"/>
      <c r="S1926" s="198"/>
      <c r="T1926" s="201"/>
    </row>
    <row r="1927" spans="1:20" ht="22.5" hidden="1" customHeight="1" x14ac:dyDescent="0.25">
      <c r="A1927" s="208"/>
      <c r="B1927" s="238"/>
      <c r="C1927" s="198"/>
      <c r="D1927" s="198"/>
      <c r="E1927" s="199"/>
      <c r="F1927" s="200"/>
      <c r="G1927" s="201"/>
      <c r="H1927" s="208"/>
      <c r="I1927" s="209"/>
      <c r="J1927" s="209"/>
      <c r="K1927" s="198"/>
      <c r="L1927" s="204"/>
      <c r="M1927" s="205"/>
      <c r="N1927" s="206"/>
      <c r="O1927" s="207"/>
      <c r="P1927" s="207"/>
      <c r="Q1927" s="207"/>
      <c r="R1927" s="207"/>
      <c r="S1927" s="198"/>
      <c r="T1927" s="201"/>
    </row>
    <row r="1928" spans="1:20" ht="22.5" hidden="1" customHeight="1" x14ac:dyDescent="0.25">
      <c r="A1928" s="208"/>
      <c r="B1928" s="238"/>
      <c r="C1928" s="198"/>
      <c r="D1928" s="198"/>
      <c r="E1928" s="199"/>
      <c r="F1928" s="200"/>
      <c r="G1928" s="201"/>
      <c r="H1928" s="208"/>
      <c r="I1928" s="209"/>
      <c r="J1928" s="209"/>
      <c r="K1928" s="198"/>
      <c r="L1928" s="204"/>
      <c r="M1928" s="205"/>
      <c r="N1928" s="206"/>
      <c r="O1928" s="207"/>
      <c r="P1928" s="207"/>
      <c r="Q1928" s="207"/>
      <c r="R1928" s="207"/>
      <c r="S1928" s="198"/>
      <c r="T1928" s="201"/>
    </row>
    <row r="1929" spans="1:20" ht="22.5" hidden="1" customHeight="1" x14ac:dyDescent="0.25">
      <c r="A1929" s="208"/>
      <c r="B1929" s="238"/>
      <c r="C1929" s="198"/>
      <c r="D1929" s="198"/>
      <c r="E1929" s="199"/>
      <c r="F1929" s="200"/>
      <c r="G1929" s="201"/>
      <c r="H1929" s="208"/>
      <c r="I1929" s="209"/>
      <c r="J1929" s="209"/>
      <c r="K1929" s="198"/>
      <c r="L1929" s="204"/>
      <c r="M1929" s="205"/>
      <c r="N1929" s="206"/>
      <c r="O1929" s="207"/>
      <c r="P1929" s="207"/>
      <c r="Q1929" s="207"/>
      <c r="R1929" s="207"/>
      <c r="S1929" s="198"/>
      <c r="T1929" s="201"/>
    </row>
    <row r="1930" spans="1:20" ht="22.5" hidden="1" customHeight="1" x14ac:dyDescent="0.25">
      <c r="A1930" s="208"/>
      <c r="B1930" s="238"/>
      <c r="C1930" s="198"/>
      <c r="D1930" s="198"/>
      <c r="E1930" s="199"/>
      <c r="F1930" s="200"/>
      <c r="G1930" s="201"/>
      <c r="H1930" s="208"/>
      <c r="I1930" s="209"/>
      <c r="J1930" s="209"/>
      <c r="K1930" s="198"/>
      <c r="L1930" s="204"/>
      <c r="M1930" s="205"/>
      <c r="N1930" s="206"/>
      <c r="O1930" s="207"/>
      <c r="P1930" s="207"/>
      <c r="Q1930" s="207"/>
      <c r="R1930" s="207"/>
      <c r="S1930" s="198"/>
      <c r="T1930" s="201"/>
    </row>
    <row r="1931" spans="1:20" ht="22.5" hidden="1" customHeight="1" x14ac:dyDescent="0.25">
      <c r="A1931" s="208"/>
      <c r="B1931" s="238"/>
      <c r="C1931" s="198"/>
      <c r="D1931" s="198"/>
      <c r="E1931" s="199"/>
      <c r="F1931" s="200"/>
      <c r="G1931" s="201"/>
      <c r="H1931" s="208"/>
      <c r="I1931" s="209"/>
      <c r="J1931" s="209"/>
      <c r="K1931" s="198"/>
      <c r="L1931" s="204"/>
      <c r="M1931" s="205"/>
      <c r="N1931" s="206"/>
      <c r="O1931" s="207"/>
      <c r="P1931" s="207"/>
      <c r="Q1931" s="207"/>
      <c r="R1931" s="207"/>
      <c r="S1931" s="198"/>
      <c r="T1931" s="201"/>
    </row>
    <row r="1932" spans="1:20" ht="22.5" hidden="1" customHeight="1" x14ac:dyDescent="0.25">
      <c r="A1932" s="208"/>
      <c r="B1932" s="238"/>
      <c r="C1932" s="198"/>
      <c r="D1932" s="198"/>
      <c r="E1932" s="199"/>
      <c r="F1932" s="200"/>
      <c r="G1932" s="201"/>
      <c r="H1932" s="208"/>
      <c r="I1932" s="209"/>
      <c r="J1932" s="209"/>
      <c r="K1932" s="198"/>
      <c r="L1932" s="204"/>
      <c r="M1932" s="205"/>
      <c r="N1932" s="206"/>
      <c r="O1932" s="207"/>
      <c r="P1932" s="207"/>
      <c r="Q1932" s="207"/>
      <c r="R1932" s="207"/>
      <c r="S1932" s="198"/>
      <c r="T1932" s="201"/>
    </row>
    <row r="1933" spans="1:20" ht="22.5" hidden="1" customHeight="1" x14ac:dyDescent="0.25">
      <c r="A1933" s="208"/>
      <c r="B1933" s="238"/>
      <c r="C1933" s="198"/>
      <c r="D1933" s="198"/>
      <c r="E1933" s="199"/>
      <c r="F1933" s="200"/>
      <c r="G1933" s="201"/>
      <c r="H1933" s="208"/>
      <c r="I1933" s="209"/>
      <c r="J1933" s="209"/>
      <c r="K1933" s="198"/>
      <c r="L1933" s="204"/>
      <c r="M1933" s="205"/>
      <c r="N1933" s="206"/>
      <c r="O1933" s="207"/>
      <c r="P1933" s="207"/>
      <c r="Q1933" s="207"/>
      <c r="R1933" s="207"/>
      <c r="S1933" s="198"/>
      <c r="T1933" s="201"/>
    </row>
    <row r="1934" spans="1:20" ht="22.5" hidden="1" customHeight="1" x14ac:dyDescent="0.25">
      <c r="A1934" s="208"/>
      <c r="B1934" s="238"/>
      <c r="C1934" s="198"/>
      <c r="D1934" s="198"/>
      <c r="E1934" s="199"/>
      <c r="F1934" s="200"/>
      <c r="G1934" s="201"/>
      <c r="H1934" s="208"/>
      <c r="I1934" s="209"/>
      <c r="J1934" s="209"/>
      <c r="K1934" s="198"/>
      <c r="L1934" s="204"/>
      <c r="M1934" s="205"/>
      <c r="N1934" s="206"/>
      <c r="O1934" s="207"/>
      <c r="P1934" s="207"/>
      <c r="Q1934" s="207"/>
      <c r="R1934" s="207"/>
      <c r="S1934" s="198"/>
      <c r="T1934" s="201"/>
    </row>
    <row r="1935" spans="1:20" ht="22.5" hidden="1" customHeight="1" x14ac:dyDescent="0.25">
      <c r="A1935" s="208"/>
      <c r="B1935" s="238"/>
      <c r="C1935" s="198"/>
      <c r="D1935" s="198"/>
      <c r="E1935" s="199"/>
      <c r="F1935" s="200"/>
      <c r="G1935" s="201"/>
      <c r="H1935" s="208"/>
      <c r="I1935" s="209"/>
      <c r="J1935" s="209"/>
      <c r="K1935" s="198"/>
      <c r="L1935" s="204"/>
      <c r="M1935" s="205"/>
      <c r="N1935" s="206"/>
      <c r="O1935" s="207"/>
      <c r="P1935" s="207"/>
      <c r="Q1935" s="207"/>
      <c r="R1935" s="207"/>
      <c r="S1935" s="198"/>
      <c r="T1935" s="201"/>
    </row>
    <row r="1936" spans="1:20" ht="22.5" hidden="1" customHeight="1" x14ac:dyDescent="0.25">
      <c r="A1936" s="208"/>
      <c r="B1936" s="238"/>
      <c r="C1936" s="198"/>
      <c r="D1936" s="198"/>
      <c r="E1936" s="199"/>
      <c r="F1936" s="200"/>
      <c r="G1936" s="201"/>
      <c r="H1936" s="208"/>
      <c r="I1936" s="209"/>
      <c r="J1936" s="209"/>
      <c r="K1936" s="198"/>
      <c r="L1936" s="204"/>
      <c r="M1936" s="205"/>
      <c r="N1936" s="206"/>
      <c r="O1936" s="207"/>
      <c r="P1936" s="207"/>
      <c r="Q1936" s="207"/>
      <c r="R1936" s="207"/>
      <c r="S1936" s="198"/>
      <c r="T1936" s="201"/>
    </row>
    <row r="1937" spans="1:20" ht="22.5" hidden="1" customHeight="1" x14ac:dyDescent="0.25">
      <c r="A1937" s="208"/>
      <c r="B1937" s="238"/>
      <c r="C1937" s="198"/>
      <c r="D1937" s="198"/>
      <c r="E1937" s="199"/>
      <c r="F1937" s="200"/>
      <c r="G1937" s="201"/>
      <c r="H1937" s="208"/>
      <c r="I1937" s="209"/>
      <c r="J1937" s="209"/>
      <c r="K1937" s="198"/>
      <c r="L1937" s="204"/>
      <c r="M1937" s="205"/>
      <c r="N1937" s="206"/>
      <c r="O1937" s="207"/>
      <c r="P1937" s="207"/>
      <c r="Q1937" s="207"/>
      <c r="R1937" s="207"/>
      <c r="S1937" s="198"/>
      <c r="T1937" s="201"/>
    </row>
    <row r="1938" spans="1:20" ht="22.5" hidden="1" customHeight="1" x14ac:dyDescent="0.25">
      <c r="A1938" s="208"/>
      <c r="B1938" s="238"/>
      <c r="C1938" s="198"/>
      <c r="D1938" s="198"/>
      <c r="E1938" s="199"/>
      <c r="F1938" s="200"/>
      <c r="G1938" s="201"/>
      <c r="H1938" s="208"/>
      <c r="I1938" s="209"/>
      <c r="J1938" s="209"/>
      <c r="K1938" s="198"/>
      <c r="L1938" s="204"/>
      <c r="M1938" s="205"/>
      <c r="N1938" s="206"/>
      <c r="O1938" s="207"/>
      <c r="P1938" s="207"/>
      <c r="Q1938" s="207"/>
      <c r="R1938" s="207"/>
      <c r="S1938" s="198"/>
      <c r="T1938" s="201"/>
    </row>
    <row r="1939" spans="1:20" ht="22.5" hidden="1" customHeight="1" x14ac:dyDescent="0.25">
      <c r="A1939" s="208"/>
      <c r="B1939" s="238"/>
      <c r="C1939" s="198"/>
      <c r="D1939" s="198"/>
      <c r="E1939" s="199"/>
      <c r="F1939" s="200"/>
      <c r="G1939" s="201"/>
      <c r="H1939" s="208"/>
      <c r="I1939" s="209"/>
      <c r="J1939" s="209"/>
      <c r="K1939" s="198"/>
      <c r="L1939" s="204"/>
      <c r="M1939" s="205"/>
      <c r="N1939" s="206"/>
      <c r="O1939" s="207"/>
      <c r="P1939" s="207"/>
      <c r="Q1939" s="207"/>
      <c r="R1939" s="207"/>
      <c r="S1939" s="198"/>
      <c r="T1939" s="201"/>
    </row>
    <row r="1940" spans="1:20" ht="22.5" hidden="1" customHeight="1" x14ac:dyDescent="0.25">
      <c r="A1940" s="208"/>
      <c r="B1940" s="238"/>
      <c r="C1940" s="198"/>
      <c r="D1940" s="198"/>
      <c r="E1940" s="199"/>
      <c r="F1940" s="200"/>
      <c r="G1940" s="201"/>
      <c r="H1940" s="208"/>
      <c r="I1940" s="209"/>
      <c r="J1940" s="209"/>
      <c r="K1940" s="198"/>
      <c r="L1940" s="204"/>
      <c r="M1940" s="205"/>
      <c r="N1940" s="206"/>
      <c r="O1940" s="207"/>
      <c r="P1940" s="207"/>
      <c r="Q1940" s="207"/>
      <c r="R1940" s="207"/>
      <c r="S1940" s="198"/>
      <c r="T1940" s="201"/>
    </row>
    <row r="1941" spans="1:20" ht="22.5" hidden="1" customHeight="1" x14ac:dyDescent="0.25">
      <c r="A1941" s="208"/>
      <c r="B1941" s="238"/>
      <c r="C1941" s="198"/>
      <c r="D1941" s="198"/>
      <c r="E1941" s="199"/>
      <c r="F1941" s="200"/>
      <c r="G1941" s="201"/>
      <c r="H1941" s="208"/>
      <c r="I1941" s="209"/>
      <c r="J1941" s="209"/>
      <c r="K1941" s="198"/>
      <c r="L1941" s="204"/>
      <c r="M1941" s="205"/>
      <c r="N1941" s="206"/>
      <c r="O1941" s="207"/>
      <c r="P1941" s="207"/>
      <c r="Q1941" s="207"/>
      <c r="R1941" s="207"/>
      <c r="S1941" s="198"/>
      <c r="T1941" s="201"/>
    </row>
    <row r="1942" spans="1:20" ht="22.5" hidden="1" customHeight="1" x14ac:dyDescent="0.25">
      <c r="A1942" s="208"/>
      <c r="B1942" s="238"/>
      <c r="C1942" s="198"/>
      <c r="D1942" s="198"/>
      <c r="E1942" s="199"/>
      <c r="F1942" s="200"/>
      <c r="G1942" s="201"/>
      <c r="H1942" s="208"/>
      <c r="I1942" s="209"/>
      <c r="J1942" s="209"/>
      <c r="K1942" s="198"/>
      <c r="L1942" s="204"/>
      <c r="M1942" s="205"/>
      <c r="N1942" s="206"/>
      <c r="O1942" s="207"/>
      <c r="P1942" s="207"/>
      <c r="Q1942" s="207"/>
      <c r="R1942" s="207"/>
      <c r="S1942" s="198"/>
      <c r="T1942" s="201"/>
    </row>
    <row r="1943" spans="1:20" ht="22.5" hidden="1" customHeight="1" x14ac:dyDescent="0.25">
      <c r="A1943" s="208"/>
      <c r="B1943" s="238"/>
      <c r="C1943" s="198"/>
      <c r="D1943" s="198"/>
      <c r="E1943" s="199"/>
      <c r="F1943" s="200"/>
      <c r="G1943" s="201"/>
      <c r="H1943" s="208"/>
      <c r="I1943" s="209"/>
      <c r="J1943" s="209"/>
      <c r="K1943" s="198"/>
      <c r="L1943" s="204"/>
      <c r="M1943" s="205"/>
      <c r="N1943" s="206"/>
      <c r="O1943" s="207"/>
      <c r="P1943" s="207"/>
      <c r="Q1943" s="207"/>
      <c r="R1943" s="207"/>
      <c r="S1943" s="198"/>
      <c r="T1943" s="201"/>
    </row>
    <row r="1944" spans="1:20" ht="22.5" hidden="1" customHeight="1" x14ac:dyDescent="0.25">
      <c r="A1944" s="208"/>
      <c r="B1944" s="238"/>
      <c r="C1944" s="198"/>
      <c r="D1944" s="198"/>
      <c r="E1944" s="199"/>
      <c r="F1944" s="200"/>
      <c r="G1944" s="201"/>
      <c r="H1944" s="208"/>
      <c r="I1944" s="209"/>
      <c r="J1944" s="209"/>
      <c r="K1944" s="198"/>
      <c r="L1944" s="204"/>
      <c r="M1944" s="205"/>
      <c r="N1944" s="206"/>
      <c r="O1944" s="207"/>
      <c r="P1944" s="207"/>
      <c r="Q1944" s="207"/>
      <c r="R1944" s="207"/>
      <c r="S1944" s="198"/>
      <c r="T1944" s="201"/>
    </row>
    <row r="1945" spans="1:20" ht="22.5" hidden="1" customHeight="1" x14ac:dyDescent="0.25">
      <c r="A1945" s="208"/>
      <c r="B1945" s="238"/>
      <c r="C1945" s="198"/>
      <c r="D1945" s="198"/>
      <c r="E1945" s="199"/>
      <c r="F1945" s="200"/>
      <c r="G1945" s="201"/>
      <c r="H1945" s="208"/>
      <c r="I1945" s="209"/>
      <c r="J1945" s="209"/>
      <c r="K1945" s="198"/>
      <c r="L1945" s="204"/>
      <c r="M1945" s="205"/>
      <c r="N1945" s="206"/>
      <c r="O1945" s="207"/>
      <c r="P1945" s="207"/>
      <c r="Q1945" s="207"/>
      <c r="R1945" s="207"/>
      <c r="S1945" s="198"/>
      <c r="T1945" s="201"/>
    </row>
    <row r="1946" spans="1:20" ht="22.5" hidden="1" customHeight="1" x14ac:dyDescent="0.25">
      <c r="A1946" s="208"/>
      <c r="B1946" s="238"/>
      <c r="C1946" s="198"/>
      <c r="D1946" s="198"/>
      <c r="E1946" s="199"/>
      <c r="F1946" s="200"/>
      <c r="G1946" s="201"/>
      <c r="H1946" s="208"/>
      <c r="I1946" s="209"/>
      <c r="J1946" s="209"/>
      <c r="K1946" s="198"/>
      <c r="L1946" s="204"/>
      <c r="M1946" s="205"/>
      <c r="N1946" s="206"/>
      <c r="O1946" s="207"/>
      <c r="P1946" s="207"/>
      <c r="Q1946" s="207"/>
      <c r="R1946" s="207"/>
      <c r="S1946" s="198"/>
      <c r="T1946" s="201"/>
    </row>
    <row r="1947" spans="1:20" ht="22.5" hidden="1" customHeight="1" x14ac:dyDescent="0.25">
      <c r="A1947" s="208"/>
      <c r="B1947" s="238"/>
      <c r="C1947" s="198"/>
      <c r="D1947" s="198"/>
      <c r="E1947" s="199"/>
      <c r="F1947" s="200"/>
      <c r="G1947" s="201"/>
      <c r="H1947" s="208"/>
      <c r="I1947" s="209"/>
      <c r="J1947" s="209"/>
      <c r="K1947" s="198"/>
      <c r="L1947" s="204"/>
      <c r="M1947" s="205"/>
      <c r="N1947" s="206"/>
      <c r="O1947" s="207"/>
      <c r="P1947" s="207"/>
      <c r="Q1947" s="207"/>
      <c r="R1947" s="207"/>
      <c r="S1947" s="198"/>
      <c r="T1947" s="201"/>
    </row>
    <row r="1948" spans="1:20" ht="22.5" hidden="1" customHeight="1" x14ac:dyDescent="0.25">
      <c r="A1948" s="208"/>
      <c r="B1948" s="238"/>
      <c r="C1948" s="198"/>
      <c r="D1948" s="198"/>
      <c r="E1948" s="199"/>
      <c r="F1948" s="200"/>
      <c r="G1948" s="201"/>
      <c r="H1948" s="208"/>
      <c r="I1948" s="209"/>
      <c r="J1948" s="209"/>
      <c r="K1948" s="198"/>
      <c r="L1948" s="204"/>
      <c r="M1948" s="205"/>
      <c r="N1948" s="206"/>
      <c r="O1948" s="207"/>
      <c r="P1948" s="207"/>
      <c r="Q1948" s="207"/>
      <c r="R1948" s="207"/>
      <c r="S1948" s="198"/>
      <c r="T1948" s="201"/>
    </row>
    <row r="1949" spans="1:20" ht="22.5" hidden="1" customHeight="1" x14ac:dyDescent="0.25">
      <c r="A1949" s="208"/>
      <c r="B1949" s="238"/>
      <c r="C1949" s="198"/>
      <c r="D1949" s="198"/>
      <c r="E1949" s="199"/>
      <c r="F1949" s="200"/>
      <c r="G1949" s="201"/>
      <c r="H1949" s="208"/>
      <c r="I1949" s="209"/>
      <c r="J1949" s="209"/>
      <c r="K1949" s="198"/>
      <c r="L1949" s="204"/>
      <c r="M1949" s="205"/>
      <c r="N1949" s="206"/>
      <c r="O1949" s="207"/>
      <c r="P1949" s="207"/>
      <c r="Q1949" s="207"/>
      <c r="R1949" s="207"/>
      <c r="S1949" s="198"/>
      <c r="T1949" s="201"/>
    </row>
    <row r="1950" spans="1:20" ht="22.5" hidden="1" customHeight="1" x14ac:dyDescent="0.25">
      <c r="A1950" s="208"/>
      <c r="B1950" s="238"/>
      <c r="C1950" s="198"/>
      <c r="D1950" s="198"/>
      <c r="E1950" s="199"/>
      <c r="F1950" s="200"/>
      <c r="G1950" s="201"/>
      <c r="H1950" s="208"/>
      <c r="I1950" s="209"/>
      <c r="J1950" s="209"/>
      <c r="K1950" s="198"/>
      <c r="L1950" s="204"/>
      <c r="M1950" s="205"/>
      <c r="N1950" s="206"/>
      <c r="O1950" s="207"/>
      <c r="P1950" s="207"/>
      <c r="Q1950" s="207"/>
      <c r="R1950" s="207"/>
      <c r="S1950" s="198"/>
      <c r="T1950" s="201"/>
    </row>
    <row r="1951" spans="1:20" ht="22.5" hidden="1" customHeight="1" x14ac:dyDescent="0.25">
      <c r="A1951" s="208"/>
      <c r="B1951" s="238"/>
      <c r="C1951" s="198"/>
      <c r="D1951" s="198"/>
      <c r="E1951" s="199"/>
      <c r="F1951" s="200"/>
      <c r="G1951" s="201"/>
      <c r="H1951" s="208"/>
      <c r="I1951" s="209"/>
      <c r="J1951" s="209"/>
      <c r="K1951" s="198"/>
      <c r="L1951" s="204"/>
      <c r="M1951" s="205"/>
      <c r="N1951" s="206"/>
      <c r="O1951" s="207"/>
      <c r="P1951" s="207"/>
      <c r="Q1951" s="207"/>
      <c r="R1951" s="207"/>
      <c r="S1951" s="198"/>
      <c r="T1951" s="201"/>
    </row>
    <row r="1952" spans="1:20" ht="22.5" hidden="1" customHeight="1" x14ac:dyDescent="0.25">
      <c r="A1952" s="208"/>
      <c r="B1952" s="238"/>
      <c r="C1952" s="198"/>
      <c r="D1952" s="198"/>
      <c r="E1952" s="199"/>
      <c r="F1952" s="200"/>
      <c r="G1952" s="201"/>
      <c r="H1952" s="208"/>
      <c r="I1952" s="209"/>
      <c r="J1952" s="209"/>
      <c r="K1952" s="198"/>
      <c r="L1952" s="204"/>
      <c r="M1952" s="205"/>
      <c r="N1952" s="206"/>
      <c r="O1952" s="207"/>
      <c r="P1952" s="207"/>
      <c r="Q1952" s="207"/>
      <c r="R1952" s="207"/>
      <c r="S1952" s="198"/>
      <c r="T1952" s="201"/>
    </row>
    <row r="1953" spans="1:20" ht="22.5" hidden="1" customHeight="1" x14ac:dyDescent="0.25">
      <c r="A1953" s="208"/>
      <c r="B1953" s="238"/>
      <c r="C1953" s="198"/>
      <c r="D1953" s="198"/>
      <c r="E1953" s="199"/>
      <c r="F1953" s="200"/>
      <c r="G1953" s="201"/>
      <c r="H1953" s="208"/>
      <c r="I1953" s="209"/>
      <c r="J1953" s="209"/>
      <c r="K1953" s="198"/>
      <c r="L1953" s="204"/>
      <c r="M1953" s="205"/>
      <c r="N1953" s="206"/>
      <c r="O1953" s="207"/>
      <c r="P1953" s="207"/>
      <c r="Q1953" s="207"/>
      <c r="R1953" s="207"/>
      <c r="S1953" s="198"/>
      <c r="T1953" s="201"/>
    </row>
    <row r="1954" spans="1:20" ht="22.5" hidden="1" customHeight="1" x14ac:dyDescent="0.25">
      <c r="A1954" s="208"/>
      <c r="B1954" s="238"/>
      <c r="C1954" s="198"/>
      <c r="D1954" s="198"/>
      <c r="E1954" s="199"/>
      <c r="F1954" s="200"/>
      <c r="G1954" s="201"/>
      <c r="H1954" s="208"/>
      <c r="I1954" s="209"/>
      <c r="J1954" s="209"/>
      <c r="K1954" s="198"/>
      <c r="L1954" s="204"/>
      <c r="M1954" s="205"/>
      <c r="N1954" s="206"/>
      <c r="O1954" s="207"/>
      <c r="P1954" s="207"/>
      <c r="Q1954" s="207"/>
      <c r="R1954" s="207"/>
      <c r="S1954" s="198"/>
      <c r="T1954" s="201"/>
    </row>
    <row r="1955" spans="1:20" ht="22.5" hidden="1" customHeight="1" x14ac:dyDescent="0.25">
      <c r="A1955" s="208"/>
      <c r="B1955" s="238"/>
      <c r="C1955" s="198"/>
      <c r="D1955" s="198"/>
      <c r="E1955" s="199"/>
      <c r="F1955" s="200"/>
      <c r="G1955" s="201"/>
      <c r="H1955" s="208"/>
      <c r="I1955" s="209"/>
      <c r="J1955" s="209"/>
      <c r="K1955" s="198"/>
      <c r="L1955" s="204"/>
      <c r="M1955" s="205"/>
      <c r="N1955" s="206"/>
      <c r="O1955" s="207"/>
      <c r="P1955" s="207"/>
      <c r="Q1955" s="207"/>
      <c r="R1955" s="207"/>
      <c r="S1955" s="198"/>
      <c r="T1955" s="201"/>
    </row>
    <row r="1956" spans="1:20" ht="22.5" hidden="1" customHeight="1" x14ac:dyDescent="0.25">
      <c r="A1956" s="208"/>
      <c r="B1956" s="238"/>
      <c r="C1956" s="198"/>
      <c r="D1956" s="198"/>
      <c r="E1956" s="199"/>
      <c r="F1956" s="200"/>
      <c r="G1956" s="201"/>
      <c r="H1956" s="208"/>
      <c r="I1956" s="209"/>
      <c r="J1956" s="209"/>
      <c r="K1956" s="198"/>
      <c r="L1956" s="204"/>
      <c r="M1956" s="205"/>
      <c r="N1956" s="206"/>
      <c r="O1956" s="207"/>
      <c r="P1956" s="207"/>
      <c r="Q1956" s="207"/>
      <c r="R1956" s="207"/>
      <c r="S1956" s="198"/>
      <c r="T1956" s="201"/>
    </row>
    <row r="1957" spans="1:20" ht="22.5" hidden="1" customHeight="1" x14ac:dyDescent="0.25">
      <c r="A1957" s="208"/>
      <c r="B1957" s="238"/>
      <c r="C1957" s="198"/>
      <c r="D1957" s="198"/>
      <c r="E1957" s="199"/>
      <c r="F1957" s="200"/>
      <c r="G1957" s="201"/>
      <c r="H1957" s="208"/>
      <c r="I1957" s="209"/>
      <c r="J1957" s="209"/>
      <c r="K1957" s="198"/>
      <c r="L1957" s="204"/>
      <c r="M1957" s="205"/>
      <c r="N1957" s="206"/>
      <c r="O1957" s="207"/>
      <c r="P1957" s="207"/>
      <c r="Q1957" s="207"/>
      <c r="R1957" s="207"/>
      <c r="S1957" s="198"/>
      <c r="T1957" s="201"/>
    </row>
    <row r="1958" spans="1:20" ht="22.5" hidden="1" customHeight="1" x14ac:dyDescent="0.25">
      <c r="A1958" s="208"/>
      <c r="B1958" s="238"/>
      <c r="C1958" s="198"/>
      <c r="D1958" s="198"/>
      <c r="E1958" s="199"/>
      <c r="F1958" s="200"/>
      <c r="G1958" s="201"/>
      <c r="H1958" s="208"/>
      <c r="I1958" s="209"/>
      <c r="J1958" s="209"/>
      <c r="K1958" s="198"/>
      <c r="L1958" s="204"/>
      <c r="M1958" s="205"/>
      <c r="N1958" s="206"/>
      <c r="O1958" s="207"/>
      <c r="P1958" s="207"/>
      <c r="Q1958" s="207"/>
      <c r="R1958" s="207"/>
      <c r="S1958" s="198"/>
      <c r="T1958" s="201"/>
    </row>
    <row r="1959" spans="1:20" ht="22.5" hidden="1" customHeight="1" x14ac:dyDescent="0.25">
      <c r="A1959" s="208"/>
      <c r="B1959" s="238"/>
      <c r="C1959" s="198"/>
      <c r="D1959" s="198"/>
      <c r="E1959" s="199"/>
      <c r="F1959" s="200"/>
      <c r="G1959" s="201"/>
      <c r="H1959" s="208"/>
      <c r="I1959" s="209"/>
      <c r="J1959" s="209"/>
      <c r="K1959" s="198"/>
      <c r="L1959" s="204"/>
      <c r="M1959" s="205"/>
      <c r="N1959" s="206"/>
      <c r="O1959" s="207"/>
      <c r="P1959" s="207"/>
      <c r="Q1959" s="207"/>
      <c r="R1959" s="207"/>
      <c r="S1959" s="198"/>
      <c r="T1959" s="201"/>
    </row>
    <row r="1960" spans="1:20" ht="22.5" hidden="1" customHeight="1" x14ac:dyDescent="0.25">
      <c r="A1960" s="208"/>
      <c r="B1960" s="238"/>
      <c r="C1960" s="198"/>
      <c r="D1960" s="198"/>
      <c r="E1960" s="199"/>
      <c r="F1960" s="200"/>
      <c r="G1960" s="201"/>
      <c r="H1960" s="208"/>
      <c r="I1960" s="209"/>
      <c r="J1960" s="209"/>
      <c r="K1960" s="198"/>
      <c r="L1960" s="204"/>
      <c r="M1960" s="205"/>
      <c r="N1960" s="206"/>
      <c r="O1960" s="207"/>
      <c r="P1960" s="207"/>
      <c r="Q1960" s="207"/>
      <c r="R1960" s="207"/>
      <c r="S1960" s="198"/>
      <c r="T1960" s="201"/>
    </row>
    <row r="1961" spans="1:20" ht="22.5" hidden="1" customHeight="1" x14ac:dyDescent="0.25">
      <c r="A1961" s="208"/>
      <c r="B1961" s="238"/>
      <c r="C1961" s="198"/>
      <c r="D1961" s="198"/>
      <c r="E1961" s="199"/>
      <c r="F1961" s="200"/>
      <c r="G1961" s="201"/>
      <c r="H1961" s="208"/>
      <c r="I1961" s="209"/>
      <c r="J1961" s="209"/>
      <c r="K1961" s="198"/>
      <c r="L1961" s="204"/>
      <c r="M1961" s="205"/>
      <c r="N1961" s="206"/>
      <c r="O1961" s="207"/>
      <c r="P1961" s="207"/>
      <c r="Q1961" s="207"/>
      <c r="R1961" s="207"/>
      <c r="S1961" s="198"/>
      <c r="T1961" s="201"/>
    </row>
    <row r="1962" spans="1:20" ht="22.5" hidden="1" customHeight="1" x14ac:dyDescent="0.25">
      <c r="A1962" s="208"/>
      <c r="B1962" s="238"/>
      <c r="C1962" s="198"/>
      <c r="D1962" s="198"/>
      <c r="E1962" s="199"/>
      <c r="F1962" s="200"/>
      <c r="G1962" s="201"/>
      <c r="H1962" s="208"/>
      <c r="I1962" s="209"/>
      <c r="J1962" s="209"/>
      <c r="K1962" s="198"/>
      <c r="L1962" s="204"/>
      <c r="M1962" s="205"/>
      <c r="N1962" s="206"/>
      <c r="O1962" s="207"/>
      <c r="P1962" s="207"/>
      <c r="Q1962" s="207"/>
      <c r="R1962" s="207"/>
      <c r="S1962" s="198"/>
      <c r="T1962" s="201"/>
    </row>
    <row r="1963" spans="1:20" ht="22.5" hidden="1" customHeight="1" x14ac:dyDescent="0.25">
      <c r="A1963" s="208"/>
      <c r="B1963" s="238"/>
      <c r="C1963" s="198"/>
      <c r="D1963" s="198"/>
      <c r="E1963" s="199"/>
      <c r="F1963" s="200"/>
      <c r="G1963" s="201"/>
      <c r="H1963" s="208"/>
      <c r="I1963" s="209"/>
      <c r="J1963" s="209"/>
      <c r="K1963" s="198"/>
      <c r="L1963" s="204"/>
      <c r="M1963" s="205"/>
      <c r="N1963" s="206"/>
      <c r="O1963" s="207"/>
      <c r="P1963" s="207"/>
      <c r="Q1963" s="207"/>
      <c r="R1963" s="207"/>
      <c r="S1963" s="198"/>
      <c r="T1963" s="201"/>
    </row>
    <row r="1964" spans="1:20" ht="22.5" hidden="1" customHeight="1" x14ac:dyDescent="0.25">
      <c r="A1964" s="208"/>
      <c r="B1964" s="238"/>
      <c r="C1964" s="198"/>
      <c r="D1964" s="198"/>
      <c r="E1964" s="199"/>
      <c r="F1964" s="200"/>
      <c r="G1964" s="201"/>
      <c r="H1964" s="208"/>
      <c r="I1964" s="209"/>
      <c r="J1964" s="209"/>
      <c r="K1964" s="198"/>
      <c r="L1964" s="204"/>
      <c r="M1964" s="205"/>
      <c r="N1964" s="206"/>
      <c r="O1964" s="207"/>
      <c r="P1964" s="207"/>
      <c r="Q1964" s="207"/>
      <c r="R1964" s="207"/>
      <c r="S1964" s="198"/>
      <c r="T1964" s="201"/>
    </row>
    <row r="1965" spans="1:20" ht="22.5" hidden="1" customHeight="1" x14ac:dyDescent="0.25">
      <c r="A1965" s="208"/>
      <c r="B1965" s="238"/>
      <c r="C1965" s="198"/>
      <c r="D1965" s="198"/>
      <c r="E1965" s="199"/>
      <c r="F1965" s="200"/>
      <c r="G1965" s="201"/>
      <c r="H1965" s="208"/>
      <c r="I1965" s="209"/>
      <c r="J1965" s="209"/>
      <c r="K1965" s="198"/>
      <c r="L1965" s="204"/>
      <c r="M1965" s="205"/>
      <c r="N1965" s="206"/>
      <c r="O1965" s="207"/>
      <c r="P1965" s="207"/>
      <c r="Q1965" s="207"/>
      <c r="R1965" s="207"/>
      <c r="S1965" s="198"/>
      <c r="T1965" s="201"/>
    </row>
    <row r="1966" spans="1:20" ht="22.5" hidden="1" customHeight="1" x14ac:dyDescent="0.25">
      <c r="A1966" s="208"/>
      <c r="B1966" s="238"/>
      <c r="C1966" s="198"/>
      <c r="D1966" s="198"/>
      <c r="E1966" s="199"/>
      <c r="F1966" s="200"/>
      <c r="G1966" s="201"/>
      <c r="H1966" s="208"/>
      <c r="I1966" s="209"/>
      <c r="J1966" s="209"/>
      <c r="K1966" s="198"/>
      <c r="L1966" s="204"/>
      <c r="M1966" s="205"/>
      <c r="N1966" s="206"/>
      <c r="O1966" s="207"/>
      <c r="P1966" s="207"/>
      <c r="Q1966" s="207"/>
      <c r="R1966" s="207"/>
      <c r="S1966" s="198"/>
      <c r="T1966" s="201"/>
    </row>
    <row r="1967" spans="1:20" ht="22.5" hidden="1" customHeight="1" x14ac:dyDescent="0.25">
      <c r="A1967" s="208"/>
      <c r="B1967" s="238"/>
      <c r="C1967" s="198"/>
      <c r="D1967" s="198"/>
      <c r="E1967" s="199"/>
      <c r="F1967" s="200"/>
      <c r="G1967" s="201"/>
      <c r="H1967" s="208"/>
      <c r="I1967" s="209"/>
      <c r="J1967" s="209"/>
      <c r="K1967" s="198"/>
      <c r="L1967" s="204"/>
      <c r="M1967" s="205"/>
      <c r="N1967" s="206"/>
      <c r="O1967" s="207"/>
      <c r="P1967" s="207"/>
      <c r="Q1967" s="207"/>
      <c r="R1967" s="207"/>
      <c r="S1967" s="198"/>
      <c r="T1967" s="201"/>
    </row>
    <row r="1968" spans="1:20" ht="22.5" hidden="1" customHeight="1" x14ac:dyDescent="0.25">
      <c r="A1968" s="208"/>
      <c r="B1968" s="238"/>
      <c r="C1968" s="198"/>
      <c r="D1968" s="198"/>
      <c r="E1968" s="199"/>
      <c r="F1968" s="200"/>
      <c r="G1968" s="201"/>
      <c r="H1968" s="208"/>
      <c r="I1968" s="209"/>
      <c r="J1968" s="209"/>
      <c r="K1968" s="198"/>
      <c r="L1968" s="204"/>
      <c r="M1968" s="205"/>
      <c r="N1968" s="206"/>
      <c r="O1968" s="207"/>
      <c r="P1968" s="207"/>
      <c r="Q1968" s="207"/>
      <c r="R1968" s="207"/>
      <c r="S1968" s="198"/>
      <c r="T1968" s="201"/>
    </row>
    <row r="1969" spans="1:20" ht="22.5" hidden="1" customHeight="1" x14ac:dyDescent="0.25">
      <c r="A1969" s="208"/>
      <c r="B1969" s="238"/>
      <c r="C1969" s="198"/>
      <c r="D1969" s="198"/>
      <c r="E1969" s="199"/>
      <c r="F1969" s="200"/>
      <c r="G1969" s="201"/>
      <c r="H1969" s="208"/>
      <c r="I1969" s="209"/>
      <c r="J1969" s="209"/>
      <c r="K1969" s="198"/>
      <c r="L1969" s="204"/>
      <c r="M1969" s="205"/>
      <c r="N1969" s="206"/>
      <c r="O1969" s="207"/>
      <c r="P1969" s="207"/>
      <c r="Q1969" s="207"/>
      <c r="R1969" s="207"/>
      <c r="S1969" s="198"/>
      <c r="T1969" s="201"/>
    </row>
    <row r="1970" spans="1:20" ht="22.5" hidden="1" customHeight="1" x14ac:dyDescent="0.25">
      <c r="A1970" s="208"/>
      <c r="B1970" s="238"/>
      <c r="C1970" s="198"/>
      <c r="D1970" s="198"/>
      <c r="E1970" s="199"/>
      <c r="F1970" s="200"/>
      <c r="G1970" s="201"/>
      <c r="H1970" s="208"/>
      <c r="I1970" s="209"/>
      <c r="J1970" s="209"/>
      <c r="K1970" s="198"/>
      <c r="L1970" s="204"/>
      <c r="M1970" s="205"/>
      <c r="N1970" s="206"/>
      <c r="O1970" s="207"/>
      <c r="P1970" s="207"/>
      <c r="Q1970" s="207"/>
      <c r="R1970" s="207"/>
      <c r="S1970" s="198"/>
      <c r="T1970" s="201"/>
    </row>
    <row r="1971" spans="1:20" ht="22.5" hidden="1" customHeight="1" x14ac:dyDescent="0.25">
      <c r="A1971" s="208"/>
      <c r="B1971" s="238"/>
      <c r="C1971" s="198"/>
      <c r="D1971" s="198"/>
      <c r="E1971" s="199"/>
      <c r="F1971" s="200"/>
      <c r="G1971" s="201"/>
      <c r="H1971" s="208"/>
      <c r="I1971" s="209"/>
      <c r="J1971" s="209"/>
      <c r="K1971" s="198"/>
      <c r="L1971" s="204"/>
      <c r="M1971" s="205"/>
      <c r="N1971" s="206"/>
      <c r="O1971" s="207"/>
      <c r="P1971" s="207"/>
      <c r="Q1971" s="207"/>
      <c r="R1971" s="207"/>
      <c r="S1971" s="198"/>
      <c r="T1971" s="201"/>
    </row>
    <row r="1972" spans="1:20" ht="22.5" hidden="1" customHeight="1" x14ac:dyDescent="0.25">
      <c r="A1972" s="208"/>
      <c r="B1972" s="238"/>
      <c r="C1972" s="198"/>
      <c r="D1972" s="198"/>
      <c r="E1972" s="199"/>
      <c r="F1972" s="200"/>
      <c r="G1972" s="201"/>
      <c r="H1972" s="208"/>
      <c r="I1972" s="209"/>
      <c r="J1972" s="209"/>
      <c r="K1972" s="198"/>
      <c r="L1972" s="204"/>
      <c r="M1972" s="205"/>
      <c r="N1972" s="206"/>
      <c r="O1972" s="207"/>
      <c r="P1972" s="207"/>
      <c r="Q1972" s="207"/>
      <c r="R1972" s="207"/>
      <c r="S1972" s="198"/>
      <c r="T1972" s="201"/>
    </row>
    <row r="1973" spans="1:20" ht="22.5" hidden="1" customHeight="1" x14ac:dyDescent="0.25">
      <c r="A1973" s="208"/>
      <c r="B1973" s="238"/>
      <c r="C1973" s="198"/>
      <c r="D1973" s="198"/>
      <c r="E1973" s="199"/>
      <c r="F1973" s="200"/>
      <c r="G1973" s="201"/>
      <c r="H1973" s="208"/>
      <c r="I1973" s="209"/>
      <c r="J1973" s="209"/>
      <c r="K1973" s="198"/>
      <c r="L1973" s="204"/>
      <c r="M1973" s="205"/>
      <c r="N1973" s="206"/>
      <c r="O1973" s="207"/>
      <c r="P1973" s="207"/>
      <c r="Q1973" s="207"/>
      <c r="R1973" s="207"/>
      <c r="S1973" s="198"/>
      <c r="T1973" s="201"/>
    </row>
    <row r="1974" spans="1:20" ht="22.5" hidden="1" customHeight="1" x14ac:dyDescent="0.25">
      <c r="A1974" s="208"/>
      <c r="B1974" s="238"/>
      <c r="C1974" s="198"/>
      <c r="D1974" s="198"/>
      <c r="E1974" s="199"/>
      <c r="F1974" s="200"/>
      <c r="G1974" s="201"/>
      <c r="H1974" s="208"/>
      <c r="I1974" s="209"/>
      <c r="J1974" s="209"/>
      <c r="K1974" s="198"/>
      <c r="L1974" s="204"/>
      <c r="M1974" s="205"/>
      <c r="N1974" s="206"/>
      <c r="O1974" s="207"/>
      <c r="P1974" s="207"/>
      <c r="Q1974" s="207"/>
      <c r="R1974" s="207"/>
      <c r="S1974" s="198"/>
      <c r="T1974" s="201"/>
    </row>
    <row r="1975" spans="1:20" ht="22.5" hidden="1" customHeight="1" x14ac:dyDescent="0.25">
      <c r="A1975" s="208"/>
      <c r="B1975" s="238"/>
      <c r="C1975" s="198"/>
      <c r="D1975" s="198"/>
      <c r="E1975" s="199"/>
      <c r="F1975" s="200"/>
      <c r="G1975" s="201"/>
      <c r="H1975" s="208"/>
      <c r="I1975" s="209"/>
      <c r="J1975" s="209"/>
      <c r="K1975" s="198"/>
      <c r="L1975" s="204"/>
      <c r="M1975" s="205"/>
      <c r="N1975" s="206"/>
      <c r="O1975" s="207"/>
      <c r="P1975" s="207"/>
      <c r="Q1975" s="207"/>
      <c r="R1975" s="207"/>
      <c r="S1975" s="198"/>
      <c r="T1975" s="201"/>
    </row>
    <row r="1976" spans="1:20" ht="22.5" hidden="1" customHeight="1" x14ac:dyDescent="0.25">
      <c r="A1976" s="208"/>
      <c r="B1976" s="238"/>
      <c r="C1976" s="198"/>
      <c r="D1976" s="198"/>
      <c r="E1976" s="199"/>
      <c r="F1976" s="200"/>
      <c r="G1976" s="201"/>
      <c r="H1976" s="208"/>
      <c r="I1976" s="209"/>
      <c r="J1976" s="209"/>
      <c r="K1976" s="198"/>
      <c r="L1976" s="204"/>
      <c r="M1976" s="205"/>
      <c r="N1976" s="206"/>
      <c r="O1976" s="207"/>
      <c r="P1976" s="207"/>
      <c r="Q1976" s="207"/>
      <c r="R1976" s="207"/>
      <c r="S1976" s="198"/>
      <c r="T1976" s="201"/>
    </row>
    <row r="1977" spans="1:20" ht="22.5" hidden="1" customHeight="1" x14ac:dyDescent="0.25">
      <c r="A1977" s="208"/>
      <c r="B1977" s="238"/>
      <c r="C1977" s="198"/>
      <c r="D1977" s="198"/>
      <c r="E1977" s="199"/>
      <c r="F1977" s="200"/>
      <c r="G1977" s="201"/>
      <c r="H1977" s="208"/>
      <c r="I1977" s="209"/>
      <c r="J1977" s="209"/>
      <c r="K1977" s="198"/>
      <c r="L1977" s="204"/>
      <c r="M1977" s="205"/>
      <c r="N1977" s="206"/>
      <c r="O1977" s="207"/>
      <c r="P1977" s="207"/>
      <c r="Q1977" s="207"/>
      <c r="R1977" s="207"/>
      <c r="S1977" s="198"/>
      <c r="T1977" s="201"/>
    </row>
    <row r="1978" spans="1:20" ht="22.5" hidden="1" customHeight="1" x14ac:dyDescent="0.25">
      <c r="A1978" s="208"/>
      <c r="B1978" s="238"/>
      <c r="C1978" s="198"/>
      <c r="D1978" s="198"/>
      <c r="E1978" s="199"/>
      <c r="F1978" s="200"/>
      <c r="G1978" s="201"/>
      <c r="H1978" s="208"/>
      <c r="I1978" s="209"/>
      <c r="J1978" s="209"/>
      <c r="K1978" s="198"/>
      <c r="L1978" s="204"/>
      <c r="M1978" s="205"/>
      <c r="N1978" s="206"/>
      <c r="O1978" s="207"/>
      <c r="P1978" s="207"/>
      <c r="Q1978" s="207"/>
      <c r="R1978" s="207"/>
      <c r="S1978" s="198"/>
      <c r="T1978" s="201"/>
    </row>
    <row r="1979" spans="1:20" ht="22.5" hidden="1" customHeight="1" x14ac:dyDescent="0.25">
      <c r="A1979" s="208"/>
      <c r="B1979" s="238"/>
      <c r="C1979" s="198"/>
      <c r="D1979" s="198"/>
      <c r="E1979" s="199"/>
      <c r="F1979" s="200"/>
      <c r="G1979" s="201"/>
      <c r="H1979" s="208"/>
      <c r="I1979" s="209"/>
      <c r="J1979" s="209"/>
      <c r="K1979" s="198"/>
      <c r="L1979" s="204"/>
      <c r="M1979" s="205"/>
      <c r="N1979" s="206"/>
      <c r="O1979" s="207"/>
      <c r="P1979" s="207"/>
      <c r="Q1979" s="207"/>
      <c r="R1979" s="207"/>
      <c r="S1979" s="198"/>
      <c r="T1979" s="201"/>
    </row>
    <row r="1980" spans="1:20" ht="22.5" hidden="1" customHeight="1" x14ac:dyDescent="0.25">
      <c r="A1980" s="208"/>
      <c r="B1980" s="238"/>
      <c r="C1980" s="198"/>
      <c r="D1980" s="198"/>
      <c r="E1980" s="199"/>
      <c r="F1980" s="200"/>
      <c r="G1980" s="201"/>
      <c r="H1980" s="208"/>
      <c r="I1980" s="209"/>
      <c r="J1980" s="209"/>
      <c r="K1980" s="198"/>
      <c r="L1980" s="204"/>
      <c r="M1980" s="205"/>
      <c r="N1980" s="206"/>
      <c r="O1980" s="207"/>
      <c r="P1980" s="207"/>
      <c r="Q1980" s="207"/>
      <c r="R1980" s="207"/>
      <c r="S1980" s="198"/>
      <c r="T1980" s="201"/>
    </row>
    <row r="1981" spans="1:20" ht="22.5" hidden="1" customHeight="1" x14ac:dyDescent="0.25">
      <c r="A1981" s="208"/>
      <c r="B1981" s="238"/>
      <c r="C1981" s="198"/>
      <c r="D1981" s="198"/>
      <c r="E1981" s="199"/>
      <c r="F1981" s="200"/>
      <c r="G1981" s="201"/>
      <c r="H1981" s="208"/>
      <c r="I1981" s="209"/>
      <c r="J1981" s="209"/>
      <c r="K1981" s="198"/>
      <c r="L1981" s="204"/>
      <c r="M1981" s="205"/>
      <c r="N1981" s="206"/>
      <c r="O1981" s="207"/>
      <c r="P1981" s="207"/>
      <c r="Q1981" s="207"/>
      <c r="R1981" s="207"/>
      <c r="S1981" s="198"/>
      <c r="T1981" s="201"/>
    </row>
    <row r="1982" spans="1:20" ht="22.5" hidden="1" customHeight="1" x14ac:dyDescent="0.25">
      <c r="A1982" s="208"/>
      <c r="B1982" s="238"/>
      <c r="C1982" s="198"/>
      <c r="D1982" s="198"/>
      <c r="E1982" s="199"/>
      <c r="F1982" s="200"/>
      <c r="G1982" s="201"/>
      <c r="H1982" s="208"/>
      <c r="I1982" s="209"/>
      <c r="J1982" s="209"/>
      <c r="K1982" s="198"/>
      <c r="L1982" s="204"/>
      <c r="M1982" s="205"/>
      <c r="N1982" s="206"/>
      <c r="O1982" s="207"/>
      <c r="P1982" s="207"/>
      <c r="Q1982" s="207"/>
      <c r="R1982" s="207"/>
      <c r="S1982" s="198"/>
      <c r="T1982" s="201"/>
    </row>
    <row r="1983" spans="1:20" ht="22.5" hidden="1" customHeight="1" x14ac:dyDescent="0.25">
      <c r="A1983" s="208"/>
      <c r="B1983" s="238"/>
      <c r="C1983" s="198"/>
      <c r="D1983" s="198"/>
      <c r="E1983" s="199"/>
      <c r="F1983" s="200"/>
      <c r="G1983" s="201"/>
      <c r="H1983" s="208"/>
      <c r="I1983" s="209"/>
      <c r="J1983" s="209"/>
      <c r="K1983" s="198"/>
      <c r="L1983" s="204"/>
      <c r="M1983" s="205"/>
      <c r="N1983" s="206"/>
      <c r="O1983" s="207"/>
      <c r="P1983" s="207"/>
      <c r="Q1983" s="207"/>
      <c r="R1983" s="207"/>
      <c r="S1983" s="198"/>
      <c r="T1983" s="201"/>
    </row>
    <row r="1984" spans="1:20" ht="22.5" hidden="1" customHeight="1" x14ac:dyDescent="0.25">
      <c r="A1984" s="208"/>
      <c r="B1984" s="238"/>
      <c r="C1984" s="198"/>
      <c r="D1984" s="198"/>
      <c r="E1984" s="199"/>
      <c r="F1984" s="200"/>
      <c r="G1984" s="201"/>
      <c r="H1984" s="208"/>
      <c r="I1984" s="209"/>
      <c r="J1984" s="209"/>
      <c r="K1984" s="198"/>
      <c r="L1984" s="204"/>
      <c r="M1984" s="205"/>
      <c r="N1984" s="206"/>
      <c r="O1984" s="207"/>
      <c r="P1984" s="207"/>
      <c r="Q1984" s="207"/>
      <c r="R1984" s="207"/>
      <c r="S1984" s="198"/>
      <c r="T1984" s="201"/>
    </row>
    <row r="1985" spans="1:20" ht="22.5" hidden="1" customHeight="1" x14ac:dyDescent="0.25">
      <c r="A1985" s="208"/>
      <c r="B1985" s="238"/>
      <c r="C1985" s="198"/>
      <c r="D1985" s="198"/>
      <c r="E1985" s="199"/>
      <c r="F1985" s="200"/>
      <c r="G1985" s="201"/>
      <c r="H1985" s="208"/>
      <c r="I1985" s="209"/>
      <c r="J1985" s="209"/>
      <c r="K1985" s="198"/>
      <c r="L1985" s="204"/>
      <c r="M1985" s="205"/>
      <c r="N1985" s="206"/>
      <c r="O1985" s="207"/>
      <c r="P1985" s="207"/>
      <c r="Q1985" s="207"/>
      <c r="R1985" s="207"/>
      <c r="S1985" s="198"/>
      <c r="T1985" s="201"/>
    </row>
    <row r="1986" spans="1:20" ht="22.5" hidden="1" customHeight="1" x14ac:dyDescent="0.25">
      <c r="A1986" s="208"/>
      <c r="B1986" s="238"/>
      <c r="C1986" s="198"/>
      <c r="D1986" s="198"/>
      <c r="E1986" s="199"/>
      <c r="F1986" s="200"/>
      <c r="G1986" s="201"/>
      <c r="H1986" s="208"/>
      <c r="I1986" s="209"/>
      <c r="J1986" s="209"/>
      <c r="K1986" s="198"/>
      <c r="L1986" s="204"/>
      <c r="M1986" s="205"/>
      <c r="N1986" s="206"/>
      <c r="O1986" s="207"/>
      <c r="P1986" s="207"/>
      <c r="Q1986" s="207"/>
      <c r="R1986" s="207"/>
      <c r="S1986" s="198"/>
      <c r="T1986" s="201"/>
    </row>
    <row r="1987" spans="1:20" ht="22.5" hidden="1" customHeight="1" x14ac:dyDescent="0.25">
      <c r="A1987" s="208"/>
      <c r="B1987" s="238"/>
      <c r="C1987" s="198"/>
      <c r="D1987" s="198"/>
      <c r="E1987" s="199"/>
      <c r="F1987" s="200"/>
      <c r="G1987" s="201"/>
      <c r="H1987" s="208"/>
      <c r="I1987" s="209"/>
      <c r="J1987" s="209"/>
      <c r="K1987" s="198"/>
      <c r="L1987" s="204"/>
      <c r="M1987" s="205"/>
      <c r="N1987" s="206"/>
      <c r="O1987" s="207"/>
      <c r="P1987" s="207"/>
      <c r="Q1987" s="207"/>
      <c r="R1987" s="207"/>
      <c r="S1987" s="198"/>
      <c r="T1987" s="201"/>
    </row>
    <row r="1988" spans="1:20" ht="22.5" hidden="1" customHeight="1" x14ac:dyDescent="0.25">
      <c r="A1988" s="208"/>
      <c r="B1988" s="238"/>
      <c r="C1988" s="198"/>
      <c r="D1988" s="198"/>
      <c r="E1988" s="199"/>
      <c r="F1988" s="200"/>
      <c r="G1988" s="201"/>
      <c r="H1988" s="208"/>
      <c r="I1988" s="209"/>
      <c r="J1988" s="209"/>
      <c r="K1988" s="198"/>
      <c r="L1988" s="204"/>
      <c r="M1988" s="205"/>
      <c r="N1988" s="206"/>
      <c r="O1988" s="207"/>
      <c r="P1988" s="207"/>
      <c r="Q1988" s="207"/>
      <c r="R1988" s="207"/>
      <c r="S1988" s="198"/>
      <c r="T1988" s="201"/>
    </row>
    <row r="1989" spans="1:20" ht="22.5" hidden="1" customHeight="1" x14ac:dyDescent="0.25">
      <c r="A1989" s="208"/>
      <c r="B1989" s="238"/>
      <c r="C1989" s="198"/>
      <c r="D1989" s="198"/>
      <c r="E1989" s="199"/>
      <c r="F1989" s="200"/>
      <c r="G1989" s="201"/>
      <c r="H1989" s="208"/>
      <c r="I1989" s="209"/>
      <c r="J1989" s="209"/>
      <c r="K1989" s="198"/>
      <c r="L1989" s="204"/>
      <c r="M1989" s="205"/>
      <c r="N1989" s="206"/>
      <c r="O1989" s="207"/>
      <c r="P1989" s="207"/>
      <c r="Q1989" s="207"/>
      <c r="R1989" s="207"/>
      <c r="S1989" s="198"/>
      <c r="T1989" s="201"/>
    </row>
    <row r="1990" spans="1:20" ht="22.5" hidden="1" customHeight="1" x14ac:dyDescent="0.25">
      <c r="A1990" s="208"/>
      <c r="B1990" s="238"/>
      <c r="C1990" s="198"/>
      <c r="D1990" s="198"/>
      <c r="E1990" s="199"/>
      <c r="F1990" s="200"/>
      <c r="G1990" s="201"/>
      <c r="H1990" s="208"/>
      <c r="I1990" s="209"/>
      <c r="J1990" s="209"/>
      <c r="K1990" s="198"/>
      <c r="L1990" s="204"/>
      <c r="M1990" s="205"/>
      <c r="N1990" s="206"/>
      <c r="O1990" s="207"/>
      <c r="P1990" s="207"/>
      <c r="Q1990" s="207"/>
      <c r="R1990" s="207"/>
      <c r="S1990" s="198"/>
      <c r="T1990" s="201"/>
    </row>
    <row r="1991" spans="1:20" ht="22.5" hidden="1" customHeight="1" x14ac:dyDescent="0.25">
      <c r="A1991" s="208"/>
      <c r="B1991" s="238"/>
      <c r="C1991" s="198"/>
      <c r="D1991" s="198"/>
      <c r="E1991" s="199"/>
      <c r="F1991" s="200"/>
      <c r="G1991" s="201"/>
      <c r="H1991" s="208"/>
      <c r="I1991" s="209"/>
      <c r="J1991" s="209"/>
      <c r="K1991" s="198"/>
      <c r="L1991" s="204"/>
      <c r="M1991" s="205"/>
      <c r="N1991" s="206"/>
      <c r="O1991" s="207"/>
      <c r="P1991" s="207"/>
      <c r="Q1991" s="207"/>
      <c r="R1991" s="207"/>
      <c r="S1991" s="198"/>
      <c r="T1991" s="201"/>
    </row>
    <row r="1992" spans="1:20" ht="22.5" hidden="1" customHeight="1" x14ac:dyDescent="0.25">
      <c r="A1992" s="208"/>
      <c r="B1992" s="238"/>
      <c r="C1992" s="198"/>
      <c r="D1992" s="198"/>
      <c r="E1992" s="199"/>
      <c r="F1992" s="200"/>
      <c r="G1992" s="201"/>
      <c r="H1992" s="208"/>
      <c r="I1992" s="209"/>
      <c r="J1992" s="209"/>
      <c r="K1992" s="198"/>
      <c r="L1992" s="204"/>
      <c r="M1992" s="205"/>
      <c r="N1992" s="206"/>
      <c r="O1992" s="207"/>
      <c r="P1992" s="207"/>
      <c r="Q1992" s="207"/>
      <c r="R1992" s="207"/>
      <c r="S1992" s="198"/>
      <c r="T1992" s="201"/>
    </row>
    <row r="1993" spans="1:20" ht="22.5" hidden="1" customHeight="1" x14ac:dyDescent="0.25">
      <c r="A1993" s="208"/>
      <c r="B1993" s="238"/>
      <c r="C1993" s="198"/>
      <c r="D1993" s="198"/>
      <c r="E1993" s="199"/>
      <c r="F1993" s="200"/>
      <c r="G1993" s="201"/>
      <c r="H1993" s="208"/>
      <c r="I1993" s="209"/>
      <c r="J1993" s="209"/>
      <c r="K1993" s="198"/>
      <c r="L1993" s="204"/>
      <c r="M1993" s="205"/>
      <c r="N1993" s="206"/>
      <c r="O1993" s="207"/>
      <c r="P1993" s="207"/>
      <c r="Q1993" s="207"/>
      <c r="R1993" s="207"/>
      <c r="S1993" s="198"/>
      <c r="T1993" s="201"/>
    </row>
    <row r="1994" spans="1:20" ht="22.5" hidden="1" customHeight="1" x14ac:dyDescent="0.25">
      <c r="A1994" s="208"/>
      <c r="B1994" s="238"/>
      <c r="C1994" s="198"/>
      <c r="D1994" s="198"/>
      <c r="E1994" s="199"/>
      <c r="F1994" s="200"/>
      <c r="G1994" s="201"/>
      <c r="H1994" s="208"/>
      <c r="I1994" s="209"/>
      <c r="J1994" s="209"/>
      <c r="K1994" s="198"/>
      <c r="L1994" s="204"/>
      <c r="M1994" s="205"/>
      <c r="N1994" s="206"/>
      <c r="O1994" s="207"/>
      <c r="P1994" s="207"/>
      <c r="Q1994" s="207"/>
      <c r="R1994" s="207"/>
      <c r="S1994" s="198"/>
      <c r="T1994" s="201"/>
    </row>
    <row r="1995" spans="1:20" ht="22.5" hidden="1" customHeight="1" x14ac:dyDescent="0.25">
      <c r="A1995" s="208"/>
      <c r="B1995" s="238"/>
      <c r="C1995" s="198"/>
      <c r="D1995" s="198"/>
      <c r="E1995" s="199"/>
      <c r="F1995" s="200"/>
      <c r="G1995" s="201"/>
      <c r="H1995" s="208"/>
      <c r="I1995" s="209"/>
      <c r="J1995" s="209"/>
      <c r="K1995" s="198"/>
      <c r="L1995" s="204"/>
      <c r="M1995" s="205"/>
      <c r="N1995" s="206"/>
      <c r="O1995" s="207"/>
      <c r="P1995" s="207"/>
      <c r="Q1995" s="207"/>
      <c r="R1995" s="207"/>
      <c r="S1995" s="198"/>
      <c r="T1995" s="201"/>
    </row>
    <row r="1996" spans="1:20" ht="22.5" hidden="1" customHeight="1" x14ac:dyDescent="0.25">
      <c r="A1996" s="208"/>
      <c r="B1996" s="238"/>
      <c r="C1996" s="198"/>
      <c r="D1996" s="198"/>
      <c r="E1996" s="199"/>
      <c r="F1996" s="200"/>
      <c r="G1996" s="201"/>
      <c r="H1996" s="208"/>
      <c r="I1996" s="209"/>
      <c r="J1996" s="209"/>
      <c r="K1996" s="198"/>
      <c r="L1996" s="204"/>
      <c r="M1996" s="205"/>
      <c r="N1996" s="206"/>
      <c r="O1996" s="207"/>
      <c r="P1996" s="207"/>
      <c r="Q1996" s="207"/>
      <c r="R1996" s="207"/>
      <c r="S1996" s="198"/>
      <c r="T1996" s="201"/>
    </row>
    <row r="1997" spans="1:20" ht="22.5" hidden="1" customHeight="1" x14ac:dyDescent="0.25">
      <c r="A1997" s="208"/>
      <c r="B1997" s="238"/>
      <c r="C1997" s="198"/>
      <c r="D1997" s="198"/>
      <c r="E1997" s="199"/>
      <c r="F1997" s="200"/>
      <c r="G1997" s="201"/>
      <c r="H1997" s="208"/>
      <c r="I1997" s="209"/>
      <c r="J1997" s="209"/>
      <c r="K1997" s="198"/>
      <c r="L1997" s="204"/>
      <c r="M1997" s="205"/>
      <c r="N1997" s="206"/>
      <c r="O1997" s="207"/>
      <c r="P1997" s="207"/>
      <c r="Q1997" s="207"/>
      <c r="R1997" s="207"/>
      <c r="S1997" s="198"/>
      <c r="T1997" s="201"/>
    </row>
    <row r="1998" spans="1:20" ht="22.5" hidden="1" customHeight="1" x14ac:dyDescent="0.25">
      <c r="A1998" s="208"/>
      <c r="B1998" s="238"/>
      <c r="C1998" s="198"/>
      <c r="D1998" s="198"/>
      <c r="E1998" s="199"/>
      <c r="F1998" s="200"/>
      <c r="G1998" s="201"/>
      <c r="H1998" s="208"/>
      <c r="I1998" s="209"/>
      <c r="J1998" s="209"/>
      <c r="K1998" s="198"/>
      <c r="L1998" s="204"/>
      <c r="M1998" s="205"/>
      <c r="N1998" s="206"/>
      <c r="O1998" s="207"/>
      <c r="P1998" s="207"/>
      <c r="Q1998" s="207"/>
      <c r="R1998" s="207"/>
      <c r="S1998" s="198"/>
      <c r="T1998" s="201"/>
    </row>
    <row r="1999" spans="1:20" ht="22.5" hidden="1" customHeight="1" x14ac:dyDescent="0.25">
      <c r="A1999" s="208"/>
      <c r="B1999" s="238"/>
      <c r="C1999" s="198"/>
      <c r="D1999" s="198"/>
      <c r="E1999" s="199"/>
      <c r="F1999" s="200"/>
      <c r="G1999" s="201"/>
      <c r="H1999" s="208"/>
      <c r="I1999" s="209"/>
      <c r="J1999" s="209"/>
      <c r="K1999" s="198"/>
      <c r="L1999" s="204"/>
      <c r="M1999" s="205"/>
      <c r="N1999" s="206"/>
      <c r="O1999" s="207"/>
      <c r="P1999" s="207"/>
      <c r="Q1999" s="207"/>
      <c r="R1999" s="207"/>
      <c r="S1999" s="198"/>
      <c r="T1999" s="201"/>
    </row>
    <row r="2000" spans="1:20" ht="22.5" hidden="1" customHeight="1" x14ac:dyDescent="0.25">
      <c r="A2000" s="208"/>
      <c r="B2000" s="238"/>
      <c r="C2000" s="198"/>
      <c r="D2000" s="198"/>
      <c r="E2000" s="199"/>
      <c r="F2000" s="200"/>
      <c r="G2000" s="201"/>
      <c r="H2000" s="208"/>
      <c r="I2000" s="209"/>
      <c r="J2000" s="209"/>
      <c r="K2000" s="198"/>
      <c r="L2000" s="204"/>
      <c r="M2000" s="205"/>
      <c r="N2000" s="206"/>
      <c r="O2000" s="207"/>
      <c r="P2000" s="207"/>
      <c r="Q2000" s="207"/>
      <c r="R2000" s="207"/>
      <c r="S2000" s="198"/>
      <c r="T2000" s="201"/>
    </row>
    <row r="2001" spans="1:20" ht="22.5" hidden="1" customHeight="1" x14ac:dyDescent="0.25">
      <c r="A2001" s="212"/>
      <c r="B2001" s="240"/>
      <c r="C2001" s="210"/>
      <c r="D2001" s="210"/>
      <c r="E2001" s="220"/>
      <c r="F2001" s="237"/>
      <c r="G2001" s="211"/>
      <c r="H2001" s="212"/>
      <c r="I2001" s="213"/>
      <c r="J2001" s="213"/>
      <c r="K2001" s="210"/>
      <c r="L2001" s="214"/>
      <c r="M2001" s="215"/>
      <c r="N2001" s="216"/>
      <c r="O2001" s="217"/>
      <c r="P2001" s="217"/>
      <c r="Q2001" s="217"/>
      <c r="R2001" s="217"/>
      <c r="S2001" s="210"/>
      <c r="T2001" s="211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1">
    <cfRule type="expression" dxfId="7" priority="1">
      <formula>TRIM(C2)="Realizado"</formula>
    </cfRule>
  </conditionalFormatting>
  <conditionalFormatting sqref="C2:C2001">
    <cfRule type="expression" dxfId="6" priority="2">
      <formula>TRIM(C2)="Cancelado"</formula>
    </cfRule>
  </conditionalFormatting>
  <conditionalFormatting sqref="C2:C2001">
    <cfRule type="expression" dxfId="5" priority="3">
      <formula>TRIM(C2)="Em andamento"</formula>
    </cfRule>
  </conditionalFormatting>
  <conditionalFormatting sqref="C2:C2001">
    <cfRule type="expression" dxfId="4" priority="4">
      <formula>TRIM(C2)="Adiado"</formula>
    </cfRule>
  </conditionalFormatting>
  <conditionalFormatting sqref="A2:A2001">
    <cfRule type="expression" dxfId="3" priority="5">
      <formula>AND($B2&lt;&gt;"",$A2="")</formula>
    </cfRule>
  </conditionalFormatting>
  <conditionalFormatting sqref="L2:M2001">
    <cfRule type="expression" dxfId="2" priority="6">
      <formula>L2=""</formula>
    </cfRule>
  </conditionalFormatting>
  <conditionalFormatting sqref="A2:T2001">
    <cfRule type="expression" dxfId="1" priority="7">
      <formula>MOD(ROW(),2)=0</formula>
    </cfRule>
  </conditionalFormatting>
  <conditionalFormatting sqref="A2:T2001">
    <cfRule type="expression" dxfId="0" priority="8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I725:J2001 H2002:I1048576" xr:uid="{A71E4390-A059-418C-8F5C-AD2AF445253E}">
      <formula1>41640</formula1>
      <formula2>47848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 T685:T2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1" xr:uid="{576DADEE-8432-40AC-A1D2-7CA5121BB2E5}">
      <formula1>OR(A2="",COUNTIF($A$2:$A$2001,A2)=1)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E2002:E1048576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97"/>
  <sheetViews>
    <sheetView topLeftCell="A30" workbookViewId="0">
      <selection activeCell="B94" sqref="B9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 x14ac:dyDescent="0.3">
      <c r="A1" s="105" t="s">
        <v>2237</v>
      </c>
      <c r="F1" s="106" t="s">
        <v>2238</v>
      </c>
    </row>
    <row r="2" spans="1:6" x14ac:dyDescent="0.25">
      <c r="F2" s="107" t="s">
        <v>2239</v>
      </c>
    </row>
    <row r="3" spans="1:6" x14ac:dyDescent="0.25">
      <c r="A3" t="s">
        <v>0</v>
      </c>
      <c r="B3" t="s">
        <v>19</v>
      </c>
      <c r="C3" t="s">
        <v>2240</v>
      </c>
      <c r="D3" t="s">
        <v>2241</v>
      </c>
      <c r="F3" s="107" t="s">
        <v>2242</v>
      </c>
    </row>
    <row r="4" spans="1:6" x14ac:dyDescent="0.25">
      <c r="A4">
        <v>1</v>
      </c>
      <c r="B4" t="s">
        <v>2243</v>
      </c>
      <c r="D4" t="s">
        <v>2244</v>
      </c>
      <c r="F4" s="107" t="s">
        <v>2245</v>
      </c>
    </row>
    <row r="5" spans="1:6" x14ac:dyDescent="0.25">
      <c r="A5">
        <v>2</v>
      </c>
      <c r="B5" t="s">
        <v>1890</v>
      </c>
      <c r="D5" t="s">
        <v>2244</v>
      </c>
      <c r="F5" s="107" t="s">
        <v>2246</v>
      </c>
    </row>
    <row r="6" spans="1:6" x14ac:dyDescent="0.25">
      <c r="A6">
        <v>3</v>
      </c>
      <c r="B6" t="s">
        <v>784</v>
      </c>
      <c r="D6" t="s">
        <v>2244</v>
      </c>
    </row>
    <row r="7" spans="1:6" x14ac:dyDescent="0.25">
      <c r="A7">
        <v>4</v>
      </c>
      <c r="B7" t="s">
        <v>2247</v>
      </c>
      <c r="D7" t="s">
        <v>2244</v>
      </c>
      <c r="F7" s="107" t="s">
        <v>2248</v>
      </c>
    </row>
    <row r="8" spans="1:6" x14ac:dyDescent="0.25">
      <c r="A8">
        <v>5</v>
      </c>
      <c r="B8" t="s">
        <v>2249</v>
      </c>
      <c r="D8" t="s">
        <v>2244</v>
      </c>
    </row>
    <row r="9" spans="1:6" x14ac:dyDescent="0.25">
      <c r="A9">
        <v>6</v>
      </c>
      <c r="B9" t="s">
        <v>1746</v>
      </c>
      <c r="D9" t="s">
        <v>2244</v>
      </c>
    </row>
    <row r="10" spans="1:6" x14ac:dyDescent="0.25">
      <c r="A10">
        <v>7</v>
      </c>
      <c r="B10" t="s">
        <v>1820</v>
      </c>
      <c r="D10" t="s">
        <v>2244</v>
      </c>
    </row>
    <row r="11" spans="1:6" x14ac:dyDescent="0.25">
      <c r="A11">
        <v>8</v>
      </c>
      <c r="B11" t="s">
        <v>1868</v>
      </c>
      <c r="D11" t="s">
        <v>2244</v>
      </c>
    </row>
    <row r="12" spans="1:6" x14ac:dyDescent="0.25">
      <c r="A12">
        <v>10</v>
      </c>
      <c r="B12" t="s">
        <v>2059</v>
      </c>
      <c r="D12" t="s">
        <v>2244</v>
      </c>
    </row>
    <row r="13" spans="1:6" x14ac:dyDescent="0.25">
      <c r="A13">
        <v>11</v>
      </c>
      <c r="B13" t="s">
        <v>1719</v>
      </c>
      <c r="D13" t="s">
        <v>2244</v>
      </c>
    </row>
    <row r="14" spans="1:6" x14ac:dyDescent="0.25">
      <c r="A14">
        <v>12</v>
      </c>
      <c r="B14" t="s">
        <v>1791</v>
      </c>
      <c r="D14" t="s">
        <v>2244</v>
      </c>
    </row>
    <row r="15" spans="1:6" x14ac:dyDescent="0.25">
      <c r="A15">
        <v>13</v>
      </c>
      <c r="B15" t="s">
        <v>2033</v>
      </c>
      <c r="D15" t="s">
        <v>2244</v>
      </c>
    </row>
    <row r="16" spans="1:6" x14ac:dyDescent="0.25">
      <c r="A16">
        <v>14</v>
      </c>
      <c r="B16" t="s">
        <v>1441</v>
      </c>
      <c r="D16" t="s">
        <v>2244</v>
      </c>
    </row>
    <row r="17" spans="1:4" x14ac:dyDescent="0.25">
      <c r="A17">
        <v>15</v>
      </c>
      <c r="B17" t="s">
        <v>441</v>
      </c>
      <c r="D17" t="s">
        <v>2244</v>
      </c>
    </row>
    <row r="18" spans="1:4" x14ac:dyDescent="0.25">
      <c r="A18">
        <v>16</v>
      </c>
      <c r="B18" t="s">
        <v>1478</v>
      </c>
      <c r="D18" t="s">
        <v>2244</v>
      </c>
    </row>
    <row r="19" spans="1:4" x14ac:dyDescent="0.25">
      <c r="A19">
        <v>17</v>
      </c>
      <c r="B19" t="s">
        <v>1359</v>
      </c>
      <c r="D19" t="s">
        <v>2244</v>
      </c>
    </row>
    <row r="20" spans="1:4" x14ac:dyDescent="0.25">
      <c r="A20">
        <v>18</v>
      </c>
      <c r="B20" t="s">
        <v>1601</v>
      </c>
      <c r="D20" t="s">
        <v>2244</v>
      </c>
    </row>
    <row r="21" spans="1:4" x14ac:dyDescent="0.25">
      <c r="A21">
        <v>19</v>
      </c>
      <c r="B21" t="s">
        <v>1028</v>
      </c>
      <c r="D21" t="s">
        <v>2244</v>
      </c>
    </row>
    <row r="22" spans="1:4" x14ac:dyDescent="0.25">
      <c r="A22">
        <v>20</v>
      </c>
      <c r="B22" t="s">
        <v>1705</v>
      </c>
      <c r="D22" t="s">
        <v>2244</v>
      </c>
    </row>
    <row r="23" spans="1:4" x14ac:dyDescent="0.25">
      <c r="A23">
        <v>21</v>
      </c>
      <c r="B23" t="s">
        <v>2250</v>
      </c>
      <c r="D23" t="s">
        <v>2244</v>
      </c>
    </row>
    <row r="24" spans="1:4" x14ac:dyDescent="0.25">
      <c r="A24">
        <v>22</v>
      </c>
      <c r="B24" t="s">
        <v>451</v>
      </c>
      <c r="D24" t="s">
        <v>2244</v>
      </c>
    </row>
    <row r="25" spans="1:4" x14ac:dyDescent="0.25">
      <c r="A25">
        <v>23</v>
      </c>
      <c r="B25" t="s">
        <v>2251</v>
      </c>
      <c r="D25" t="s">
        <v>2244</v>
      </c>
    </row>
    <row r="26" spans="1:4" x14ac:dyDescent="0.25">
      <c r="A26">
        <v>24</v>
      </c>
      <c r="B26" t="s">
        <v>2252</v>
      </c>
      <c r="D26" t="s">
        <v>2244</v>
      </c>
    </row>
    <row r="27" spans="1:4" x14ac:dyDescent="0.25">
      <c r="A27">
        <v>25</v>
      </c>
      <c r="B27" t="s">
        <v>365</v>
      </c>
      <c r="D27" t="s">
        <v>2244</v>
      </c>
    </row>
    <row r="28" spans="1:4" x14ac:dyDescent="0.25">
      <c r="A28">
        <v>26</v>
      </c>
      <c r="B28" t="s">
        <v>57</v>
      </c>
      <c r="D28" t="s">
        <v>2244</v>
      </c>
    </row>
    <row r="29" spans="1:4" x14ac:dyDescent="0.25">
      <c r="A29">
        <v>27</v>
      </c>
      <c r="B29" t="s">
        <v>2253</v>
      </c>
      <c r="D29" t="s">
        <v>2244</v>
      </c>
    </row>
    <row r="30" spans="1:4" x14ac:dyDescent="0.25">
      <c r="A30">
        <v>28</v>
      </c>
      <c r="B30" t="s">
        <v>1591</v>
      </c>
      <c r="D30" t="s">
        <v>2244</v>
      </c>
    </row>
    <row r="31" spans="1:4" x14ac:dyDescent="0.25">
      <c r="A31">
        <v>29</v>
      </c>
      <c r="B31" t="s">
        <v>1701</v>
      </c>
      <c r="D31" t="s">
        <v>2244</v>
      </c>
    </row>
    <row r="32" spans="1:4" x14ac:dyDescent="0.25">
      <c r="A32">
        <v>30</v>
      </c>
      <c r="B32" t="s">
        <v>1894</v>
      </c>
      <c r="D32" t="s">
        <v>2244</v>
      </c>
    </row>
    <row r="33" spans="1:4" x14ac:dyDescent="0.25">
      <c r="A33">
        <v>31</v>
      </c>
      <c r="B33" t="s">
        <v>2254</v>
      </c>
      <c r="D33" t="s">
        <v>2244</v>
      </c>
    </row>
    <row r="34" spans="1:4" x14ac:dyDescent="0.25">
      <c r="A34">
        <v>32</v>
      </c>
      <c r="B34" t="s">
        <v>2255</v>
      </c>
      <c r="D34" t="s">
        <v>2244</v>
      </c>
    </row>
    <row r="35" spans="1:4" x14ac:dyDescent="0.25">
      <c r="A35">
        <v>33</v>
      </c>
      <c r="B35" t="s">
        <v>1046</v>
      </c>
      <c r="D35" t="s">
        <v>2244</v>
      </c>
    </row>
    <row r="36" spans="1:4" x14ac:dyDescent="0.25">
      <c r="A36">
        <v>34</v>
      </c>
      <c r="B36" t="s">
        <v>1125</v>
      </c>
      <c r="D36" t="s">
        <v>2244</v>
      </c>
    </row>
    <row r="37" spans="1:4" x14ac:dyDescent="0.25">
      <c r="A37">
        <v>35</v>
      </c>
      <c r="B37" t="s">
        <v>425</v>
      </c>
      <c r="D37" t="s">
        <v>2244</v>
      </c>
    </row>
    <row r="38" spans="1:4" x14ac:dyDescent="0.25">
      <c r="A38">
        <v>36</v>
      </c>
      <c r="B38" t="s">
        <v>2256</v>
      </c>
      <c r="D38" t="s">
        <v>2244</v>
      </c>
    </row>
    <row r="39" spans="1:4" x14ac:dyDescent="0.25">
      <c r="A39">
        <v>37</v>
      </c>
      <c r="B39" t="s">
        <v>1625</v>
      </c>
      <c r="D39" t="s">
        <v>2244</v>
      </c>
    </row>
    <row r="40" spans="1:4" x14ac:dyDescent="0.25">
      <c r="A40">
        <v>38</v>
      </c>
      <c r="B40" t="s">
        <v>2257</v>
      </c>
      <c r="D40" t="s">
        <v>2244</v>
      </c>
    </row>
    <row r="41" spans="1:4" x14ac:dyDescent="0.25">
      <c r="A41">
        <v>39</v>
      </c>
      <c r="B41" t="s">
        <v>1947</v>
      </c>
      <c r="D41" t="s">
        <v>2244</v>
      </c>
    </row>
    <row r="42" spans="1:4" x14ac:dyDescent="0.25">
      <c r="A42">
        <v>40</v>
      </c>
      <c r="B42" t="s">
        <v>2258</v>
      </c>
      <c r="D42" t="s">
        <v>2244</v>
      </c>
    </row>
    <row r="43" spans="1:4" x14ac:dyDescent="0.25">
      <c r="A43">
        <v>41</v>
      </c>
      <c r="B43" t="s">
        <v>656</v>
      </c>
      <c r="D43" t="s">
        <v>2244</v>
      </c>
    </row>
    <row r="44" spans="1:4" x14ac:dyDescent="0.25">
      <c r="A44">
        <v>42</v>
      </c>
      <c r="B44" t="s">
        <v>546</v>
      </c>
      <c r="D44" t="s">
        <v>2244</v>
      </c>
    </row>
    <row r="45" spans="1:4" x14ac:dyDescent="0.25">
      <c r="A45">
        <v>43</v>
      </c>
      <c r="B45" t="s">
        <v>2259</v>
      </c>
      <c r="D45" t="s">
        <v>2244</v>
      </c>
    </row>
    <row r="46" spans="1:4" x14ac:dyDescent="0.25">
      <c r="A46">
        <v>44</v>
      </c>
      <c r="B46" t="s">
        <v>1630</v>
      </c>
      <c r="D46" t="s">
        <v>2244</v>
      </c>
    </row>
    <row r="47" spans="1:4" x14ac:dyDescent="0.25">
      <c r="A47">
        <v>45</v>
      </c>
      <c r="B47" t="s">
        <v>167</v>
      </c>
      <c r="D47" t="s">
        <v>2244</v>
      </c>
    </row>
    <row r="48" spans="1:4" x14ac:dyDescent="0.25">
      <c r="A48">
        <v>46</v>
      </c>
      <c r="B48" t="s">
        <v>741</v>
      </c>
      <c r="D48" t="s">
        <v>2244</v>
      </c>
    </row>
    <row r="49" spans="1:4" x14ac:dyDescent="0.25">
      <c r="A49">
        <v>47</v>
      </c>
      <c r="B49" t="s">
        <v>1070</v>
      </c>
      <c r="D49" t="s">
        <v>2244</v>
      </c>
    </row>
    <row r="50" spans="1:4" x14ac:dyDescent="0.25">
      <c r="A50">
        <v>48</v>
      </c>
      <c r="B50" t="s">
        <v>2260</v>
      </c>
      <c r="D50" t="s">
        <v>2244</v>
      </c>
    </row>
    <row r="51" spans="1:4" x14ac:dyDescent="0.25">
      <c r="A51">
        <v>49</v>
      </c>
      <c r="B51" t="s">
        <v>2211</v>
      </c>
      <c r="D51" t="s">
        <v>2244</v>
      </c>
    </row>
    <row r="52" spans="1:4" x14ac:dyDescent="0.25">
      <c r="A52">
        <v>50</v>
      </c>
      <c r="B52" t="s">
        <v>2261</v>
      </c>
      <c r="D52" t="s">
        <v>2244</v>
      </c>
    </row>
    <row r="53" spans="1:4" x14ac:dyDescent="0.25">
      <c r="A53">
        <v>51</v>
      </c>
      <c r="B53" t="s">
        <v>808</v>
      </c>
      <c r="D53" t="s">
        <v>2244</v>
      </c>
    </row>
    <row r="54" spans="1:4" x14ac:dyDescent="0.25">
      <c r="A54">
        <v>52</v>
      </c>
      <c r="B54" t="s">
        <v>1334</v>
      </c>
      <c r="D54" t="s">
        <v>2244</v>
      </c>
    </row>
    <row r="55" spans="1:4" x14ac:dyDescent="0.25">
      <c r="A55">
        <v>53</v>
      </c>
      <c r="B55" t="s">
        <v>2262</v>
      </c>
      <c r="D55" t="s">
        <v>2244</v>
      </c>
    </row>
    <row r="56" spans="1:4" x14ac:dyDescent="0.25">
      <c r="A56">
        <v>54</v>
      </c>
      <c r="B56" t="s">
        <v>61</v>
      </c>
      <c r="D56" t="s">
        <v>2244</v>
      </c>
    </row>
    <row r="57" spans="1:4" x14ac:dyDescent="0.25">
      <c r="A57">
        <v>55</v>
      </c>
      <c r="B57" t="s">
        <v>840</v>
      </c>
      <c r="D57" t="s">
        <v>2244</v>
      </c>
    </row>
    <row r="58" spans="1:4" x14ac:dyDescent="0.25">
      <c r="A58">
        <v>56</v>
      </c>
      <c r="B58" t="s">
        <v>1550</v>
      </c>
      <c r="D58" t="s">
        <v>2244</v>
      </c>
    </row>
    <row r="59" spans="1:4" x14ac:dyDescent="0.25">
      <c r="A59">
        <v>57</v>
      </c>
      <c r="B59" t="s">
        <v>2263</v>
      </c>
      <c r="D59" t="s">
        <v>2244</v>
      </c>
    </row>
    <row r="60" spans="1:4" x14ac:dyDescent="0.25">
      <c r="A60">
        <v>58</v>
      </c>
      <c r="B60" t="s">
        <v>1420</v>
      </c>
      <c r="D60" t="s">
        <v>2244</v>
      </c>
    </row>
    <row r="61" spans="1:4" x14ac:dyDescent="0.25">
      <c r="A61">
        <v>59</v>
      </c>
      <c r="B61" t="s">
        <v>1576</v>
      </c>
      <c r="D61" t="s">
        <v>2244</v>
      </c>
    </row>
    <row r="62" spans="1:4" x14ac:dyDescent="0.25">
      <c r="A62">
        <v>60</v>
      </c>
      <c r="B62" t="s">
        <v>1524</v>
      </c>
      <c r="D62" t="s">
        <v>2244</v>
      </c>
    </row>
    <row r="63" spans="1:4" x14ac:dyDescent="0.25">
      <c r="A63">
        <v>61</v>
      </c>
      <c r="B63" t="s">
        <v>2264</v>
      </c>
      <c r="D63" t="s">
        <v>2244</v>
      </c>
    </row>
    <row r="64" spans="1:4" x14ac:dyDescent="0.25">
      <c r="A64">
        <v>62</v>
      </c>
      <c r="B64" t="s">
        <v>2265</v>
      </c>
      <c r="D64" t="s">
        <v>2244</v>
      </c>
    </row>
    <row r="65" spans="1:4" x14ac:dyDescent="0.25">
      <c r="A65">
        <v>63</v>
      </c>
      <c r="B65" t="s">
        <v>2266</v>
      </c>
      <c r="D65" t="s">
        <v>2244</v>
      </c>
    </row>
    <row r="66" spans="1:4" x14ac:dyDescent="0.25">
      <c r="A66">
        <v>64</v>
      </c>
      <c r="B66" t="s">
        <v>2267</v>
      </c>
      <c r="D66" t="s">
        <v>2244</v>
      </c>
    </row>
    <row r="67" spans="1:4" x14ac:dyDescent="0.25">
      <c r="A67">
        <v>65</v>
      </c>
      <c r="B67" t="s">
        <v>2043</v>
      </c>
      <c r="D67" t="s">
        <v>2244</v>
      </c>
    </row>
    <row r="68" spans="1:4" x14ac:dyDescent="0.25">
      <c r="A68">
        <v>66</v>
      </c>
      <c r="B68" t="s">
        <v>1927</v>
      </c>
      <c r="D68" t="s">
        <v>2244</v>
      </c>
    </row>
    <row r="69" spans="1:4" x14ac:dyDescent="0.25">
      <c r="A69">
        <v>67</v>
      </c>
      <c r="B69" t="s">
        <v>2268</v>
      </c>
      <c r="D69" t="s">
        <v>2244</v>
      </c>
    </row>
    <row r="70" spans="1:4" x14ac:dyDescent="0.25">
      <c r="A70">
        <v>68</v>
      </c>
      <c r="B70" t="s">
        <v>2269</v>
      </c>
      <c r="D70" t="s">
        <v>2244</v>
      </c>
    </row>
    <row r="71" spans="1:4" x14ac:dyDescent="0.25">
      <c r="A71">
        <v>69</v>
      </c>
      <c r="B71" t="s">
        <v>1852</v>
      </c>
      <c r="D71" t="s">
        <v>2244</v>
      </c>
    </row>
    <row r="72" spans="1:4" x14ac:dyDescent="0.25">
      <c r="A72">
        <v>70</v>
      </c>
      <c r="B72" t="s">
        <v>2270</v>
      </c>
      <c r="D72" t="s">
        <v>2244</v>
      </c>
    </row>
    <row r="73" spans="1:4" x14ac:dyDescent="0.25">
      <c r="A73">
        <v>71</v>
      </c>
      <c r="B73" t="s">
        <v>2012</v>
      </c>
      <c r="D73" t="s">
        <v>2244</v>
      </c>
    </row>
    <row r="74" spans="1:4" x14ac:dyDescent="0.25">
      <c r="A74">
        <v>72</v>
      </c>
      <c r="B74" t="s">
        <v>1750</v>
      </c>
      <c r="D74" t="s">
        <v>2244</v>
      </c>
    </row>
    <row r="75" spans="1:4" x14ac:dyDescent="0.25">
      <c r="A75">
        <v>73</v>
      </c>
      <c r="B75" t="s">
        <v>1734</v>
      </c>
      <c r="D75" t="s">
        <v>2244</v>
      </c>
    </row>
    <row r="76" spans="1:4" x14ac:dyDescent="0.25">
      <c r="A76">
        <v>74</v>
      </c>
      <c r="B76" t="s">
        <v>2271</v>
      </c>
      <c r="D76" t="s">
        <v>2244</v>
      </c>
    </row>
    <row r="77" spans="1:4" x14ac:dyDescent="0.25">
      <c r="A77">
        <v>75</v>
      </c>
      <c r="B77" t="s">
        <v>88</v>
      </c>
      <c r="D77" t="s">
        <v>2244</v>
      </c>
    </row>
    <row r="78" spans="1:4" x14ac:dyDescent="0.25">
      <c r="A78">
        <v>76</v>
      </c>
      <c r="B78" t="s">
        <v>717</v>
      </c>
      <c r="D78" t="s">
        <v>2244</v>
      </c>
    </row>
    <row r="79" spans="1:4" x14ac:dyDescent="0.25">
      <c r="A79">
        <v>77</v>
      </c>
      <c r="B79" t="s">
        <v>611</v>
      </c>
      <c r="D79" t="s">
        <v>2244</v>
      </c>
    </row>
    <row r="80" spans="1:4" x14ac:dyDescent="0.25">
      <c r="A80">
        <v>78</v>
      </c>
      <c r="B80" t="s">
        <v>324</v>
      </c>
      <c r="D80" t="s">
        <v>2244</v>
      </c>
    </row>
    <row r="81" spans="1:4" x14ac:dyDescent="0.25">
      <c r="A81">
        <v>79</v>
      </c>
      <c r="B81" t="s">
        <v>2272</v>
      </c>
      <c r="D81" t="s">
        <v>2244</v>
      </c>
    </row>
    <row r="82" spans="1:4" x14ac:dyDescent="0.25">
      <c r="A82">
        <v>80</v>
      </c>
      <c r="B82" t="s">
        <v>2273</v>
      </c>
      <c r="D82" t="s">
        <v>2244</v>
      </c>
    </row>
    <row r="83" spans="1:4" x14ac:dyDescent="0.25">
      <c r="A83">
        <v>81</v>
      </c>
      <c r="B83" t="s">
        <v>2274</v>
      </c>
      <c r="D83" t="s">
        <v>2244</v>
      </c>
    </row>
    <row r="84" spans="1:4" x14ac:dyDescent="0.25">
      <c r="A84">
        <v>82</v>
      </c>
      <c r="B84" t="s">
        <v>2275</v>
      </c>
      <c r="D84" t="s">
        <v>2244</v>
      </c>
    </row>
    <row r="85" spans="1:4" x14ac:dyDescent="0.25">
      <c r="A85">
        <v>83</v>
      </c>
      <c r="B85" t="s">
        <v>1871</v>
      </c>
      <c r="D85" t="s">
        <v>2244</v>
      </c>
    </row>
    <row r="86" spans="1:4" x14ac:dyDescent="0.25">
      <c r="A86">
        <v>84</v>
      </c>
      <c r="B86" t="s">
        <v>2276</v>
      </c>
      <c r="D86" t="s">
        <v>2244</v>
      </c>
    </row>
    <row r="87" spans="1:4" x14ac:dyDescent="0.25">
      <c r="A87">
        <v>85</v>
      </c>
      <c r="B87" t="s">
        <v>1943</v>
      </c>
      <c r="D87" t="s">
        <v>2244</v>
      </c>
    </row>
    <row r="88" spans="1:4" x14ac:dyDescent="0.25">
      <c r="A88">
        <v>86</v>
      </c>
      <c r="B88" t="s">
        <v>2277</v>
      </c>
      <c r="D88" t="s">
        <v>2244</v>
      </c>
    </row>
    <row r="89" spans="1:4" x14ac:dyDescent="0.25">
      <c r="A89">
        <v>87</v>
      </c>
      <c r="B89" t="s">
        <v>2278</v>
      </c>
      <c r="D89" t="s">
        <v>2244</v>
      </c>
    </row>
    <row r="90" spans="1:4" x14ac:dyDescent="0.25">
      <c r="A90">
        <v>88</v>
      </c>
      <c r="B90" t="s">
        <v>2279</v>
      </c>
      <c r="D90" t="s">
        <v>2244</v>
      </c>
    </row>
    <row r="91" spans="1:4" x14ac:dyDescent="0.25">
      <c r="A91">
        <v>89</v>
      </c>
      <c r="B91" t="s">
        <v>2280</v>
      </c>
      <c r="D91" t="s">
        <v>2244</v>
      </c>
    </row>
    <row r="92" spans="1:4" x14ac:dyDescent="0.25">
      <c r="A92">
        <v>90</v>
      </c>
      <c r="B92" t="s">
        <v>2281</v>
      </c>
      <c r="D92" t="s">
        <v>2244</v>
      </c>
    </row>
    <row r="93" spans="1:4" x14ac:dyDescent="0.25">
      <c r="A93">
        <v>91</v>
      </c>
      <c r="B93" t="s">
        <v>2282</v>
      </c>
      <c r="D93" t="s">
        <v>2244</v>
      </c>
    </row>
    <row r="94" spans="1:4" x14ac:dyDescent="0.25">
      <c r="A94">
        <v>92</v>
      </c>
      <c r="B94" t="s">
        <v>2283</v>
      </c>
      <c r="D94" t="s">
        <v>2244</v>
      </c>
    </row>
    <row r="95" spans="1:4" x14ac:dyDescent="0.25">
      <c r="A95">
        <v>93</v>
      </c>
      <c r="B95" t="s">
        <v>2284</v>
      </c>
      <c r="D95" t="s">
        <v>2244</v>
      </c>
    </row>
    <row r="96" spans="1:4" x14ac:dyDescent="0.25">
      <c r="A96">
        <v>94</v>
      </c>
      <c r="B96" t="s">
        <v>2285</v>
      </c>
      <c r="D96" t="s">
        <v>2244</v>
      </c>
    </row>
    <row r="97" spans="1:4" x14ac:dyDescent="0.25">
      <c r="A97">
        <v>95</v>
      </c>
      <c r="B97" t="s">
        <v>2236</v>
      </c>
      <c r="D97" t="s">
        <v>2244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76" activePane="bottomLeft" state="frozen"/>
      <selection pane="bottomLeft" activeCell="V101" sqref="V101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2286</v>
      </c>
      <c r="C1" s="19" t="s">
        <v>2287</v>
      </c>
      <c r="D1" s="19" t="s">
        <v>4</v>
      </c>
      <c r="E1" s="19" t="s">
        <v>2288</v>
      </c>
      <c r="F1" s="19" t="s">
        <v>19</v>
      </c>
      <c r="G1" s="19" t="s">
        <v>2289</v>
      </c>
      <c r="H1" s="19" t="s">
        <v>2290</v>
      </c>
      <c r="I1" s="19" t="s">
        <v>2291</v>
      </c>
      <c r="J1" s="19" t="s">
        <v>2292</v>
      </c>
      <c r="L1" s="114" t="s">
        <v>2293</v>
      </c>
      <c r="M1" s="23">
        <v>2026</v>
      </c>
      <c r="U1" s="80" t="s">
        <v>2294</v>
      </c>
      <c r="V1" s="79"/>
      <c r="X1" s="78" t="s">
        <v>2295</v>
      </c>
      <c r="Y1" s="27"/>
      <c r="Z1" s="27"/>
      <c r="AA1" s="27"/>
      <c r="AC1" s="100" t="s">
        <v>2296</v>
      </c>
    </row>
    <row r="2" spans="1:31" x14ac:dyDescent="0.25">
      <c r="A2" s="21" cm="1">
        <f t="array" ref="A2:J137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v>2026-001</v>
      </c>
      <c r="C2" s="21" t="str">
        <v>Realizado</v>
      </c>
      <c r="D2" s="18" t="str">
        <v>Contratação de TIC</v>
      </c>
      <c r="E2" s="20">
        <v>8</v>
      </c>
      <c r="F2" s="18" t="str">
        <v>Flávio José Fonseca de Souza</v>
      </c>
      <c r="G2" s="20">
        <v>1</v>
      </c>
      <c r="H2" s="22">
        <v>8</v>
      </c>
      <c r="I2" s="22">
        <v>2.4</v>
      </c>
      <c r="J2" s="22">
        <v>10.4</v>
      </c>
      <c r="L2" s="115" t="s">
        <v>2297</v>
      </c>
      <c r="M2" s="109" t="s">
        <v>2298</v>
      </c>
      <c r="X2" s="116" t="s">
        <v>2286</v>
      </c>
      <c r="Y2" s="116" t="s">
        <v>19</v>
      </c>
      <c r="Z2" s="116" t="s">
        <v>2299</v>
      </c>
      <c r="AA2" s="116" t="s">
        <v>2300</v>
      </c>
      <c r="AC2" s="117" t="s">
        <v>1</v>
      </c>
      <c r="AD2" s="117" t="s">
        <v>2301</v>
      </c>
      <c r="AE2" s="117" t="s">
        <v>2302</v>
      </c>
    </row>
    <row r="3" spans="1:31" x14ac:dyDescent="0.25">
      <c r="A3" s="21">
        <v>2026</v>
      </c>
      <c r="B3" s="21" t="str">
        <v>2026-002</v>
      </c>
      <c r="C3" s="21" t="str">
        <v>Realizado</v>
      </c>
      <c r="D3" s="18" t="str">
        <v>Tcendo o Futuro - Edição Especial Filhos</v>
      </c>
      <c r="E3" s="20">
        <v>4</v>
      </c>
      <c r="F3" s="18" t="str">
        <v>Cinthia Thais de Carvalho Luz Thomazi</v>
      </c>
      <c r="G3" s="20">
        <v>5</v>
      </c>
      <c r="H3" s="22">
        <v>4</v>
      </c>
      <c r="I3" s="22">
        <v>1.2</v>
      </c>
      <c r="J3" s="22">
        <v>5.2</v>
      </c>
      <c r="L3" s="115" t="s">
        <v>2303</v>
      </c>
      <c r="M3" s="115" t="s">
        <v>2304</v>
      </c>
      <c r="N3" s="115" t="s">
        <v>2305</v>
      </c>
      <c r="O3" s="115" t="s">
        <v>2306</v>
      </c>
      <c r="P3" s="115" t="s">
        <v>2307</v>
      </c>
      <c r="Q3" s="115" t="s">
        <v>2308</v>
      </c>
      <c r="R3" s="115" t="s">
        <v>2309</v>
      </c>
      <c r="S3" s="115" t="s">
        <v>2310</v>
      </c>
      <c r="T3" s="115" t="s">
        <v>2311</v>
      </c>
      <c r="X3" t="s">
        <v>2313</v>
      </c>
      <c r="Y3" t="s">
        <v>2257</v>
      </c>
      <c r="Z3">
        <v>8</v>
      </c>
      <c r="AA3">
        <v>0</v>
      </c>
      <c r="AC3" s="97">
        <v>2026</v>
      </c>
      <c r="AD3" s="18" t="s">
        <v>1359</v>
      </c>
      <c r="AE3" s="98">
        <v>16</v>
      </c>
    </row>
    <row r="4" spans="1:31" x14ac:dyDescent="0.25">
      <c r="A4" s="21">
        <v>2026</v>
      </c>
      <c r="B4" s="21" t="str">
        <v>2026-002</v>
      </c>
      <c r="C4" s="21" t="str">
        <v>Realizado</v>
      </c>
      <c r="D4" s="18" t="str">
        <v>Tcendo o Futuro - Edição Especial Filhos</v>
      </c>
      <c r="E4" s="20">
        <v>4</v>
      </c>
      <c r="F4" s="18" t="str">
        <v>Adriana Cuoco Portugal</v>
      </c>
      <c r="G4" s="20">
        <v>5</v>
      </c>
      <c r="H4" s="22">
        <v>4</v>
      </c>
      <c r="I4" s="22">
        <v>1.2</v>
      </c>
      <c r="J4" s="22">
        <v>5.2</v>
      </c>
      <c r="L4" cm="1">
        <f t="array" ref="L4:Q58">_xlfn.LET(_xlpm.src,'Ações InCompany'!A2:T998,_xlpm.sAno,INDEX(_xlpm.src,,2),_xlpm.sMod,INDEX(_xlpm.src,,11),_xlfn._xlws.FILTER(_xlfn.HSTACK(INDEX(_xlpm.src,,2),INDEX(_xlpm.src,,1),INDEX(_xlpm.src,,3),INDEX(_xlpm.src,,5),INDEX(_xlpm.src,,19),INDEX(_xlpm.src,,20)),(_xlpm.sAno=M1)*(_xlpm.sMod="Instrutoria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9">_xlfn.VSTACK(0,_xlfn._xlws.FILTER(S4:S200,S4:S200&lt;&gt;""))</f>
        <v>0</v>
      </c>
      <c r="X4" t="s">
        <v>2313</v>
      </c>
      <c r="Y4" t="s">
        <v>2059</v>
      </c>
      <c r="Z4">
        <v>8</v>
      </c>
      <c r="AA4">
        <v>2.4</v>
      </c>
      <c r="AC4" s="97">
        <v>2026</v>
      </c>
      <c r="AD4" s="18" t="s">
        <v>195</v>
      </c>
      <c r="AE4" s="98">
        <v>16</v>
      </c>
    </row>
    <row r="5" spans="1:31" x14ac:dyDescent="0.25">
      <c r="A5" s="21">
        <v>2026</v>
      </c>
      <c r="B5" s="21" t="str">
        <v>2026-002</v>
      </c>
      <c r="C5" s="21" t="str">
        <v>Realizado</v>
      </c>
      <c r="D5" s="18" t="str">
        <v>Tcendo o Futuro - Edição Especial Filhos</v>
      </c>
      <c r="E5" s="20">
        <v>4</v>
      </c>
      <c r="F5" s="18" t="str">
        <v>Fernanda Viana de Souza</v>
      </c>
      <c r="G5" s="20">
        <v>5</v>
      </c>
      <c r="H5" s="22">
        <v>4</v>
      </c>
      <c r="I5" s="22">
        <v>1.2</v>
      </c>
      <c r="J5" s="22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2314</v>
      </c>
      <c r="Y5" t="s">
        <v>2059</v>
      </c>
      <c r="Z5">
        <v>1</v>
      </c>
      <c r="AA5">
        <v>0.6</v>
      </c>
      <c r="AC5" s="97">
        <v>2026</v>
      </c>
      <c r="AD5" s="18" t="s">
        <v>2315</v>
      </c>
      <c r="AE5" s="98">
        <v>16</v>
      </c>
    </row>
    <row r="6" spans="1:31" x14ac:dyDescent="0.25">
      <c r="A6" s="21">
        <v>2026</v>
      </c>
      <c r="B6" s="21" t="str">
        <v>2026-002</v>
      </c>
      <c r="C6" s="21" t="str">
        <v>Realizado</v>
      </c>
      <c r="D6" s="18" t="str">
        <v>Tcendo o Futuro - Edição Especial Filhos</v>
      </c>
      <c r="E6" s="20">
        <v>4</v>
      </c>
      <c r="F6" s="18" t="str">
        <v>Denise Duarte Guirra Kuhlmann</v>
      </c>
      <c r="G6" s="20">
        <v>5</v>
      </c>
      <c r="H6" s="22">
        <v>4</v>
      </c>
      <c r="I6" s="22">
        <v>1.2</v>
      </c>
      <c r="J6" s="22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2314</v>
      </c>
      <c r="Y6" t="s">
        <v>2257</v>
      </c>
      <c r="Z6">
        <v>1</v>
      </c>
      <c r="AA6">
        <v>0</v>
      </c>
      <c r="AC6" s="97">
        <v>2026</v>
      </c>
      <c r="AD6" s="18" t="s">
        <v>2316</v>
      </c>
      <c r="AE6" s="98">
        <v>16</v>
      </c>
    </row>
    <row r="7" spans="1:31" x14ac:dyDescent="0.25">
      <c r="A7" s="21">
        <v>2026</v>
      </c>
      <c r="B7" s="21" t="str">
        <v>2026-002</v>
      </c>
      <c r="C7" s="21" t="str">
        <v>Realizado</v>
      </c>
      <c r="D7" s="18" t="str">
        <v>Tcendo o Futuro - Edição Especial Filhos</v>
      </c>
      <c r="E7" s="20">
        <v>4</v>
      </c>
      <c r="F7" s="18" t="str">
        <v>Priscila Nolasco de Oliveira</v>
      </c>
      <c r="G7" s="20">
        <v>5</v>
      </c>
      <c r="H7" s="22">
        <v>4</v>
      </c>
      <c r="I7" s="22">
        <v>1.2</v>
      </c>
      <c r="J7" s="22">
        <v>5.2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21" t="s">
        <v>2317</v>
      </c>
      <c r="Y7" t="s">
        <v>2043</v>
      </c>
      <c r="Z7">
        <v>0</v>
      </c>
      <c r="AA7">
        <v>0</v>
      </c>
      <c r="AC7" s="97">
        <v>2026</v>
      </c>
      <c r="AD7" s="18" t="s">
        <v>88</v>
      </c>
      <c r="AE7" s="98">
        <v>16</v>
      </c>
    </row>
    <row r="8" spans="1:31" x14ac:dyDescent="0.25">
      <c r="A8" s="21">
        <v>2026</v>
      </c>
      <c r="B8" s="21" t="str">
        <v>2026-004</v>
      </c>
      <c r="C8" s="21" t="str">
        <v>Realizado</v>
      </c>
      <c r="D8" s="18" t="str">
        <v>Gestão e Fiscalização de Contratos de Equipamentos Médico Hospitalares e Serviços de Manutenção</v>
      </c>
      <c r="E8" s="20">
        <v>12</v>
      </c>
      <c r="F8" s="18" t="str">
        <v>Tarsila Firmino Ely</v>
      </c>
      <c r="G8" s="20">
        <v>2</v>
      </c>
      <c r="H8" s="22">
        <v>12</v>
      </c>
      <c r="I8" s="22">
        <v>1.7999999999999998</v>
      </c>
      <c r="J8" s="22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2318</v>
      </c>
      <c r="Y8" s="18" t="s">
        <v>1028</v>
      </c>
      <c r="AA8">
        <v>1.2</v>
      </c>
      <c r="AC8" s="97">
        <v>2026</v>
      </c>
      <c r="AD8" s="18"/>
      <c r="AE8" s="98"/>
    </row>
    <row r="9" spans="1:31" x14ac:dyDescent="0.25">
      <c r="A9" s="21">
        <v>2026</v>
      </c>
      <c r="B9" s="21" t="str">
        <v>2026-004</v>
      </c>
      <c r="C9" s="21" t="str">
        <v>Realizado</v>
      </c>
      <c r="D9" s="18" t="str">
        <v>Gestão e Fiscalização de Contratos de Equipamentos Médico Hospitalares e Serviços de Manutenção</v>
      </c>
      <c r="E9" s="20">
        <v>12</v>
      </c>
      <c r="F9" s="18" t="str">
        <v>Luciana Alvim</v>
      </c>
      <c r="G9" s="20">
        <v>2</v>
      </c>
      <c r="H9" s="22">
        <v>12</v>
      </c>
      <c r="I9" s="22">
        <v>1.7999999999999998</v>
      </c>
      <c r="J9" s="22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2318</v>
      </c>
      <c r="Y9" s="18" t="s">
        <v>784</v>
      </c>
      <c r="AA9">
        <v>1.2</v>
      </c>
      <c r="AC9" s="97">
        <v>2026</v>
      </c>
      <c r="AD9" s="18"/>
      <c r="AE9" s="98"/>
    </row>
    <row r="10" spans="1:31" x14ac:dyDescent="0.25">
      <c r="A10" s="21">
        <v>2026</v>
      </c>
      <c r="B10" s="21" t="str">
        <v>2026-005</v>
      </c>
      <c r="C10" s="21" t="str">
        <v>Realizado</v>
      </c>
      <c r="D10" s="18" t="str">
        <v>FIT1: Treinamento e Desenvolvimento (T&amp;D)</v>
      </c>
      <c r="E10" s="20">
        <v>16</v>
      </c>
      <c r="F10" s="18" t="str">
        <v>Paulo José Góes Daltro</v>
      </c>
      <c r="G10" s="20">
        <v>1</v>
      </c>
      <c r="H10" s="22">
        <v>0</v>
      </c>
      <c r="I10" s="22">
        <v>0</v>
      </c>
      <c r="J10" s="22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2318</v>
      </c>
      <c r="Y10" s="18" t="s">
        <v>1046</v>
      </c>
      <c r="AA10">
        <v>1.2</v>
      </c>
      <c r="AC10" s="97">
        <v>2026</v>
      </c>
      <c r="AD10" s="18"/>
      <c r="AE10" s="98"/>
    </row>
    <row r="11" spans="1:31" x14ac:dyDescent="0.25">
      <c r="A11" s="21">
        <v>2026</v>
      </c>
      <c r="B11" s="21" t="str">
        <v>2026-006</v>
      </c>
      <c r="C11" s="21" t="str">
        <v>Realizado</v>
      </c>
      <c r="D11" s="18" t="str">
        <v>Curso para gestores e fiscais de contratos de serviços assistenciais complementares – SES/DF</v>
      </c>
      <c r="E11" s="20">
        <v>12</v>
      </c>
      <c r="F11" s="18" t="str">
        <v>Adriana Magalhães</v>
      </c>
      <c r="G11" s="20">
        <v>2</v>
      </c>
      <c r="H11" s="22">
        <v>12</v>
      </c>
      <c r="I11" s="22">
        <v>1.7999999999999998</v>
      </c>
      <c r="J11" s="22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2318</v>
      </c>
      <c r="Y11" s="18" t="s">
        <v>2251</v>
      </c>
      <c r="AA11">
        <v>1.2</v>
      </c>
      <c r="AC11" s="97">
        <v>2026</v>
      </c>
      <c r="AD11" s="18"/>
      <c r="AE11" s="98"/>
    </row>
    <row r="12" spans="1:31" x14ac:dyDescent="0.25">
      <c r="A12" s="21">
        <v>2026</v>
      </c>
      <c r="B12" s="21" t="str">
        <v>2026-006</v>
      </c>
      <c r="C12" s="21" t="str">
        <v>Realizado</v>
      </c>
      <c r="D12" s="18" t="str">
        <v>Curso para gestores e fiscais de contratos de serviços assistenciais complementares – SES/DF</v>
      </c>
      <c r="E12" s="20">
        <v>12</v>
      </c>
      <c r="F12" s="18" t="str">
        <v>Luciana Alvim</v>
      </c>
      <c r="G12" s="20">
        <v>2</v>
      </c>
      <c r="H12" s="22">
        <v>12</v>
      </c>
      <c r="I12" s="22">
        <v>1.7999999999999998</v>
      </c>
      <c r="J12" s="22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2318</v>
      </c>
      <c r="Y12" s="18" t="s">
        <v>2269</v>
      </c>
      <c r="AA12">
        <v>1.2</v>
      </c>
      <c r="AC12" s="97">
        <v>2026</v>
      </c>
      <c r="AD12" s="18"/>
      <c r="AE12" s="98"/>
    </row>
    <row r="13" spans="1:31" x14ac:dyDescent="0.25">
      <c r="A13" s="21">
        <v>2026</v>
      </c>
      <c r="B13" s="21" t="str">
        <v>2026-007</v>
      </c>
      <c r="C13" s="21" t="str">
        <v>Realizado</v>
      </c>
      <c r="D13" s="18" t="str">
        <v>Planilhas de Terceirização de Mão de Obra, de acordo com a Lei nº 14.133/2021 - T1</v>
      </c>
      <c r="E13" s="20">
        <v>20</v>
      </c>
      <c r="F13" s="18" t="str">
        <v>Leonardo José Alves Leal Neri</v>
      </c>
      <c r="G13" s="20">
        <v>1</v>
      </c>
      <c r="H13" s="22">
        <v>20</v>
      </c>
      <c r="I13" s="22">
        <v>6</v>
      </c>
      <c r="J13" s="22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3095</v>
      </c>
      <c r="Y13" s="18" t="s">
        <v>1028</v>
      </c>
      <c r="AA13">
        <v>1.2</v>
      </c>
      <c r="AC13" s="97">
        <v>2026</v>
      </c>
      <c r="AD13" s="18"/>
      <c r="AE13" s="98"/>
    </row>
    <row r="14" spans="1:31" x14ac:dyDescent="0.25">
      <c r="A14" s="21">
        <v>2026</v>
      </c>
      <c r="B14" s="21" t="str">
        <v>2026-008</v>
      </c>
      <c r="C14" s="21" t="str">
        <v>Realizado</v>
      </c>
      <c r="D14" s="18" t="str">
        <v>Curso de Promoção Funcional 2026/2027</v>
      </c>
      <c r="E14" s="20">
        <v>20</v>
      </c>
      <c r="F14" s="18" t="str">
        <v>Rômulo Miranda Alvim</v>
      </c>
      <c r="G14" s="20">
        <v>2</v>
      </c>
      <c r="H14" s="22">
        <v>20</v>
      </c>
      <c r="I14" s="22">
        <v>3</v>
      </c>
      <c r="J14" s="22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3095</v>
      </c>
      <c r="Y14" s="18" t="s">
        <v>784</v>
      </c>
      <c r="AA14">
        <v>1.2</v>
      </c>
      <c r="AC14" s="97">
        <v>2026</v>
      </c>
      <c r="AD14" s="18"/>
      <c r="AE14" s="98"/>
    </row>
    <row r="15" spans="1:31" x14ac:dyDescent="0.25">
      <c r="A15" s="21">
        <v>2026</v>
      </c>
      <c r="B15" s="21" t="str">
        <v>2026-008</v>
      </c>
      <c r="C15" s="21" t="str">
        <v>Realizado</v>
      </c>
      <c r="D15" s="18" t="str">
        <v>Curso de Promoção Funcional 2026/2027</v>
      </c>
      <c r="E15" s="20">
        <v>20</v>
      </c>
      <c r="F15" s="18" t="str">
        <v>Cinthia Thais de Carvalho Luz Thomazi</v>
      </c>
      <c r="G15" s="20">
        <v>2</v>
      </c>
      <c r="H15" s="22">
        <v>20</v>
      </c>
      <c r="I15" s="22">
        <v>3</v>
      </c>
      <c r="J15" s="22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3095</v>
      </c>
      <c r="Y15" s="18" t="s">
        <v>1046</v>
      </c>
      <c r="AA15">
        <v>1.2</v>
      </c>
      <c r="AC15" s="97">
        <v>2026</v>
      </c>
      <c r="AD15" s="18"/>
      <c r="AE15" s="98"/>
    </row>
    <row r="16" spans="1:31" x14ac:dyDescent="0.25">
      <c r="A16" s="21">
        <v>2026</v>
      </c>
      <c r="B16" s="21" t="str">
        <v>2026-009</v>
      </c>
      <c r="C16" s="21" t="str">
        <v>Realizado</v>
      </c>
      <c r="D16" s="18" t="str">
        <v>Introdução à Engenharia de Prompt - t1</v>
      </c>
      <c r="E16" s="20">
        <v>8</v>
      </c>
      <c r="F16" s="18" t="str">
        <v>Arthur Wú</v>
      </c>
      <c r="G16" s="20">
        <v>1</v>
      </c>
      <c r="H16" s="22">
        <v>8</v>
      </c>
      <c r="I16" s="22">
        <v>2.4</v>
      </c>
      <c r="J16" s="22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3095</v>
      </c>
      <c r="Y16" s="18" t="s">
        <v>2251</v>
      </c>
      <c r="AA16">
        <v>1.2</v>
      </c>
      <c r="AC16" s="97">
        <v>2026</v>
      </c>
      <c r="AD16" s="18"/>
      <c r="AE16" s="98"/>
    </row>
    <row r="17" spans="1:31" x14ac:dyDescent="0.25">
      <c r="A17" s="21">
        <v>2026</v>
      </c>
      <c r="B17" s="21" t="str">
        <v>2026-010</v>
      </c>
      <c r="C17" s="21" t="str">
        <v>Realizado</v>
      </c>
      <c r="D17" s="18" t="str">
        <v>Planilhas de Terceirização de Mão de Obra, de acordo com a Lei nº 14.133/2021 - T2</v>
      </c>
      <c r="E17" s="20">
        <v>20</v>
      </c>
      <c r="F17" s="18" t="str">
        <v>Leonardo José Alves Leal Neri</v>
      </c>
      <c r="G17" s="20">
        <v>1</v>
      </c>
      <c r="H17" s="22">
        <v>20</v>
      </c>
      <c r="I17" s="22">
        <v>6</v>
      </c>
      <c r="J17" s="22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3095</v>
      </c>
      <c r="Y17" s="18" t="s">
        <v>2269</v>
      </c>
      <c r="AA17">
        <v>1.2</v>
      </c>
      <c r="AC17" s="97">
        <v>2026</v>
      </c>
      <c r="AD17" s="18"/>
      <c r="AE17" s="98"/>
    </row>
    <row r="18" spans="1:31" x14ac:dyDescent="0.25">
      <c r="A18" s="21">
        <v>2026</v>
      </c>
      <c r="B18" s="21" t="str">
        <v>2026-013</v>
      </c>
      <c r="C18" s="21" t="str">
        <v>Realizado</v>
      </c>
      <c r="D18" s="18" t="str">
        <v>Curso para gestores e fiscais de contratos de serviços assistenciais complementares – SES/DF - T2</v>
      </c>
      <c r="E18" s="20">
        <v>12</v>
      </c>
      <c r="F18" s="18" t="str">
        <v>Adriana Magalhães</v>
      </c>
      <c r="G18" s="20">
        <v>2</v>
      </c>
      <c r="H18" s="22">
        <v>12</v>
      </c>
      <c r="I18" s="22">
        <v>1.7999999999999998</v>
      </c>
      <c r="J18" s="22">
        <v>13.8</v>
      </c>
      <c r="L18">
        <v>2026</v>
      </c>
      <c r="M18" t="str">
        <v>2026-019</v>
      </c>
      <c r="N18" t="str">
        <v>Realizado</v>
      </c>
      <c r="O18" t="str">
        <v>Curso de Ambientação para os novos Auditores de Controle Externo - Área Auditoria</v>
      </c>
      <c r="P18">
        <v>20</v>
      </c>
      <c r="Q18" t="str">
        <v>Diversos</v>
      </c>
      <c r="R18">
        <v>1</v>
      </c>
      <c r="S18">
        <v>29</v>
      </c>
      <c r="T18">
        <v>28</v>
      </c>
      <c r="X18" t="s">
        <v>2320</v>
      </c>
      <c r="Y18" s="18" t="s">
        <v>1028</v>
      </c>
      <c r="AA18">
        <v>1.2</v>
      </c>
      <c r="AC18" s="97">
        <v>2026</v>
      </c>
      <c r="AD18" s="18"/>
      <c r="AE18" s="98"/>
    </row>
    <row r="19" spans="1:31" x14ac:dyDescent="0.25">
      <c r="A19" s="21">
        <v>2026</v>
      </c>
      <c r="B19" s="21" t="str">
        <v>2026-013</v>
      </c>
      <c r="C19" s="21" t="str">
        <v>Realizado</v>
      </c>
      <c r="D19" s="18" t="str">
        <v>Curso para gestores e fiscais de contratos de serviços assistenciais complementares – SES/DF - T2</v>
      </c>
      <c r="E19" s="20">
        <v>12</v>
      </c>
      <c r="F19" s="18" t="str">
        <v>Luciana Alvim</v>
      </c>
      <c r="G19" s="20">
        <v>2</v>
      </c>
      <c r="H19" s="22">
        <v>12</v>
      </c>
      <c r="I19" s="22">
        <v>1.7999999999999998</v>
      </c>
      <c r="J19" s="22">
        <v>13.8</v>
      </c>
      <c r="L19">
        <v>2026</v>
      </c>
      <c r="M19" t="str">
        <v>2026-021</v>
      </c>
      <c r="N19" t="str">
        <v>Realizado</v>
      </c>
      <c r="O19" t="str">
        <v>Curso de Fundamentos básicos de controle externo no TCDF</v>
      </c>
      <c r="P19">
        <v>12</v>
      </c>
      <c r="Q19" t="str">
        <v>Cinthia Thais de Carvalho Luz Thomazi; Reinaldo Alencar; Rogério Ribeiro; Rômulo Miranda Alvim; Gabriel Heller</v>
      </c>
      <c r="R19">
        <v>5</v>
      </c>
      <c r="S19">
        <v>34</v>
      </c>
      <c r="T19">
        <v>29</v>
      </c>
      <c r="X19" t="s">
        <v>2320</v>
      </c>
      <c r="Y19" s="18" t="s">
        <v>784</v>
      </c>
      <c r="AA19">
        <v>1.2</v>
      </c>
      <c r="AC19" s="97">
        <v>2026</v>
      </c>
      <c r="AD19" s="18"/>
      <c r="AE19" s="98"/>
    </row>
    <row r="20" spans="1:31" x14ac:dyDescent="0.25">
      <c r="A20" s="21">
        <v>2026</v>
      </c>
      <c r="B20" s="21" t="str">
        <v>2026-015</v>
      </c>
      <c r="C20" s="21" t="str">
        <v>Realizado</v>
      </c>
      <c r="D20" s="18" t="str">
        <v>Introdução à Engenharia de Prompt - t2</v>
      </c>
      <c r="E20" s="20">
        <v>8</v>
      </c>
      <c r="F20" s="18" t="str">
        <v>Arthur Wú</v>
      </c>
      <c r="G20" s="20">
        <v>2</v>
      </c>
      <c r="H20" s="22">
        <v>8</v>
      </c>
      <c r="I20" s="22">
        <v>2.4</v>
      </c>
      <c r="J20" s="22">
        <v>10.4</v>
      </c>
      <c r="L20">
        <v>2026</v>
      </c>
      <c r="M20" t="str">
        <v>2026-022</v>
      </c>
      <c r="N20" t="str">
        <v>Realizado</v>
      </c>
      <c r="O20" t="str">
        <v>UniTCDF: Ciências Contábeis</v>
      </c>
      <c r="P20">
        <v>3</v>
      </c>
      <c r="Q20" t="str">
        <v>Fernanda Viana de Souza; Túllio Herbeth Teixeira Moraes</v>
      </c>
      <c r="R20">
        <v>2</v>
      </c>
      <c r="S20">
        <v>36</v>
      </c>
      <c r="T20">
        <v>34</v>
      </c>
      <c r="X20" t="s">
        <v>2320</v>
      </c>
      <c r="Y20" s="18" t="s">
        <v>1046</v>
      </c>
      <c r="AA20">
        <v>1.2</v>
      </c>
      <c r="AC20" s="97">
        <v>2026</v>
      </c>
      <c r="AD20" s="18"/>
      <c r="AE20" s="98"/>
    </row>
    <row r="21" spans="1:31" x14ac:dyDescent="0.25">
      <c r="A21" s="21">
        <v>2026</v>
      </c>
      <c r="B21" s="21" t="str">
        <v>2026-015</v>
      </c>
      <c r="C21" s="21" t="str">
        <v>Realizado</v>
      </c>
      <c r="D21" s="18" t="str">
        <v>Introdução à Engenharia de Prompt - t2</v>
      </c>
      <c r="E21" s="20">
        <v>8</v>
      </c>
      <c r="F21" s="18" t="str">
        <v>Gustavo Takahashi</v>
      </c>
      <c r="G21" s="20">
        <v>2</v>
      </c>
      <c r="H21" s="22">
        <v>8</v>
      </c>
      <c r="I21" s="22">
        <v>0</v>
      </c>
      <c r="J21" s="22">
        <v>8</v>
      </c>
      <c r="L21">
        <v>2026</v>
      </c>
      <c r="M21" t="str">
        <v>2026-023</v>
      </c>
      <c r="N21" t="str">
        <v>Realizado</v>
      </c>
      <c r="O21" t="str">
        <v>Tcendo o Futuro 2</v>
      </c>
      <c r="P21">
        <v>4</v>
      </c>
      <c r="Q21" t="str">
        <v>Cinthia Thais de Carvalho Luz Thomazi; Adriana Cuoco Portugal; Fernanda Viana de Souza; Denise Duarte Guirra Kuhlmann;  Priscila Nolasco de Oliveira</v>
      </c>
      <c r="R21">
        <v>5</v>
      </c>
      <c r="S21">
        <v>41</v>
      </c>
      <c r="T21">
        <v>36</v>
      </c>
      <c r="X21" t="s">
        <v>2320</v>
      </c>
      <c r="Y21" s="18" t="s">
        <v>2251</v>
      </c>
      <c r="AA21">
        <v>1.2</v>
      </c>
      <c r="AC21" s="97">
        <v>2026</v>
      </c>
      <c r="AD21" s="18"/>
      <c r="AE21" s="98"/>
    </row>
    <row r="22" spans="1:31" x14ac:dyDescent="0.25">
      <c r="A22" s="21">
        <v>2026</v>
      </c>
      <c r="B22" s="21" t="str">
        <v>2026-016</v>
      </c>
      <c r="C22" s="21" t="str">
        <v>Realizado</v>
      </c>
      <c r="D22" s="18" t="str">
        <v>Mentoria de introdução à Engenharia de Prompt</v>
      </c>
      <c r="E22" s="20">
        <v>2</v>
      </c>
      <c r="F22" s="18" t="str">
        <v>Arthur Wú</v>
      </c>
      <c r="G22" s="20">
        <v>2</v>
      </c>
      <c r="H22" s="22">
        <v>1</v>
      </c>
      <c r="I22" s="22">
        <v>0.6</v>
      </c>
      <c r="J22" s="22">
        <v>1.6</v>
      </c>
      <c r="L22">
        <v>2026</v>
      </c>
      <c r="M22" t="str">
        <v>2026-024</v>
      </c>
      <c r="N22" t="str">
        <v>Realizado</v>
      </c>
      <c r="O22" t="str">
        <v>Introdução à Engenharia de Prompt - T3</v>
      </c>
      <c r="P22">
        <v>8</v>
      </c>
      <c r="Q22" t="str">
        <v>Arthur Wú; Gustavo Takahashi</v>
      </c>
      <c r="R22">
        <v>2</v>
      </c>
      <c r="S22">
        <v>43</v>
      </c>
      <c r="T22">
        <v>41</v>
      </c>
      <c r="X22" t="s">
        <v>2320</v>
      </c>
      <c r="Y22" s="18" t="s">
        <v>2269</v>
      </c>
      <c r="AA22">
        <v>1.2</v>
      </c>
      <c r="AC22" s="97">
        <v>2026</v>
      </c>
      <c r="AD22" s="18"/>
      <c r="AE22" s="98"/>
    </row>
    <row r="23" spans="1:31" x14ac:dyDescent="0.25">
      <c r="A23" s="21">
        <v>2026</v>
      </c>
      <c r="B23" s="21" t="str">
        <v>2026-016</v>
      </c>
      <c r="C23" s="21" t="str">
        <v>Realizado</v>
      </c>
      <c r="D23" s="18" t="str">
        <v>Mentoria de introdução à Engenharia de Prompt</v>
      </c>
      <c r="E23" s="20">
        <v>2</v>
      </c>
      <c r="F23" s="18" t="str">
        <v>Gustavo Takahashi</v>
      </c>
      <c r="G23" s="20">
        <v>2</v>
      </c>
      <c r="H23" s="22">
        <v>1</v>
      </c>
      <c r="I23" s="22">
        <v>0</v>
      </c>
      <c r="J23" s="22">
        <v>1</v>
      </c>
      <c r="L23">
        <v>2026</v>
      </c>
      <c r="M23" t="str">
        <v>2026-025</v>
      </c>
      <c r="N23" t="str">
        <v>A realizar</v>
      </c>
      <c r="O23" t="str">
        <v>Elaboração da Cartilha "Gestão e Fiscalização de Contratos em Saúde"</v>
      </c>
      <c r="P23">
        <v>65</v>
      </c>
      <c r="Q23" t="str">
        <v>Tarsila Firmino Ely; Luciana Alvim</v>
      </c>
      <c r="R23">
        <v>2</v>
      </c>
      <c r="S23">
        <v>45</v>
      </c>
      <c r="T23">
        <v>43</v>
      </c>
      <c r="X23" s="21" t="s">
        <v>2321</v>
      </c>
      <c r="Y23" s="18" t="s">
        <v>2059</v>
      </c>
      <c r="AA23">
        <v>2.4</v>
      </c>
      <c r="AC23" s="97">
        <v>2026</v>
      </c>
      <c r="AD23" s="18"/>
      <c r="AE23" s="98"/>
    </row>
    <row r="24" spans="1:31" x14ac:dyDescent="0.25">
      <c r="A24" s="21">
        <v>2026</v>
      </c>
      <c r="B24" s="21" t="str">
        <v>2026-017</v>
      </c>
      <c r="C24" s="21" t="str">
        <v>Realizado</v>
      </c>
      <c r="D24" s="18" t="str">
        <v>Mostra Fotográfica “Meu Olhar sobre Brasília”</v>
      </c>
      <c r="E24" s="20">
        <v>0</v>
      </c>
      <c r="F24" s="18" t="str">
        <v>Servidores, colaboradores e estagiários do TCDF</v>
      </c>
      <c r="G24" s="20">
        <v>1</v>
      </c>
      <c r="H24" s="22">
        <v>0</v>
      </c>
      <c r="I24" s="22">
        <v>0</v>
      </c>
      <c r="J24" s="22">
        <v>0</v>
      </c>
      <c r="L24">
        <v>2026</v>
      </c>
      <c r="M24" t="str">
        <v>2026-026</v>
      </c>
      <c r="N24" t="str">
        <v xml:space="preserve">Cancelado </v>
      </c>
      <c r="O24" t="str">
        <v>Escola de Instrutores - Curso "Fundamentos em TD&amp;E"</v>
      </c>
      <c r="P24">
        <v>16</v>
      </c>
      <c r="Q24" t="str">
        <v>Paulo José Góes Daltro</v>
      </c>
      <c r="R24">
        <v>1</v>
      </c>
      <c r="S24">
        <v>46</v>
      </c>
      <c r="T24">
        <v>45</v>
      </c>
      <c r="X24" s="21" t="s">
        <v>2321</v>
      </c>
      <c r="Y24" s="18" t="s">
        <v>2257</v>
      </c>
      <c r="AA24">
        <v>0</v>
      </c>
      <c r="AC24" s="97">
        <v>2026</v>
      </c>
      <c r="AD24" s="18"/>
      <c r="AE24" s="98"/>
    </row>
    <row r="25" spans="1:31" x14ac:dyDescent="0.25">
      <c r="A25" s="21">
        <v>2026</v>
      </c>
      <c r="B25" s="21" t="str">
        <v>2026-018</v>
      </c>
      <c r="C25" s="21" t="str">
        <v>Realizado</v>
      </c>
      <c r="D25" s="18" t="str">
        <v>Tcendo o Futuro 1</v>
      </c>
      <c r="E25" s="20">
        <v>4</v>
      </c>
      <c r="F25" s="18" t="str">
        <v>Cinthia Thais de Carvalho Luz Thomazi</v>
      </c>
      <c r="G25" s="20">
        <v>5</v>
      </c>
      <c r="H25" s="22">
        <v>4</v>
      </c>
      <c r="I25" s="22">
        <v>1.2</v>
      </c>
      <c r="J25" s="22">
        <v>5.2</v>
      </c>
      <c r="L25">
        <v>2026</v>
      </c>
      <c r="M25" t="str">
        <v>2026-027</v>
      </c>
      <c r="N25" t="str">
        <v>Realizado</v>
      </c>
      <c r="O25" t="str">
        <v>Curso básico de e-TCDF</v>
      </c>
      <c r="P25">
        <v>16</v>
      </c>
      <c r="Q25" t="str">
        <v>Cássio Murilo Alves Costa Filho</v>
      </c>
      <c r="R25">
        <v>1</v>
      </c>
      <c r="S25">
        <v>47</v>
      </c>
      <c r="T25">
        <v>46</v>
      </c>
      <c r="X25" t="s">
        <v>2325</v>
      </c>
      <c r="Y25" s="18" t="s">
        <v>2059</v>
      </c>
      <c r="AA25">
        <v>2.4</v>
      </c>
      <c r="AC25" s="97">
        <v>2026</v>
      </c>
      <c r="AD25" s="18"/>
      <c r="AE25" s="98"/>
    </row>
    <row r="26" spans="1:31" x14ac:dyDescent="0.25">
      <c r="A26" s="21">
        <v>2026</v>
      </c>
      <c r="B26" s="21" t="str">
        <v>2026-018</v>
      </c>
      <c r="C26" s="21" t="str">
        <v>Realizado</v>
      </c>
      <c r="D26" s="18" t="str">
        <v>Tcendo o Futuro 1</v>
      </c>
      <c r="E26" s="20">
        <v>4</v>
      </c>
      <c r="F26" s="18" t="str">
        <v>Adriana Cuoco Portugal</v>
      </c>
      <c r="G26" s="20">
        <v>5</v>
      </c>
      <c r="H26" s="22">
        <v>4</v>
      </c>
      <c r="I26" s="22">
        <v>1.2</v>
      </c>
      <c r="J26" s="22">
        <v>5.2</v>
      </c>
      <c r="L26">
        <v>2026</v>
      </c>
      <c r="M26" t="str">
        <v>2026-029</v>
      </c>
      <c r="N26" t="str">
        <v>Realizado</v>
      </c>
      <c r="O26" t="str">
        <v>UniTCDF: TCDF e a Fiscalização de Obras</v>
      </c>
      <c r="P26">
        <v>4</v>
      </c>
      <c r="Q26" t="str">
        <v>Adriana Cuoco Portugal</v>
      </c>
      <c r="R26">
        <v>1</v>
      </c>
      <c r="S26">
        <v>48</v>
      </c>
      <c r="T26">
        <v>47</v>
      </c>
      <c r="X26" t="s">
        <v>2325</v>
      </c>
      <c r="Y26" s="18" t="s">
        <v>2257</v>
      </c>
      <c r="AA26">
        <v>0</v>
      </c>
      <c r="AC26" s="97">
        <v>2026</v>
      </c>
      <c r="AD26" s="18"/>
      <c r="AE26" s="98"/>
    </row>
    <row r="27" spans="1:31" x14ac:dyDescent="0.25">
      <c r="A27" s="21">
        <v>2026</v>
      </c>
      <c r="B27" s="21" t="str">
        <v>2026-018</v>
      </c>
      <c r="C27" s="21" t="str">
        <v>Realizado</v>
      </c>
      <c r="D27" s="18" t="str">
        <v>Tcendo o Futuro 1</v>
      </c>
      <c r="E27" s="20">
        <v>4</v>
      </c>
      <c r="F27" s="18" t="str">
        <v>Fernanda Viana de Souza</v>
      </c>
      <c r="G27" s="20">
        <v>5</v>
      </c>
      <c r="H27" s="22">
        <v>4</v>
      </c>
      <c r="I27" s="22">
        <v>1.2</v>
      </c>
      <c r="J27" s="22">
        <v>5.2</v>
      </c>
      <c r="L27">
        <v>2026</v>
      </c>
      <c r="M27" t="str">
        <v>2026-031</v>
      </c>
      <c r="N27" t="str">
        <v>Realizado</v>
      </c>
      <c r="O27" t="str">
        <v>Fiscalizações Baseadas em Risco</v>
      </c>
      <c r="P27">
        <v>20</v>
      </c>
      <c r="Q27" t="str">
        <v>Reinaldo Alencar; Rogério Ribeiro</v>
      </c>
      <c r="R27">
        <v>2</v>
      </c>
      <c r="S27">
        <v>50</v>
      </c>
      <c r="T27">
        <v>48</v>
      </c>
      <c r="X27" s="102" t="s">
        <v>3105</v>
      </c>
      <c r="Y27" s="18" t="s">
        <v>2043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v>2026</v>
      </c>
      <c r="B28" s="21" t="str">
        <v>2026-018</v>
      </c>
      <c r="C28" s="21" t="str">
        <v>Realizado</v>
      </c>
      <c r="D28" s="18" t="str">
        <v>Tcendo o Futuro 1</v>
      </c>
      <c r="E28" s="20">
        <v>4</v>
      </c>
      <c r="F28" s="18" t="str">
        <v>Denise Duarte Guirra Kuhlmann</v>
      </c>
      <c r="G28" s="20">
        <v>5</v>
      </c>
      <c r="H28" s="22">
        <v>4</v>
      </c>
      <c r="I28" s="22">
        <v>1.2</v>
      </c>
      <c r="J28" s="22">
        <v>5.2</v>
      </c>
      <c r="L28">
        <v>2026</v>
      </c>
      <c r="M28" t="str">
        <v>2026-032</v>
      </c>
      <c r="N28" t="str">
        <v>Realizado</v>
      </c>
      <c r="O28" t="str">
        <v>Curso de formação para gestores e fiscais de Contrato em equipamentos nas unidades hospitalares - T2</v>
      </c>
      <c r="P28">
        <v>12</v>
      </c>
      <c r="Q28" t="str">
        <v>Tarsila Firmino Ely; Luciana Alvim</v>
      </c>
      <c r="R28">
        <v>2</v>
      </c>
      <c r="S28">
        <v>52</v>
      </c>
      <c r="T28">
        <v>50</v>
      </c>
      <c r="X28" s="102" t="s">
        <v>2324</v>
      </c>
      <c r="Y28" s="18" t="s">
        <v>3166</v>
      </c>
      <c r="AA28">
        <v>1.2</v>
      </c>
      <c r="AC28" s="97">
        <v>2026</v>
      </c>
      <c r="AD28" s="18"/>
      <c r="AE28" s="98"/>
    </row>
    <row r="29" spans="1:31" x14ac:dyDescent="0.25">
      <c r="A29" s="21">
        <v>2026</v>
      </c>
      <c r="B29" s="21" t="str">
        <v>2026-018</v>
      </c>
      <c r="C29" s="21" t="str">
        <v>Realizado</v>
      </c>
      <c r="D29" s="18" t="str">
        <v>Tcendo o Futuro 1</v>
      </c>
      <c r="E29" s="20">
        <v>4</v>
      </c>
      <c r="F29" s="18" t="str">
        <v>Priscila Nolasco de Oliveira</v>
      </c>
      <c r="G29" s="20">
        <v>5</v>
      </c>
      <c r="H29" s="22">
        <v>4</v>
      </c>
      <c r="I29" s="22">
        <v>1.2</v>
      </c>
      <c r="J29" s="22">
        <v>5.2</v>
      </c>
      <c r="L29">
        <v>2026</v>
      </c>
      <c r="M29" t="str">
        <v>2026-033</v>
      </c>
      <c r="N29" t="str">
        <v>Realizado</v>
      </c>
      <c r="O29" t="str">
        <v>Curso de formação para gestores e fiscais de Contrato em equipamentos nas unidades hospitalares - T3</v>
      </c>
      <c r="P29">
        <v>12</v>
      </c>
      <c r="Q29" t="str">
        <v>Tarsila Firmino Ely; Luciana Alvim</v>
      </c>
      <c r="R29">
        <v>2</v>
      </c>
      <c r="S29">
        <v>54</v>
      </c>
      <c r="T29">
        <v>52</v>
      </c>
      <c r="X29" s="102" t="s">
        <v>2324</v>
      </c>
      <c r="Y29" s="18" t="s">
        <v>451</v>
      </c>
      <c r="AA29">
        <v>1.2</v>
      </c>
      <c r="AC29" s="97">
        <v>2026</v>
      </c>
      <c r="AD29" s="18"/>
      <c r="AE29" s="98"/>
    </row>
    <row r="30" spans="1:31" x14ac:dyDescent="0.25">
      <c r="A30" s="21">
        <v>2026</v>
      </c>
      <c r="B30" s="21" t="str">
        <v>2026-019</v>
      </c>
      <c r="C30" s="21" t="str">
        <v>Realizado</v>
      </c>
      <c r="D30" s="18" t="str">
        <v>Curso de Ambientação para os novos Auditores de Controle Externo - Área Auditoria</v>
      </c>
      <c r="E30" s="20">
        <v>20</v>
      </c>
      <c r="F30" s="18" t="str">
        <v>Diversos</v>
      </c>
      <c r="G30" s="20">
        <v>1</v>
      </c>
      <c r="H30" s="22">
        <v>0</v>
      </c>
      <c r="I30" s="22">
        <v>0</v>
      </c>
      <c r="J30" s="22">
        <v>0</v>
      </c>
      <c r="L30">
        <v>2026</v>
      </c>
      <c r="M30" t="str">
        <v>2026-034</v>
      </c>
      <c r="N30" t="str">
        <v>Realizado</v>
      </c>
      <c r="O30" t="str">
        <v>Curso “Sisaudit na Prática”</v>
      </c>
      <c r="P30">
        <v>12</v>
      </c>
      <c r="Q30" t="str">
        <v>Davi Assunção Salvador Nery de Castro; David da Silva de Araújo; Hamilton de Jesus Lopes Neto</v>
      </c>
      <c r="R30">
        <v>3</v>
      </c>
      <c r="S30">
        <v>57</v>
      </c>
      <c r="T30">
        <v>54</v>
      </c>
      <c r="X30" s="102" t="s">
        <v>2324</v>
      </c>
      <c r="Y30" s="18" t="s">
        <v>3144</v>
      </c>
      <c r="AA30">
        <v>1.2</v>
      </c>
      <c r="AC30" s="97">
        <v>2026</v>
      </c>
      <c r="AD30" s="18"/>
      <c r="AE30" s="98"/>
    </row>
    <row r="31" spans="1:31" x14ac:dyDescent="0.25">
      <c r="A31" s="21">
        <v>2026</v>
      </c>
      <c r="B31" s="21" t="str">
        <v>2026-021</v>
      </c>
      <c r="C31" s="21" t="str">
        <v>Realizado</v>
      </c>
      <c r="D31" s="18" t="str">
        <v>Curso de Fundamentos básicos de controle externo no TCDF</v>
      </c>
      <c r="E31" s="20">
        <v>12</v>
      </c>
      <c r="F31" s="18" t="str">
        <v>Cinthia Thais de Carvalho Luz Thomazi</v>
      </c>
      <c r="G31" s="20">
        <v>5</v>
      </c>
      <c r="H31" s="22">
        <v>4</v>
      </c>
      <c r="I31" s="22">
        <v>0.6</v>
      </c>
      <c r="J31" s="22">
        <v>4.5999999999999996</v>
      </c>
      <c r="L31">
        <v>2026</v>
      </c>
      <c r="M31" t="str">
        <v>2026-036</v>
      </c>
      <c r="N31" t="str">
        <v>Realizado</v>
      </c>
      <c r="O31" t="str">
        <v>Introdução à Engenharia de Prompt - T4</v>
      </c>
      <c r="P31">
        <v>8</v>
      </c>
      <c r="Q31" t="str">
        <v>Arthur Wú; Gustavo Takahashi</v>
      </c>
      <c r="R31">
        <v>2</v>
      </c>
      <c r="S31">
        <v>59</v>
      </c>
      <c r="T31">
        <v>57</v>
      </c>
      <c r="X31" s="102" t="s">
        <v>2325</v>
      </c>
      <c r="Y31" s="18" t="s">
        <v>2059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v>2026</v>
      </c>
      <c r="B32" s="21" t="str">
        <v>2026-021</v>
      </c>
      <c r="C32" s="21" t="str">
        <v>Realizado</v>
      </c>
      <c r="D32" s="18" t="str">
        <v>Curso de Fundamentos básicos de controle externo no TCDF</v>
      </c>
      <c r="E32" s="20">
        <v>12</v>
      </c>
      <c r="F32" s="18" t="str">
        <v>Reinaldo Alencar</v>
      </c>
      <c r="G32" s="20">
        <v>5</v>
      </c>
      <c r="H32" s="22">
        <v>4</v>
      </c>
      <c r="I32" s="22">
        <v>0.6</v>
      </c>
      <c r="J32" s="22">
        <v>4.5999999999999996</v>
      </c>
      <c r="L32">
        <v>2026</v>
      </c>
      <c r="M32" t="str">
        <v>2026-037</v>
      </c>
      <c r="N32" t="str">
        <v>Realizado</v>
      </c>
      <c r="O32" t="str">
        <v>Introdução à Engenharia de Prompt - SEE</v>
      </c>
      <c r="P32">
        <v>8</v>
      </c>
      <c r="Q32" t="str">
        <v>Arthur Wú; Gustavo Takahashi</v>
      </c>
      <c r="R32">
        <v>2</v>
      </c>
      <c r="S32">
        <v>61</v>
      </c>
      <c r="T32">
        <v>59</v>
      </c>
      <c r="X32" s="102" t="s">
        <v>2312</v>
      </c>
      <c r="Y32" t="s">
        <v>1028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v>2026</v>
      </c>
      <c r="B33" s="21" t="str">
        <v>2026-021</v>
      </c>
      <c r="C33" s="21" t="str">
        <v>Realizado</v>
      </c>
      <c r="D33" s="18" t="str">
        <v>Curso de Fundamentos básicos de controle externo no TCDF</v>
      </c>
      <c r="E33" s="20">
        <v>12</v>
      </c>
      <c r="F33" s="18" t="str">
        <v>Rogério Ribeiro</v>
      </c>
      <c r="G33" s="20">
        <v>5</v>
      </c>
      <c r="H33" s="22">
        <v>4</v>
      </c>
      <c r="I33" s="22">
        <v>0.6</v>
      </c>
      <c r="J33" s="22">
        <v>4.5999999999999996</v>
      </c>
      <c r="L33">
        <v>2026</v>
      </c>
      <c r="M33" t="str">
        <v>2026-038</v>
      </c>
      <c r="N33" t="str">
        <v>A realizar</v>
      </c>
      <c r="O33" t="str">
        <v>Introdução ao processo de controle externo - EAD</v>
      </c>
      <c r="P33">
        <v>16</v>
      </c>
      <c r="Q33" t="str">
        <v>Gabriel Heller</v>
      </c>
      <c r="R33">
        <v>1</v>
      </c>
      <c r="S33">
        <v>62</v>
      </c>
      <c r="T33">
        <v>61</v>
      </c>
      <c r="X33" s="102" t="s">
        <v>2312</v>
      </c>
      <c r="Y33" t="s">
        <v>2270</v>
      </c>
      <c r="Z33">
        <v>4</v>
      </c>
      <c r="AA33">
        <v>0.6</v>
      </c>
      <c r="AC33" s="99"/>
      <c r="AD33" s="118" t="s">
        <v>2327</v>
      </c>
      <c r="AE33" s="119">
        <f>SUM(AE3:AE32)</f>
        <v>80</v>
      </c>
    </row>
    <row r="34" spans="1:31" x14ac:dyDescent="0.25">
      <c r="A34" s="21">
        <v>2026</v>
      </c>
      <c r="B34" s="21" t="str">
        <v>2026-021</v>
      </c>
      <c r="C34" s="21" t="str">
        <v>Realizado</v>
      </c>
      <c r="D34" s="18" t="str">
        <v>Curso de Fundamentos básicos de controle externo no TCDF</v>
      </c>
      <c r="E34" s="20">
        <v>12</v>
      </c>
      <c r="F34" s="18" t="str">
        <v>Rômulo Miranda Alvim</v>
      </c>
      <c r="G34" s="20">
        <v>5</v>
      </c>
      <c r="H34" s="22">
        <v>4</v>
      </c>
      <c r="I34" s="22">
        <v>0.6</v>
      </c>
      <c r="J34" s="22">
        <v>4.5999999999999996</v>
      </c>
      <c r="L34">
        <v>2026</v>
      </c>
      <c r="M34" t="str">
        <v>2026-039</v>
      </c>
      <c r="N34" t="str">
        <v>Realizado</v>
      </c>
      <c r="O34" t="str">
        <v>MROSC para os gestores das Organizações da Sociedade Civil – OSCs</v>
      </c>
      <c r="P34">
        <v>12</v>
      </c>
      <c r="Q34" t="str">
        <v>Indio Artiaga do Brasil Rabelo; Leonardo de Melo</v>
      </c>
      <c r="R34">
        <v>2</v>
      </c>
      <c r="S34">
        <v>64</v>
      </c>
      <c r="T34">
        <v>62</v>
      </c>
      <c r="X34" s="102" t="s">
        <v>2312</v>
      </c>
      <c r="Y34" t="s">
        <v>2271</v>
      </c>
      <c r="Z34">
        <v>4</v>
      </c>
      <c r="AA34">
        <v>0.6</v>
      </c>
    </row>
    <row r="35" spans="1:31" x14ac:dyDescent="0.25">
      <c r="A35" s="21">
        <v>2026</v>
      </c>
      <c r="B35" s="21" t="str">
        <v>2026-021</v>
      </c>
      <c r="C35" s="21" t="str">
        <v>Realizado</v>
      </c>
      <c r="D35" s="18" t="str">
        <v>Curso de Fundamentos básicos de controle externo no TCDF</v>
      </c>
      <c r="E35" s="20">
        <v>12</v>
      </c>
      <c r="F35" s="18" t="str">
        <v>Gabriel Heller</v>
      </c>
      <c r="G35" s="20">
        <v>5</v>
      </c>
      <c r="H35" s="22">
        <v>4</v>
      </c>
      <c r="I35" s="22">
        <v>1.2</v>
      </c>
      <c r="J35" s="22">
        <v>5.2</v>
      </c>
      <c r="L35">
        <v>2026</v>
      </c>
      <c r="M35" t="str">
        <v>2026-040</v>
      </c>
      <c r="N35" t="str">
        <v>Realizado</v>
      </c>
      <c r="O35" t="str">
        <v>Escola de Instrutores - Design Instrucional</v>
      </c>
      <c r="P35">
        <v>12</v>
      </c>
      <c r="Q35" t="str">
        <v>Paulo José Góes Daltro</v>
      </c>
      <c r="R35">
        <v>1</v>
      </c>
      <c r="S35">
        <v>65</v>
      </c>
      <c r="T35">
        <v>64</v>
      </c>
      <c r="X35" s="102" t="s">
        <v>2312</v>
      </c>
      <c r="Y35" t="s">
        <v>88</v>
      </c>
      <c r="Z35">
        <v>4</v>
      </c>
      <c r="AA35">
        <v>0.6</v>
      </c>
    </row>
    <row r="36" spans="1:31" x14ac:dyDescent="0.25">
      <c r="A36" s="21">
        <v>2026</v>
      </c>
      <c r="B36" s="21" t="str">
        <v>2026-022</v>
      </c>
      <c r="C36" s="21" t="str">
        <v>Realizado</v>
      </c>
      <c r="D36" s="18" t="str">
        <v>UniTCDF: Ciências Contábeis</v>
      </c>
      <c r="E36" s="20">
        <v>3</v>
      </c>
      <c r="F36" s="18" t="str">
        <v>Fernanda Viana de Souza</v>
      </c>
      <c r="G36" s="20">
        <v>2</v>
      </c>
      <c r="H36" s="22">
        <v>3</v>
      </c>
      <c r="I36" s="22">
        <v>0.9</v>
      </c>
      <c r="J36" s="22">
        <v>3.9</v>
      </c>
      <c r="L36">
        <v>2026</v>
      </c>
      <c r="M36" t="str">
        <v>2026-041</v>
      </c>
      <c r="N36" t="str">
        <v>Em andamento</v>
      </c>
      <c r="O36" t="str">
        <v>O novo olhar sobre as políticas públicas para o Controle Externo</v>
      </c>
      <c r="P36">
        <v>24</v>
      </c>
      <c r="Q36" t="str">
        <v>Reinaldo Alencar; Rogério Ribeiro</v>
      </c>
      <c r="R36">
        <v>2</v>
      </c>
      <c r="S36">
        <v>67</v>
      </c>
      <c r="T36">
        <v>65</v>
      </c>
      <c r="X36" s="102" t="s">
        <v>2312</v>
      </c>
      <c r="Y36" t="s">
        <v>425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81" t="str">
        <v>Realizado</v>
      </c>
      <c r="D37" t="str">
        <v>UniTCDF: Ciências Contábeis</v>
      </c>
      <c r="E37" s="81">
        <v>3</v>
      </c>
      <c r="F37" t="str">
        <v>Túllio Herbeth Teixeira Moraes</v>
      </c>
      <c r="G37" s="81">
        <v>2</v>
      </c>
      <c r="H37" s="81">
        <v>3</v>
      </c>
      <c r="I37" s="81">
        <v>0.9</v>
      </c>
      <c r="J37" s="81">
        <v>3.9</v>
      </c>
      <c r="L37">
        <v>2026</v>
      </c>
      <c r="M37" t="str">
        <v>2026-042</v>
      </c>
      <c r="N37" t="str">
        <v>Realizado</v>
      </c>
      <c r="O37" t="str">
        <v>Curso de Formação para Conselheiros de Saúde do DF</v>
      </c>
      <c r="P37">
        <v>20</v>
      </c>
      <c r="Q37" t="str">
        <v>Tarsila Firmino Ely</v>
      </c>
      <c r="R37">
        <v>1</v>
      </c>
      <c r="S37">
        <v>68</v>
      </c>
      <c r="T37">
        <v>67</v>
      </c>
      <c r="X37" t="s">
        <v>2328</v>
      </c>
      <c r="Y37" t="s">
        <v>324</v>
      </c>
      <c r="Z37">
        <v>0</v>
      </c>
      <c r="AA37">
        <v>65</v>
      </c>
    </row>
    <row r="38" spans="1:31" x14ac:dyDescent="0.25">
      <c r="A38">
        <v>2026</v>
      </c>
      <c r="B38" t="str">
        <v>2026-023</v>
      </c>
      <c r="C38" s="81" t="str">
        <v>Realizado</v>
      </c>
      <c r="D38" t="str">
        <v>Tcendo o Futuro 2</v>
      </c>
      <c r="E38" s="81">
        <v>4</v>
      </c>
      <c r="F38" t="str">
        <v>Cinthia Thais de Carvalho Luz Thomazi</v>
      </c>
      <c r="G38" s="81">
        <v>5</v>
      </c>
      <c r="H38" s="81">
        <v>4</v>
      </c>
      <c r="I38" s="81">
        <v>1.2</v>
      </c>
      <c r="J38" s="81">
        <v>5.2</v>
      </c>
      <c r="L38">
        <v>2026</v>
      </c>
      <c r="M38" t="str">
        <v>2026-043</v>
      </c>
      <c r="N38" t="str">
        <v>Realizado</v>
      </c>
      <c r="O38" t="str">
        <v>Painel MROSC</v>
      </c>
      <c r="P38">
        <v>4</v>
      </c>
      <c r="Q38" t="str">
        <v>Diversos</v>
      </c>
      <c r="R38">
        <v>1</v>
      </c>
      <c r="S38">
        <v>69</v>
      </c>
      <c r="T38">
        <v>68</v>
      </c>
      <c r="X38" t="s">
        <v>2328</v>
      </c>
      <c r="Y38" s="104" t="s">
        <v>840</v>
      </c>
      <c r="Z38">
        <v>0</v>
      </c>
      <c r="AA38">
        <v>65</v>
      </c>
    </row>
    <row r="39" spans="1:31" x14ac:dyDescent="0.25">
      <c r="A39">
        <v>2026</v>
      </c>
      <c r="B39" t="str">
        <v>2026-023</v>
      </c>
      <c r="C39" s="81" t="str">
        <v>Realizado</v>
      </c>
      <c r="D39" t="str">
        <v>Tcendo o Futuro 2</v>
      </c>
      <c r="E39" s="81">
        <v>4</v>
      </c>
      <c r="F39" t="str">
        <v>Adriana Cuoco Portugal</v>
      </c>
      <c r="G39" s="81">
        <v>5</v>
      </c>
      <c r="H39" s="81">
        <v>4</v>
      </c>
      <c r="I39" s="81">
        <v>1.2</v>
      </c>
      <c r="J39" s="81">
        <v>5.2</v>
      </c>
      <c r="L39">
        <v>2026</v>
      </c>
      <c r="M39" t="str">
        <v>2026-044</v>
      </c>
      <c r="N39" t="str">
        <v>A realizar</v>
      </c>
      <c r="O39" t="str">
        <v>31º SEMAT</v>
      </c>
      <c r="P39">
        <v>8</v>
      </c>
      <c r="Q39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9">
        <v>10</v>
      </c>
      <c r="S39">
        <v>79</v>
      </c>
      <c r="T39">
        <v>69</v>
      </c>
      <c r="X39" t="s">
        <v>3103</v>
      </c>
      <c r="Y39" t="s">
        <v>425</v>
      </c>
      <c r="Z39">
        <v>0</v>
      </c>
      <c r="AA39">
        <v>32</v>
      </c>
    </row>
    <row r="40" spans="1:31" x14ac:dyDescent="0.25">
      <c r="A40">
        <v>2026</v>
      </c>
      <c r="B40" t="str">
        <v>2026-023</v>
      </c>
      <c r="C40" s="81" t="str">
        <v>Realizado</v>
      </c>
      <c r="D40" t="str">
        <v>Tcendo o Futuro 2</v>
      </c>
      <c r="E40" s="81">
        <v>4</v>
      </c>
      <c r="F40" t="str">
        <v>Fernanda Viana de Souza</v>
      </c>
      <c r="G40" s="81">
        <v>5</v>
      </c>
      <c r="H40" s="81">
        <v>4</v>
      </c>
      <c r="I40" s="81">
        <v>1.2</v>
      </c>
      <c r="J40" s="81">
        <v>5.2</v>
      </c>
      <c r="L40">
        <v>2026</v>
      </c>
      <c r="M40" t="str">
        <v>2026-045</v>
      </c>
      <c r="N40" t="str">
        <v xml:space="preserve">Cancelado </v>
      </c>
      <c r="O40" t="str">
        <v>Escola de Instrutores - Design Instrucional</v>
      </c>
      <c r="P40">
        <v>15</v>
      </c>
      <c r="Q40" t="str">
        <v>Paulo José Góes Daltro</v>
      </c>
      <c r="R40">
        <v>1</v>
      </c>
      <c r="S40">
        <v>80</v>
      </c>
      <c r="T40">
        <v>79</v>
      </c>
      <c r="X40" t="s">
        <v>3093</v>
      </c>
      <c r="Y40" t="s">
        <v>365</v>
      </c>
      <c r="Z40">
        <v>0</v>
      </c>
      <c r="AA40">
        <v>0</v>
      </c>
    </row>
    <row r="41" spans="1:31" x14ac:dyDescent="0.25">
      <c r="A41">
        <v>2026</v>
      </c>
      <c r="B41" t="str">
        <v>2026-023</v>
      </c>
      <c r="C41" s="81" t="str">
        <v>Realizado</v>
      </c>
      <c r="D41" t="str">
        <v>Tcendo o Futuro 2</v>
      </c>
      <c r="E41" s="81">
        <v>4</v>
      </c>
      <c r="F41" t="str">
        <v>Denise Duarte Guirra Kuhlmann</v>
      </c>
      <c r="G41" s="81">
        <v>5</v>
      </c>
      <c r="H41" s="81">
        <v>4</v>
      </c>
      <c r="I41" s="81">
        <v>1.2</v>
      </c>
      <c r="J41" s="81">
        <v>5.2</v>
      </c>
      <c r="L41">
        <v>2026</v>
      </c>
      <c r="M41" t="str">
        <v>2026-046</v>
      </c>
      <c r="N41" t="str">
        <v>A realizar</v>
      </c>
      <c r="O41" t="str">
        <v>Oficina Temática – SEMAT: Falhas recorrentes em contratações de TI</v>
      </c>
      <c r="P41">
        <v>8</v>
      </c>
      <c r="Q41" t="str">
        <v>Felipe da Costa Malaquias</v>
      </c>
      <c r="R41">
        <v>1</v>
      </c>
      <c r="S41">
        <v>81</v>
      </c>
      <c r="T41">
        <v>80</v>
      </c>
      <c r="X41" t="s">
        <v>2331</v>
      </c>
      <c r="Y41" t="s">
        <v>656</v>
      </c>
      <c r="Z41">
        <v>0</v>
      </c>
      <c r="AA41">
        <v>34.9</v>
      </c>
    </row>
    <row r="42" spans="1:31" x14ac:dyDescent="0.25">
      <c r="A42">
        <v>2026</v>
      </c>
      <c r="B42" t="str">
        <v>2026-023</v>
      </c>
      <c r="C42" s="81" t="str">
        <v>Realizado</v>
      </c>
      <c r="D42" t="str">
        <v>Tcendo o Futuro 2</v>
      </c>
      <c r="E42" s="81">
        <v>4</v>
      </c>
      <c r="F42" t="str">
        <v>Priscila Nolasco de Oliveira</v>
      </c>
      <c r="G42" s="81">
        <v>5</v>
      </c>
      <c r="H42" s="81">
        <v>4</v>
      </c>
      <c r="I42" s="81">
        <v>1.2</v>
      </c>
      <c r="J42" s="81">
        <v>5.2</v>
      </c>
      <c r="L42">
        <v>2026</v>
      </c>
      <c r="M42" t="str">
        <v>2026-047</v>
      </c>
      <c r="N42" t="str">
        <v>A realizar</v>
      </c>
      <c r="O42" t="str">
        <v>Oficina Temática - SEMAT: MROSC para servidores do GDF</v>
      </c>
      <c r="P42">
        <v>4</v>
      </c>
      <c r="Q42" t="str">
        <v>Indio Artiaga do Brasil Rabelo; Leonardo de Melo</v>
      </c>
      <c r="R42">
        <v>2</v>
      </c>
      <c r="S42">
        <v>83</v>
      </c>
      <c r="T42">
        <v>81</v>
      </c>
      <c r="X42" t="s">
        <v>2331</v>
      </c>
      <c r="Y42" t="s">
        <v>2262</v>
      </c>
      <c r="Z42">
        <v>0</v>
      </c>
      <c r="AA42">
        <v>34.9</v>
      </c>
    </row>
    <row r="43" spans="1:31" x14ac:dyDescent="0.25">
      <c r="A43">
        <v>2026</v>
      </c>
      <c r="B43" t="str">
        <v>2026-024</v>
      </c>
      <c r="C43" t="str">
        <v>Realizado</v>
      </c>
      <c r="D43" t="str">
        <v>Introdução à Engenharia de Prompt - T3</v>
      </c>
      <c r="E43">
        <v>8</v>
      </c>
      <c r="F43" t="str">
        <v>Arthur Wú</v>
      </c>
      <c r="G43">
        <v>2</v>
      </c>
      <c r="H43">
        <v>8</v>
      </c>
      <c r="I43">
        <v>2.4</v>
      </c>
      <c r="J43">
        <v>10.4</v>
      </c>
      <c r="L43">
        <v>2026</v>
      </c>
      <c r="M43" t="str">
        <v>2026-048</v>
      </c>
      <c r="N43" t="str">
        <v>A realizar</v>
      </c>
      <c r="O43" t="str">
        <v>Oficina Temática - SEMAT: Reajuste de preços em contratos de obras e serviços de engenharia</v>
      </c>
      <c r="P43">
        <v>4</v>
      </c>
      <c r="Q43" t="str">
        <v>Thiago Magalhães de Oliveira; Silvia Lima Damasceno Carvalho</v>
      </c>
      <c r="R43">
        <v>2</v>
      </c>
      <c r="S43">
        <v>85</v>
      </c>
      <c r="T43">
        <v>83</v>
      </c>
      <c r="X43" t="s">
        <v>2332</v>
      </c>
      <c r="Y43" s="18" t="s">
        <v>2279</v>
      </c>
      <c r="AA43">
        <v>2.4</v>
      </c>
    </row>
    <row r="44" spans="1:31" x14ac:dyDescent="0.25">
      <c r="A44">
        <v>2026</v>
      </c>
      <c r="B44" t="str">
        <v>2026-024</v>
      </c>
      <c r="C44" t="str">
        <v>Realizado</v>
      </c>
      <c r="D44" t="str">
        <v>Introdução à Engenharia de Prompt - T3</v>
      </c>
      <c r="E44">
        <v>8</v>
      </c>
      <c r="F44" t="str">
        <v>Gustavo Takahashi</v>
      </c>
      <c r="G44">
        <v>2</v>
      </c>
      <c r="H44">
        <v>8</v>
      </c>
      <c r="I44">
        <v>0</v>
      </c>
      <c r="J44">
        <v>8</v>
      </c>
      <c r="L44">
        <v>2026</v>
      </c>
      <c r="M44" t="str">
        <v>2026-049</v>
      </c>
      <c r="N44" t="str">
        <v>A realizar</v>
      </c>
      <c r="O44" t="str">
        <v>Oficina Temática - SEMAT: Pesquisa de Preços em contratos de obras e serviços de engenharia</v>
      </c>
      <c r="P44">
        <v>4</v>
      </c>
      <c r="Q44" t="str">
        <v>Silvia Lima Damasceno Carvalho; Wibys Pereira</v>
      </c>
      <c r="R44">
        <v>2</v>
      </c>
      <c r="S44">
        <v>87</v>
      </c>
      <c r="T44">
        <v>85</v>
      </c>
      <c r="X44" t="s">
        <v>2332</v>
      </c>
      <c r="Y44" s="18" t="s">
        <v>717</v>
      </c>
      <c r="AA44">
        <v>0</v>
      </c>
    </row>
    <row r="45" spans="1:31" x14ac:dyDescent="0.25">
      <c r="A45">
        <v>2026</v>
      </c>
      <c r="B45" t="str">
        <v>2026-025</v>
      </c>
      <c r="C45" t="str">
        <v>A realizar</v>
      </c>
      <c r="D45" t="str">
        <v>Elaboração da Cartilha "Gestão e Fiscalização de Contratos em Saúde"</v>
      </c>
      <c r="E45">
        <v>65</v>
      </c>
      <c r="F45" t="str">
        <v>Tarsila Firmino Ely</v>
      </c>
      <c r="G45">
        <v>2</v>
      </c>
      <c r="H45">
        <v>0</v>
      </c>
      <c r="I45">
        <v>65</v>
      </c>
      <c r="J45">
        <v>65</v>
      </c>
      <c r="L45">
        <v>2026</v>
      </c>
      <c r="M45" t="str">
        <v>2026-050</v>
      </c>
      <c r="N45" t="str">
        <v>A realizar</v>
      </c>
      <c r="O45" t="str">
        <v>Encontro Técnico - SEMAT: Concursos públicos e registro de admissões</v>
      </c>
      <c r="P45">
        <v>4</v>
      </c>
      <c r="Q45" t="str">
        <v>Carlos Antônio</v>
      </c>
      <c r="R45">
        <v>1</v>
      </c>
      <c r="S45">
        <v>88</v>
      </c>
      <c r="T45">
        <v>87</v>
      </c>
      <c r="X45" t="s">
        <v>2330</v>
      </c>
      <c r="Y45" t="s">
        <v>2278</v>
      </c>
      <c r="Z45">
        <v>1</v>
      </c>
      <c r="AA45">
        <v>0.3</v>
      </c>
    </row>
    <row r="46" spans="1:31" x14ac:dyDescent="0.25">
      <c r="A46">
        <v>2026</v>
      </c>
      <c r="B46" t="str">
        <v>2026-025</v>
      </c>
      <c r="C46" t="str">
        <v>A realizar</v>
      </c>
      <c r="D46" t="str">
        <v>Elaboração da Cartilha "Gestão e Fiscalização de Contratos em Saúde"</v>
      </c>
      <c r="E46">
        <v>65</v>
      </c>
      <c r="F46" t="str">
        <v>Luciana Alvim</v>
      </c>
      <c r="G46">
        <v>2</v>
      </c>
      <c r="H46">
        <v>0</v>
      </c>
      <c r="I46">
        <v>65</v>
      </c>
      <c r="J46">
        <v>65</v>
      </c>
      <c r="L46">
        <v>2026</v>
      </c>
      <c r="M46" t="str">
        <v>2026-051</v>
      </c>
      <c r="N46" t="str">
        <v>A realizar</v>
      </c>
      <c r="O46" t="str">
        <v>Oficina Temática – SEMAT: Controle Tecnológico de obras e serviços de engenharia</v>
      </c>
      <c r="P46">
        <v>4</v>
      </c>
      <c r="Q46" t="str">
        <v>Silvia Lima Damasceno Carvalho; Marcelo Silva Santana</v>
      </c>
      <c r="R46">
        <v>2</v>
      </c>
      <c r="S46">
        <v>90</v>
      </c>
      <c r="T46">
        <v>88</v>
      </c>
      <c r="X46" t="s">
        <v>2330</v>
      </c>
      <c r="Y46" t="s">
        <v>2334</v>
      </c>
      <c r="Z46">
        <v>1</v>
      </c>
      <c r="AA46">
        <v>0.3</v>
      </c>
    </row>
    <row r="47" spans="1:31" x14ac:dyDescent="0.25">
      <c r="A47">
        <v>2026</v>
      </c>
      <c r="B47" t="str">
        <v>2026-026</v>
      </c>
      <c r="C47" t="str">
        <v xml:space="preserve">Cancelado </v>
      </c>
      <c r="D47" t="str">
        <v>Escola de Instrutores - Curso "Fundamentos em TD&amp;E"</v>
      </c>
      <c r="E47">
        <v>16</v>
      </c>
      <c r="F47" t="str">
        <v>Paulo José Góes Daltro</v>
      </c>
      <c r="G47">
        <v>1</v>
      </c>
      <c r="H47">
        <v>0</v>
      </c>
      <c r="I47">
        <v>0</v>
      </c>
      <c r="J47">
        <v>0</v>
      </c>
      <c r="L47">
        <v>2026</v>
      </c>
      <c r="M47" t="str">
        <v>2026-052</v>
      </c>
      <c r="N47" t="str">
        <v>A realizar</v>
      </c>
      <c r="O47" t="str">
        <v>Encontro Técnico– SEMAT: Concessões e Fiscalização de Pessoal</v>
      </c>
      <c r="P47">
        <v>4</v>
      </c>
      <c r="Q47" t="str">
        <v>Jamile Medeiros Fon; José Roberto Alcuri Júnior</v>
      </c>
      <c r="R47">
        <v>2</v>
      </c>
      <c r="S47">
        <v>92</v>
      </c>
      <c r="T47">
        <v>90</v>
      </c>
      <c r="X47" t="s">
        <v>2330</v>
      </c>
      <c r="Y47" t="s">
        <v>2335</v>
      </c>
      <c r="Z47">
        <v>1</v>
      </c>
      <c r="AA47">
        <v>0.3</v>
      </c>
    </row>
    <row r="48" spans="1:31" x14ac:dyDescent="0.25">
      <c r="A48">
        <v>2026</v>
      </c>
      <c r="B48" t="str">
        <v>2026-027</v>
      </c>
      <c r="C48" t="str">
        <v>Realizado</v>
      </c>
      <c r="D48" t="str">
        <v>Curso básico de e-TCDF</v>
      </c>
      <c r="E48">
        <v>16</v>
      </c>
      <c r="F48" t="str">
        <v>Cássio Murilo Alves Costa Filho</v>
      </c>
      <c r="G48">
        <v>1</v>
      </c>
      <c r="H48">
        <v>16</v>
      </c>
      <c r="I48">
        <v>4.8</v>
      </c>
      <c r="J48">
        <v>20.8</v>
      </c>
      <c r="L48">
        <v>2026</v>
      </c>
      <c r="M48" t="str">
        <v>2026-053</v>
      </c>
      <c r="N48" t="str">
        <v>A realizar</v>
      </c>
      <c r="O48" t="str">
        <v>Oficina Temática - SEMAT: Aditivos na Contratação Integrada de obras e serviços de engenharia</v>
      </c>
      <c r="P48">
        <v>4</v>
      </c>
      <c r="Q48" t="str">
        <v>Douglas Vieira Silva Filho; Silvia Lima Damasceno Carvalho</v>
      </c>
      <c r="R48">
        <v>2</v>
      </c>
      <c r="S48">
        <v>94</v>
      </c>
      <c r="T48">
        <v>92</v>
      </c>
      <c r="X48" t="s">
        <v>2330</v>
      </c>
      <c r="Y48" t="s">
        <v>2336</v>
      </c>
      <c r="Z48">
        <v>1</v>
      </c>
      <c r="AA48">
        <v>0.3</v>
      </c>
    </row>
    <row r="49" spans="1:27" x14ac:dyDescent="0.25">
      <c r="A49">
        <v>2026</v>
      </c>
      <c r="B49" t="str">
        <v>2026-029</v>
      </c>
      <c r="C49" t="str">
        <v>Realizado</v>
      </c>
      <c r="D49" t="str">
        <v>UniTCDF: TCDF e a Fiscalização de Obras</v>
      </c>
      <c r="E49">
        <v>4</v>
      </c>
      <c r="F49" t="str">
        <v>Adriana Cuoco Portugal</v>
      </c>
      <c r="G49">
        <v>1</v>
      </c>
      <c r="H49">
        <v>4</v>
      </c>
      <c r="I49">
        <v>1.2</v>
      </c>
      <c r="J49">
        <v>5.2</v>
      </c>
      <c r="L49">
        <v>2026</v>
      </c>
      <c r="M49" t="str">
        <v>2026-054</v>
      </c>
      <c r="N49" t="str">
        <v>A realizar</v>
      </c>
      <c r="O49" t="str">
        <v>Café e Tertúlia: Encerramento da Semana da Saúde</v>
      </c>
      <c r="P49">
        <v>2</v>
      </c>
      <c r="Q49" t="str">
        <v>Cinthia Thais de Carvalho Luz Thomazi; Gabriel Heller; Isac Mendes Caixeta de Pamplona Araújo; Valéria Feitoza</v>
      </c>
      <c r="R49">
        <v>4</v>
      </c>
      <c r="S49">
        <v>98</v>
      </c>
      <c r="T49">
        <v>94</v>
      </c>
      <c r="X49" t="s">
        <v>2330</v>
      </c>
      <c r="Y49" t="s">
        <v>2337</v>
      </c>
      <c r="Z49">
        <v>0</v>
      </c>
      <c r="AA49">
        <v>0</v>
      </c>
    </row>
    <row r="50" spans="1:27" x14ac:dyDescent="0.25">
      <c r="A50">
        <v>2026</v>
      </c>
      <c r="B50" t="str">
        <v>2026-031</v>
      </c>
      <c r="C50" t="str">
        <v>Realizado</v>
      </c>
      <c r="D50" t="str">
        <v>Fiscalizações Baseadas em Risco</v>
      </c>
      <c r="E50">
        <v>20</v>
      </c>
      <c r="F50" t="str">
        <v>Reinaldo Alencar</v>
      </c>
      <c r="G50">
        <v>2</v>
      </c>
      <c r="H50">
        <v>20</v>
      </c>
      <c r="I50">
        <v>3</v>
      </c>
      <c r="J50">
        <v>23</v>
      </c>
      <c r="L50">
        <v>2026</v>
      </c>
      <c r="M50" t="str">
        <v>2026-055</v>
      </c>
      <c r="N50" t="str">
        <v>A realizar</v>
      </c>
      <c r="O50" t="str">
        <v>TCendo o Futuro</v>
      </c>
      <c r="P50">
        <v>4</v>
      </c>
      <c r="Q50" t="str">
        <v>Adriana Cuoco Portugal; Cinthia Thais de Carvalho Luz Thomazi; Fernanda Viana de Souza;  Luiz Felipe Tenório de Lima Gondim; Priscila Nolasco de Oliveira</v>
      </c>
      <c r="R50">
        <v>5</v>
      </c>
      <c r="S50">
        <v>103</v>
      </c>
      <c r="T50">
        <v>98</v>
      </c>
      <c r="X50" t="s">
        <v>2330</v>
      </c>
      <c r="Y50" t="s">
        <v>717</v>
      </c>
      <c r="Z50">
        <v>1</v>
      </c>
      <c r="AA50">
        <v>0.3</v>
      </c>
    </row>
    <row r="51" spans="1:27" x14ac:dyDescent="0.25">
      <c r="A51">
        <v>2026</v>
      </c>
      <c r="B51" t="str">
        <v>2026-031</v>
      </c>
      <c r="C51" t="str">
        <v>Realizado</v>
      </c>
      <c r="D51" t="str">
        <v>Fiscalizações Baseadas em Risco</v>
      </c>
      <c r="E51">
        <v>20</v>
      </c>
      <c r="F51" t="str">
        <v>Rogério Ribeiro</v>
      </c>
      <c r="G51">
        <v>2</v>
      </c>
      <c r="H51">
        <v>20</v>
      </c>
      <c r="I51">
        <v>3</v>
      </c>
      <c r="J51">
        <v>23</v>
      </c>
      <c r="L51">
        <v>2026</v>
      </c>
      <c r="M51" t="str">
        <v>2026-056</v>
      </c>
      <c r="N51" t="str">
        <v>A realizar</v>
      </c>
      <c r="O51" t="str">
        <v>TCendo o Futuro</v>
      </c>
      <c r="P51">
        <v>4</v>
      </c>
      <c r="Q51" t="str">
        <v>Adriana Cuoco Portugal; Cinthia Thais de Carvalho Luz Thomazi; Fernanda Viana de Souza; Luiz Felipe Tenório de Lima Gondim; Priscila Nolasco de Oliveira</v>
      </c>
      <c r="R51">
        <v>5</v>
      </c>
      <c r="S51">
        <v>108</v>
      </c>
      <c r="T51">
        <v>103</v>
      </c>
      <c r="X51" t="s">
        <v>2330</v>
      </c>
      <c r="Y51" t="s">
        <v>2338</v>
      </c>
      <c r="Z51">
        <v>1</v>
      </c>
      <c r="AA51">
        <v>0.3</v>
      </c>
    </row>
    <row r="52" spans="1:27" x14ac:dyDescent="0.25">
      <c r="A52">
        <v>2026</v>
      </c>
      <c r="B52" t="str">
        <v>2026-032</v>
      </c>
      <c r="C52" t="str">
        <v>Realizado</v>
      </c>
      <c r="D52" t="str">
        <v>Curso de formação para gestores e fiscais de Contrato em equipamentos nas unidades hospitalares - T2</v>
      </c>
      <c r="E52">
        <v>12</v>
      </c>
      <c r="F52" t="str">
        <v>Tarsila Firmino Ely</v>
      </c>
      <c r="G52">
        <v>2</v>
      </c>
      <c r="H52">
        <v>12</v>
      </c>
      <c r="I52">
        <v>1.7999999999999998</v>
      </c>
      <c r="J52">
        <v>13.8</v>
      </c>
      <c r="L52">
        <v>2026</v>
      </c>
      <c r="M52" t="str">
        <v>2026-057</v>
      </c>
      <c r="N52" t="str">
        <v>A realizar</v>
      </c>
      <c r="O52" t="str">
        <v>Curso de formação sobre "Programa de Descentralização Progressiva das Ações de Saúde - PDPAS</v>
      </c>
      <c r="P52">
        <v>20</v>
      </c>
      <c r="Q52" t="str">
        <v>Tarsila Firmino Ely; Sara Cristina Lins Ramos; Carina de Souza Mariuba Herthel; Elvis Aaron Teixeira dos Santos Lima</v>
      </c>
      <c r="R52">
        <v>4</v>
      </c>
      <c r="S52">
        <v>112</v>
      </c>
      <c r="T52">
        <v>108</v>
      </c>
      <c r="X52" t="s">
        <v>2330</v>
      </c>
      <c r="Y52" t="s">
        <v>1028</v>
      </c>
      <c r="Z52">
        <v>1</v>
      </c>
      <c r="AA52">
        <v>0.3</v>
      </c>
    </row>
    <row r="53" spans="1:27" x14ac:dyDescent="0.25">
      <c r="A53">
        <v>2026</v>
      </c>
      <c r="B53" t="str">
        <v>2026-032</v>
      </c>
      <c r="C53" t="str">
        <v>Realizado</v>
      </c>
      <c r="D53" t="str">
        <v>Curso de formação para gestores e fiscais de Contrato em equipamentos nas unidades hospitalares - T2</v>
      </c>
      <c r="E53">
        <v>12</v>
      </c>
      <c r="F53" t="str">
        <v>Luciana Alvim</v>
      </c>
      <c r="G53">
        <v>2</v>
      </c>
      <c r="H53">
        <v>12</v>
      </c>
      <c r="I53">
        <v>1.7999999999999998</v>
      </c>
      <c r="J53">
        <v>13.8</v>
      </c>
      <c r="L53">
        <v>2026</v>
      </c>
      <c r="M53" t="str">
        <v>2026-059</v>
      </c>
      <c r="N53" t="str">
        <v>A realizar</v>
      </c>
      <c r="O53" t="str">
        <v>TCendo o Futuro</v>
      </c>
      <c r="P53">
        <v>4</v>
      </c>
      <c r="Q53" t="str">
        <v>Adriana Cuoco Portugal; Cinthia Thais de Carvalho Luz Thomazi; Fernanda Viana de Souza; Luiz Felipe Tenório de Lima Gondim; Priscila Nolasco de Oliveira</v>
      </c>
      <c r="R53">
        <v>5</v>
      </c>
      <c r="S53">
        <v>117</v>
      </c>
      <c r="T53">
        <v>112</v>
      </c>
      <c r="X53" t="s">
        <v>2330</v>
      </c>
      <c r="Y53" t="s">
        <v>2339</v>
      </c>
      <c r="Z53">
        <v>1</v>
      </c>
      <c r="AA53">
        <v>0.3</v>
      </c>
    </row>
    <row r="54" spans="1:27" x14ac:dyDescent="0.25">
      <c r="A54">
        <v>2026</v>
      </c>
      <c r="B54" t="str">
        <v>2026-033</v>
      </c>
      <c r="C54" t="str">
        <v>Realizado</v>
      </c>
      <c r="D54" t="str">
        <v>Curso de formação para gestores e fiscais de Contrato em equipamentos nas unidades hospitalares - T3</v>
      </c>
      <c r="E54">
        <v>12</v>
      </c>
      <c r="F54" t="str">
        <v>Tarsila Firmino Ely</v>
      </c>
      <c r="G54">
        <v>2</v>
      </c>
      <c r="H54">
        <v>12</v>
      </c>
      <c r="I54">
        <v>1.7999999999999998</v>
      </c>
      <c r="J54">
        <v>13.8</v>
      </c>
      <c r="L54">
        <v>2026</v>
      </c>
      <c r="M54" t="str">
        <v>2026-060</v>
      </c>
      <c r="N54" t="str">
        <v>A realizar</v>
      </c>
      <c r="O54" t="str">
        <v>TCendo o Futuro</v>
      </c>
      <c r="P54">
        <v>4</v>
      </c>
      <c r="Q54" t="str">
        <v>Adriana Cuoco Portugal; Cinthia Thais de Carvalho Luz Thomazi; Fernanda Viana de Souza; Luiz Felipe Tenório de Lima Gondim; Priscila Nolasco de Oliveira</v>
      </c>
      <c r="R54">
        <v>5</v>
      </c>
      <c r="S54">
        <v>122</v>
      </c>
      <c r="T54">
        <v>117</v>
      </c>
      <c r="X54" t="s">
        <v>2330</v>
      </c>
      <c r="Y54" t="s">
        <v>2340</v>
      </c>
      <c r="Z54">
        <v>0</v>
      </c>
      <c r="AA54">
        <v>0</v>
      </c>
    </row>
    <row r="55" spans="1:27" x14ac:dyDescent="0.25">
      <c r="A55">
        <v>2026</v>
      </c>
      <c r="B55" t="str">
        <v>2026-033</v>
      </c>
      <c r="C55" t="str">
        <v>Realizado</v>
      </c>
      <c r="D55" t="str">
        <v>Curso de formação para gestores e fiscais de Contrato em equipamentos nas unidades hospitalares - T3</v>
      </c>
      <c r="E55">
        <v>12</v>
      </c>
      <c r="F55" t="str">
        <v>Luciana Alvim</v>
      </c>
      <c r="G55">
        <v>2</v>
      </c>
      <c r="H55">
        <v>12</v>
      </c>
      <c r="I55">
        <v>1.7999999999999998</v>
      </c>
      <c r="J55">
        <v>13.8</v>
      </c>
      <c r="L55">
        <v>2026</v>
      </c>
      <c r="M55" t="str">
        <v>2026-061</v>
      </c>
      <c r="N55" t="str">
        <v>A realizar</v>
      </c>
      <c r="O55" t="str">
        <v>TCendo o Futuro</v>
      </c>
      <c r="P55">
        <v>4</v>
      </c>
      <c r="Q55" t="str">
        <v>Adriana Cuoco Portugal; Cinthia Thais de Carvalho Luz Thomazi; Fernanda Viana de Souza; Luiz Felipe Tenório de Lima Gondim; Priscila Nolasco de Oliveira</v>
      </c>
      <c r="R55">
        <v>5</v>
      </c>
      <c r="S55">
        <v>127</v>
      </c>
      <c r="T55">
        <v>122</v>
      </c>
      <c r="X55" t="s">
        <v>3112</v>
      </c>
      <c r="Y55" t="s">
        <v>2278</v>
      </c>
      <c r="Z55">
        <v>0</v>
      </c>
      <c r="AA55">
        <v>0</v>
      </c>
    </row>
    <row r="56" spans="1:27" x14ac:dyDescent="0.25">
      <c r="A56">
        <v>2026</v>
      </c>
      <c r="B56" t="str">
        <v>2026-034</v>
      </c>
      <c r="C56" t="str">
        <v>Realizado</v>
      </c>
      <c r="D56" t="str">
        <v>Curso “Sisaudit na Prática”</v>
      </c>
      <c r="E56">
        <v>12</v>
      </c>
      <c r="F56" t="str">
        <v>Davi Assunção Salvador Nery de Castro</v>
      </c>
      <c r="G56">
        <v>3</v>
      </c>
      <c r="H56">
        <v>12</v>
      </c>
      <c r="I56">
        <v>1.2</v>
      </c>
      <c r="J56">
        <v>13.2</v>
      </c>
      <c r="L56">
        <v>2026</v>
      </c>
      <c r="M56" t="str">
        <v>2026-062</v>
      </c>
      <c r="N56" t="str">
        <v>A realizar</v>
      </c>
      <c r="O56" t="str">
        <v>TCendo o Futuro</v>
      </c>
      <c r="P56">
        <v>4</v>
      </c>
      <c r="Q56" t="str">
        <v>Adriana Cuoco Portugal; Cinthia Thais de Carvalho Luz Thomazi; Fernanda Viana de Souza; Luiz Felipe Tenório de Lima Gondim; Priscila Nolasco de Oliveira</v>
      </c>
      <c r="R56">
        <v>5</v>
      </c>
      <c r="S56">
        <v>132</v>
      </c>
      <c r="T56">
        <v>127</v>
      </c>
      <c r="X56" t="s">
        <v>2341</v>
      </c>
      <c r="Y56" t="s">
        <v>784</v>
      </c>
      <c r="Z56">
        <v>0</v>
      </c>
      <c r="AA56">
        <v>0</v>
      </c>
    </row>
    <row r="57" spans="1:27" x14ac:dyDescent="0.25">
      <c r="A57">
        <v>2026</v>
      </c>
      <c r="B57" t="str">
        <v>2026-034</v>
      </c>
      <c r="C57" t="str">
        <v>Realizado</v>
      </c>
      <c r="D57" t="str">
        <v>Curso “Sisaudit na Prática”</v>
      </c>
      <c r="E57">
        <v>12</v>
      </c>
      <c r="F57" t="str">
        <v>David da Silva de Araújo</v>
      </c>
      <c r="G57">
        <v>3</v>
      </c>
      <c r="H57">
        <v>12</v>
      </c>
      <c r="I57">
        <v>1.2</v>
      </c>
      <c r="J57">
        <v>13.2</v>
      </c>
      <c r="L57">
        <v>2026</v>
      </c>
      <c r="M57" t="str">
        <v>2026-066</v>
      </c>
      <c r="N57" t="str">
        <v>A realizar</v>
      </c>
      <c r="O57" t="str">
        <v>Contratações de TIC com base na jurisprudência do TCDF - EAD</v>
      </c>
      <c r="P57">
        <v>17.45</v>
      </c>
      <c r="Q57" t="str">
        <v>Flávio José Fonseca de Souza; Felipe da Costa Malaquias</v>
      </c>
      <c r="R57">
        <v>2</v>
      </c>
      <c r="S57">
        <v>134</v>
      </c>
      <c r="T57">
        <v>132</v>
      </c>
      <c r="X57" t="s">
        <v>2298</v>
      </c>
      <c r="Y57" t="s">
        <v>324</v>
      </c>
      <c r="Z57">
        <v>20</v>
      </c>
      <c r="AA57">
        <v>3.6</v>
      </c>
    </row>
    <row r="58" spans="1:27" ht="12" customHeight="1" x14ac:dyDescent="0.25">
      <c r="A58">
        <v>2026</v>
      </c>
      <c r="B58" t="str">
        <v>2026-034</v>
      </c>
      <c r="C58" t="str">
        <v>Realizado</v>
      </c>
      <c r="D58" t="str">
        <v>Curso “Sisaudit na Prática”</v>
      </c>
      <c r="E58">
        <v>12</v>
      </c>
      <c r="F58" t="str">
        <v>Hamilton de Jesus Lopes Neto</v>
      </c>
      <c r="G58">
        <v>3</v>
      </c>
      <c r="H58">
        <v>12</v>
      </c>
      <c r="I58">
        <v>1.2</v>
      </c>
      <c r="J58">
        <v>13.2</v>
      </c>
      <c r="L58">
        <v>2026</v>
      </c>
      <c r="M58" t="str">
        <v>2026-068</v>
      </c>
      <c r="N58" t="str">
        <v>A realizar</v>
      </c>
      <c r="O58" t="str">
        <v>Oficina Temática - SEMAT: Matriz de Riscos em contratos de obras e serviços de engenharia</v>
      </c>
      <c r="P58">
        <v>4</v>
      </c>
      <c r="Q58" t="str">
        <v>Silvia Lima Damasceno Carvalho; Renan Dias da Silva</v>
      </c>
      <c r="R58">
        <v>2</v>
      </c>
      <c r="S58">
        <v>136</v>
      </c>
      <c r="T58">
        <v>134</v>
      </c>
      <c r="X58" t="s">
        <v>2298</v>
      </c>
      <c r="Y58" s="112" t="s">
        <v>2285</v>
      </c>
      <c r="Z58">
        <v>0</v>
      </c>
      <c r="AA58">
        <v>0</v>
      </c>
    </row>
    <row r="59" spans="1:27" x14ac:dyDescent="0.25">
      <c r="A59">
        <v>2026</v>
      </c>
      <c r="B59" t="str">
        <v>2026-036</v>
      </c>
      <c r="C59" t="str">
        <v>Realizado</v>
      </c>
      <c r="D59" t="str">
        <v>Introdução à Engenharia de Prompt - T4</v>
      </c>
      <c r="E59">
        <v>8</v>
      </c>
      <c r="F59" t="str">
        <v>Arthur Wú</v>
      </c>
      <c r="G59">
        <v>2</v>
      </c>
      <c r="H59">
        <v>8</v>
      </c>
      <c r="I59">
        <v>2.4</v>
      </c>
      <c r="J59">
        <v>10.4</v>
      </c>
      <c r="R59" t="str">
        <v/>
      </c>
      <c r="S59" t="str">
        <v/>
      </c>
      <c r="T59">
        <v>136</v>
      </c>
      <c r="X59" t="s">
        <v>2298</v>
      </c>
      <c r="Y59" t="s">
        <v>2284</v>
      </c>
      <c r="Z59">
        <v>8</v>
      </c>
      <c r="AA59">
        <v>2.4</v>
      </c>
    </row>
    <row r="60" spans="1:27" x14ac:dyDescent="0.25">
      <c r="A60">
        <v>2026</v>
      </c>
      <c r="B60" t="str">
        <v>2026-036</v>
      </c>
      <c r="C60" t="str">
        <v>Realizado</v>
      </c>
      <c r="D60" t="str">
        <v>Introdução à Engenharia de Prompt - T4</v>
      </c>
      <c r="E60">
        <v>8</v>
      </c>
      <c r="F60" t="str">
        <v>Gustavo Takahashi</v>
      </c>
      <c r="G60">
        <v>2</v>
      </c>
      <c r="H60">
        <v>8</v>
      </c>
      <c r="I60">
        <v>0</v>
      </c>
      <c r="J60">
        <v>8</v>
      </c>
      <c r="R60" t="str">
        <v/>
      </c>
      <c r="S60" t="str">
        <v/>
      </c>
      <c r="X60" t="s">
        <v>2298</v>
      </c>
      <c r="Y60" t="s">
        <v>2283</v>
      </c>
      <c r="Z60">
        <v>8</v>
      </c>
      <c r="AA60">
        <v>2.4</v>
      </c>
    </row>
    <row r="61" spans="1:27" x14ac:dyDescent="0.25">
      <c r="A61">
        <v>2026</v>
      </c>
      <c r="B61" t="str">
        <v>2026-037</v>
      </c>
      <c r="C61" t="str">
        <v>Realizado</v>
      </c>
      <c r="D61" t="str">
        <v>Introdução à Engenharia de Prompt - SEE</v>
      </c>
      <c r="E61">
        <v>8</v>
      </c>
      <c r="F61" t="str">
        <v>Arthur Wú</v>
      </c>
      <c r="G61">
        <v>2</v>
      </c>
      <c r="H61">
        <v>8</v>
      </c>
      <c r="I61">
        <v>2.4</v>
      </c>
      <c r="J61">
        <v>10.4</v>
      </c>
      <c r="R61" t="str">
        <v/>
      </c>
      <c r="S61" t="str">
        <v/>
      </c>
      <c r="X61" t="s">
        <v>2343</v>
      </c>
      <c r="Y61" s="18" t="s">
        <v>1028</v>
      </c>
      <c r="Z61">
        <v>0</v>
      </c>
      <c r="AA61">
        <v>0</v>
      </c>
    </row>
    <row r="62" spans="1:27" x14ac:dyDescent="0.25">
      <c r="A62">
        <v>2026</v>
      </c>
      <c r="B62" t="str">
        <v>2026-037</v>
      </c>
      <c r="C62" t="str">
        <v>Realizado</v>
      </c>
      <c r="D62" t="str">
        <v>Introdução à Engenharia de Prompt - SEE</v>
      </c>
      <c r="E62">
        <v>8</v>
      </c>
      <c r="F62" t="str">
        <v>Gustavo Takahashi</v>
      </c>
      <c r="G62">
        <v>2</v>
      </c>
      <c r="H62">
        <v>8</v>
      </c>
      <c r="I62">
        <v>0</v>
      </c>
      <c r="J62">
        <v>8</v>
      </c>
      <c r="R62" t="str">
        <v/>
      </c>
      <c r="S62" t="str">
        <v/>
      </c>
      <c r="X62" t="s">
        <v>2343</v>
      </c>
      <c r="Y62" t="s">
        <v>425</v>
      </c>
      <c r="Z62">
        <v>0</v>
      </c>
      <c r="AA62">
        <v>0</v>
      </c>
    </row>
    <row r="63" spans="1:27" x14ac:dyDescent="0.25">
      <c r="A63">
        <v>2026</v>
      </c>
      <c r="B63" t="str">
        <v>2026-038</v>
      </c>
      <c r="C63" t="str">
        <v>A realizar</v>
      </c>
      <c r="D63" t="str">
        <v>Introdução ao processo de controle externo - EAD</v>
      </c>
      <c r="E63">
        <v>16</v>
      </c>
      <c r="F63" t="str">
        <v>Gabriel Heller</v>
      </c>
      <c r="G63">
        <v>1</v>
      </c>
      <c r="H63">
        <v>0</v>
      </c>
      <c r="I63">
        <v>32</v>
      </c>
      <c r="J63">
        <v>32</v>
      </c>
      <c r="R63" t="str">
        <v/>
      </c>
      <c r="S63" t="str">
        <v/>
      </c>
      <c r="X63" t="s">
        <v>2343</v>
      </c>
      <c r="Y63" s="113" t="s">
        <v>546</v>
      </c>
      <c r="Z63">
        <v>0</v>
      </c>
      <c r="AA63">
        <v>0</v>
      </c>
    </row>
    <row r="64" spans="1:27" x14ac:dyDescent="0.25">
      <c r="A64">
        <v>2026</v>
      </c>
      <c r="B64" t="str">
        <v>2026-039</v>
      </c>
      <c r="C64" t="str">
        <v>Realizado</v>
      </c>
      <c r="D64" t="str">
        <v>MROSC para os gestores das Organizações da Sociedade Civil – OSCs</v>
      </c>
      <c r="E64">
        <v>12</v>
      </c>
      <c r="F64" t="str">
        <v>Indio Artiaga do Brasil Rabelo</v>
      </c>
      <c r="G64">
        <v>2</v>
      </c>
      <c r="H64">
        <v>12</v>
      </c>
      <c r="I64">
        <v>3.6</v>
      </c>
      <c r="J64">
        <v>15.6</v>
      </c>
      <c r="R64" t="str">
        <v/>
      </c>
      <c r="S64" t="str">
        <v/>
      </c>
      <c r="X64" t="s">
        <v>2343</v>
      </c>
      <c r="Y64" t="s">
        <v>2275</v>
      </c>
      <c r="Z64">
        <v>0</v>
      </c>
      <c r="AA64">
        <v>0</v>
      </c>
    </row>
    <row r="65" spans="1:27" x14ac:dyDescent="0.25">
      <c r="A65">
        <v>2026</v>
      </c>
      <c r="B65" t="str">
        <v>2026-039</v>
      </c>
      <c r="C65" t="str">
        <v>Realizado</v>
      </c>
      <c r="D65" t="str">
        <v>MROSC para os gestores das Organizações da Sociedade Civil – OSCs</v>
      </c>
      <c r="E65">
        <v>12</v>
      </c>
      <c r="F65" t="str">
        <v>Leonardo de Melo</v>
      </c>
      <c r="G65">
        <v>2</v>
      </c>
      <c r="H65">
        <v>0</v>
      </c>
      <c r="I65">
        <v>0</v>
      </c>
      <c r="J65">
        <v>0</v>
      </c>
      <c r="R65" t="str">
        <v/>
      </c>
      <c r="S65" t="str">
        <v/>
      </c>
      <c r="X65" t="s">
        <v>2424</v>
      </c>
      <c r="Y65" t="s">
        <v>2172</v>
      </c>
      <c r="Z65">
        <v>0</v>
      </c>
      <c r="AA65">
        <v>34.9</v>
      </c>
    </row>
    <row r="66" spans="1:27" x14ac:dyDescent="0.25">
      <c r="A66">
        <v>2026</v>
      </c>
      <c r="B66" t="str">
        <v>2026-040</v>
      </c>
      <c r="C66" t="str">
        <v>Realizado</v>
      </c>
      <c r="D66" t="str">
        <v>Escola de Instrutores - Design Instrucional</v>
      </c>
      <c r="E66">
        <v>12</v>
      </c>
      <c r="F66" t="str">
        <v>Paulo José Góes Daltro</v>
      </c>
      <c r="G66">
        <v>1</v>
      </c>
      <c r="H66">
        <v>0</v>
      </c>
      <c r="I66">
        <v>0</v>
      </c>
      <c r="J66">
        <v>0</v>
      </c>
      <c r="R66" t="str">
        <v/>
      </c>
      <c r="S66" t="str">
        <v/>
      </c>
      <c r="X66" t="s">
        <v>2424</v>
      </c>
      <c r="Y66" t="s">
        <v>1125</v>
      </c>
      <c r="Z66">
        <v>0</v>
      </c>
      <c r="AA66">
        <v>34.9</v>
      </c>
    </row>
    <row r="67" spans="1:27" x14ac:dyDescent="0.25">
      <c r="A67">
        <v>2026</v>
      </c>
      <c r="B67" t="str">
        <v>2026-041</v>
      </c>
      <c r="C67" t="str">
        <v>Em andamento</v>
      </c>
      <c r="D67" t="str">
        <v>O novo olhar sobre as políticas públicas para o Controle Externo</v>
      </c>
      <c r="E67">
        <v>24</v>
      </c>
      <c r="F67" t="str">
        <v>Reinaldo Alencar</v>
      </c>
      <c r="G67">
        <v>2</v>
      </c>
      <c r="H67">
        <v>24</v>
      </c>
      <c r="I67">
        <v>3.5999999999999996</v>
      </c>
      <c r="J67">
        <v>27.6</v>
      </c>
      <c r="R67" t="str">
        <v/>
      </c>
      <c r="S67" t="str">
        <v/>
      </c>
      <c r="X67" t="s">
        <v>3094</v>
      </c>
      <c r="Y67" t="s">
        <v>1046</v>
      </c>
      <c r="Z67">
        <v>3</v>
      </c>
      <c r="AA67">
        <v>0.9</v>
      </c>
    </row>
    <row r="68" spans="1:27" x14ac:dyDescent="0.25">
      <c r="A68">
        <v>2026</v>
      </c>
      <c r="B68" t="str">
        <v>2026-041</v>
      </c>
      <c r="C68" t="str">
        <v>Em andamento</v>
      </c>
      <c r="D68" t="str">
        <v>O novo olhar sobre as políticas públicas para o Controle Externo</v>
      </c>
      <c r="E68">
        <v>24</v>
      </c>
      <c r="F68" t="str">
        <v>Rogério Ribeiro</v>
      </c>
      <c r="G68">
        <v>2</v>
      </c>
      <c r="H68">
        <v>24</v>
      </c>
      <c r="I68">
        <v>3.5999999999999996</v>
      </c>
      <c r="J68">
        <v>27.6</v>
      </c>
      <c r="R68" t="str">
        <v/>
      </c>
      <c r="S68" t="str">
        <v/>
      </c>
      <c r="X68" t="s">
        <v>3094</v>
      </c>
      <c r="Y68" t="s">
        <v>3165</v>
      </c>
      <c r="Z68">
        <v>3</v>
      </c>
      <c r="AA68">
        <v>0.9</v>
      </c>
    </row>
    <row r="69" spans="1:27" x14ac:dyDescent="0.25">
      <c r="A69">
        <v>2026</v>
      </c>
      <c r="B69" t="str">
        <v>2026-042</v>
      </c>
      <c r="C69" t="str">
        <v>Realizado</v>
      </c>
      <c r="D69" t="str">
        <v>Curso de Formação para Conselheiros de Saúde do DF</v>
      </c>
      <c r="E69">
        <v>20</v>
      </c>
      <c r="F69" t="str">
        <v>Tarsila Firmino Ely</v>
      </c>
      <c r="G69">
        <v>1</v>
      </c>
      <c r="H69">
        <v>20</v>
      </c>
      <c r="I69">
        <v>6</v>
      </c>
      <c r="J69">
        <v>26</v>
      </c>
      <c r="R69" t="str">
        <v/>
      </c>
      <c r="S69" t="str">
        <v/>
      </c>
      <c r="X69" t="s">
        <v>3096</v>
      </c>
      <c r="Y69" t="s">
        <v>2043</v>
      </c>
      <c r="Z69">
        <v>0</v>
      </c>
      <c r="AA69">
        <v>0</v>
      </c>
    </row>
    <row r="70" spans="1:27" x14ac:dyDescent="0.25">
      <c r="A70">
        <v>2026</v>
      </c>
      <c r="B70" t="str">
        <v>2026-043</v>
      </c>
      <c r="C70" t="str">
        <v>Realizado</v>
      </c>
      <c r="D70" t="str">
        <v>Painel MROSC</v>
      </c>
      <c r="E70">
        <v>4</v>
      </c>
      <c r="F70" t="str">
        <v>Diversos</v>
      </c>
      <c r="G70">
        <v>1</v>
      </c>
      <c r="H70">
        <v>4</v>
      </c>
      <c r="I70">
        <v>1.2</v>
      </c>
      <c r="J70">
        <v>5.2</v>
      </c>
      <c r="R70" t="str">
        <v/>
      </c>
      <c r="S70" t="str">
        <v/>
      </c>
      <c r="X70" t="s">
        <v>2326</v>
      </c>
      <c r="Y70" s="18" t="s">
        <v>2059</v>
      </c>
      <c r="AA70">
        <v>2.4</v>
      </c>
    </row>
    <row r="71" spans="1:27" x14ac:dyDescent="0.25">
      <c r="A71">
        <v>2026</v>
      </c>
      <c r="B71" t="str">
        <v>2026-044</v>
      </c>
      <c r="C71" t="str">
        <v>A realizar</v>
      </c>
      <c r="D71" t="str">
        <v>31º SEMAT</v>
      </c>
      <c r="E71">
        <v>8</v>
      </c>
      <c r="F71" t="str">
        <v>José Roberto Alcuri Júnior</v>
      </c>
      <c r="G71">
        <v>10</v>
      </c>
      <c r="H71">
        <v>1</v>
      </c>
      <c r="I71">
        <v>0.3</v>
      </c>
      <c r="J71">
        <v>1.3</v>
      </c>
      <c r="R71" t="str">
        <v/>
      </c>
      <c r="S71" t="str">
        <v/>
      </c>
      <c r="X71" t="s">
        <v>2326</v>
      </c>
      <c r="Y71" s="18" t="s">
        <v>2257</v>
      </c>
      <c r="AA71">
        <v>0</v>
      </c>
    </row>
    <row r="72" spans="1:27" x14ac:dyDescent="0.25">
      <c r="A72">
        <v>2026</v>
      </c>
      <c r="B72" t="str">
        <v>2026-044</v>
      </c>
      <c r="C72" t="str">
        <v>A realizar</v>
      </c>
      <c r="D72" t="str">
        <v>31º SEMAT</v>
      </c>
      <c r="E72">
        <v>8</v>
      </c>
      <c r="F72" t="str">
        <v>Felipe Ramos Barbosa</v>
      </c>
      <c r="G72">
        <v>10</v>
      </c>
      <c r="H72">
        <v>1</v>
      </c>
      <c r="I72">
        <v>0.3</v>
      </c>
      <c r="J72">
        <v>1.3</v>
      </c>
      <c r="R72" t="str">
        <v/>
      </c>
      <c r="S72" t="str">
        <v/>
      </c>
      <c r="X72" t="s">
        <v>3104</v>
      </c>
      <c r="Y72" t="s">
        <v>656</v>
      </c>
      <c r="AA72">
        <v>3.6</v>
      </c>
    </row>
    <row r="73" spans="1:27" x14ac:dyDescent="0.25">
      <c r="A73">
        <v>2026</v>
      </c>
      <c r="B73" t="str">
        <v>2026-044</v>
      </c>
      <c r="C73" t="str">
        <v>A realizar</v>
      </c>
      <c r="D73" t="str">
        <v>31º SEMAT</v>
      </c>
      <c r="E73">
        <v>8</v>
      </c>
      <c r="F73" t="str">
        <v>Carolina Pereira de Oliveira</v>
      </c>
      <c r="G73">
        <v>10</v>
      </c>
      <c r="H73">
        <v>1</v>
      </c>
      <c r="I73">
        <v>0.3</v>
      </c>
      <c r="J73">
        <v>1.3</v>
      </c>
      <c r="R73" t="str">
        <v/>
      </c>
      <c r="S73" t="str">
        <v/>
      </c>
      <c r="X73" t="s">
        <v>3104</v>
      </c>
      <c r="Y73" t="s">
        <v>2262</v>
      </c>
      <c r="Z73">
        <v>0</v>
      </c>
      <c r="AA73">
        <v>0</v>
      </c>
    </row>
    <row r="74" spans="1:27" x14ac:dyDescent="0.25">
      <c r="A74">
        <v>2026</v>
      </c>
      <c r="B74" t="str">
        <v>2026-044</v>
      </c>
      <c r="C74" t="str">
        <v>A realizar</v>
      </c>
      <c r="D74" t="str">
        <v>31º SEMAT</v>
      </c>
      <c r="E74">
        <v>8</v>
      </c>
      <c r="F74" t="str">
        <v>Eustáquio Rabelo de Souza</v>
      </c>
      <c r="G74">
        <v>10</v>
      </c>
      <c r="H74">
        <v>1</v>
      </c>
      <c r="I74">
        <v>0.3</v>
      </c>
      <c r="J74">
        <v>1.3</v>
      </c>
      <c r="R74" t="str">
        <v/>
      </c>
      <c r="S74" t="str">
        <v/>
      </c>
    </row>
    <row r="75" spans="1:27" x14ac:dyDescent="0.25">
      <c r="A75">
        <v>2026</v>
      </c>
      <c r="B75" t="str">
        <v>2026-044</v>
      </c>
      <c r="C75" t="str">
        <v>A realizar</v>
      </c>
      <c r="D75" t="str">
        <v>31º SEMAT</v>
      </c>
      <c r="E75">
        <v>8</v>
      </c>
      <c r="F75" t="str">
        <v>Alinne Patrícia de Andrade Carvalho</v>
      </c>
      <c r="G75">
        <v>10</v>
      </c>
      <c r="H75">
        <v>0</v>
      </c>
      <c r="I75">
        <v>0</v>
      </c>
      <c r="J75">
        <v>0</v>
      </c>
      <c r="R75" t="str">
        <v/>
      </c>
      <c r="S75" t="str">
        <v/>
      </c>
    </row>
    <row r="76" spans="1:27" x14ac:dyDescent="0.25">
      <c r="A76">
        <v>2026</v>
      </c>
      <c r="B76" t="str">
        <v>2026-044</v>
      </c>
      <c r="C76" t="str">
        <v>A realizar</v>
      </c>
      <c r="D76" t="str">
        <v>31º SEMAT</v>
      </c>
      <c r="E76">
        <v>8</v>
      </c>
      <c r="F76" t="str">
        <v>Silvia Lima Damasceno Carvalho</v>
      </c>
      <c r="G76">
        <v>10</v>
      </c>
      <c r="H76">
        <v>1</v>
      </c>
      <c r="I76">
        <v>0.3</v>
      </c>
      <c r="J76">
        <v>1.3</v>
      </c>
      <c r="R76" t="str">
        <v/>
      </c>
      <c r="S76" t="str">
        <v/>
      </c>
    </row>
    <row r="77" spans="1:27" x14ac:dyDescent="0.25">
      <c r="A77">
        <v>2026</v>
      </c>
      <c r="B77" t="str">
        <v>2026-044</v>
      </c>
      <c r="C77" t="str">
        <v>A realizar</v>
      </c>
      <c r="D77" t="str">
        <v>31º SEMAT</v>
      </c>
      <c r="E77">
        <v>8</v>
      </c>
      <c r="F77" t="str">
        <v>Marcelo Santana</v>
      </c>
      <c r="G77">
        <v>10</v>
      </c>
      <c r="H77">
        <v>1</v>
      </c>
      <c r="I77">
        <v>0.3</v>
      </c>
      <c r="J77">
        <v>1.3</v>
      </c>
      <c r="R77" t="str">
        <v/>
      </c>
      <c r="S77" t="str">
        <v/>
      </c>
    </row>
    <row r="78" spans="1:27" x14ac:dyDescent="0.25">
      <c r="A78">
        <v>2026</v>
      </c>
      <c r="B78" t="str">
        <v>2026-044</v>
      </c>
      <c r="C78" t="str">
        <v>A realizar</v>
      </c>
      <c r="D78" t="str">
        <v>31º SEMAT</v>
      </c>
      <c r="E78">
        <v>8</v>
      </c>
      <c r="F78" t="str">
        <v>Cinthia Thais de Carvalho Luz Thomazi</v>
      </c>
      <c r="G78">
        <v>10</v>
      </c>
      <c r="H78">
        <v>1</v>
      </c>
      <c r="I78">
        <v>0.3</v>
      </c>
      <c r="J78">
        <v>1.3</v>
      </c>
      <c r="R78" t="str">
        <v/>
      </c>
      <c r="S78" t="str">
        <v/>
      </c>
    </row>
    <row r="79" spans="1:27" x14ac:dyDescent="0.25">
      <c r="A79">
        <v>2026</v>
      </c>
      <c r="B79" t="str">
        <v>2026-044</v>
      </c>
      <c r="C79" t="str">
        <v>A realizar</v>
      </c>
      <c r="D79" t="str">
        <v>31º SEMAT</v>
      </c>
      <c r="E79">
        <v>8</v>
      </c>
      <c r="F79" t="str">
        <v>Igor Queiroz</v>
      </c>
      <c r="G79">
        <v>10</v>
      </c>
      <c r="H79">
        <v>1</v>
      </c>
      <c r="I79">
        <v>0.3</v>
      </c>
      <c r="J79">
        <v>1.3</v>
      </c>
      <c r="R79" t="str">
        <v/>
      </c>
      <c r="S79" t="str">
        <v/>
      </c>
    </row>
    <row r="80" spans="1:27" x14ac:dyDescent="0.25">
      <c r="A80">
        <v>2026</v>
      </c>
      <c r="B80" t="str">
        <v>2026-044</v>
      </c>
      <c r="C80" t="str">
        <v>A realizar</v>
      </c>
      <c r="D80" t="str">
        <v>31º SEMAT</v>
      </c>
      <c r="E80">
        <v>8</v>
      </c>
      <c r="F80" t="str">
        <v>Guilherme Bride Fernandes</v>
      </c>
      <c r="G80">
        <v>10</v>
      </c>
      <c r="H80">
        <v>0</v>
      </c>
      <c r="I80">
        <v>0</v>
      </c>
      <c r="J80">
        <v>0</v>
      </c>
      <c r="R80" t="str">
        <v/>
      </c>
      <c r="S80" t="str">
        <v/>
      </c>
    </row>
    <row r="81" spans="1:19" x14ac:dyDescent="0.25">
      <c r="A81">
        <v>2026</v>
      </c>
      <c r="B81" t="str">
        <v>2026-045</v>
      </c>
      <c r="C81" t="str">
        <v xml:space="preserve">Cancelado </v>
      </c>
      <c r="D81" t="str">
        <v>Escola de Instrutores - Design Instrucional</v>
      </c>
      <c r="E81">
        <v>15</v>
      </c>
      <c r="F81" t="str">
        <v>Paulo José Góes Daltro</v>
      </c>
      <c r="G81">
        <v>1</v>
      </c>
      <c r="H81">
        <v>15</v>
      </c>
      <c r="I81">
        <v>4.5</v>
      </c>
      <c r="J81">
        <v>19.5</v>
      </c>
      <c r="R81" t="str">
        <v/>
      </c>
      <c r="S81" t="str">
        <v/>
      </c>
    </row>
    <row r="82" spans="1:19" x14ac:dyDescent="0.25">
      <c r="A82">
        <v>2026</v>
      </c>
      <c r="B82" t="str">
        <v>2026-046</v>
      </c>
      <c r="C82" t="str">
        <v>A realizar</v>
      </c>
      <c r="D82" t="str">
        <v>Oficina Temática – SEMAT: Falhas recorrentes em contratações de TI</v>
      </c>
      <c r="E82">
        <v>8</v>
      </c>
      <c r="F82" t="str">
        <v>Felipe da Costa Malaquias</v>
      </c>
      <c r="G82">
        <v>1</v>
      </c>
      <c r="H82">
        <v>8</v>
      </c>
      <c r="I82">
        <v>2.4</v>
      </c>
      <c r="J82">
        <v>10.4</v>
      </c>
      <c r="R82" t="str">
        <v/>
      </c>
      <c r="S82" t="str">
        <v/>
      </c>
    </row>
    <row r="83" spans="1:19" x14ac:dyDescent="0.25">
      <c r="A83">
        <v>2026</v>
      </c>
      <c r="B83" t="str">
        <v>2026-047</v>
      </c>
      <c r="C83" t="str">
        <v>A realizar</v>
      </c>
      <c r="D83" t="str">
        <v>Oficina Temática - SEMAT: MROSC para servidores do GDF</v>
      </c>
      <c r="E83">
        <v>4</v>
      </c>
      <c r="F83" t="str">
        <v>Indio Artiaga do Brasil Rabelo</v>
      </c>
      <c r="G83">
        <v>2</v>
      </c>
      <c r="H83">
        <v>0</v>
      </c>
      <c r="I83">
        <v>34.9</v>
      </c>
      <c r="J83">
        <v>34.9</v>
      </c>
      <c r="R83" t="str">
        <v/>
      </c>
      <c r="S83" t="str">
        <v/>
      </c>
    </row>
    <row r="84" spans="1:19" x14ac:dyDescent="0.25">
      <c r="A84">
        <v>2026</v>
      </c>
      <c r="B84" t="str">
        <v>2026-047</v>
      </c>
      <c r="C84" t="str">
        <v>A realizar</v>
      </c>
      <c r="D84" t="str">
        <v>Oficina Temática - SEMAT: MROSC para servidores do GDF</v>
      </c>
      <c r="E84">
        <v>4</v>
      </c>
      <c r="F84" t="str">
        <v>Leonardo de Melo</v>
      </c>
      <c r="G84">
        <v>2</v>
      </c>
      <c r="H84">
        <v>0</v>
      </c>
      <c r="I84">
        <v>34.9</v>
      </c>
      <c r="J84">
        <v>34.9</v>
      </c>
      <c r="R84" t="str">
        <v/>
      </c>
      <c r="S84" t="str">
        <v/>
      </c>
    </row>
    <row r="85" spans="1:19" x14ac:dyDescent="0.25">
      <c r="A85">
        <v>2026</v>
      </c>
      <c r="B85" t="str">
        <v>2026-048</v>
      </c>
      <c r="C85" t="str">
        <v>A realizar</v>
      </c>
      <c r="D85" t="str">
        <v>Oficina Temática - SEMAT: Reajuste de preços em contratos de obras e serviços de engenharia</v>
      </c>
      <c r="E85">
        <v>4</v>
      </c>
      <c r="F85" t="str">
        <v>Thiago Magalhães de Oliveira</v>
      </c>
      <c r="G85">
        <v>2</v>
      </c>
      <c r="H85">
        <v>4</v>
      </c>
      <c r="I85">
        <v>2.4</v>
      </c>
      <c r="J85">
        <v>6.4</v>
      </c>
      <c r="R85" t="str">
        <v/>
      </c>
      <c r="S85" t="str">
        <v/>
      </c>
    </row>
    <row r="86" spans="1:19" x14ac:dyDescent="0.25">
      <c r="A86">
        <v>2026</v>
      </c>
      <c r="B86" t="str">
        <v>2026-048</v>
      </c>
      <c r="C86" t="str">
        <v>A realizar</v>
      </c>
      <c r="D86" t="str">
        <v>Oficina Temática - SEMAT: Reajuste de preços em contratos de obras e serviços de engenharia</v>
      </c>
      <c r="E86">
        <v>4</v>
      </c>
      <c r="F86" t="str">
        <v>Silvia Lima Damasceno Carvalho</v>
      </c>
      <c r="G86">
        <v>2</v>
      </c>
      <c r="H86">
        <v>4</v>
      </c>
      <c r="I86">
        <v>0</v>
      </c>
      <c r="J86">
        <v>4</v>
      </c>
      <c r="R86" t="str">
        <v/>
      </c>
      <c r="S86" t="str">
        <v/>
      </c>
    </row>
    <row r="87" spans="1:19" x14ac:dyDescent="0.25">
      <c r="A87">
        <v>2026</v>
      </c>
      <c r="B87" t="str">
        <v>2026-049</v>
      </c>
      <c r="C87" t="str">
        <v>A realizar</v>
      </c>
      <c r="D87" t="str">
        <v>Oficina Temática - SEMAT: Pesquisa de Preços em contratos de obras e serviços de engenharia</v>
      </c>
      <c r="E87">
        <v>4</v>
      </c>
      <c r="F87" t="str">
        <v>Silvia Lima Damasceno Carvalho</v>
      </c>
      <c r="G87">
        <v>2</v>
      </c>
      <c r="H87">
        <v>4</v>
      </c>
      <c r="I87">
        <v>0.6</v>
      </c>
      <c r="J87">
        <v>4.5999999999999996</v>
      </c>
      <c r="R87" t="str">
        <v/>
      </c>
      <c r="S87" t="str">
        <v/>
      </c>
    </row>
    <row r="88" spans="1:19" x14ac:dyDescent="0.25">
      <c r="A88">
        <v>2026</v>
      </c>
      <c r="B88" t="str">
        <v>2026-049</v>
      </c>
      <c r="C88" t="str">
        <v>A realizar</v>
      </c>
      <c r="D88" t="str">
        <v>Oficina Temática - SEMAT: Pesquisa de Preços em contratos de obras e serviços de engenharia</v>
      </c>
      <c r="E88">
        <v>4</v>
      </c>
      <c r="F88" t="str">
        <v>Wibys Pereira</v>
      </c>
      <c r="G88">
        <v>2</v>
      </c>
      <c r="H88">
        <v>4</v>
      </c>
      <c r="I88">
        <v>0.6</v>
      </c>
      <c r="J88">
        <v>4.5999999999999996</v>
      </c>
      <c r="R88" t="str">
        <v/>
      </c>
      <c r="S88" t="str">
        <v/>
      </c>
    </row>
    <row r="89" spans="1:19" x14ac:dyDescent="0.25">
      <c r="A89">
        <v>2026</v>
      </c>
      <c r="B89" t="str">
        <v>2026-050</v>
      </c>
      <c r="C89" t="str">
        <v>A realizar</v>
      </c>
      <c r="D89" t="str">
        <v>Encontro Técnico - SEMAT: Concursos públicos e registro de admissões</v>
      </c>
      <c r="E89">
        <v>4</v>
      </c>
      <c r="F89" t="str">
        <v>Carlos Antônio</v>
      </c>
      <c r="G89">
        <v>1</v>
      </c>
      <c r="H89">
        <v>4</v>
      </c>
      <c r="I89">
        <v>1.2</v>
      </c>
      <c r="J89">
        <v>5.2</v>
      </c>
      <c r="R89" t="str">
        <v/>
      </c>
      <c r="S89" t="str">
        <v/>
      </c>
    </row>
    <row r="90" spans="1:19" x14ac:dyDescent="0.25">
      <c r="A90">
        <v>2026</v>
      </c>
      <c r="B90" t="str">
        <v>2026-051</v>
      </c>
      <c r="C90" t="str">
        <v>A realizar</v>
      </c>
      <c r="D90" t="str">
        <v>Oficina Temática – SEMAT: Controle Tecnológico de obras e serviços de engenharia</v>
      </c>
      <c r="E90">
        <v>4</v>
      </c>
      <c r="F90" t="str">
        <v>Silvia Lima Damasceno Carvalho</v>
      </c>
      <c r="G90">
        <v>2</v>
      </c>
      <c r="H90">
        <v>4</v>
      </c>
      <c r="I90">
        <v>0.6</v>
      </c>
      <c r="J90">
        <v>4.5999999999999996</v>
      </c>
      <c r="R90" t="str">
        <v/>
      </c>
      <c r="S90" t="str">
        <v/>
      </c>
    </row>
    <row r="91" spans="1:19" x14ac:dyDescent="0.25">
      <c r="A91">
        <v>2026</v>
      </c>
      <c r="B91" t="str">
        <v>2026-051</v>
      </c>
      <c r="C91" t="str">
        <v>A realizar</v>
      </c>
      <c r="D91" t="str">
        <v>Oficina Temática – SEMAT: Controle Tecnológico de obras e serviços de engenharia</v>
      </c>
      <c r="E91">
        <v>4</v>
      </c>
      <c r="F91" t="str">
        <v>Marcelo Silva Santana</v>
      </c>
      <c r="G91">
        <v>2</v>
      </c>
      <c r="H91">
        <v>4</v>
      </c>
      <c r="I91">
        <v>0.6</v>
      </c>
      <c r="J91">
        <v>4.5999999999999996</v>
      </c>
      <c r="R91" t="str">
        <v/>
      </c>
      <c r="S91" t="str">
        <v/>
      </c>
    </row>
    <row r="92" spans="1:19" x14ac:dyDescent="0.25">
      <c r="A92">
        <v>2026</v>
      </c>
      <c r="B92" t="str">
        <v>2026-052</v>
      </c>
      <c r="C92" t="str">
        <v>A realizar</v>
      </c>
      <c r="D92" t="str">
        <v>Encontro Técnico– SEMAT: Concessões e Fiscalização de Pessoal</v>
      </c>
      <c r="E92">
        <v>4</v>
      </c>
      <c r="F92" t="str">
        <v>Jamile Medeiros Fon</v>
      </c>
      <c r="G92">
        <v>2</v>
      </c>
      <c r="H92">
        <v>4</v>
      </c>
      <c r="I92">
        <v>0.6</v>
      </c>
      <c r="J92">
        <v>4.5999999999999996</v>
      </c>
      <c r="R92" t="str">
        <v/>
      </c>
      <c r="S92" t="str">
        <v/>
      </c>
    </row>
    <row r="93" spans="1:19" x14ac:dyDescent="0.25">
      <c r="A93">
        <v>2026</v>
      </c>
      <c r="B93" t="str">
        <v>2026-052</v>
      </c>
      <c r="C93" t="str">
        <v>A realizar</v>
      </c>
      <c r="D93" t="str">
        <v>Encontro Técnico– SEMAT: Concessões e Fiscalização de Pessoal</v>
      </c>
      <c r="E93">
        <v>4</v>
      </c>
      <c r="F93" t="str">
        <v>José Roberto Alcuri Júnior</v>
      </c>
      <c r="G93">
        <v>2</v>
      </c>
      <c r="H93">
        <v>0</v>
      </c>
      <c r="I93">
        <v>0</v>
      </c>
      <c r="J93">
        <v>0</v>
      </c>
      <c r="R93" t="str">
        <v/>
      </c>
      <c r="S93" t="str">
        <v/>
      </c>
    </row>
    <row r="94" spans="1:19" x14ac:dyDescent="0.25">
      <c r="A94">
        <v>2026</v>
      </c>
      <c r="B94" t="str">
        <v>2026-053</v>
      </c>
      <c r="C94" t="str">
        <v>A realizar</v>
      </c>
      <c r="D94" t="str">
        <v>Oficina Temática - SEMAT: Aditivos na Contratação Integrada de obras e serviços de engenharia</v>
      </c>
      <c r="E94">
        <v>4</v>
      </c>
      <c r="F94" t="str">
        <v>Douglas Vieira Silva Filho</v>
      </c>
      <c r="G94">
        <v>2</v>
      </c>
      <c r="H94">
        <v>4</v>
      </c>
      <c r="I94">
        <v>0.6</v>
      </c>
      <c r="J94">
        <v>4.5999999999999996</v>
      </c>
      <c r="R94" t="str">
        <v/>
      </c>
      <c r="S94" t="str">
        <v/>
      </c>
    </row>
    <row r="95" spans="1:19" x14ac:dyDescent="0.25">
      <c r="A95">
        <v>2026</v>
      </c>
      <c r="B95" t="str">
        <v>2026-053</v>
      </c>
      <c r="C95" t="str">
        <v>A realizar</v>
      </c>
      <c r="D95" t="str">
        <v>Oficina Temática - SEMAT: Aditivos na Contratação Integrada de obras e serviços de engenharia</v>
      </c>
      <c r="E95">
        <v>4</v>
      </c>
      <c r="F95" t="str">
        <v>Silvia Lima Damasceno Carvalho</v>
      </c>
      <c r="G95">
        <v>2</v>
      </c>
      <c r="H95">
        <v>4</v>
      </c>
      <c r="I95">
        <v>0.6</v>
      </c>
      <c r="J95">
        <v>4.5999999999999996</v>
      </c>
      <c r="R95" t="str">
        <v/>
      </c>
      <c r="S95" t="str">
        <v/>
      </c>
    </row>
    <row r="96" spans="1:19" x14ac:dyDescent="0.25">
      <c r="A96">
        <v>2026</v>
      </c>
      <c r="B96" t="str">
        <v>2026-054</v>
      </c>
      <c r="C96" t="str">
        <v>A realizar</v>
      </c>
      <c r="D96" t="str">
        <v>Café e Tertúlia: Encerramento da Semana da Saúde</v>
      </c>
      <c r="E96">
        <v>2</v>
      </c>
      <c r="F96" t="str">
        <v>Cinthia Thais de Carvalho Luz Thomazi</v>
      </c>
      <c r="G96">
        <v>4</v>
      </c>
      <c r="H96">
        <v>0</v>
      </c>
      <c r="I96">
        <v>0</v>
      </c>
      <c r="J96">
        <v>0</v>
      </c>
      <c r="R96" t="str">
        <v/>
      </c>
      <c r="S96" t="str">
        <v/>
      </c>
    </row>
    <row r="97" spans="1:19" x14ac:dyDescent="0.25">
      <c r="A97">
        <v>2026</v>
      </c>
      <c r="B97" t="str">
        <v>2026-054</v>
      </c>
      <c r="C97" t="str">
        <v>A realizar</v>
      </c>
      <c r="D97" t="str">
        <v>Café e Tertúlia: Encerramento da Semana da Saúde</v>
      </c>
      <c r="E97">
        <v>2</v>
      </c>
      <c r="F97" t="str">
        <v>Gabriel Heller</v>
      </c>
      <c r="G97">
        <v>4</v>
      </c>
      <c r="H97">
        <v>0</v>
      </c>
      <c r="I97">
        <v>0</v>
      </c>
      <c r="J97">
        <v>0</v>
      </c>
      <c r="R97" t="str">
        <v/>
      </c>
      <c r="S97" t="str">
        <v/>
      </c>
    </row>
    <row r="98" spans="1:19" x14ac:dyDescent="0.25">
      <c r="A98">
        <v>2026</v>
      </c>
      <c r="B98" t="str">
        <v>2026-054</v>
      </c>
      <c r="C98" t="str">
        <v>A realizar</v>
      </c>
      <c r="D98" t="str">
        <v>Café e Tertúlia: Encerramento da Semana da Saúde</v>
      </c>
      <c r="E98">
        <v>2</v>
      </c>
      <c r="F98" t="str">
        <v>Isac Mendes Caixeta de Pamplona Araújo</v>
      </c>
      <c r="G98">
        <v>4</v>
      </c>
      <c r="H98">
        <v>0</v>
      </c>
      <c r="I98">
        <v>0</v>
      </c>
      <c r="J98">
        <v>0</v>
      </c>
      <c r="R98" t="str">
        <v/>
      </c>
      <c r="S98" t="str">
        <v/>
      </c>
    </row>
    <row r="99" spans="1:19" x14ac:dyDescent="0.25">
      <c r="A99">
        <v>2026</v>
      </c>
      <c r="B99" t="str">
        <v>2026-054</v>
      </c>
      <c r="C99" t="str">
        <v>A realizar</v>
      </c>
      <c r="D99" t="str">
        <v>Café e Tertúlia: Encerramento da Semana da Saúde</v>
      </c>
      <c r="E99">
        <v>2</v>
      </c>
      <c r="F99" t="str">
        <v>Valéria Feitoza</v>
      </c>
      <c r="G99">
        <v>4</v>
      </c>
      <c r="H99">
        <v>0</v>
      </c>
      <c r="I99">
        <v>0</v>
      </c>
      <c r="J99">
        <v>0</v>
      </c>
      <c r="R99" t="str">
        <v/>
      </c>
      <c r="S99" t="str">
        <v/>
      </c>
    </row>
    <row r="100" spans="1:19" x14ac:dyDescent="0.25">
      <c r="A100">
        <v>2026</v>
      </c>
      <c r="B100" t="str">
        <v>2026-055</v>
      </c>
      <c r="C100" t="str">
        <v>A realizar</v>
      </c>
      <c r="D100" t="str">
        <v>TCendo o Futuro</v>
      </c>
      <c r="E100">
        <v>4</v>
      </c>
      <c r="F100" t="str">
        <v>Adriana Cuoco Portugal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 x14ac:dyDescent="0.25">
      <c r="A101">
        <v>2026</v>
      </c>
      <c r="B101" t="str">
        <v>2026-055</v>
      </c>
      <c r="C101" t="str">
        <v>A realizar</v>
      </c>
      <c r="D101" t="str">
        <v>TCendo o Futuro</v>
      </c>
      <c r="E101">
        <v>4</v>
      </c>
      <c r="F101" t="str">
        <v>Cinthia Thais de Carvalho Luz Thomazi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 x14ac:dyDescent="0.25">
      <c r="A102">
        <v>2026</v>
      </c>
      <c r="B102" t="str">
        <v>2026-055</v>
      </c>
      <c r="C102" t="str">
        <v>A realizar</v>
      </c>
      <c r="D102" t="str">
        <v>TCendo o Futuro</v>
      </c>
      <c r="E102">
        <v>4</v>
      </c>
      <c r="F102" t="str">
        <v>Fernanda Viana de Souza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 x14ac:dyDescent="0.25">
      <c r="A103">
        <v>2026</v>
      </c>
      <c r="B103" t="str">
        <v>2026-055</v>
      </c>
      <c r="C103" t="str">
        <v>A realizar</v>
      </c>
      <c r="D103" t="str">
        <v>TCendo o Futuro</v>
      </c>
      <c r="E103">
        <v>4</v>
      </c>
      <c r="F103" t="str">
        <v>Luiz Felipe Tenório de Lima Gondim</v>
      </c>
      <c r="G103">
        <v>5</v>
      </c>
      <c r="H103">
        <v>4</v>
      </c>
      <c r="I103">
        <v>0.24</v>
      </c>
      <c r="J103">
        <v>4.24</v>
      </c>
      <c r="R103" t="str">
        <v/>
      </c>
      <c r="S103" t="str">
        <v/>
      </c>
    </row>
    <row r="104" spans="1:19" x14ac:dyDescent="0.25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Priscila Nolasco de Oliveira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 x14ac:dyDescent="0.25">
      <c r="A105">
        <v>2026</v>
      </c>
      <c r="B105" t="str">
        <v>2026-056</v>
      </c>
      <c r="C105" t="str">
        <v>A realizar</v>
      </c>
      <c r="D105" t="str">
        <v>TCendo o Futuro</v>
      </c>
      <c r="E105">
        <v>4</v>
      </c>
      <c r="F105" t="str">
        <v>Adriana Cuoco Portugal</v>
      </c>
      <c r="G105">
        <v>5</v>
      </c>
      <c r="H105">
        <v>4</v>
      </c>
      <c r="I105">
        <v>0.24</v>
      </c>
      <c r="J105">
        <v>4.24</v>
      </c>
      <c r="R105" t="str">
        <v/>
      </c>
      <c r="S105" t="str">
        <v/>
      </c>
    </row>
    <row r="106" spans="1:19" x14ac:dyDescent="0.25">
      <c r="A106">
        <v>2026</v>
      </c>
      <c r="B106" t="str">
        <v>2026-056</v>
      </c>
      <c r="C106" t="str">
        <v>A realizar</v>
      </c>
      <c r="D106" t="str">
        <v>TCendo o Futuro</v>
      </c>
      <c r="E106">
        <v>4</v>
      </c>
      <c r="F106" t="str">
        <v>Cinthia Thais de Carvalho Luz Thomazi</v>
      </c>
      <c r="G106">
        <v>5</v>
      </c>
      <c r="H106">
        <v>4</v>
      </c>
      <c r="I106">
        <v>0.24</v>
      </c>
      <c r="J106">
        <v>4.24</v>
      </c>
      <c r="R106" t="str">
        <v/>
      </c>
      <c r="S106" t="str">
        <v/>
      </c>
    </row>
    <row r="107" spans="1:19" x14ac:dyDescent="0.25">
      <c r="A107">
        <v>2026</v>
      </c>
      <c r="B107" t="str">
        <v>2026-056</v>
      </c>
      <c r="C107" t="str">
        <v>A realizar</v>
      </c>
      <c r="D107" t="str">
        <v>TCendo o Futuro</v>
      </c>
      <c r="E107">
        <v>4</v>
      </c>
      <c r="F107" t="str">
        <v>Fernanda Viana de Souza</v>
      </c>
      <c r="G107">
        <v>5</v>
      </c>
      <c r="H107">
        <v>4</v>
      </c>
      <c r="I107">
        <v>0.24</v>
      </c>
      <c r="J107">
        <v>4.24</v>
      </c>
      <c r="R107" t="str">
        <v/>
      </c>
      <c r="S107" t="str">
        <v/>
      </c>
    </row>
    <row r="108" spans="1:19" x14ac:dyDescent="0.25">
      <c r="A108">
        <v>2026</v>
      </c>
      <c r="B108" t="str">
        <v>2026-056</v>
      </c>
      <c r="C108" t="str">
        <v>A realizar</v>
      </c>
      <c r="D108" t="str">
        <v>TCendo o Futuro</v>
      </c>
      <c r="E108">
        <v>4</v>
      </c>
      <c r="F108" t="str">
        <v>Luiz Felipe Tenório de Lima Gondim</v>
      </c>
      <c r="G108">
        <v>5</v>
      </c>
      <c r="H108">
        <v>4</v>
      </c>
      <c r="I108">
        <v>0.24</v>
      </c>
      <c r="J108">
        <v>4.24</v>
      </c>
      <c r="R108" t="str">
        <v/>
      </c>
      <c r="S108" t="str">
        <v/>
      </c>
    </row>
    <row r="109" spans="1:19" x14ac:dyDescent="0.25">
      <c r="A109">
        <v>2026</v>
      </c>
      <c r="B109" t="str">
        <v>2026-056</v>
      </c>
      <c r="C109" t="str">
        <v>A realizar</v>
      </c>
      <c r="D109" t="str">
        <v>TCendo o Futuro</v>
      </c>
      <c r="E109">
        <v>4</v>
      </c>
      <c r="F109" t="str">
        <v>Priscila Nolasco de Oliveira</v>
      </c>
      <c r="G109">
        <v>5</v>
      </c>
      <c r="H109">
        <v>4</v>
      </c>
      <c r="I109">
        <v>0.24</v>
      </c>
      <c r="J109">
        <v>4.24</v>
      </c>
      <c r="R109" t="str">
        <v/>
      </c>
      <c r="S109" t="str">
        <v/>
      </c>
    </row>
    <row r="110" spans="1:19" x14ac:dyDescent="0.25">
      <c r="A110">
        <v>2026</v>
      </c>
      <c r="B110" t="str">
        <v>2026-057</v>
      </c>
      <c r="C110" t="str">
        <v>A realizar</v>
      </c>
      <c r="D110" t="str">
        <v>Curso de formação sobre "Programa de Descentralização Progressiva das Ações de Saúde - PDPAS</v>
      </c>
      <c r="E110">
        <v>20</v>
      </c>
      <c r="F110" t="str">
        <v>Tarsila Firmino Ely</v>
      </c>
      <c r="G110">
        <v>4</v>
      </c>
      <c r="H110">
        <v>20</v>
      </c>
      <c r="I110">
        <v>3.6</v>
      </c>
      <c r="J110">
        <v>23.6</v>
      </c>
      <c r="R110" t="str">
        <v/>
      </c>
      <c r="S110" t="str">
        <v/>
      </c>
    </row>
    <row r="111" spans="1:19" x14ac:dyDescent="0.25">
      <c r="A111">
        <v>2026</v>
      </c>
      <c r="B111" t="str">
        <v>2026-057</v>
      </c>
      <c r="C111" t="str">
        <v>A realizar</v>
      </c>
      <c r="D111" t="str">
        <v>Curso de formação sobre "Programa de Descentralização Progressiva das Ações de Saúde - PDPAS</v>
      </c>
      <c r="E111">
        <v>20</v>
      </c>
      <c r="F111" t="str">
        <v>Sara Cristina Lins Ramos</v>
      </c>
      <c r="G111">
        <v>4</v>
      </c>
      <c r="H111">
        <v>8</v>
      </c>
      <c r="I111">
        <v>2.4</v>
      </c>
      <c r="J111">
        <v>10.4</v>
      </c>
      <c r="R111" t="str">
        <v/>
      </c>
      <c r="S111" t="str">
        <v/>
      </c>
    </row>
    <row r="112" spans="1:19" x14ac:dyDescent="0.25">
      <c r="A112">
        <v>2026</v>
      </c>
      <c r="B112" t="str">
        <v>2026-057</v>
      </c>
      <c r="C112" t="str">
        <v>A realizar</v>
      </c>
      <c r="D112" t="str">
        <v>Curso de formação sobre "Programa de Descentralização Progressiva das Ações de Saúde - PDPAS</v>
      </c>
      <c r="E112">
        <v>20</v>
      </c>
      <c r="F112" t="str">
        <v>Carina de Souza Mariuba Herthel</v>
      </c>
      <c r="G112">
        <v>4</v>
      </c>
      <c r="H112">
        <v>8</v>
      </c>
      <c r="I112">
        <v>2.4</v>
      </c>
      <c r="J112">
        <v>10.4</v>
      </c>
      <c r="R112" t="str">
        <v/>
      </c>
      <c r="S112" t="str">
        <v/>
      </c>
    </row>
    <row r="113" spans="1:19" x14ac:dyDescent="0.25">
      <c r="A113">
        <v>2026</v>
      </c>
      <c r="B113" t="str">
        <v>2026-057</v>
      </c>
      <c r="C113" t="str">
        <v>A realizar</v>
      </c>
      <c r="D113" t="str">
        <v>Curso de formação sobre "Programa de Descentralização Progressiva das Ações de Saúde - PDPAS</v>
      </c>
      <c r="E113">
        <v>20</v>
      </c>
      <c r="F113" t="str">
        <v>Elvis Aaron Teixeira dos Santos Lima</v>
      </c>
      <c r="G113">
        <v>4</v>
      </c>
      <c r="H113">
        <v>0</v>
      </c>
      <c r="I113">
        <v>0</v>
      </c>
      <c r="J113">
        <v>0</v>
      </c>
      <c r="R113" t="str">
        <v/>
      </c>
      <c r="S113" t="str">
        <v/>
      </c>
    </row>
    <row r="114" spans="1:19" x14ac:dyDescent="0.25">
      <c r="A114">
        <v>2026</v>
      </c>
      <c r="B114" t="str">
        <v>2026-059</v>
      </c>
      <c r="C114" t="str">
        <v>A realizar</v>
      </c>
      <c r="D114" t="str">
        <v>TCendo o Futuro</v>
      </c>
      <c r="E114">
        <v>4</v>
      </c>
      <c r="F114" t="str">
        <v>Adriana Cuoco Portugal</v>
      </c>
      <c r="G114">
        <v>5</v>
      </c>
      <c r="H114">
        <v>0</v>
      </c>
      <c r="I114">
        <v>0</v>
      </c>
      <c r="J114">
        <v>0</v>
      </c>
      <c r="R114" t="str">
        <v/>
      </c>
      <c r="S114" t="str">
        <v/>
      </c>
    </row>
    <row r="115" spans="1:19" x14ac:dyDescent="0.25">
      <c r="A115">
        <v>2026</v>
      </c>
      <c r="B115" t="str">
        <v>2026-059</v>
      </c>
      <c r="C115" t="str">
        <v>A realizar</v>
      </c>
      <c r="D115" t="str">
        <v>TCendo o Futuro</v>
      </c>
      <c r="E115">
        <v>4</v>
      </c>
      <c r="F115" t="str">
        <v>Cinthia Thais de Carvalho Luz Thomazi</v>
      </c>
      <c r="G115">
        <v>5</v>
      </c>
      <c r="H115">
        <v>4</v>
      </c>
      <c r="I115">
        <v>1.2</v>
      </c>
      <c r="J115">
        <v>5.2</v>
      </c>
      <c r="R115" t="str">
        <v/>
      </c>
      <c r="S115" t="str">
        <v/>
      </c>
    </row>
    <row r="116" spans="1:19" x14ac:dyDescent="0.25">
      <c r="A116">
        <v>2026</v>
      </c>
      <c r="B116" t="str">
        <v>2026-059</v>
      </c>
      <c r="C116" t="str">
        <v>A realizar</v>
      </c>
      <c r="D116" t="str">
        <v>TCendo o Futuro</v>
      </c>
      <c r="E116">
        <v>4</v>
      </c>
      <c r="F116" t="str">
        <v>Fernanda Viana de Souza</v>
      </c>
      <c r="G116">
        <v>5</v>
      </c>
      <c r="H116">
        <v>4</v>
      </c>
      <c r="I116">
        <v>1.2</v>
      </c>
      <c r="J116">
        <v>5.2</v>
      </c>
      <c r="R116" t="str">
        <v/>
      </c>
      <c r="S116" t="str">
        <v/>
      </c>
    </row>
    <row r="117" spans="1:19" x14ac:dyDescent="0.25">
      <c r="A117">
        <v>2026</v>
      </c>
      <c r="B117" t="str">
        <v>2026-059</v>
      </c>
      <c r="C117" t="str">
        <v>A realizar</v>
      </c>
      <c r="D117" t="str">
        <v>TCendo o Futuro</v>
      </c>
      <c r="E117">
        <v>4</v>
      </c>
      <c r="F117" t="str">
        <v>Luiz Felipe Tenório de Lima Gondim</v>
      </c>
      <c r="G117">
        <v>5</v>
      </c>
      <c r="H117">
        <v>4</v>
      </c>
      <c r="I117">
        <v>1.2</v>
      </c>
      <c r="J117">
        <v>5.2</v>
      </c>
      <c r="R117" t="str">
        <v/>
      </c>
      <c r="S117" t="str">
        <v/>
      </c>
    </row>
    <row r="118" spans="1:19" x14ac:dyDescent="0.25">
      <c r="A118">
        <v>2026</v>
      </c>
      <c r="B118" t="str">
        <v>2026-059</v>
      </c>
      <c r="C118" t="str">
        <v>A realizar</v>
      </c>
      <c r="D118" t="str">
        <v>TCendo o Futuro</v>
      </c>
      <c r="E118">
        <v>4</v>
      </c>
      <c r="F118" t="str">
        <v>Priscila Nolasco de Oliveira</v>
      </c>
      <c r="G118">
        <v>5</v>
      </c>
      <c r="H118">
        <v>4</v>
      </c>
      <c r="I118">
        <v>1.2</v>
      </c>
      <c r="J118">
        <v>5.2</v>
      </c>
      <c r="R118" t="str">
        <v/>
      </c>
      <c r="S118" t="str">
        <v/>
      </c>
    </row>
    <row r="119" spans="1:19" x14ac:dyDescent="0.25">
      <c r="A119">
        <v>2026</v>
      </c>
      <c r="B119" t="str">
        <v>2026-060</v>
      </c>
      <c r="C119" t="str">
        <v>A realizar</v>
      </c>
      <c r="D119" t="str">
        <v>TCendo o Futuro</v>
      </c>
      <c r="E119">
        <v>4</v>
      </c>
      <c r="F119" t="str">
        <v>Adriana Cuoco Portugal</v>
      </c>
      <c r="G119">
        <v>5</v>
      </c>
      <c r="H119">
        <v>4</v>
      </c>
      <c r="I119">
        <v>1.2</v>
      </c>
      <c r="J119">
        <v>5.2</v>
      </c>
      <c r="R119" t="str">
        <v/>
      </c>
      <c r="S119" t="str">
        <v/>
      </c>
    </row>
    <row r="120" spans="1:19" x14ac:dyDescent="0.25">
      <c r="A120">
        <v>2026</v>
      </c>
      <c r="B120" t="str">
        <v>2026-060</v>
      </c>
      <c r="C120" t="str">
        <v>A realizar</v>
      </c>
      <c r="D120" t="str">
        <v>TCendo o Futuro</v>
      </c>
      <c r="E120">
        <v>4</v>
      </c>
      <c r="F120" t="str">
        <v>Cinthia Thais de Carvalho Luz Thomazi</v>
      </c>
      <c r="G120">
        <v>5</v>
      </c>
      <c r="H120">
        <v>4</v>
      </c>
      <c r="I120">
        <v>1.2</v>
      </c>
      <c r="J120">
        <v>5.2</v>
      </c>
      <c r="R120" t="str">
        <v/>
      </c>
      <c r="S120" t="str">
        <v/>
      </c>
    </row>
    <row r="121" spans="1:19" x14ac:dyDescent="0.25">
      <c r="A121">
        <v>2026</v>
      </c>
      <c r="B121" t="str">
        <v>2026-060</v>
      </c>
      <c r="C121" t="str">
        <v>A realizar</v>
      </c>
      <c r="D121" t="str">
        <v>TCendo o Futuro</v>
      </c>
      <c r="E121">
        <v>4</v>
      </c>
      <c r="F121" t="str">
        <v>Fernanda Viana de Souza</v>
      </c>
      <c r="G121">
        <v>5</v>
      </c>
      <c r="H121">
        <v>4</v>
      </c>
      <c r="I121">
        <v>1.2</v>
      </c>
      <c r="J121">
        <v>5.2</v>
      </c>
      <c r="R121" t="str">
        <v/>
      </c>
      <c r="S121" t="str">
        <v/>
      </c>
    </row>
    <row r="122" spans="1:19" x14ac:dyDescent="0.25">
      <c r="A122">
        <v>2026</v>
      </c>
      <c r="B122" t="str">
        <v>2026-060</v>
      </c>
      <c r="C122" t="str">
        <v>A realizar</v>
      </c>
      <c r="D122" t="str">
        <v>TCendo o Futuro</v>
      </c>
      <c r="E122">
        <v>4</v>
      </c>
      <c r="F122" t="str">
        <v>Luiz Felipe Tenório de Lima Gondim</v>
      </c>
      <c r="G122">
        <v>5</v>
      </c>
      <c r="H122">
        <v>4</v>
      </c>
      <c r="I122">
        <v>1.2</v>
      </c>
      <c r="J122">
        <v>5.2</v>
      </c>
      <c r="R122" t="str">
        <v/>
      </c>
      <c r="S122" t="str">
        <v/>
      </c>
    </row>
    <row r="123" spans="1:19" x14ac:dyDescent="0.25">
      <c r="A123">
        <v>2026</v>
      </c>
      <c r="B123" t="str">
        <v>2026-060</v>
      </c>
      <c r="C123" t="str">
        <v>A realizar</v>
      </c>
      <c r="D123" t="str">
        <v>TCendo o Futuro</v>
      </c>
      <c r="E123">
        <v>4</v>
      </c>
      <c r="F123" t="str">
        <v>Priscila Nolasco de Oliveira</v>
      </c>
      <c r="G123">
        <v>5</v>
      </c>
      <c r="H123">
        <v>4</v>
      </c>
      <c r="I123">
        <v>1.2</v>
      </c>
      <c r="J123">
        <v>5.2</v>
      </c>
      <c r="R123" t="str">
        <v/>
      </c>
      <c r="S123" t="str">
        <v/>
      </c>
    </row>
    <row r="124" spans="1:19" x14ac:dyDescent="0.25">
      <c r="A124">
        <v>2026</v>
      </c>
      <c r="B124" t="str">
        <v>2026-061</v>
      </c>
      <c r="C124" t="str">
        <v>A realizar</v>
      </c>
      <c r="D124" t="str">
        <v>TCendo o Futuro</v>
      </c>
      <c r="E124">
        <v>4</v>
      </c>
      <c r="F124" t="str">
        <v>Adriana Cuoco Portugal</v>
      </c>
      <c r="G124">
        <v>5</v>
      </c>
      <c r="H124">
        <v>4</v>
      </c>
      <c r="I124">
        <v>1.2</v>
      </c>
      <c r="J124">
        <v>5.2</v>
      </c>
      <c r="R124" t="str">
        <v/>
      </c>
      <c r="S124" t="str">
        <v/>
      </c>
    </row>
    <row r="125" spans="1:19" x14ac:dyDescent="0.25">
      <c r="A125">
        <v>2026</v>
      </c>
      <c r="B125" t="str">
        <v>2026-061</v>
      </c>
      <c r="C125" t="str">
        <v>A realizar</v>
      </c>
      <c r="D125" t="str">
        <v>TCendo o Futuro</v>
      </c>
      <c r="E125">
        <v>4</v>
      </c>
      <c r="F125" t="str">
        <v>Cinthia Thais de Carvalho Luz Thomazi</v>
      </c>
      <c r="G125">
        <v>5</v>
      </c>
      <c r="H125">
        <v>4</v>
      </c>
      <c r="I125">
        <v>1.2</v>
      </c>
      <c r="J125">
        <v>5.2</v>
      </c>
      <c r="R125" t="str">
        <v/>
      </c>
      <c r="S125" t="str">
        <v/>
      </c>
    </row>
    <row r="126" spans="1:19" x14ac:dyDescent="0.25">
      <c r="A126">
        <v>2026</v>
      </c>
      <c r="B126" t="str">
        <v>2026-061</v>
      </c>
      <c r="C126" t="str">
        <v>A realizar</v>
      </c>
      <c r="D126" t="str">
        <v>TCendo o Futuro</v>
      </c>
      <c r="E126">
        <v>4</v>
      </c>
      <c r="F126" t="str">
        <v>Fernanda Viana de Souza</v>
      </c>
      <c r="G126">
        <v>5</v>
      </c>
      <c r="H126">
        <v>4</v>
      </c>
      <c r="I126">
        <v>1.2</v>
      </c>
      <c r="J126">
        <v>5.2</v>
      </c>
      <c r="R126" t="str">
        <v/>
      </c>
      <c r="S126" t="str">
        <v/>
      </c>
    </row>
    <row r="127" spans="1:19" x14ac:dyDescent="0.25">
      <c r="A127">
        <v>2026</v>
      </c>
      <c r="B127" t="str">
        <v>2026-061</v>
      </c>
      <c r="C127" t="str">
        <v>A realizar</v>
      </c>
      <c r="D127" t="str">
        <v>TCendo o Futuro</v>
      </c>
      <c r="E127">
        <v>4</v>
      </c>
      <c r="F127" t="str">
        <v>Luiz Felipe Tenório de Lima Gondim</v>
      </c>
      <c r="G127">
        <v>5</v>
      </c>
      <c r="H127">
        <v>4</v>
      </c>
      <c r="I127">
        <v>1.2</v>
      </c>
      <c r="J127">
        <v>5.2</v>
      </c>
      <c r="R127" t="str">
        <v/>
      </c>
      <c r="S127" t="str">
        <v/>
      </c>
    </row>
    <row r="128" spans="1:19" x14ac:dyDescent="0.25">
      <c r="A128">
        <v>2026</v>
      </c>
      <c r="B128" t="str">
        <v>2026-061</v>
      </c>
      <c r="C128" t="str">
        <v>A realizar</v>
      </c>
      <c r="D128" t="str">
        <v>TCendo o Futuro</v>
      </c>
      <c r="E128">
        <v>4</v>
      </c>
      <c r="F128" t="str">
        <v>Priscila Nolasco de Oliveira</v>
      </c>
      <c r="G128">
        <v>5</v>
      </c>
      <c r="H128">
        <v>4</v>
      </c>
      <c r="I128">
        <v>1.2</v>
      </c>
      <c r="J128">
        <v>5.2</v>
      </c>
      <c r="R128" t="str">
        <v/>
      </c>
      <c r="S128" t="str">
        <v/>
      </c>
    </row>
    <row r="129" spans="1:19" x14ac:dyDescent="0.25">
      <c r="A129">
        <v>2026</v>
      </c>
      <c r="B129" t="str">
        <v>2026-062</v>
      </c>
      <c r="C129" t="str">
        <v>A realizar</v>
      </c>
      <c r="D129" t="str">
        <v>TCendo o Futuro</v>
      </c>
      <c r="E129">
        <v>4</v>
      </c>
      <c r="F129" t="str">
        <v>Adriana Cuoco Portugal</v>
      </c>
      <c r="G129">
        <v>5</v>
      </c>
      <c r="H129">
        <v>4</v>
      </c>
      <c r="I129">
        <v>1.2</v>
      </c>
      <c r="J129">
        <v>5.2</v>
      </c>
      <c r="R129" t="str">
        <v/>
      </c>
      <c r="S129" t="str">
        <v/>
      </c>
    </row>
    <row r="130" spans="1:19" x14ac:dyDescent="0.25">
      <c r="A130">
        <v>2026</v>
      </c>
      <c r="B130" t="str">
        <v>2026-062</v>
      </c>
      <c r="C130" t="str">
        <v>A realizar</v>
      </c>
      <c r="D130" t="str">
        <v>TCendo o Futuro</v>
      </c>
      <c r="E130">
        <v>4</v>
      </c>
      <c r="F130" t="str">
        <v>Cinthia Thais de Carvalho Luz Thomazi</v>
      </c>
      <c r="G130">
        <v>5</v>
      </c>
      <c r="H130">
        <v>4</v>
      </c>
      <c r="I130">
        <v>1.2</v>
      </c>
      <c r="J130">
        <v>5.2</v>
      </c>
      <c r="R130" t="str">
        <v/>
      </c>
      <c r="S130" t="str">
        <v/>
      </c>
    </row>
    <row r="131" spans="1:19" x14ac:dyDescent="0.25">
      <c r="A131">
        <v>2026</v>
      </c>
      <c r="B131" t="str">
        <v>2026-062</v>
      </c>
      <c r="C131" t="str">
        <v>A realizar</v>
      </c>
      <c r="D131" t="str">
        <v>TCendo o Futuro</v>
      </c>
      <c r="E131">
        <v>4</v>
      </c>
      <c r="F131" t="str">
        <v>Fernanda Viana de Souza</v>
      </c>
      <c r="G131">
        <v>5</v>
      </c>
      <c r="H131">
        <v>4</v>
      </c>
      <c r="I131">
        <v>1.2</v>
      </c>
      <c r="J131">
        <v>5.2</v>
      </c>
      <c r="R131" t="str">
        <v/>
      </c>
      <c r="S131" t="str">
        <v/>
      </c>
    </row>
    <row r="132" spans="1:19" x14ac:dyDescent="0.25">
      <c r="A132">
        <v>2026</v>
      </c>
      <c r="B132" t="str">
        <v>2026-062</v>
      </c>
      <c r="C132" t="str">
        <v>A realizar</v>
      </c>
      <c r="D132" t="str">
        <v>TCendo o Futuro</v>
      </c>
      <c r="E132">
        <v>4</v>
      </c>
      <c r="F132" t="str">
        <v>Luiz Felipe Tenório de Lima Gondim</v>
      </c>
      <c r="G132">
        <v>5</v>
      </c>
      <c r="H132">
        <v>4</v>
      </c>
      <c r="I132">
        <v>1.2</v>
      </c>
      <c r="J132">
        <v>5.2</v>
      </c>
      <c r="R132" t="str">
        <v/>
      </c>
      <c r="S132" t="str">
        <v/>
      </c>
    </row>
    <row r="133" spans="1:19" x14ac:dyDescent="0.25">
      <c r="A133">
        <v>2026</v>
      </c>
      <c r="B133" t="str">
        <v>2026-062</v>
      </c>
      <c r="C133" t="str">
        <v>A realizar</v>
      </c>
      <c r="D133" t="str">
        <v>TCendo o Futuro</v>
      </c>
      <c r="E133">
        <v>4</v>
      </c>
      <c r="F133" t="str">
        <v>Priscila Nolasco de Oliveira</v>
      </c>
      <c r="G133">
        <v>5</v>
      </c>
      <c r="H133">
        <v>4</v>
      </c>
      <c r="I133">
        <v>1.2</v>
      </c>
      <c r="J133">
        <v>5.2</v>
      </c>
      <c r="R133" t="str">
        <v/>
      </c>
      <c r="S133" t="str">
        <v/>
      </c>
    </row>
    <row r="134" spans="1:19" x14ac:dyDescent="0.25">
      <c r="A134">
        <v>2026</v>
      </c>
      <c r="B134" t="str">
        <v>2026-066</v>
      </c>
      <c r="C134" t="str">
        <v>A realizar</v>
      </c>
      <c r="D134" t="str">
        <v>Contratações de TIC com base na jurisprudência do TCDF - EAD</v>
      </c>
      <c r="E134">
        <v>17.45</v>
      </c>
      <c r="F134" t="str">
        <v>Flávio José Fonseca de Souza</v>
      </c>
      <c r="G134">
        <v>2</v>
      </c>
      <c r="H134">
        <v>0</v>
      </c>
      <c r="I134">
        <v>34.9</v>
      </c>
      <c r="J134">
        <v>34.9</v>
      </c>
      <c r="R134" t="str">
        <v/>
      </c>
      <c r="S134" t="str">
        <v/>
      </c>
    </row>
    <row r="135" spans="1:19" x14ac:dyDescent="0.25">
      <c r="A135">
        <v>2026</v>
      </c>
      <c r="B135" t="str">
        <v>2026-066</v>
      </c>
      <c r="C135" t="str">
        <v>A realizar</v>
      </c>
      <c r="D135" t="str">
        <v>Contratações de TIC com base na jurisprudência do TCDF - EAD</v>
      </c>
      <c r="E135">
        <v>17.45</v>
      </c>
      <c r="F135" t="str">
        <v>Felipe da Costa Malaquias</v>
      </c>
      <c r="G135">
        <v>2</v>
      </c>
      <c r="H135">
        <v>0</v>
      </c>
      <c r="I135">
        <v>34.9</v>
      </c>
      <c r="J135">
        <v>34.9</v>
      </c>
      <c r="R135" t="str">
        <v/>
      </c>
      <c r="S135" t="str">
        <v/>
      </c>
    </row>
    <row r="136" spans="1:19" x14ac:dyDescent="0.25">
      <c r="A136">
        <v>2026</v>
      </c>
      <c r="B136" t="str">
        <v>2026-068</v>
      </c>
      <c r="C136" t="str">
        <v>A realizar</v>
      </c>
      <c r="D136" t="str">
        <v>Oficina Temática - SEMAT: Matriz de Riscos em contratos de obras e serviços de engenharia</v>
      </c>
      <c r="E136">
        <v>4</v>
      </c>
      <c r="F136" t="str">
        <v>Silvia Lima Damasceno Carvalho</v>
      </c>
      <c r="G136">
        <v>2</v>
      </c>
      <c r="H136">
        <v>4</v>
      </c>
      <c r="I136">
        <v>1.2</v>
      </c>
      <c r="J136">
        <v>5.2</v>
      </c>
      <c r="R136" t="str">
        <v/>
      </c>
      <c r="S136" t="str">
        <v/>
      </c>
    </row>
    <row r="137" spans="1:19" x14ac:dyDescent="0.25">
      <c r="A137">
        <v>2026</v>
      </c>
      <c r="B137" t="str">
        <v>2026-068</v>
      </c>
      <c r="C137" t="str">
        <v>A realizar</v>
      </c>
      <c r="D137" t="str">
        <v>Oficina Temática - SEMAT: Matriz de Riscos em contratos de obras e serviços de engenharia</v>
      </c>
      <c r="E137">
        <v>4</v>
      </c>
      <c r="F137" t="str">
        <v>Renan Dias da Silva</v>
      </c>
      <c r="G137">
        <v>2</v>
      </c>
      <c r="H137">
        <v>4</v>
      </c>
      <c r="I137">
        <v>1.2</v>
      </c>
      <c r="J137">
        <v>5.2</v>
      </c>
      <c r="R137" t="str">
        <v/>
      </c>
      <c r="S137" t="str">
        <v/>
      </c>
    </row>
    <row r="138" spans="1:19" x14ac:dyDescent="0.25">
      <c r="R138" t="str">
        <v/>
      </c>
      <c r="S138" t="str">
        <v/>
      </c>
    </row>
    <row r="139" spans="1:19" x14ac:dyDescent="0.25">
      <c r="R139" t="str">
        <v/>
      </c>
      <c r="S139" t="str">
        <v/>
      </c>
    </row>
    <row r="140" spans="1:19" x14ac:dyDescent="0.25">
      <c r="R140" t="str">
        <v/>
      </c>
      <c r="S140" t="str">
        <v/>
      </c>
    </row>
    <row r="141" spans="1:19" x14ac:dyDescent="0.25">
      <c r="R141" t="str">
        <v/>
      </c>
      <c r="S141" t="str">
        <v/>
      </c>
    </row>
    <row r="142" spans="1:19" x14ac:dyDescent="0.25">
      <c r="R142" t="str">
        <v/>
      </c>
      <c r="S142" t="str">
        <v/>
      </c>
    </row>
    <row r="143" spans="1:19" x14ac:dyDescent="0.25">
      <c r="R143" t="str">
        <v/>
      </c>
      <c r="S143" t="str">
        <v/>
      </c>
    </row>
    <row r="144" spans="1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126" t="s">
        <v>2344</v>
      </c>
      <c r="B1" s="126"/>
      <c r="C1" s="126"/>
      <c r="D1" s="126"/>
      <c r="E1" s="126"/>
      <c r="F1" s="126"/>
      <c r="G1" s="126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127" t="s">
        <v>2345</v>
      </c>
      <c r="B4" s="128"/>
      <c r="D4" s="129" t="s">
        <v>2346</v>
      </c>
      <c r="E4" s="130"/>
      <c r="G4" s="45" t="s">
        <v>2347</v>
      </c>
    </row>
    <row r="5" spans="1:7" ht="54.95" customHeight="1" thickBot="1" x14ac:dyDescent="0.75">
      <c r="A5" s="35">
        <f>COUNTIF('Ações InCompany'!B:B,2026)</f>
        <v>73</v>
      </c>
      <c r="B5" s="36" t="s">
        <v>2348</v>
      </c>
      <c r="D5" s="43">
        <f>COUNTIFS('Ações InCompany'!B:B,2026,'Ações InCompany'!C:C,"Realizado")</f>
        <v>37</v>
      </c>
      <c r="E5" s="44" t="s">
        <v>2348</v>
      </c>
      <c r="G5" s="46">
        <f>COUNTIFS('Ações InCompany'!B:B,2026,'Ações InCompany'!C:C,"A realizar")</f>
        <v>27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124" t="s">
        <v>2349</v>
      </c>
      <c r="B8" s="124"/>
      <c r="D8" s="124" t="s">
        <v>2350</v>
      </c>
      <c r="E8" s="124"/>
    </row>
    <row r="9" spans="1:7" ht="5.0999999999999996" customHeight="1" x14ac:dyDescent="0.25">
      <c r="A9" s="125"/>
      <c r="B9" s="125"/>
      <c r="D9" s="125"/>
      <c r="E9" s="125"/>
    </row>
    <row r="10" spans="1:7" ht="24.95" customHeight="1" x14ac:dyDescent="0.25">
      <c r="A10" s="28" t="s">
        <v>5</v>
      </c>
      <c r="B10" s="28" t="s">
        <v>2351</v>
      </c>
      <c r="D10" s="28" t="s">
        <v>2352</v>
      </c>
      <c r="E10" s="28" t="s">
        <v>2353</v>
      </c>
    </row>
    <row r="11" spans="1:7" ht="27.95" customHeight="1" x14ac:dyDescent="0.3">
      <c r="A11" s="29" t="s">
        <v>22</v>
      </c>
      <c r="B11" s="30">
        <f>COUNTIFS('Ações InCompany'!B:B,2026,'Ações InCompany'!C:C,"Realizado",'Ações InCompany'!F:F,"Servidores do TCDF")</f>
        <v>17</v>
      </c>
      <c r="D11" s="29" t="s">
        <v>2354</v>
      </c>
      <c r="E11" s="30">
        <f>SUMIFS('Ações InCompany'!O:O,'Ações InCompany'!B:B,2026,'Ações InCompany'!C:C,"Realizado")</f>
        <v>535</v>
      </c>
    </row>
    <row r="12" spans="1:7" ht="27.95" customHeight="1" x14ac:dyDescent="0.3">
      <c r="A12" s="31" t="s">
        <v>51</v>
      </c>
      <c r="B12" s="32">
        <f>COUNTIFS('Ações InCompany'!B:B,2026,'Ações InCompany'!C:C,"Realizado",'Ações InCompany'!F:F,"Jurisdicionados")</f>
        <v>13</v>
      </c>
      <c r="D12" s="31" t="s">
        <v>2355</v>
      </c>
      <c r="E12" s="32">
        <f>SUMIFS('Ações InCompany'!P:P,'Ações InCompany'!B:B,2026,'Ações InCompany'!C:C,"Realizado")</f>
        <v>808</v>
      </c>
    </row>
    <row r="13" spans="1:7" ht="27.95" customHeight="1" x14ac:dyDescent="0.3">
      <c r="A13" s="29" t="s">
        <v>66</v>
      </c>
      <c r="B13" s="30">
        <f>COUNTIFS('Ações InCompany'!B:B,2026,'Ações InCompany'!C:C,"Realizado",'Ações InCompany'!F:F,"Sociedade")</f>
        <v>7</v>
      </c>
      <c r="D13" s="29" t="s">
        <v>2356</v>
      </c>
      <c r="E13" s="30">
        <f>SUMIFS('Ações InCompany'!Q:Q,'Ações InCompany'!B:B,2026,'Ações InCompany'!C:C,"Realizado")</f>
        <v>481</v>
      </c>
    </row>
    <row r="14" spans="1:7" ht="27.95" customHeight="1" x14ac:dyDescent="0.3">
      <c r="A14" s="33" t="s">
        <v>2357</v>
      </c>
      <c r="B14" s="34">
        <f>SUM(B11:B13)</f>
        <v>37</v>
      </c>
      <c r="D14" s="33" t="s">
        <v>2358</v>
      </c>
      <c r="E14" s="34">
        <f>SUM(E11:E13)</f>
        <v>1824</v>
      </c>
    </row>
    <row r="30" spans="1:5" ht="17.25" x14ac:dyDescent="0.3">
      <c r="A30" s="124" t="s">
        <v>2359</v>
      </c>
      <c r="B30" s="124"/>
      <c r="C30" s="124"/>
      <c r="D30" s="124"/>
      <c r="E30" s="124"/>
    </row>
    <row r="31" spans="1:5" ht="5.0999999999999996" customHeight="1" x14ac:dyDescent="0.25">
      <c r="A31" s="125"/>
      <c r="B31" s="125"/>
      <c r="C31" s="125"/>
      <c r="D31" s="125"/>
      <c r="E31" s="125"/>
    </row>
    <row r="32" spans="1:5" ht="24.95" customHeight="1" x14ac:dyDescent="0.25">
      <c r="A32" s="28" t="s">
        <v>6</v>
      </c>
      <c r="B32" s="28" t="s">
        <v>2360</v>
      </c>
      <c r="C32" s="28" t="s">
        <v>2361</v>
      </c>
      <c r="D32" s="28" t="s">
        <v>2362</v>
      </c>
      <c r="E32" s="28" t="s">
        <v>2363</v>
      </c>
    </row>
    <row r="33" spans="1:5" ht="24" customHeight="1" x14ac:dyDescent="0.25">
      <c r="A33" s="29" t="s">
        <v>59</v>
      </c>
      <c r="B33" s="37">
        <f>COUNTIFS('Ações InCompany'!B:B,2026,'Ações InCompany'!C:C,"Realizado",'Ações InCompany'!G:G,A33)</f>
        <v>7</v>
      </c>
      <c r="C33" s="47">
        <f>COUNTIFS('Ações InCompany'!B:B,2026,'Ações InCompany'!C:C,"A realizar",'Ações InCompany'!G:G,A33)</f>
        <v>14</v>
      </c>
      <c r="D33" s="37">
        <f t="shared" ref="D33:D44" si="0">B33+C33</f>
        <v>21</v>
      </c>
      <c r="E33" s="38">
        <f t="shared" ref="E33:E44" si="1">D33/$D$45</f>
        <v>0.328125</v>
      </c>
    </row>
    <row r="34" spans="1:5" ht="24" customHeight="1" x14ac:dyDescent="0.25">
      <c r="A34" s="31" t="s">
        <v>34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0</v>
      </c>
      <c r="D34" s="39">
        <f t="shared" si="0"/>
        <v>3</v>
      </c>
      <c r="E34" s="40">
        <f t="shared" si="1"/>
        <v>4.6875E-2</v>
      </c>
    </row>
    <row r="35" spans="1:5" ht="24" customHeight="1" x14ac:dyDescent="0.25">
      <c r="A35" s="29" t="s">
        <v>2057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1</v>
      </c>
      <c r="D35" s="37">
        <f t="shared" si="0"/>
        <v>6</v>
      </c>
      <c r="E35" s="38">
        <f t="shared" si="1"/>
        <v>9.375E-2</v>
      </c>
    </row>
    <row r="36" spans="1:5" ht="24" customHeight="1" x14ac:dyDescent="0.25">
      <c r="A36" s="31" t="s">
        <v>2041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3.125E-2</v>
      </c>
    </row>
    <row r="37" spans="1:5" ht="24" customHeight="1" x14ac:dyDescent="0.25">
      <c r="A37" s="29" t="s">
        <v>157</v>
      </c>
      <c r="B37" s="37">
        <f>COUNTIFS('Ações InCompany'!B:B,2026,'Ações InCompany'!C:C,"Realizado",'Ações InCompany'!G:G,A37)</f>
        <v>2</v>
      </c>
      <c r="C37" s="47">
        <f>COUNTIFS('Ações InCompany'!B:B,2026,'Ações InCompany'!C:C,"A realizar",'Ações InCompany'!G:G,A37)</f>
        <v>2</v>
      </c>
      <c r="D37" s="37">
        <f t="shared" si="0"/>
        <v>4</v>
      </c>
      <c r="E37" s="38">
        <f t="shared" si="1"/>
        <v>6.25E-2</v>
      </c>
    </row>
    <row r="38" spans="1:5" ht="24" customHeight="1" x14ac:dyDescent="0.25">
      <c r="A38" s="31" t="s">
        <v>2073</v>
      </c>
      <c r="B38" s="39">
        <f>COUNTIFS('Ações InCompany'!B:B,2026,'Ações InCompany'!C:C,"Realizado",'Ações InCompany'!G:G,A38)</f>
        <v>7</v>
      </c>
      <c r="C38" s="48">
        <f>COUNTIFS('Ações InCompany'!B:B,2026,'Ações InCompany'!C:C,"A realizar",'Ações InCompany'!G:G,A38)</f>
        <v>7</v>
      </c>
      <c r="D38" s="39">
        <f t="shared" si="0"/>
        <v>14</v>
      </c>
      <c r="E38" s="40">
        <f t="shared" si="1"/>
        <v>0.21875</v>
      </c>
    </row>
    <row r="39" spans="1:5" ht="24" customHeight="1" x14ac:dyDescent="0.25">
      <c r="A39" s="63" t="s">
        <v>23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6.25E-2</v>
      </c>
    </row>
    <row r="40" spans="1:5" ht="24" customHeight="1" x14ac:dyDescent="0.25">
      <c r="A40" s="75" t="s">
        <v>56</v>
      </c>
      <c r="B40" s="72">
        <f>COUNTIFS('Ações InCompany'!B:B,2026,'Ações InCompany'!C:C,"Realizado",'Ações InCompany'!G:G,A40)</f>
        <v>0</v>
      </c>
      <c r="C40" s="73">
        <f>COUNTIFS('Ações InCompany'!B:B,2026,'Ações InCompany'!C:C,"A realizar",'Ações InCompany'!G:G,A40)</f>
        <v>1</v>
      </c>
      <c r="D40" s="72">
        <f>B40+C40</f>
        <v>1</v>
      </c>
      <c r="E40" s="77">
        <f>D40/$D$45</f>
        <v>1.5625E-2</v>
      </c>
    </row>
    <row r="41" spans="1:5" ht="24" customHeight="1" x14ac:dyDescent="0.25">
      <c r="A41" s="74" t="s">
        <v>2036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0.109375</v>
      </c>
    </row>
    <row r="42" spans="1:5" ht="24" customHeight="1" x14ac:dyDescent="0.25">
      <c r="A42" s="75" t="s">
        <v>2364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283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3.125E-2</v>
      </c>
    </row>
    <row r="44" spans="1:5" ht="24" customHeight="1" x14ac:dyDescent="0.25">
      <c r="A44" s="67" t="s">
        <v>2365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2357</v>
      </c>
      <c r="B45" s="41">
        <f>SUM(B33:B44)</f>
        <v>37</v>
      </c>
      <c r="C45" s="41">
        <f>SUM(C33:C44)</f>
        <v>27</v>
      </c>
      <c r="D45" s="41">
        <f>SUM(D33:D44)</f>
        <v>64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2366</v>
      </c>
      <c r="B1" s="12" t="s">
        <v>2367</v>
      </c>
      <c r="C1" s="13" t="s">
        <v>2368</v>
      </c>
      <c r="D1" s="13" t="s">
        <v>2369</v>
      </c>
      <c r="E1" s="13" t="s">
        <v>2370</v>
      </c>
    </row>
    <row r="2" spans="1:5" ht="18" customHeight="1" x14ac:dyDescent="0.25">
      <c r="A2" s="12" t="s">
        <v>2371</v>
      </c>
      <c r="B2" s="12" t="s">
        <v>2372</v>
      </c>
      <c r="C2" s="12" t="s">
        <v>1316</v>
      </c>
      <c r="D2" s="12" t="s">
        <v>2373</v>
      </c>
      <c r="E2" s="12" t="s">
        <v>2374</v>
      </c>
    </row>
    <row r="3" spans="1:5" ht="18" customHeight="1" x14ac:dyDescent="0.25">
      <c r="A3" s="12" t="s">
        <v>2371</v>
      </c>
      <c r="B3" s="12" t="s">
        <v>2372</v>
      </c>
      <c r="C3" s="14" t="s">
        <v>23</v>
      </c>
      <c r="D3" s="12" t="s">
        <v>2375</v>
      </c>
      <c r="E3" s="12" t="s">
        <v>2376</v>
      </c>
    </row>
    <row r="4" spans="1:5" ht="18" customHeight="1" x14ac:dyDescent="0.25">
      <c r="A4" s="12" t="s">
        <v>2371</v>
      </c>
      <c r="B4" s="12" t="s">
        <v>2372</v>
      </c>
      <c r="C4" s="12" t="s">
        <v>56</v>
      </c>
      <c r="D4" s="12" t="s">
        <v>2373</v>
      </c>
      <c r="E4" s="12" t="s">
        <v>2377</v>
      </c>
    </row>
    <row r="5" spans="1:5" ht="18" customHeight="1" x14ac:dyDescent="0.25">
      <c r="A5" s="12" t="s">
        <v>2371</v>
      </c>
      <c r="B5" s="12" t="s">
        <v>2372</v>
      </c>
      <c r="C5" s="12" t="s">
        <v>59</v>
      </c>
      <c r="D5" s="12" t="s">
        <v>2378</v>
      </c>
      <c r="E5" s="12" t="s">
        <v>2379</v>
      </c>
    </row>
    <row r="6" spans="1:5" ht="18" customHeight="1" x14ac:dyDescent="0.25">
      <c r="A6" s="12" t="s">
        <v>2371</v>
      </c>
      <c r="B6" s="12" t="s">
        <v>2372</v>
      </c>
      <c r="C6" s="12" t="s">
        <v>2073</v>
      </c>
      <c r="D6" s="12" t="s">
        <v>2380</v>
      </c>
      <c r="E6" s="12" t="s">
        <v>2381</v>
      </c>
    </row>
    <row r="7" spans="1:5" ht="18" customHeight="1" x14ac:dyDescent="0.25">
      <c r="A7" s="12" t="s">
        <v>2371</v>
      </c>
      <c r="B7" s="12" t="s">
        <v>2382</v>
      </c>
      <c r="C7" s="12" t="s">
        <v>30</v>
      </c>
      <c r="D7" s="12" t="s">
        <v>2383</v>
      </c>
      <c r="E7" s="12" t="s">
        <v>2384</v>
      </c>
    </row>
    <row r="8" spans="1:5" ht="18" customHeight="1" x14ac:dyDescent="0.25">
      <c r="A8" s="12" t="s">
        <v>2371</v>
      </c>
      <c r="B8" s="12" t="s">
        <v>2382</v>
      </c>
      <c r="C8" s="12" t="s">
        <v>34</v>
      </c>
      <c r="D8" s="12" t="s">
        <v>2385</v>
      </c>
      <c r="E8" s="12" t="s">
        <v>2386</v>
      </c>
    </row>
    <row r="9" spans="1:5" ht="18" customHeight="1" x14ac:dyDescent="0.25">
      <c r="A9" s="12" t="s">
        <v>2371</v>
      </c>
      <c r="B9" s="12" t="s">
        <v>2387</v>
      </c>
      <c r="C9" s="12" t="s">
        <v>353</v>
      </c>
      <c r="D9" s="12" t="s">
        <v>2388</v>
      </c>
      <c r="E9" s="12" t="s">
        <v>2389</v>
      </c>
    </row>
    <row r="10" spans="1:5" ht="18" customHeight="1" x14ac:dyDescent="0.25">
      <c r="A10" s="12" t="s">
        <v>2371</v>
      </c>
      <c r="B10" s="12" t="s">
        <v>2387</v>
      </c>
      <c r="C10" s="12" t="s">
        <v>157</v>
      </c>
      <c r="D10" s="12" t="s">
        <v>22</v>
      </c>
      <c r="E10" s="12" t="s">
        <v>2390</v>
      </c>
    </row>
    <row r="11" spans="1:5" ht="18" customHeight="1" x14ac:dyDescent="0.25">
      <c r="A11" s="12" t="s">
        <v>2371</v>
      </c>
      <c r="B11" s="12" t="s">
        <v>2387</v>
      </c>
      <c r="C11" s="12" t="s">
        <v>283</v>
      </c>
      <c r="D11" s="12" t="s">
        <v>22</v>
      </c>
      <c r="E11" s="12" t="s">
        <v>2391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2392</v>
      </c>
      <c r="B1" s="5" t="s">
        <v>10</v>
      </c>
      <c r="C1" s="15" t="s">
        <v>2393</v>
      </c>
      <c r="D1" s="15" t="s">
        <v>2287</v>
      </c>
    </row>
    <row r="2" spans="1:4" ht="21" customHeight="1" x14ac:dyDescent="0.25">
      <c r="A2" s="103" t="s">
        <v>22</v>
      </c>
      <c r="B2" s="103" t="s">
        <v>32</v>
      </c>
      <c r="C2" s="12" t="s">
        <v>2394</v>
      </c>
      <c r="D2" s="12" t="s">
        <v>2092</v>
      </c>
    </row>
    <row r="3" spans="1:4" ht="21" customHeight="1" x14ac:dyDescent="0.25">
      <c r="A3" s="12" t="s">
        <v>51</v>
      </c>
      <c r="B3" s="103" t="s">
        <v>25</v>
      </c>
      <c r="C3" s="12" t="s">
        <v>2395</v>
      </c>
      <c r="D3" s="12" t="s">
        <v>1933</v>
      </c>
    </row>
    <row r="4" spans="1:4" ht="21" customHeight="1" x14ac:dyDescent="0.25">
      <c r="A4" s="14" t="s">
        <v>66</v>
      </c>
      <c r="B4" s="103" t="s">
        <v>174</v>
      </c>
      <c r="D4" s="12" t="s">
        <v>2111</v>
      </c>
    </row>
    <row r="5" spans="1:4" ht="21" customHeight="1" x14ac:dyDescent="0.25">
      <c r="A5" s="12" t="s">
        <v>178</v>
      </c>
      <c r="D5" s="12" t="s">
        <v>20</v>
      </c>
    </row>
    <row r="6" spans="1:4" ht="21" customHeight="1" x14ac:dyDescent="0.25">
      <c r="D6" s="12" t="s">
        <v>2396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2366</v>
      </c>
      <c r="B1" s="12" t="s">
        <v>2367</v>
      </c>
      <c r="C1" s="13" t="s">
        <v>2368</v>
      </c>
      <c r="D1" s="13" t="s">
        <v>2369</v>
      </c>
      <c r="E1" s="13" t="s">
        <v>2370</v>
      </c>
    </row>
    <row r="2" spans="1:5" ht="18" customHeight="1" x14ac:dyDescent="0.25">
      <c r="A2" s="12" t="s">
        <v>2397</v>
      </c>
      <c r="B2" s="12" t="s">
        <v>2372</v>
      </c>
      <c r="C2" s="14" t="s">
        <v>23</v>
      </c>
      <c r="D2" s="12" t="s">
        <v>2373</v>
      </c>
      <c r="E2" s="17" t="s">
        <v>2398</v>
      </c>
    </row>
    <row r="3" spans="1:5" ht="18" customHeight="1" x14ac:dyDescent="0.25">
      <c r="A3" s="12" t="s">
        <v>2397</v>
      </c>
      <c r="B3" s="12" t="s">
        <v>2372</v>
      </c>
      <c r="C3" s="12" t="s">
        <v>56</v>
      </c>
      <c r="D3" s="12" t="s">
        <v>2375</v>
      </c>
      <c r="E3" s="12" t="s">
        <v>2399</v>
      </c>
    </row>
    <row r="4" spans="1:5" ht="18" customHeight="1" x14ac:dyDescent="0.25">
      <c r="A4" s="12" t="s">
        <v>2397</v>
      </c>
      <c r="B4" s="12" t="s">
        <v>2372</v>
      </c>
      <c r="C4" s="12" t="s">
        <v>59</v>
      </c>
      <c r="D4" s="12" t="s">
        <v>2378</v>
      </c>
      <c r="E4" s="12" t="s">
        <v>2400</v>
      </c>
    </row>
    <row r="5" spans="1:5" ht="27.75" customHeight="1" x14ac:dyDescent="0.25">
      <c r="A5" s="12" t="s">
        <v>2397</v>
      </c>
      <c r="B5" s="12" t="s">
        <v>2372</v>
      </c>
      <c r="C5" s="12" t="s">
        <v>2036</v>
      </c>
      <c r="D5" s="17" t="s">
        <v>2401</v>
      </c>
      <c r="E5" s="12" t="s">
        <v>2402</v>
      </c>
    </row>
    <row r="6" spans="1:5" ht="18" customHeight="1" x14ac:dyDescent="0.25">
      <c r="A6" s="12" t="s">
        <v>2397</v>
      </c>
      <c r="B6" s="12" t="s">
        <v>2372</v>
      </c>
      <c r="C6" s="12" t="s">
        <v>2073</v>
      </c>
      <c r="D6" s="12" t="s">
        <v>2380</v>
      </c>
      <c r="E6" s="12" t="s">
        <v>2381</v>
      </c>
    </row>
    <row r="7" spans="1:5" ht="18" customHeight="1" x14ac:dyDescent="0.25">
      <c r="A7" s="12" t="s">
        <v>2397</v>
      </c>
      <c r="B7" s="12" t="s">
        <v>2382</v>
      </c>
      <c r="C7" s="12" t="s">
        <v>2057</v>
      </c>
      <c r="D7" s="12" t="s">
        <v>2403</v>
      </c>
      <c r="E7" s="12" t="s">
        <v>2404</v>
      </c>
    </row>
    <row r="8" spans="1:5" ht="18" customHeight="1" x14ac:dyDescent="0.25">
      <c r="A8" s="12" t="s">
        <v>2397</v>
      </c>
      <c r="B8" s="12" t="s">
        <v>2382</v>
      </c>
      <c r="C8" s="12" t="s">
        <v>34</v>
      </c>
      <c r="D8" s="12" t="s">
        <v>2385</v>
      </c>
      <c r="E8" s="12" t="s">
        <v>2386</v>
      </c>
    </row>
    <row r="9" spans="1:5" ht="18" customHeight="1" x14ac:dyDescent="0.25">
      <c r="A9" s="12" t="s">
        <v>2397</v>
      </c>
      <c r="B9" s="12" t="s">
        <v>2382</v>
      </c>
      <c r="C9" s="12" t="s">
        <v>2041</v>
      </c>
      <c r="D9" s="12" t="s">
        <v>2405</v>
      </c>
      <c r="E9" s="17" t="s">
        <v>2406</v>
      </c>
    </row>
    <row r="10" spans="1:5" ht="18" customHeight="1" x14ac:dyDescent="0.25">
      <c r="A10" s="12" t="s">
        <v>2397</v>
      </c>
      <c r="B10" s="12" t="s">
        <v>2407</v>
      </c>
      <c r="C10" s="12" t="s">
        <v>2364</v>
      </c>
      <c r="D10" s="12" t="s">
        <v>2408</v>
      </c>
      <c r="E10" s="17" t="s">
        <v>2409</v>
      </c>
    </row>
    <row r="11" spans="1:5" ht="18" customHeight="1" x14ac:dyDescent="0.25">
      <c r="A11" s="12" t="s">
        <v>2397</v>
      </c>
      <c r="B11" s="12" t="s">
        <v>2407</v>
      </c>
      <c r="C11" s="12" t="s">
        <v>157</v>
      </c>
      <c r="D11" s="12" t="s">
        <v>22</v>
      </c>
      <c r="E11" s="12" t="s">
        <v>2390</v>
      </c>
    </row>
    <row r="12" spans="1:5" ht="18" customHeight="1" x14ac:dyDescent="0.25">
      <c r="A12" s="12" t="s">
        <v>2397</v>
      </c>
      <c r="B12" s="12" t="s">
        <v>2407</v>
      </c>
      <c r="C12" s="12" t="s">
        <v>283</v>
      </c>
      <c r="D12" s="12" t="s">
        <v>22</v>
      </c>
      <c r="E12" s="12" t="s">
        <v>2391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131" t="s">
        <v>2410</v>
      </c>
      <c r="B1" s="131"/>
      <c r="C1" s="131"/>
      <c r="D1" s="131"/>
      <c r="E1" s="131"/>
      <c r="F1" s="131"/>
      <c r="G1" s="131"/>
      <c r="H1" s="131"/>
    </row>
    <row r="2" spans="1:8" x14ac:dyDescent="0.25">
      <c r="A2" s="49" t="s">
        <v>2411</v>
      </c>
    </row>
    <row r="4" spans="1:8" ht="21.95" customHeight="1" x14ac:dyDescent="0.25">
      <c r="A4" s="132" t="s">
        <v>2412</v>
      </c>
      <c r="B4" s="133"/>
      <c r="D4" s="132" t="s">
        <v>2413</v>
      </c>
      <c r="E4" s="133"/>
      <c r="G4" s="132" t="s">
        <v>2414</v>
      </c>
      <c r="H4" s="133"/>
    </row>
    <row r="5" spans="1:8" ht="35.1" customHeight="1" x14ac:dyDescent="0.25">
      <c r="A5" s="136">
        <f>COUNTIF('Ações InCompany'!E:E,"*maratona*")</f>
        <v>13</v>
      </c>
      <c r="B5" s="135"/>
      <c r="D5" s="134">
        <f>SUM(H8:H100)</f>
        <v>1762</v>
      </c>
      <c r="E5" s="135"/>
      <c r="G5" s="134">
        <f>IFERROR(ROUND(D5/A5,0),"-")</f>
        <v>136</v>
      </c>
      <c r="H5" s="135"/>
    </row>
    <row r="6" spans="1:8" ht="9.9499999999999993" customHeight="1" x14ac:dyDescent="0.25"/>
    <row r="7" spans="1:8" ht="24.95" customHeight="1" thickBot="1" x14ac:dyDescent="0.3">
      <c r="A7" s="62" t="s">
        <v>2415</v>
      </c>
      <c r="B7" s="62" t="s">
        <v>2416</v>
      </c>
      <c r="C7" s="62" t="s">
        <v>1</v>
      </c>
      <c r="D7" s="62" t="s">
        <v>2417</v>
      </c>
      <c r="E7" s="62" t="s">
        <v>2418</v>
      </c>
      <c r="F7" s="62" t="s">
        <v>2287</v>
      </c>
      <c r="G7" s="62" t="s">
        <v>5</v>
      </c>
      <c r="H7" s="62" t="s">
        <v>2419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50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17" activePane="bottomLeft" state="frozen"/>
      <selection pane="bottomLeft" activeCell="C48" sqref="C48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137" t="s">
        <v>2420</v>
      </c>
      <c r="B1" s="137"/>
      <c r="C1" s="137"/>
      <c r="D1" s="137"/>
      <c r="E1" s="137"/>
      <c r="F1" s="137"/>
    </row>
    <row r="2" spans="1:7" x14ac:dyDescent="0.25">
      <c r="A2" s="138" t="s">
        <v>2421</v>
      </c>
      <c r="B2" s="138"/>
      <c r="C2" s="138"/>
      <c r="D2" s="138"/>
      <c r="E2" s="138"/>
      <c r="F2" s="138"/>
    </row>
    <row r="4" spans="1:7" x14ac:dyDescent="0.25">
      <c r="A4" s="25" t="s">
        <v>19</v>
      </c>
      <c r="B4" s="25" t="s">
        <v>2290</v>
      </c>
      <c r="C4" s="25" t="s">
        <v>2291</v>
      </c>
      <c r="D4" s="25" t="s">
        <v>2422</v>
      </c>
      <c r="E4" s="25" t="s">
        <v>2292</v>
      </c>
      <c r="F4" s="25" t="s">
        <v>2423</v>
      </c>
    </row>
    <row r="5" spans="1:7" x14ac:dyDescent="0.25">
      <c r="A5" t="str" cm="1">
        <f t="array" ref="A5:A56">IFERROR(_xlfn._xlws.SORT(_xlfn.UNIQUE(_xlfn._xlws.FILTER(_xlfn.VSTACK('GECC 2026'!F2:F200,'GECC 2026'!AD3:AD32),_xlfn.VSTACK('GECC 2026'!F2:F200,'GECC 2026'!AD3:AD32)&lt;&gt;""))),"")</f>
        <v>Adriana Cuoco Portugal</v>
      </c>
      <c r="B5" s="26">
        <f>IF($A5="","",SUMIFS('GECC 2026'!H$2:H$200,'GECC 2026'!F$2:F$200,$A5))</f>
        <v>36</v>
      </c>
      <c r="C5" s="26">
        <f>IF($A5="","",SUMIFS('GECC 2026'!I$2:I$200,'GECC 2026'!F$2:F$200,$A5))</f>
        <v>8.8800000000000008</v>
      </c>
      <c r="D5" s="101">
        <f>IF($A5="","",SUMIFS('GECC 2026'!$AE$3:$AE$32,'GECC 2026'!$AD$3:$AD$32,$A5))</f>
        <v>0</v>
      </c>
      <c r="E5" s="93">
        <f>IF($A5="","",SUMIFS('GECC 2026'!J$2:J$200,'GECC 2026'!F$2:F$200,$A5)+SUMIFS('GECC 2026'!$AE$3:$AE$32,'GECC 2026'!$AD$3:$AD$32,$A5))</f>
        <v>44.88000000000001</v>
      </c>
      <c r="F5" s="24">
        <f>IF($A5="","",COUNTIFS('GECC 2026'!F$2:F$200,$A5))</f>
        <v>10</v>
      </c>
      <c r="G5" s="24">
        <f>IF($A5="","",COUNTIFS('GECC 2026'!G$2:G$200,$A5))</f>
        <v>0</v>
      </c>
    </row>
    <row r="6" spans="1:7" x14ac:dyDescent="0.25">
      <c r="A6" t="str">
        <v>Adriana Magalhães</v>
      </c>
      <c r="B6" s="26">
        <f>IF($A6="","",SUMIFS('GECC 2026'!H$2:H$200,'GECC 2026'!F$2:F$200,$A6))</f>
        <v>24</v>
      </c>
      <c r="C6" s="26">
        <f>IF($A6="","",SUMIFS('GECC 2026'!I$2:I$200,'GECC 2026'!F$2:F$200,$A6))</f>
        <v>3.5999999999999996</v>
      </c>
      <c r="D6" s="101">
        <f>IF($A6="","",SUMIFS('GECC 2026'!$AE$3:$AE$32,'GECC 2026'!$AD$3:$AD$32,$A6))</f>
        <v>0</v>
      </c>
      <c r="E6" s="93">
        <f>IF($A6="","",SUMIFS('GECC 2026'!J$2:J$200,'GECC 2026'!F$2:F$200,$A6)+SUMIFS('GECC 2026'!$AE$3:$AE$32,'GECC 2026'!$AD$3:$AD$32,$A6))</f>
        <v>27.6</v>
      </c>
      <c r="F6" s="24">
        <f>IF($A6="","",COUNTIFS('GECC 2026'!F$2:F$200,$A6))</f>
        <v>2</v>
      </c>
    </row>
    <row r="7" spans="1:7" x14ac:dyDescent="0.25">
      <c r="A7" t="str">
        <v>Alinne Patrícia de Andrade Carvalho</v>
      </c>
      <c r="B7" s="26">
        <f>IF($A7="","",SUMIFS('GECC 2026'!H$2:H$200,'GECC 2026'!F$2:F$200,$A7))</f>
        <v>0</v>
      </c>
      <c r="C7" s="26">
        <f>IF($A7="","",SUMIFS('GECC 2026'!I$2:I$200,'GECC 2026'!F$2:F$200,$A7))</f>
        <v>0</v>
      </c>
      <c r="D7" s="101">
        <f>IF($A7="","",SUMIFS('GECC 2026'!$AE$3:$AE$32,'GECC 2026'!$AD$3:$AD$32,$A7))</f>
        <v>0</v>
      </c>
      <c r="E7" s="93">
        <f>IF($A7="","",SUMIFS('GECC 2026'!J$2:J$200,'GECC 2026'!F$2:F$200,$A7)+SUMIFS('GECC 2026'!$AE$3:$AE$32,'GECC 2026'!$AD$3:$AD$32,$A7))</f>
        <v>0</v>
      </c>
      <c r="F7" s="24">
        <f>IF($A7="","",COUNTIFS('GECC 2026'!F$2:F$200,$A7))</f>
        <v>1</v>
      </c>
    </row>
    <row r="8" spans="1:7" x14ac:dyDescent="0.25">
      <c r="A8" t="str">
        <v>Arthur Wú</v>
      </c>
      <c r="B8" s="26">
        <f>IF($A8="","",SUMIFS('GECC 2026'!H$2:H$200,'GECC 2026'!F$2:F$200,$A8))</f>
        <v>41</v>
      </c>
      <c r="C8" s="26">
        <f>IF($A8="","",SUMIFS('GECC 2026'!I$2:I$200,'GECC 2026'!F$2:F$200,$A8))</f>
        <v>12.6</v>
      </c>
      <c r="D8" s="101">
        <f>IF($A8="","",SUMIFS('GECC 2026'!$AE$3:$AE$32,'GECC 2026'!$AD$3:$AD$32,$A8))</f>
        <v>0</v>
      </c>
      <c r="E8" s="93">
        <f>IF($A8="","",SUMIFS('GECC 2026'!J$2:J$200,'GECC 2026'!F$2:F$200,$A8)+SUMIFS('GECC 2026'!$AE$3:$AE$32,'GECC 2026'!$AD$3:$AD$32,$A8))</f>
        <v>53.6</v>
      </c>
      <c r="F8" s="24">
        <f>IF($A8="","",COUNTIFS('GECC 2026'!F$2:F$200,$A8))</f>
        <v>6</v>
      </c>
    </row>
    <row r="9" spans="1:7" x14ac:dyDescent="0.25">
      <c r="A9" t="str">
        <v>Carina de Souza Mariuba Herthel</v>
      </c>
      <c r="B9" s="26">
        <f>IF($A9="","",SUMIFS('GECC 2026'!H$2:H$200,'GECC 2026'!F$2:F$200,$A9))</f>
        <v>8</v>
      </c>
      <c r="C9" s="26">
        <f>IF($A9="","",SUMIFS('GECC 2026'!I$2:I$200,'GECC 2026'!F$2:F$200,$A9))</f>
        <v>2.4</v>
      </c>
      <c r="D9" s="101">
        <f>IF($A9="","",SUMIFS('GECC 2026'!$AE$3:$AE$32,'GECC 2026'!$AD$3:$AD$32,$A9))</f>
        <v>0</v>
      </c>
      <c r="E9" s="93">
        <f>IF($A9="","",SUMIFS('GECC 2026'!J$2:J$200,'GECC 2026'!F$2:F$200,$A9)+SUMIFS('GECC 2026'!$AE$3:$AE$32,'GECC 2026'!$AD$3:$AD$32,$A9))</f>
        <v>10.4</v>
      </c>
      <c r="F9" s="24">
        <f>IF($A9="","",COUNTIFS('GECC 2026'!F$2:F$200,$A9))</f>
        <v>1</v>
      </c>
    </row>
    <row r="10" spans="1:7" x14ac:dyDescent="0.25">
      <c r="A10" t="str">
        <v>Carlos Antônio</v>
      </c>
      <c r="B10" s="26">
        <f>IF($A10="","",SUMIFS('GECC 2026'!H$2:H$200,'GECC 2026'!F$2:F$200,$A10))</f>
        <v>4</v>
      </c>
      <c r="C10" s="26">
        <f>IF($A10="","",SUMIFS('GECC 2026'!I$2:I$200,'GECC 2026'!F$2:F$200,$A10))</f>
        <v>1.2</v>
      </c>
      <c r="D10" s="101">
        <f>IF($A10="","",SUMIFS('GECC 2026'!$AE$3:$AE$32,'GECC 2026'!$AD$3:$AD$32,$A10))</f>
        <v>0</v>
      </c>
      <c r="E10" s="93">
        <f>IF($A10="","",SUMIFS('GECC 2026'!J$2:J$200,'GECC 2026'!F$2:F$200,$A10)+SUMIFS('GECC 2026'!$AE$3:$AE$32,'GECC 2026'!$AD$3:$AD$32,$A10))</f>
        <v>5.2</v>
      </c>
      <c r="F10" s="24">
        <f>IF($A10="","",COUNTIFS('GECC 2026'!F$2:F$200,$A10))</f>
        <v>1</v>
      </c>
    </row>
    <row r="11" spans="1:7" x14ac:dyDescent="0.25">
      <c r="A11" t="str">
        <v>Carolina Pereira de Oliveira</v>
      </c>
      <c r="B11" s="26">
        <f>IF($A11="","",SUMIFS('GECC 2026'!H$2:H$200,'GECC 2026'!F$2:F$200,$A11))</f>
        <v>1</v>
      </c>
      <c r="C11" s="26">
        <f>IF($A11="","",SUMIFS('GECC 2026'!I$2:I$200,'GECC 2026'!F$2:F$200,$A11))</f>
        <v>0.3</v>
      </c>
      <c r="D11" s="101">
        <f>IF($A11="","",SUMIFS('GECC 2026'!$AE$3:$AE$32,'GECC 2026'!$AD$3:$AD$32,$A11))</f>
        <v>0</v>
      </c>
      <c r="E11" s="93">
        <f>IF($A11="","",SUMIFS('GECC 2026'!J$2:J$200,'GECC 2026'!F$2:F$200,$A11)+SUMIFS('GECC 2026'!$AE$3:$AE$32,'GECC 2026'!$AD$3:$AD$32,$A11))</f>
        <v>1.3</v>
      </c>
      <c r="F11" s="24">
        <f>IF($A11="","",COUNTIFS('GECC 2026'!F$2:F$200,$A11))</f>
        <v>1</v>
      </c>
    </row>
    <row r="12" spans="1:7" x14ac:dyDescent="0.25">
      <c r="A12" t="str">
        <v>Cássio Murilo Alves Costa Filho</v>
      </c>
      <c r="B12" s="26">
        <f>IF($A12="","",SUMIFS('GECC 2026'!H$2:H$200,'GECC 2026'!F$2:F$200,$A12))</f>
        <v>16</v>
      </c>
      <c r="C12" s="26">
        <f>IF($A12="","",SUMIFS('GECC 2026'!I$2:I$200,'GECC 2026'!F$2:F$200,$A12))</f>
        <v>4.8</v>
      </c>
      <c r="D12" s="101">
        <f>IF($A12="","",SUMIFS('GECC 2026'!$AE$3:$AE$32,'GECC 2026'!$AD$3:$AD$32,$A12))</f>
        <v>16</v>
      </c>
      <c r="E12" s="93">
        <f>IF($A12="","",SUMIFS('GECC 2026'!J$2:J$200,'GECC 2026'!F$2:F$200,$A12)+SUMIFS('GECC 2026'!$AE$3:$AE$32,'GECC 2026'!$AD$3:$AD$32,$A12))</f>
        <v>36.799999999999997</v>
      </c>
      <c r="F12" s="24">
        <f>IF($A12="","",COUNTIFS('GECC 2026'!F$2:F$200,$A12))</f>
        <v>1</v>
      </c>
    </row>
    <row r="13" spans="1:7" x14ac:dyDescent="0.25">
      <c r="A13" t="str">
        <v>Cinthia Thais de Carvalho Luz Thomazi</v>
      </c>
      <c r="B13" s="26">
        <f>IF($A13="","",SUMIFS('GECC 2026'!H$2:H$200,'GECC 2026'!F$2:F$200,$A13))</f>
        <v>61</v>
      </c>
      <c r="C13" s="26">
        <f>IF($A13="","",SUMIFS('GECC 2026'!I$2:I$200,'GECC 2026'!F$2:F$200,$A13))</f>
        <v>12.779999999999998</v>
      </c>
      <c r="D13" s="101">
        <f>IF($A13="","",SUMIFS('GECC 2026'!$AE$3:$AE$32,'GECC 2026'!$AD$3:$AD$32,$A13))</f>
        <v>0</v>
      </c>
      <c r="E13" s="93">
        <f>IF($A13="","",SUMIFS('GECC 2026'!J$2:J$200,'GECC 2026'!F$2:F$200,$A13)+SUMIFS('GECC 2026'!$AE$3:$AE$32,'GECC 2026'!$AD$3:$AD$32,$A13))</f>
        <v>73.780000000000015</v>
      </c>
      <c r="F13" s="24">
        <f>IF($A13="","",COUNTIFS('GECC 2026'!F$2:F$200,$A13))</f>
        <v>13</v>
      </c>
    </row>
    <row r="14" spans="1:7" x14ac:dyDescent="0.25">
      <c r="A14" t="str">
        <v>Davi Assunção Salvador Nery de Castro</v>
      </c>
      <c r="B14" s="26">
        <f>IF($A14="","",SUMIFS('GECC 2026'!H$2:H$200,'GECC 2026'!F$2:F$200,$A14))</f>
        <v>12</v>
      </c>
      <c r="C14" s="26">
        <f>IF($A14="","",SUMIFS('GECC 2026'!I$2:I$200,'GECC 2026'!F$2:F$200,$A14))</f>
        <v>1.2</v>
      </c>
      <c r="D14" s="101">
        <f>IF($A14="","",SUMIFS('GECC 2026'!$AE$3:$AE$32,'GECC 2026'!$AD$3:$AD$32,$A14))</f>
        <v>0</v>
      </c>
      <c r="E14" s="93">
        <f>IF($A14="","",SUMIFS('GECC 2026'!J$2:J$200,'GECC 2026'!F$2:F$200,$A14)+SUMIFS('GECC 2026'!$AE$3:$AE$32,'GECC 2026'!$AD$3:$AD$32,$A14))</f>
        <v>13.2</v>
      </c>
      <c r="F14" s="24">
        <f>IF($A14="","",COUNTIFS('GECC 2026'!F$2:F$200,$A14))</f>
        <v>1</v>
      </c>
    </row>
    <row r="15" spans="1:7" x14ac:dyDescent="0.25">
      <c r="A15" t="str">
        <v>David da Silva de Araújo</v>
      </c>
      <c r="B15" s="26">
        <f>IF($A15="","",SUMIFS('GECC 2026'!H$2:H$200,'GECC 2026'!F$2:F$200,$A15))</f>
        <v>12</v>
      </c>
      <c r="C15" s="26">
        <f>IF($A15="","",SUMIFS('GECC 2026'!I$2:I$200,'GECC 2026'!F$2:F$200,$A15))</f>
        <v>1.2</v>
      </c>
      <c r="D15" s="101">
        <f>IF($A15="","",SUMIFS('GECC 2026'!$AE$3:$AE$32,'GECC 2026'!$AD$3:$AD$32,$A15))</f>
        <v>0</v>
      </c>
      <c r="E15" s="93">
        <f>IF($A15="","",SUMIFS('GECC 2026'!J$2:J$200,'GECC 2026'!F$2:F$200,$A15)+SUMIFS('GECC 2026'!$AE$3:$AE$32,'GECC 2026'!$AD$3:$AD$32,$A15))</f>
        <v>13.2</v>
      </c>
      <c r="F15" s="24">
        <f>IF($A15="","",COUNTIFS('GECC 2026'!F$2:F$200,$A15))</f>
        <v>1</v>
      </c>
    </row>
    <row r="16" spans="1:7" x14ac:dyDescent="0.25">
      <c r="A16" t="str">
        <v>Denise Duarte Guirra Kuhlmann</v>
      </c>
      <c r="B16" s="26">
        <f>IF($A16="","",SUMIFS('GECC 2026'!H$2:H$200,'GECC 2026'!F$2:F$200,$A16))</f>
        <v>12</v>
      </c>
      <c r="C16" s="26">
        <f>IF($A16="","",SUMIFS('GECC 2026'!I$2:I$200,'GECC 2026'!F$2:F$200,$A16))</f>
        <v>3.5999999999999996</v>
      </c>
      <c r="D16" s="101">
        <f>IF($A16="","",SUMIFS('GECC 2026'!$AE$3:$AE$32,'GECC 2026'!$AD$3:$AD$32,$A16))</f>
        <v>0</v>
      </c>
      <c r="E16" s="93">
        <f>IF($A16="","",SUMIFS('GECC 2026'!J$2:J$200,'GECC 2026'!F$2:F$200,$A16)+SUMIFS('GECC 2026'!$AE$3:$AE$32,'GECC 2026'!$AD$3:$AD$32,$A16))</f>
        <v>15.600000000000001</v>
      </c>
      <c r="F16" s="24">
        <f>IF($A16="","",COUNTIFS('GECC 2026'!F$2:F$200,$A16))</f>
        <v>3</v>
      </c>
    </row>
    <row r="17" spans="1:6" x14ac:dyDescent="0.25">
      <c r="A17" t="str">
        <v>Diversos</v>
      </c>
      <c r="B17" s="26">
        <f>IF($A17="","",SUMIFS('GECC 2026'!H$2:H$200,'GECC 2026'!F$2:F$200,$A17))</f>
        <v>4</v>
      </c>
      <c r="C17" s="26">
        <f>IF($A17="","",SUMIFS('GECC 2026'!I$2:I$200,'GECC 2026'!F$2:F$200,$A17))</f>
        <v>1.2</v>
      </c>
      <c r="D17" s="101">
        <f>IF($A17="","",SUMIFS('GECC 2026'!$AE$3:$AE$32,'GECC 2026'!$AD$3:$AD$32,$A17))</f>
        <v>0</v>
      </c>
      <c r="E17" s="93">
        <f>IF($A17="","",SUMIFS('GECC 2026'!J$2:J$200,'GECC 2026'!F$2:F$200,$A17)+SUMIFS('GECC 2026'!$AE$3:$AE$32,'GECC 2026'!$AD$3:$AD$32,$A17))</f>
        <v>5.2</v>
      </c>
      <c r="F17" s="24">
        <f>IF($A17="","",COUNTIFS('GECC 2026'!F$2:F$200,$A17))</f>
        <v>2</v>
      </c>
    </row>
    <row r="18" spans="1:6" x14ac:dyDescent="0.25">
      <c r="A18" t="str">
        <v>Douglas Vieira Silva Filho</v>
      </c>
      <c r="B18" s="26">
        <f>IF($A18="","",SUMIFS('GECC 2026'!H$2:H$200,'GECC 2026'!F$2:F$200,$A18))</f>
        <v>4</v>
      </c>
      <c r="C18" s="26">
        <f>IF($A18="","",SUMIFS('GECC 2026'!I$2:I$200,'GECC 2026'!F$2:F$200,$A18))</f>
        <v>0.6</v>
      </c>
      <c r="D18" s="101">
        <f>IF($A18="","",SUMIFS('GECC 2026'!$AE$3:$AE$32,'GECC 2026'!$AD$3:$AD$32,$A18))</f>
        <v>0</v>
      </c>
      <c r="E18" s="93">
        <f>IF($A18="","",SUMIFS('GECC 2026'!J$2:J$200,'GECC 2026'!F$2:F$200,$A18)+SUMIFS('GECC 2026'!$AE$3:$AE$32,'GECC 2026'!$AD$3:$AD$32,$A18))</f>
        <v>4.5999999999999996</v>
      </c>
      <c r="F18" s="24">
        <f>IF($A18="","",COUNTIFS('GECC 2026'!F$2:F$200,$A18))</f>
        <v>1</v>
      </c>
    </row>
    <row r="19" spans="1:6" x14ac:dyDescent="0.25">
      <c r="A19" t="str">
        <v>Elvis Aaron Teixeira dos Santos Lima</v>
      </c>
      <c r="B19" s="26">
        <f>IF($A19="","",SUMIFS('GECC 2026'!H$2:H$200,'GECC 2026'!F$2:F$200,$A19))</f>
        <v>0</v>
      </c>
      <c r="C19" s="26">
        <f>IF($A19="","",SUMIFS('GECC 2026'!I$2:I$200,'GECC 2026'!F$2:F$200,$A19))</f>
        <v>0</v>
      </c>
      <c r="D19" s="101">
        <f>IF($A19="","",SUMIFS('GECC 2026'!$AE$3:$AE$32,'GECC 2026'!$AD$3:$AD$32,$A19))</f>
        <v>0</v>
      </c>
      <c r="E19" s="93">
        <f>IF($A19="","",SUMIFS('GECC 2026'!J$2:J$200,'GECC 2026'!F$2:F$200,$A19)+SUMIFS('GECC 2026'!$AE$3:$AE$32,'GECC 2026'!$AD$3:$AD$32,$A19))</f>
        <v>0</v>
      </c>
      <c r="F19" s="24">
        <f>IF($A19="","",COUNTIFS('GECC 2026'!F$2:F$200,$A19))</f>
        <v>1</v>
      </c>
    </row>
    <row r="20" spans="1:6" x14ac:dyDescent="0.25">
      <c r="A20" t="str">
        <v>Eustáquio Rabelo de Souza</v>
      </c>
      <c r="B20" s="26">
        <f>IF($A20="","",SUMIFS('GECC 2026'!H$2:H$200,'GECC 2026'!F$2:F$200,$A20))</f>
        <v>1</v>
      </c>
      <c r="C20" s="26">
        <f>IF($A20="","",SUMIFS('GECC 2026'!I$2:I$200,'GECC 2026'!F$2:F$200,$A20))</f>
        <v>0.3</v>
      </c>
      <c r="D20" s="101">
        <f>IF($A20="","",SUMIFS('GECC 2026'!$AE$3:$AE$32,'GECC 2026'!$AD$3:$AD$32,$A20))</f>
        <v>0</v>
      </c>
      <c r="E20" s="93">
        <f>IF($A20="","",SUMIFS('GECC 2026'!J$2:J$200,'GECC 2026'!F$2:F$200,$A20)+SUMIFS('GECC 2026'!$AE$3:$AE$32,'GECC 2026'!$AD$3:$AD$32,$A20))</f>
        <v>1.3</v>
      </c>
      <c r="F20" s="24">
        <f>IF($A20="","",COUNTIFS('GECC 2026'!F$2:F$200,$A20))</f>
        <v>1</v>
      </c>
    </row>
    <row r="21" spans="1:6" x14ac:dyDescent="0.25">
      <c r="A21" t="str">
        <v>Felipe da Costa Malaquias</v>
      </c>
      <c r="B21" s="26">
        <f>IF($A21="","",SUMIFS('GECC 2026'!H$2:H$200,'GECC 2026'!F$2:F$200,$A21))</f>
        <v>8</v>
      </c>
      <c r="C21" s="26">
        <f>IF($A21="","",SUMIFS('GECC 2026'!I$2:I$200,'GECC 2026'!F$2:F$200,$A21))</f>
        <v>37.299999999999997</v>
      </c>
      <c r="D21" s="101">
        <f>IF($A21="","",SUMIFS('GECC 2026'!$AE$3:$AE$32,'GECC 2026'!$AD$3:$AD$32,$A21))</f>
        <v>0</v>
      </c>
      <c r="E21" s="93">
        <f>IF($A21="","",SUMIFS('GECC 2026'!J$2:J$200,'GECC 2026'!F$2:F$200,$A21)+SUMIFS('GECC 2026'!$AE$3:$AE$32,'GECC 2026'!$AD$3:$AD$32,$A21))</f>
        <v>45.3</v>
      </c>
      <c r="F21" s="24">
        <f>IF($A21="","",COUNTIFS('GECC 2026'!F$2:F$200,$A21))</f>
        <v>2</v>
      </c>
    </row>
    <row r="22" spans="1:6" x14ac:dyDescent="0.25">
      <c r="A22" t="str">
        <v>Felipe Ramos Barbosa</v>
      </c>
      <c r="B22" s="26">
        <f>IF($A22="","",SUMIFS('GECC 2026'!H$2:H$200,'GECC 2026'!F$2:F$200,$A22))</f>
        <v>1</v>
      </c>
      <c r="C22" s="26">
        <f>IF($A22="","",SUMIFS('GECC 2026'!I$2:I$200,'GECC 2026'!F$2:F$200,$A22))</f>
        <v>0.3</v>
      </c>
      <c r="D22" s="101">
        <f>IF($A22="","",SUMIFS('GECC 2026'!$AE$3:$AE$32,'GECC 2026'!$AD$3:$AD$32,$A22))</f>
        <v>0</v>
      </c>
      <c r="E22" s="93">
        <f>IF($A22="","",SUMIFS('GECC 2026'!J$2:J$200,'GECC 2026'!F$2:F$200,$A22)+SUMIFS('GECC 2026'!$AE$3:$AE$32,'GECC 2026'!$AD$3:$AD$32,$A22))</f>
        <v>1.3</v>
      </c>
      <c r="F22" s="24">
        <f>IF($A22="","",COUNTIFS('GECC 2026'!F$2:F$200,$A22))</f>
        <v>1</v>
      </c>
    </row>
    <row r="23" spans="1:6" x14ac:dyDescent="0.25">
      <c r="A23" t="str">
        <v>Fernanda Viana de Souza</v>
      </c>
      <c r="B23" s="26">
        <f>IF($A23="","",SUMIFS('GECC 2026'!H$2:H$200,'GECC 2026'!F$2:F$200,$A23))</f>
        <v>39</v>
      </c>
      <c r="C23" s="26">
        <f>IF($A23="","",SUMIFS('GECC 2026'!I$2:I$200,'GECC 2026'!F$2:F$200,$A23))</f>
        <v>9.7799999999999994</v>
      </c>
      <c r="D23" s="101">
        <f>IF($A23="","",SUMIFS('GECC 2026'!$AE$3:$AE$32,'GECC 2026'!$AD$3:$AD$32,$A23))</f>
        <v>0</v>
      </c>
      <c r="E23" s="93">
        <f>IF($A23="","",SUMIFS('GECC 2026'!J$2:J$200,'GECC 2026'!F$2:F$200,$A23)+SUMIFS('GECC 2026'!$AE$3:$AE$32,'GECC 2026'!$AD$3:$AD$32,$A23))</f>
        <v>48.780000000000015</v>
      </c>
      <c r="F23" s="24">
        <f>IF($A23="","",COUNTIFS('GECC 2026'!F$2:F$200,$A23))</f>
        <v>10</v>
      </c>
    </row>
    <row r="24" spans="1:6" x14ac:dyDescent="0.25">
      <c r="A24" t="str">
        <v>Flávio José Fonseca de Souza</v>
      </c>
      <c r="B24" s="26">
        <f>IF($A24="","",SUMIFS('GECC 2026'!H$2:H$200,'GECC 2026'!F$2:F$200,$A24))</f>
        <v>8</v>
      </c>
      <c r="C24" s="26">
        <f>IF($A24="","",SUMIFS('GECC 2026'!I$2:I$200,'GECC 2026'!F$2:F$200,$A24))</f>
        <v>37.299999999999997</v>
      </c>
      <c r="D24" s="101">
        <f>IF($A24="","",SUMIFS('GECC 2026'!$AE$3:$AE$32,'GECC 2026'!$AD$3:$AD$32,$A24))</f>
        <v>0</v>
      </c>
      <c r="E24" s="93">
        <f>IF($A24="","",SUMIFS('GECC 2026'!J$2:J$200,'GECC 2026'!F$2:F$200,$A24)+SUMIFS('GECC 2026'!$AE$3:$AE$32,'GECC 2026'!$AD$3:$AD$32,$A24))</f>
        <v>45.3</v>
      </c>
      <c r="F24" s="24">
        <f>IF($A24="","",COUNTIFS('GECC 2026'!F$2:F$200,$A24))</f>
        <v>2</v>
      </c>
    </row>
    <row r="25" spans="1:6" x14ac:dyDescent="0.25">
      <c r="A25" t="str">
        <v>Gabriel Heller</v>
      </c>
      <c r="B25" s="26">
        <f>IF($A25="","",SUMIFS('GECC 2026'!H$2:H$200,'GECC 2026'!F$2:F$200,$A25))</f>
        <v>4</v>
      </c>
      <c r="C25" s="26">
        <f>IF($A25="","",SUMIFS('GECC 2026'!I$2:I$200,'GECC 2026'!F$2:F$200,$A25))</f>
        <v>33.200000000000003</v>
      </c>
      <c r="D25" s="101">
        <f>IF($A25="","",SUMIFS('GECC 2026'!$AE$3:$AE$32,'GECC 2026'!$AD$3:$AD$32,$A25))</f>
        <v>0</v>
      </c>
      <c r="E25" s="93">
        <f>IF($A25="","",SUMIFS('GECC 2026'!J$2:J$200,'GECC 2026'!F$2:F$200,$A25)+SUMIFS('GECC 2026'!$AE$3:$AE$32,'GECC 2026'!$AD$3:$AD$32,$A25))</f>
        <v>37.200000000000003</v>
      </c>
      <c r="F25" s="24">
        <f>IF($A25="","",COUNTIFS('GECC 2026'!F$2:F$200,$A25))</f>
        <v>3</v>
      </c>
    </row>
    <row r="26" spans="1:6" x14ac:dyDescent="0.25">
      <c r="A26" t="str">
        <v>Guilherme Bride Fernandes</v>
      </c>
      <c r="B26" s="26">
        <f>IF($A26="","",SUMIFS('GECC 2026'!H$2:H$200,'GECC 2026'!F$2:F$200,$A26))</f>
        <v>0</v>
      </c>
      <c r="C26" s="26">
        <f>IF($A26="","",SUMIFS('GECC 2026'!I$2:I$200,'GECC 2026'!F$2:F$200,$A26))</f>
        <v>0</v>
      </c>
      <c r="D26" s="101">
        <f>IF($A26="","",SUMIFS('GECC 2026'!$AE$3:$AE$32,'GECC 2026'!$AD$3:$AD$32,$A26))</f>
        <v>0</v>
      </c>
      <c r="E26" s="93">
        <f>IF($A26="","",SUMIFS('GECC 2026'!J$2:J$200,'GECC 2026'!F$2:F$200,$A26)+SUMIFS('GECC 2026'!$AE$3:$AE$32,'GECC 2026'!$AD$3:$AD$32,$A26))</f>
        <v>0</v>
      </c>
      <c r="F26" s="24">
        <f>IF($A26="","",COUNTIFS('GECC 2026'!F$2:F$200,$A26))</f>
        <v>1</v>
      </c>
    </row>
    <row r="27" spans="1:6" x14ac:dyDescent="0.25">
      <c r="A27" t="str">
        <v>Gustavo Takahashi</v>
      </c>
      <c r="B27" s="26">
        <f>IF($A27="","",SUMIFS('GECC 2026'!H$2:H$200,'GECC 2026'!F$2:F$200,$A27))</f>
        <v>33</v>
      </c>
      <c r="C27" s="26">
        <f>IF($A27="","",SUMIFS('GECC 2026'!I$2:I$200,'GECC 2026'!F$2:F$200,$A27))</f>
        <v>0</v>
      </c>
      <c r="D27" s="101">
        <f>IF($A27="","",SUMIFS('GECC 2026'!$AE$3:$AE$32,'GECC 2026'!$AD$3:$AD$32,$A27))</f>
        <v>0</v>
      </c>
      <c r="E27" s="93">
        <f>IF($A27="","",SUMIFS('GECC 2026'!J$2:J$200,'GECC 2026'!F$2:F$200,$A27)+SUMIFS('GECC 2026'!$AE$3:$AE$32,'GECC 2026'!$AD$3:$AD$32,$A27))</f>
        <v>33</v>
      </c>
      <c r="F27" s="24">
        <f>IF($A27="","",COUNTIFS('GECC 2026'!F$2:F$200,$A27))</f>
        <v>5</v>
      </c>
    </row>
    <row r="28" spans="1:6" x14ac:dyDescent="0.25">
      <c r="A28" t="str">
        <v>Hamilton de Jesus Lopes Neto</v>
      </c>
      <c r="B28" s="26">
        <f>IF($A28="","",SUMIFS('GECC 2026'!H$2:H$200,'GECC 2026'!F$2:F$200,$A28))</f>
        <v>12</v>
      </c>
      <c r="C28" s="26">
        <f>IF($A28="","",SUMIFS('GECC 2026'!I$2:I$200,'GECC 2026'!F$2:F$200,$A28))</f>
        <v>1.2</v>
      </c>
      <c r="D28" s="101">
        <f>IF($A28="","",SUMIFS('GECC 2026'!$AE$3:$AE$32,'GECC 2026'!$AD$3:$AD$32,$A28))</f>
        <v>0</v>
      </c>
      <c r="E28" s="93">
        <f>IF($A28="","",SUMIFS('GECC 2026'!J$2:J$200,'GECC 2026'!F$2:F$200,$A28)+SUMIFS('GECC 2026'!$AE$3:$AE$32,'GECC 2026'!$AD$3:$AD$32,$A28))</f>
        <v>13.2</v>
      </c>
      <c r="F28" s="24">
        <f>IF($A28="","",COUNTIFS('GECC 2026'!F$2:F$200,$A28))</f>
        <v>1</v>
      </c>
    </row>
    <row r="29" spans="1:6" x14ac:dyDescent="0.25">
      <c r="A29" t="str">
        <v>Igor Queiroz</v>
      </c>
      <c r="B29" s="26">
        <f>IF($A29="","",SUMIFS('GECC 2026'!H$2:H$200,'GECC 2026'!F$2:F$200,$A29))</f>
        <v>1</v>
      </c>
      <c r="C29" s="26">
        <f>IF($A29="","",SUMIFS('GECC 2026'!I$2:I$200,'GECC 2026'!F$2:F$200,$A29))</f>
        <v>0.3</v>
      </c>
      <c r="D29" s="101">
        <f>IF($A29="","",SUMIFS('GECC 2026'!$AE$3:$AE$32,'GECC 2026'!$AD$3:$AD$32,$A29))</f>
        <v>0</v>
      </c>
      <c r="E29" s="93">
        <f>IF($A29="","",SUMIFS('GECC 2026'!J$2:J$200,'GECC 2026'!F$2:F$200,$A29)+SUMIFS('GECC 2026'!$AE$3:$AE$32,'GECC 2026'!$AD$3:$AD$32,$A29))</f>
        <v>1.3</v>
      </c>
      <c r="F29" s="24">
        <f>IF($A29="","",COUNTIFS('GECC 2026'!F$2:F$200,$A29))</f>
        <v>1</v>
      </c>
    </row>
    <row r="30" spans="1:6" x14ac:dyDescent="0.25">
      <c r="A30" t="str">
        <v>Indio Artiaga do Brasil Rabelo</v>
      </c>
      <c r="B30" s="26">
        <f>IF($A30="","",SUMIFS('GECC 2026'!H$2:H$200,'GECC 2026'!F$2:F$200,$A30))</f>
        <v>12</v>
      </c>
      <c r="C30" s="26">
        <f>IF($A30="","",SUMIFS('GECC 2026'!I$2:I$200,'GECC 2026'!F$2:F$200,$A30))</f>
        <v>38.5</v>
      </c>
      <c r="D30" s="101">
        <f>IF($A30="","",SUMIFS('GECC 2026'!$AE$3:$AE$32,'GECC 2026'!$AD$3:$AD$32,$A30))</f>
        <v>0</v>
      </c>
      <c r="E30" s="93">
        <f>IF($A30="","",SUMIFS('GECC 2026'!J$2:J$200,'GECC 2026'!F$2:F$200,$A30)+SUMIFS('GECC 2026'!$AE$3:$AE$32,'GECC 2026'!$AD$3:$AD$32,$A30))</f>
        <v>50.5</v>
      </c>
      <c r="F30" s="24">
        <f>IF($A30="","",COUNTIFS('GECC 2026'!F$2:F$200,$A30))</f>
        <v>2</v>
      </c>
    </row>
    <row r="31" spans="1:6" x14ac:dyDescent="0.25">
      <c r="A31" t="str">
        <v>Isac Mendes Caixeta de Pamplona Araújo</v>
      </c>
      <c r="B31" s="26">
        <f>IF($A31="","",SUMIFS('GECC 2026'!H$2:H$200,'GECC 2026'!F$2:F$200,$A31))</f>
        <v>0</v>
      </c>
      <c r="C31" s="26">
        <f>IF($A31="","",SUMIFS('GECC 2026'!I$2:I$200,'GECC 2026'!F$2:F$200,$A31))</f>
        <v>0</v>
      </c>
      <c r="D31" s="101">
        <f>IF($A31="","",SUMIFS('GECC 2026'!$AE$3:$AE$32,'GECC 2026'!$AD$3:$AD$32,$A31))</f>
        <v>0</v>
      </c>
      <c r="E31" s="93">
        <f>IF($A31="","",SUMIFS('GECC 2026'!J$2:J$200,'GECC 2026'!F$2:F$200,$A31)+SUMIFS('GECC 2026'!$AE$3:$AE$32,'GECC 2026'!$AD$3:$AD$32,$A31))</f>
        <v>0</v>
      </c>
      <c r="F31" s="24">
        <f>IF($A31="","",COUNTIFS('GECC 2026'!F$2:F$200,$A31))</f>
        <v>1</v>
      </c>
    </row>
    <row r="32" spans="1:6" x14ac:dyDescent="0.25">
      <c r="A32" t="str">
        <v>Jamile Medeiros Fon</v>
      </c>
      <c r="B32" s="26">
        <f>IF($A32="","",SUMIFS('GECC 2026'!H$2:H$200,'GECC 2026'!F$2:F$200,$A32))</f>
        <v>4</v>
      </c>
      <c r="C32" s="26">
        <f>IF($A32="","",SUMIFS('GECC 2026'!I$2:I$200,'GECC 2026'!F$2:F$200,$A32))</f>
        <v>0.6</v>
      </c>
      <c r="D32" s="101">
        <f>IF($A32="","",SUMIFS('GECC 2026'!$AE$3:$AE$32,'GECC 2026'!$AD$3:$AD$32,$A32))</f>
        <v>0</v>
      </c>
      <c r="E32" s="93">
        <f>IF($A32="","",SUMIFS('GECC 2026'!J$2:J$200,'GECC 2026'!F$2:F$200,$A32)+SUMIFS('GECC 2026'!$AE$3:$AE$32,'GECC 2026'!$AD$3:$AD$32,$A32))</f>
        <v>4.5999999999999996</v>
      </c>
      <c r="F32" s="24">
        <f>IF($A32="","",COUNTIFS('GECC 2026'!F$2:F$200,$A32))</f>
        <v>1</v>
      </c>
    </row>
    <row r="33" spans="1:6" x14ac:dyDescent="0.25">
      <c r="A33" t="str">
        <v>José Roberto Alcuri Júnior</v>
      </c>
      <c r="B33" s="26">
        <f>IF($A33="","",SUMIFS('GECC 2026'!H$2:H$200,'GECC 2026'!F$2:F$200,$A33))</f>
        <v>1</v>
      </c>
      <c r="C33" s="26">
        <f>IF($A33="","",SUMIFS('GECC 2026'!I$2:I$200,'GECC 2026'!F$2:F$200,$A33))</f>
        <v>0.3</v>
      </c>
      <c r="D33" s="101">
        <f>IF($A33="","",SUMIFS('GECC 2026'!$AE$3:$AE$32,'GECC 2026'!$AD$3:$AD$32,$A33))</f>
        <v>0</v>
      </c>
      <c r="E33" s="93">
        <f>IF($A33="","",SUMIFS('GECC 2026'!J$2:J$200,'GECC 2026'!F$2:F$200,$A33)+SUMIFS('GECC 2026'!$AE$3:$AE$32,'GECC 2026'!$AD$3:$AD$32,$A33))</f>
        <v>1.3</v>
      </c>
      <c r="F33" s="24">
        <f>IF($A33="","",COUNTIFS('GECC 2026'!F$2:F$200,$A33))</f>
        <v>2</v>
      </c>
    </row>
    <row r="34" spans="1:6" x14ac:dyDescent="0.25">
      <c r="A34" t="str">
        <v>Leonardo de Melo</v>
      </c>
      <c r="B34" s="26">
        <f>IF($A34="","",SUMIFS('GECC 2026'!H$2:H$200,'GECC 2026'!F$2:F$200,$A34))</f>
        <v>0</v>
      </c>
      <c r="C34" s="26">
        <f>IF($A34="","",SUMIFS('GECC 2026'!I$2:I$200,'GECC 2026'!F$2:F$200,$A34))</f>
        <v>34.9</v>
      </c>
      <c r="D34" s="101">
        <f>IF($A34="","",SUMIFS('GECC 2026'!$AE$3:$AE$32,'GECC 2026'!$AD$3:$AD$32,$A34))</f>
        <v>0</v>
      </c>
      <c r="E34" s="93">
        <f>IF($A34="","",SUMIFS('GECC 2026'!J$2:J$200,'GECC 2026'!F$2:F$200,$A34)+SUMIFS('GECC 2026'!$AE$3:$AE$32,'GECC 2026'!$AD$3:$AD$32,$A34))</f>
        <v>34.9</v>
      </c>
      <c r="F34" s="24">
        <f>IF($A34="","",COUNTIFS('GECC 2026'!F$2:F$200,$A34))</f>
        <v>2</v>
      </c>
    </row>
    <row r="35" spans="1:6" x14ac:dyDescent="0.25">
      <c r="A35" t="str">
        <v>Leonardo José Alves Leal Neri</v>
      </c>
      <c r="B35" s="26">
        <f>IF($A35="","",SUMIFS('GECC 2026'!H$2:H$200,'GECC 2026'!F$2:F$200,$A35))</f>
        <v>40</v>
      </c>
      <c r="C35" s="26">
        <f>IF($A35="","",SUMIFS('GECC 2026'!I$2:I$200,'GECC 2026'!F$2:F$200,$A35))</f>
        <v>12</v>
      </c>
      <c r="D35" s="101">
        <f>IF($A35="","",SUMIFS('GECC 2026'!$AE$3:$AE$32,'GECC 2026'!$AD$3:$AD$32,$A35))</f>
        <v>0</v>
      </c>
      <c r="E35" s="93">
        <f>IF($A35="","",SUMIFS('GECC 2026'!J$2:J$200,'GECC 2026'!F$2:F$200,$A35)+SUMIFS('GECC 2026'!$AE$3:$AE$32,'GECC 2026'!$AD$3:$AD$32,$A35))</f>
        <v>52</v>
      </c>
      <c r="F35" s="24">
        <f>IF($A35="","",COUNTIFS('GECC 2026'!F$2:F$200,$A35))</f>
        <v>2</v>
      </c>
    </row>
    <row r="36" spans="1:6" x14ac:dyDescent="0.25">
      <c r="A36" t="str">
        <v>Luciana Alvim</v>
      </c>
      <c r="B36" s="26">
        <f>IF($A36="","",SUMIFS('GECC 2026'!H$2:H$200,'GECC 2026'!F$2:F$200,$A36))</f>
        <v>60</v>
      </c>
      <c r="C36" s="26">
        <f>IF($A36="","",SUMIFS('GECC 2026'!I$2:I$200,'GECC 2026'!F$2:F$200,$A36))</f>
        <v>74</v>
      </c>
      <c r="D36" s="101">
        <f>IF($A36="","",SUMIFS('GECC 2026'!$AE$3:$AE$32,'GECC 2026'!$AD$3:$AD$32,$A36))</f>
        <v>0</v>
      </c>
      <c r="E36" s="93">
        <f>IF($A36="","",SUMIFS('GECC 2026'!J$2:J$200,'GECC 2026'!F$2:F$200,$A36)+SUMIFS('GECC 2026'!$AE$3:$AE$32,'GECC 2026'!$AD$3:$AD$32,$A36))</f>
        <v>134</v>
      </c>
      <c r="F36" s="24">
        <f>IF($A36="","",COUNTIFS('GECC 2026'!F$2:F$200,$A36))</f>
        <v>6</v>
      </c>
    </row>
    <row r="37" spans="1:6" x14ac:dyDescent="0.25">
      <c r="A37" t="str">
        <v>Luiz Felipe Tenório de Lima Gondim</v>
      </c>
      <c r="B37" s="26">
        <f>IF($A37="","",SUMIFS('GECC 2026'!H$2:H$200,'GECC 2026'!F$2:F$200,$A37))</f>
        <v>24</v>
      </c>
      <c r="C37" s="26">
        <f>IF($A37="","",SUMIFS('GECC 2026'!I$2:I$200,'GECC 2026'!F$2:F$200,$A37))</f>
        <v>5.28</v>
      </c>
      <c r="D37" s="101">
        <f>IF($A37="","",SUMIFS('GECC 2026'!$AE$3:$AE$32,'GECC 2026'!$AD$3:$AD$32,$A37))</f>
        <v>0</v>
      </c>
      <c r="E37" s="93">
        <f>IF($A37="","",SUMIFS('GECC 2026'!J$2:J$200,'GECC 2026'!F$2:F$200,$A37)+SUMIFS('GECC 2026'!$AE$3:$AE$32,'GECC 2026'!$AD$3:$AD$32,$A37))</f>
        <v>29.279999999999998</v>
      </c>
      <c r="F37" s="24">
        <f>IF($A37="","",COUNTIFS('GECC 2026'!F$2:F$200,$A37))</f>
        <v>6</v>
      </c>
    </row>
    <row r="38" spans="1:6" x14ac:dyDescent="0.25">
      <c r="A38" t="str">
        <v>Marcelo Bálbio Moraes</v>
      </c>
      <c r="B38" s="26">
        <f>IF($A38="","",SUMIFS('GECC 2026'!H$2:H$200,'GECC 2026'!F$2:F$200,$A38))</f>
        <v>0</v>
      </c>
      <c r="C38" s="26">
        <f>IF($A38="","",SUMIFS('GECC 2026'!I$2:I$200,'GECC 2026'!F$2:F$200,$A38))</f>
        <v>0</v>
      </c>
      <c r="D38" s="101">
        <f>IF($A38="","",SUMIFS('GECC 2026'!$AE$3:$AE$32,'GECC 2026'!$AD$3:$AD$32,$A38))</f>
        <v>16</v>
      </c>
      <c r="E38" s="93">
        <f>IF($A38="","",SUMIFS('GECC 2026'!J$2:J$200,'GECC 2026'!F$2:F$200,$A38)+SUMIFS('GECC 2026'!$AE$3:$AE$32,'GECC 2026'!$AD$3:$AD$32,$A38))</f>
        <v>16</v>
      </c>
      <c r="F38" s="24">
        <f>IF($A38="","",COUNTIFS('GECC 2026'!F$2:F$200,$A38))</f>
        <v>0</v>
      </c>
    </row>
    <row r="39" spans="1:6" x14ac:dyDescent="0.25">
      <c r="A39" t="str">
        <v>Marcelo Santana</v>
      </c>
      <c r="B39" s="26">
        <f>IF($A39="","",SUMIFS('GECC 2026'!H$2:H$200,'GECC 2026'!F$2:F$200,$A39))</f>
        <v>1</v>
      </c>
      <c r="C39" s="26">
        <f>IF($A39="","",SUMIFS('GECC 2026'!I$2:I$200,'GECC 2026'!F$2:F$200,$A39))</f>
        <v>0.3</v>
      </c>
      <c r="D39" s="101">
        <f>IF($A39="","",SUMIFS('GECC 2026'!$AE$3:$AE$32,'GECC 2026'!$AD$3:$AD$32,$A39))</f>
        <v>0</v>
      </c>
      <c r="E39" s="93">
        <f>IF($A39="","",SUMIFS('GECC 2026'!J$2:J$200,'GECC 2026'!F$2:F$200,$A39)+SUMIFS('GECC 2026'!$AE$3:$AE$32,'GECC 2026'!$AD$3:$AD$32,$A39))</f>
        <v>1.3</v>
      </c>
      <c r="F39" s="24">
        <f>IF($A39="","",COUNTIFS('GECC 2026'!F$2:F$200,$A39))</f>
        <v>1</v>
      </c>
    </row>
    <row r="40" spans="1:6" x14ac:dyDescent="0.25">
      <c r="A40" t="str">
        <v>Marcelo Silva Santana</v>
      </c>
      <c r="B40" s="26">
        <f>IF($A40="","",SUMIFS('GECC 2026'!H$2:H$200,'GECC 2026'!F$2:F$200,$A40))</f>
        <v>4</v>
      </c>
      <c r="C40" s="26">
        <f>IF($A40="","",SUMIFS('GECC 2026'!I$2:I$200,'GECC 2026'!F$2:F$200,$A40))</f>
        <v>0.6</v>
      </c>
      <c r="D40" s="101">
        <f>IF($A40="","",SUMIFS('GECC 2026'!$AE$3:$AE$32,'GECC 2026'!$AD$3:$AD$32,$A40))</f>
        <v>0</v>
      </c>
      <c r="E40" s="93">
        <f>IF($A40="","",SUMIFS('GECC 2026'!J$2:J$200,'GECC 2026'!F$2:F$200,$A40)+SUMIFS('GECC 2026'!$AE$3:$AE$32,'GECC 2026'!$AD$3:$AD$32,$A40))</f>
        <v>4.5999999999999996</v>
      </c>
      <c r="F40" s="24">
        <f>IF($A40="","",COUNTIFS('GECC 2026'!F$2:F$200,$A40))</f>
        <v>1</v>
      </c>
    </row>
    <row r="41" spans="1:6" x14ac:dyDescent="0.25">
      <c r="A41" t="str">
        <v>Mauri Siqueira Montessi</v>
      </c>
      <c r="B41" s="26">
        <f>IF($A41="","",SUMIFS('GECC 2026'!H$2:H$200,'GECC 2026'!F$2:F$200,$A41))</f>
        <v>0</v>
      </c>
      <c r="C41" s="26">
        <f>IF($A41="","",SUMIFS('GECC 2026'!I$2:I$200,'GECC 2026'!F$2:F$200,$A41))</f>
        <v>0</v>
      </c>
      <c r="D41" s="101">
        <f>IF($A41="","",SUMIFS('GECC 2026'!$AE$3:$AE$32,'GECC 2026'!$AD$3:$AD$32,$A41))</f>
        <v>16</v>
      </c>
      <c r="E41" s="93">
        <f>IF($A41="","",SUMIFS('GECC 2026'!J$2:J$200,'GECC 2026'!F$2:F$200,$A41)+SUMIFS('GECC 2026'!$AE$3:$AE$32,'GECC 2026'!$AD$3:$AD$32,$A41))</f>
        <v>16</v>
      </c>
      <c r="F41" s="24">
        <f>IF($A41="","",COUNTIFS('GECC 2026'!F$2:F$200,$A41))</f>
        <v>0</v>
      </c>
    </row>
    <row r="42" spans="1:6" x14ac:dyDescent="0.25">
      <c r="A42" t="str">
        <v>Michel Martins de Morais</v>
      </c>
      <c r="B42" s="26">
        <f>IF($A42="","",SUMIFS('GECC 2026'!H$2:H$200,'GECC 2026'!F$2:F$200,$A42))</f>
        <v>0</v>
      </c>
      <c r="C42" s="26">
        <f>IF($A42="","",SUMIFS('GECC 2026'!I$2:I$200,'GECC 2026'!F$2:F$200,$A42))</f>
        <v>0</v>
      </c>
      <c r="D42" s="101">
        <f>IF($A42="","",SUMIFS('GECC 2026'!$AE$3:$AE$32,'GECC 2026'!$AD$3:$AD$32,$A42))</f>
        <v>16</v>
      </c>
      <c r="E42" s="93">
        <f>IF($A42="","",SUMIFS('GECC 2026'!J$2:J$200,'GECC 2026'!F$2:F$200,$A42)+SUMIFS('GECC 2026'!$AE$3:$AE$32,'GECC 2026'!$AD$3:$AD$32,$A42))</f>
        <v>16</v>
      </c>
      <c r="F42" s="24">
        <f>IF($A42="","",COUNTIFS('GECC 2026'!F$2:F$200,$A42))</f>
        <v>0</v>
      </c>
    </row>
    <row r="43" spans="1:6" x14ac:dyDescent="0.25">
      <c r="A43" t="str">
        <v>Paulo José Góes Daltro</v>
      </c>
      <c r="B43" s="26">
        <f>IF($A43="","",SUMIFS('GECC 2026'!H$2:H$200,'GECC 2026'!F$2:F$200,$A43))</f>
        <v>15</v>
      </c>
      <c r="C43" s="26">
        <f>IF($A43="","",SUMIFS('GECC 2026'!I$2:I$200,'GECC 2026'!F$2:F$200,$A43))</f>
        <v>4.5</v>
      </c>
      <c r="D43" s="101">
        <f>IF($A43="","",SUMIFS('GECC 2026'!$AE$3:$AE$32,'GECC 2026'!$AD$3:$AD$32,$A43))</f>
        <v>0</v>
      </c>
      <c r="E43" s="93">
        <f>IF($A43="","",SUMIFS('GECC 2026'!J$2:J$200,'GECC 2026'!F$2:F$200,$A43)+SUMIFS('GECC 2026'!$AE$3:$AE$32,'GECC 2026'!$AD$3:$AD$32,$A43))</f>
        <v>19.5</v>
      </c>
      <c r="F43" s="24">
        <f>IF($A43="","",COUNTIFS('GECC 2026'!F$2:F$200,$A43))</f>
        <v>4</v>
      </c>
    </row>
    <row r="44" spans="1:6" x14ac:dyDescent="0.25">
      <c r="A44" t="str">
        <v>Priscila Nolasco de Oliveira</v>
      </c>
      <c r="B44" s="26">
        <f>IF($A44="","",SUMIFS('GECC 2026'!H$2:H$200,'GECC 2026'!F$2:F$200,$A44))</f>
        <v>36</v>
      </c>
      <c r="C44" s="26">
        <f>IF($A44="","",SUMIFS('GECC 2026'!I$2:I$200,'GECC 2026'!F$2:F$200,$A44))</f>
        <v>8.8800000000000008</v>
      </c>
      <c r="D44" s="101">
        <f>IF($A44="","",SUMIFS('GECC 2026'!$AE$3:$AE$32,'GECC 2026'!$AD$3:$AD$32,$A44))</f>
        <v>0</v>
      </c>
      <c r="E44" s="93">
        <f>IF($A44="","",SUMIFS('GECC 2026'!J$2:J$200,'GECC 2026'!F$2:F$200,$A44)+SUMIFS('GECC 2026'!$AE$3:$AE$32,'GECC 2026'!$AD$3:$AD$32,$A44))</f>
        <v>44.88000000000001</v>
      </c>
      <c r="F44" s="24">
        <f>IF($A44="","",COUNTIFS('GECC 2026'!F$2:F$200,$A44))</f>
        <v>9</v>
      </c>
    </row>
    <row r="45" spans="1:6" x14ac:dyDescent="0.25">
      <c r="A45" t="str">
        <v>Reinaldo Alencar</v>
      </c>
      <c r="B45" s="26">
        <f>IF($A45="","",SUMIFS('GECC 2026'!H$2:H$200,'GECC 2026'!F$2:F$200,$A45))</f>
        <v>48</v>
      </c>
      <c r="C45" s="26">
        <f>IF($A45="","",SUMIFS('GECC 2026'!I$2:I$200,'GECC 2026'!F$2:F$200,$A45))</f>
        <v>7.1999999999999993</v>
      </c>
      <c r="D45" s="101">
        <f>IF($A45="","",SUMIFS('GECC 2026'!$AE$3:$AE$32,'GECC 2026'!$AD$3:$AD$32,$A45))</f>
        <v>0</v>
      </c>
      <c r="E45" s="93">
        <f>IF($A45="","",SUMIFS('GECC 2026'!J$2:J$200,'GECC 2026'!F$2:F$200,$A45)+SUMIFS('GECC 2026'!$AE$3:$AE$32,'GECC 2026'!$AD$3:$AD$32,$A45))</f>
        <v>55.2</v>
      </c>
      <c r="F45" s="24">
        <f>IF($A45="","",COUNTIFS('GECC 2026'!F$2:F$200,$A45))</f>
        <v>3</v>
      </c>
    </row>
    <row r="46" spans="1:6" x14ac:dyDescent="0.25">
      <c r="A46" t="str">
        <v>Renan Dias da Silva</v>
      </c>
      <c r="B46" s="26">
        <f>IF($A46="","",SUMIFS('GECC 2026'!H$2:H$200,'GECC 2026'!F$2:F$200,$A46))</f>
        <v>4</v>
      </c>
      <c r="C46" s="26">
        <f>IF($A46="","",SUMIFS('GECC 2026'!I$2:I$200,'GECC 2026'!F$2:F$200,$A46))</f>
        <v>1.2</v>
      </c>
      <c r="D46" s="101">
        <f>IF($A46="","",SUMIFS('GECC 2026'!$AE$3:$AE$32,'GECC 2026'!$AD$3:$AD$32,$A46))</f>
        <v>0</v>
      </c>
      <c r="E46" s="93">
        <f>IF($A46="","",SUMIFS('GECC 2026'!J$2:J$200,'GECC 2026'!F$2:F$200,$A46)+SUMIFS('GECC 2026'!$AE$3:$AE$32,'GECC 2026'!$AD$3:$AD$32,$A46))</f>
        <v>5.2</v>
      </c>
      <c r="F46" s="24">
        <f>IF($A46="","",COUNTIFS('GECC 2026'!F$2:F$200,$A46))</f>
        <v>1</v>
      </c>
    </row>
    <row r="47" spans="1:6" x14ac:dyDescent="0.25">
      <c r="A47" t="str">
        <v>Rogério Ribeiro</v>
      </c>
      <c r="B47" s="26">
        <f>IF($A47="","",SUMIFS('GECC 2026'!H$2:H$200,'GECC 2026'!F$2:F$200,$A47))</f>
        <v>48</v>
      </c>
      <c r="C47" s="26">
        <f>IF($A47="","",SUMIFS('GECC 2026'!I$2:I$200,'GECC 2026'!F$2:F$200,$A47))</f>
        <v>7.1999999999999993</v>
      </c>
      <c r="D47" s="101">
        <f>IF($A47="","",SUMIFS('GECC 2026'!$AE$3:$AE$32,'GECC 2026'!$AD$3:$AD$32,$A47))</f>
        <v>0</v>
      </c>
      <c r="E47" s="93">
        <f>IF($A47="","",SUMIFS('GECC 2026'!J$2:J$200,'GECC 2026'!F$2:F$200,$A47)+SUMIFS('GECC 2026'!$AE$3:$AE$32,'GECC 2026'!$AD$3:$AD$32,$A47))</f>
        <v>55.2</v>
      </c>
      <c r="F47" s="24">
        <f>IF($A47="","",COUNTIFS('GECC 2026'!F$2:F$200,$A47))</f>
        <v>3</v>
      </c>
    </row>
    <row r="48" spans="1:6" x14ac:dyDescent="0.25">
      <c r="A48" t="str">
        <v>Rômulo Miranda Alvim</v>
      </c>
      <c r="B48" s="26">
        <f>IF($A48="","",SUMIFS('GECC 2026'!H$2:H$200,'GECC 2026'!F$2:F$200,$A48))</f>
        <v>24</v>
      </c>
      <c r="C48" s="26">
        <f>IF($A48="","",SUMIFS('GECC 2026'!I$2:I$200,'GECC 2026'!F$2:F$200,$A48))</f>
        <v>3.6</v>
      </c>
      <c r="D48" s="101">
        <f>IF($A48="","",SUMIFS('GECC 2026'!$AE$3:$AE$32,'GECC 2026'!$AD$3:$AD$32,$A48))</f>
        <v>16</v>
      </c>
      <c r="E48" s="93">
        <f>IF($A48="","",SUMIFS('GECC 2026'!J$2:J$200,'GECC 2026'!F$2:F$200,$A48)+SUMIFS('GECC 2026'!$AE$3:$AE$32,'GECC 2026'!$AD$3:$AD$32,$A48))</f>
        <v>43.6</v>
      </c>
      <c r="F48" s="24">
        <f>IF($A48="","",COUNTIFS('GECC 2026'!F$2:F$200,$A48))</f>
        <v>2</v>
      </c>
    </row>
    <row r="49" spans="1:6" x14ac:dyDescent="0.25">
      <c r="A49" t="str">
        <v>Sara Cristina Lins Ramos</v>
      </c>
      <c r="B49" s="26">
        <f>IF($A49="","",SUMIFS('GECC 2026'!H$2:H$200,'GECC 2026'!F$2:F$200,$A49))</f>
        <v>8</v>
      </c>
      <c r="C49" s="26">
        <f>IF($A49="","",SUMIFS('GECC 2026'!I$2:I$200,'GECC 2026'!F$2:F$200,$A49))</f>
        <v>2.4</v>
      </c>
      <c r="D49" s="101">
        <f>IF($A49="","",SUMIFS('GECC 2026'!$AE$3:$AE$32,'GECC 2026'!$AD$3:$AD$32,$A49))</f>
        <v>0</v>
      </c>
      <c r="E49" s="93">
        <f>IF($A49="","",SUMIFS('GECC 2026'!J$2:J$200,'GECC 2026'!F$2:F$200,$A49)+SUMIFS('GECC 2026'!$AE$3:$AE$32,'GECC 2026'!$AD$3:$AD$32,$A49))</f>
        <v>10.4</v>
      </c>
      <c r="F49" s="24">
        <f>IF($A49="","",COUNTIFS('GECC 2026'!F$2:F$200,$A49))</f>
        <v>1</v>
      </c>
    </row>
    <row r="50" spans="1:6" x14ac:dyDescent="0.25">
      <c r="A50" t="str">
        <v>Servidores, colaboradores e estagiários do TCDF</v>
      </c>
      <c r="B50" s="26">
        <f>IF($A50="","",SUMIFS('GECC 2026'!H$2:H$200,'GECC 2026'!F$2:F$200,$A50))</f>
        <v>0</v>
      </c>
      <c r="C50" s="26">
        <f>IF($A50="","",SUMIFS('GECC 2026'!I$2:I$200,'GECC 2026'!F$2:F$200,$A50))</f>
        <v>0</v>
      </c>
      <c r="D50" s="101">
        <f>IF($A50="","",SUMIFS('GECC 2026'!$AE$3:$AE$32,'GECC 2026'!$AD$3:$AD$32,$A50))</f>
        <v>0</v>
      </c>
      <c r="E50" s="93">
        <f>IF($A50="","",SUMIFS('GECC 2026'!J$2:J$200,'GECC 2026'!F$2:F$200,$A50)+SUMIFS('GECC 2026'!$AE$3:$AE$32,'GECC 2026'!$AD$3:$AD$32,$A50))</f>
        <v>0</v>
      </c>
      <c r="F50" s="24">
        <f>IF($A50="","",COUNTIFS('GECC 2026'!F$2:F$200,$A50))</f>
        <v>1</v>
      </c>
    </row>
    <row r="51" spans="1:6" x14ac:dyDescent="0.25">
      <c r="A51" t="str">
        <v>Silvia Lima Damasceno Carvalho</v>
      </c>
      <c r="B51" s="26">
        <f>IF($A51="","",SUMIFS('GECC 2026'!H$2:H$200,'GECC 2026'!F$2:F$200,$A51))</f>
        <v>21</v>
      </c>
      <c r="C51" s="26">
        <f>IF($A51="","",SUMIFS('GECC 2026'!I$2:I$200,'GECC 2026'!F$2:F$200,$A51))</f>
        <v>3.3</v>
      </c>
      <c r="D51" s="101">
        <f>IF($A51="","",SUMIFS('GECC 2026'!$AE$3:$AE$32,'GECC 2026'!$AD$3:$AD$32,$A51))</f>
        <v>0</v>
      </c>
      <c r="E51" s="93">
        <f>IF($A51="","",SUMIFS('GECC 2026'!J$2:J$200,'GECC 2026'!F$2:F$200,$A51)+SUMIFS('GECC 2026'!$AE$3:$AE$32,'GECC 2026'!$AD$3:$AD$32,$A51))</f>
        <v>24.299999999999997</v>
      </c>
      <c r="F51" s="24">
        <f>IF($A51="","",COUNTIFS('GECC 2026'!F$2:F$200,$A51))</f>
        <v>6</v>
      </c>
    </row>
    <row r="52" spans="1:6" x14ac:dyDescent="0.25">
      <c r="A52" t="str">
        <v>Tarsila Firmino Ely</v>
      </c>
      <c r="B52" s="26">
        <f>IF($A52="","",SUMIFS('GECC 2026'!H$2:H$200,'GECC 2026'!F$2:F$200,$A52))</f>
        <v>76</v>
      </c>
      <c r="C52" s="26">
        <f>IF($A52="","",SUMIFS('GECC 2026'!I$2:I$200,'GECC 2026'!F$2:F$200,$A52))</f>
        <v>79.999999999999986</v>
      </c>
      <c r="D52" s="101">
        <f>IF($A52="","",SUMIFS('GECC 2026'!$AE$3:$AE$32,'GECC 2026'!$AD$3:$AD$32,$A52))</f>
        <v>0</v>
      </c>
      <c r="E52" s="93">
        <f>IF($A52="","",SUMIFS('GECC 2026'!J$2:J$200,'GECC 2026'!F$2:F$200,$A52)+SUMIFS('GECC 2026'!$AE$3:$AE$32,'GECC 2026'!$AD$3:$AD$32,$A52))</f>
        <v>155.99999999999997</v>
      </c>
      <c r="F52" s="24">
        <f>IF($A52="","",COUNTIFS('GECC 2026'!F$2:F$200,$A52))</f>
        <v>6</v>
      </c>
    </row>
    <row r="53" spans="1:6" x14ac:dyDescent="0.25">
      <c r="A53" t="str">
        <v>Thiago Magalhães de Oliveira</v>
      </c>
      <c r="B53" s="26">
        <f>IF($A53="","",SUMIFS('GECC 2026'!H$2:H$200,'GECC 2026'!F$2:F$200,$A53))</f>
        <v>4</v>
      </c>
      <c r="C53" s="26">
        <f>IF($A53="","",SUMIFS('GECC 2026'!I$2:I$200,'GECC 2026'!F$2:F$200,$A53))</f>
        <v>2.4</v>
      </c>
      <c r="D53" s="101">
        <f>IF($A53="","",SUMIFS('GECC 2026'!$AE$3:$AE$32,'GECC 2026'!$AD$3:$AD$32,$A53))</f>
        <v>0</v>
      </c>
      <c r="E53" s="93">
        <f>IF($A53="","",SUMIFS('GECC 2026'!J$2:J$200,'GECC 2026'!F$2:F$200,$A53)+SUMIFS('GECC 2026'!$AE$3:$AE$32,'GECC 2026'!$AD$3:$AD$32,$A53))</f>
        <v>6.4</v>
      </c>
      <c r="F53" s="24">
        <f>IF($A53="","",COUNTIFS('GECC 2026'!F$2:F$200,$A53))</f>
        <v>1</v>
      </c>
    </row>
    <row r="54" spans="1:6" x14ac:dyDescent="0.25">
      <c r="A54" t="str">
        <v>Túllio Herbeth Teixeira Moraes</v>
      </c>
      <c r="B54" s="26">
        <f>IF($A54="","",SUMIFS('GECC 2026'!H$2:H$200,'GECC 2026'!F$2:F$200,$A54))</f>
        <v>3</v>
      </c>
      <c r="C54" s="26">
        <f>IF($A54="","",SUMIFS('GECC 2026'!I$2:I$200,'GECC 2026'!F$2:F$200,$A54))</f>
        <v>0.9</v>
      </c>
      <c r="D54" s="101">
        <f>IF($A54="","",SUMIFS('GECC 2026'!$AE$3:$AE$32,'GECC 2026'!$AD$3:$AD$32,$A54))</f>
        <v>0</v>
      </c>
      <c r="E54" s="93">
        <f>IF($A54="","",SUMIFS('GECC 2026'!J$2:J$200,'GECC 2026'!F$2:F$200,$A54)+SUMIFS('GECC 2026'!$AE$3:$AE$32,'GECC 2026'!$AD$3:$AD$32,$A54))</f>
        <v>3.9</v>
      </c>
      <c r="F54" s="24">
        <f>IF($A54="","",COUNTIFS('GECC 2026'!F$2:F$200,$A54))</f>
        <v>1</v>
      </c>
    </row>
    <row r="55" spans="1:6" x14ac:dyDescent="0.25">
      <c r="A55" t="str">
        <v>Valéria Feitoza</v>
      </c>
      <c r="B55" s="26">
        <f>IF($A55="","",SUMIFS('GECC 2026'!H$2:H$200,'GECC 2026'!F$2:F$200,$A55))</f>
        <v>0</v>
      </c>
      <c r="C55" s="26">
        <f>IF($A55="","",SUMIFS('GECC 2026'!I$2:I$200,'GECC 2026'!F$2:F$200,$A55))</f>
        <v>0</v>
      </c>
      <c r="D55" s="101">
        <f>IF($A55="","",SUMIFS('GECC 2026'!$AE$3:$AE$32,'GECC 2026'!$AD$3:$AD$32,$A55))</f>
        <v>0</v>
      </c>
      <c r="E55" s="93">
        <f>IF($A55="","",SUMIFS('GECC 2026'!J$2:J$200,'GECC 2026'!F$2:F$200,$A55)+SUMIFS('GECC 2026'!$AE$3:$AE$32,'GECC 2026'!$AD$3:$AD$32,$A55))</f>
        <v>0</v>
      </c>
      <c r="F55" s="24">
        <f>IF($A55="","",COUNTIFS('GECC 2026'!F$2:F$200,$A55))</f>
        <v>1</v>
      </c>
    </row>
    <row r="56" spans="1:6" x14ac:dyDescent="0.25">
      <c r="A56" t="str">
        <v>Wibys Pereira</v>
      </c>
      <c r="B56" s="26">
        <f>IF($A56="","",SUMIFS('GECC 2026'!H$2:H$200,'GECC 2026'!F$2:F$200,$A56))</f>
        <v>4</v>
      </c>
      <c r="C56" s="26">
        <f>IF($A56="","",SUMIFS('GECC 2026'!I$2:I$200,'GECC 2026'!F$2:F$200,$A56))</f>
        <v>0.6</v>
      </c>
      <c r="D56" s="101">
        <f>IF($A56="","",SUMIFS('GECC 2026'!$AE$3:$AE$32,'GECC 2026'!$AD$3:$AD$32,$A56))</f>
        <v>0</v>
      </c>
      <c r="E56" s="93">
        <f>IF($A56="","",SUMIFS('GECC 2026'!J$2:J$200,'GECC 2026'!F$2:F$200,$A56)+SUMIFS('GECC 2026'!$AE$3:$AE$32,'GECC 2026'!$AD$3:$AD$32,$A56))</f>
        <v>4.5999999999999996</v>
      </c>
      <c r="F56" s="24">
        <f>IF($A56="","",COUNTIFS('GECC 2026'!F$2:F$200,$A56))</f>
        <v>1</v>
      </c>
    </row>
    <row r="57" spans="1:6" x14ac:dyDescent="0.25">
      <c r="B57" s="26" t="str">
        <f>IF($A57="","",SUMIFS('GECC 2026'!H$2:H$200,'GECC 2026'!F$2:F$200,$A57))</f>
        <v/>
      </c>
      <c r="C57" s="26" t="str">
        <f>IF($A57="","",SUMIFS('GECC 2026'!I$2:I$200,'GECC 2026'!F$2:F$200,$A57))</f>
        <v/>
      </c>
      <c r="D57" s="101" t="str">
        <f>IF($A57="","",SUMIFS('GECC 2026'!$AE$3:$AE$32,'GECC 2026'!$AD$3:$AD$32,$A57))</f>
        <v/>
      </c>
      <c r="E57" s="93" t="str">
        <f>IF($A57="","",SUMIFS('GECC 2026'!J$2:J$200,'GECC 2026'!F$2:F$200,$A57)+SUMIFS('GECC 2026'!$AE$3:$AE$32,'GECC 2026'!$AD$3:$AD$32,$A57))</f>
        <v/>
      </c>
      <c r="F57" s="24" t="str">
        <f>IF($A57="","",COUNTIFS('GECC 2026'!F$2:F$200,$A57))</f>
        <v/>
      </c>
    </row>
    <row r="58" spans="1:6" x14ac:dyDescent="0.25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 x14ac:dyDescent="0.25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 x14ac:dyDescent="0.25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2358</v>
      </c>
      <c r="B105" s="95">
        <f>SUM(B5:B100)</f>
        <v>779</v>
      </c>
      <c r="C105" s="95">
        <f>SUM(C5:C100)</f>
        <v>462.69999999999993</v>
      </c>
      <c r="D105" s="101">
        <f>IF($A105="","",SUMIFS('GECC 2026'!$AE$3:$AE$32,'GECC 2026'!$AD$3:$AD$32,$A105))</f>
        <v>0</v>
      </c>
      <c r="E105" s="93">
        <f>IF($A105="","",SUMIFS('GECC 2026'!J$2:J$200,'GECC 2026'!F$2:F$200,$A105)+SUMIFS('GECC 2026'!$AE$3:$AE$32,'GECC 2026'!$AD$3:$AD$32,$A105))</f>
        <v>0</v>
      </c>
      <c r="F105" s="96">
        <f>SUM(F5:F100)</f>
        <v>136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 activeCell="H39" sqref="H39"/>
    </sheetView>
  </sheetViews>
  <sheetFormatPr defaultRowHeight="15" x14ac:dyDescent="0.25"/>
  <cols>
    <col min="1" max="1" width="12.28515625" bestFit="1" customWidth="1"/>
    <col min="2" max="2" width="8.7109375" bestFit="1" customWidth="1"/>
    <col min="3" max="3" width="38.140625" bestFit="1" customWidth="1"/>
    <col min="4" max="4" width="8.42578125" bestFit="1" customWidth="1"/>
    <col min="5" max="5" width="12" bestFit="1" customWidth="1"/>
    <col min="6" max="6" width="94.28515625" bestFit="1" customWidth="1"/>
    <col min="7" max="7" width="17.7109375" bestFit="1" customWidth="1"/>
    <col min="8" max="8" width="250.85546875" bestFit="1" customWidth="1"/>
    <col min="9" max="9" width="20.85546875" bestFit="1" customWidth="1"/>
    <col min="10" max="10" width="11.28515625" bestFit="1" customWidth="1"/>
    <col min="11" max="11" width="28.140625" bestFit="1" customWidth="1"/>
    <col min="12" max="12" width="89" bestFit="1" customWidth="1"/>
    <col min="14" max="14" width="45.42578125" bestFit="1" customWidth="1"/>
    <col min="15" max="15" width="55.28515625" bestFit="1" customWidth="1"/>
    <col min="16" max="16" width="17.5703125" bestFit="1" customWidth="1"/>
    <col min="17" max="17" width="250.85546875" bestFit="1" customWidth="1"/>
    <col min="18" max="18" width="14.5703125" bestFit="1" customWidth="1"/>
    <col min="19" max="19" width="7" bestFit="1" customWidth="1"/>
  </cols>
  <sheetData>
    <row r="1" spans="1:19" x14ac:dyDescent="0.25">
      <c r="A1" s="139" t="s">
        <v>3132</v>
      </c>
      <c r="B1" s="139" t="s">
        <v>3133</v>
      </c>
      <c r="C1" s="139" t="s">
        <v>3134</v>
      </c>
      <c r="D1" s="139" t="s">
        <v>3135</v>
      </c>
      <c r="E1" s="139" t="s">
        <v>3136</v>
      </c>
      <c r="F1" s="139" t="s">
        <v>3137</v>
      </c>
      <c r="G1" s="139" t="s">
        <v>10</v>
      </c>
      <c r="H1" s="139" t="s">
        <v>3138</v>
      </c>
      <c r="I1" s="139" t="s">
        <v>3139</v>
      </c>
      <c r="J1" s="139" t="s">
        <v>3140</v>
      </c>
      <c r="K1" s="139" t="s">
        <v>3141</v>
      </c>
      <c r="L1" s="139" t="s">
        <v>3142</v>
      </c>
      <c r="N1" s="139" t="s">
        <v>3145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>IF(C2="","",IF(ISNUMBER(SEARCH(C2,H2)),"sim","NÃO"))</f>
        <v>sim</v>
      </c>
      <c r="J2" t="s">
        <v>3143</v>
      </c>
      <c r="L2" t="str">
        <f>IF(K2="","",IFERROR(INDEX(Tabela2[Curso],MATCH(K2,Tabela2[ID],0)),""))</f>
        <v/>
      </c>
      <c r="N2" s="139" t="s">
        <v>2286</v>
      </c>
      <c r="O2" s="139" t="s">
        <v>4</v>
      </c>
      <c r="P2" s="139" t="s">
        <v>3146</v>
      </c>
      <c r="Q2" s="139" t="s">
        <v>3147</v>
      </c>
      <c r="R2" s="139" t="s">
        <v>3148</v>
      </c>
      <c r="S2" s="139" t="s">
        <v>3149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>IF(C3="","",IF(ISNUMBER(SEARCH(C3,H3)),"sim","NÃO"))</f>
        <v>sim</v>
      </c>
      <c r="J3" t="s">
        <v>3143</v>
      </c>
      <c r="L3" t="str">
        <f>IF(K3="","",IFERROR(INDEX(Tabela2[Curso],MATCH(K3,Tabela2[ID],0)),""))</f>
        <v/>
      </c>
      <c r="N3" t="s">
        <v>2330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">
        <f>IF(Q3="",0,LEN(Q3)-LEN(SUBSTITUTE(Q3,";",""))+1)</f>
        <v>10</v>
      </c>
      <c r="S3">
        <f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>IF(C4="","",IF(ISNUMBER(SEARCH(C4,H4)),"sim","NÃO"))</f>
        <v>sim</v>
      </c>
      <c r="J4" t="s">
        <v>3143</v>
      </c>
      <c r="L4" t="str">
        <f>IF(K4="","",IFERROR(INDEX(Tabela2[Curso],MATCH(K4,Tabela2[ID],0)),""))</f>
        <v/>
      </c>
      <c r="N4" t="s">
        <v>2312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>IF(Q4="",0,LEN(Q4)-LEN(SUBSTITUTE(Q4,";",""))+1)</f>
        <v>5</v>
      </c>
      <c r="S4">
        <f>R4-P4</f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>IF(C5="","",IF(ISNUMBER(SEARCH(C5,H5)),"sim","NÃO"))</f>
        <v>sim</v>
      </c>
      <c r="J5" t="s">
        <v>3143</v>
      </c>
      <c r="L5" t="str">
        <f>IF(K5="","",IFERROR(INDEX(Tabela2[Curso],MATCH(K5,Tabela2[ID],0)),""))</f>
        <v/>
      </c>
      <c r="N5" t="s">
        <v>2341</v>
      </c>
      <c r="O5" t="str">
        <f>IFERROR(INDEX(Tabela2[Curso],MATCH(N5,Tabela2[ID],0)),"")</f>
        <v>TCendo o Futuro</v>
      </c>
      <c r="P5">
        <f>COUNTIF('GECC 2026'!$X$3:$X$200,N5)</f>
        <v>1</v>
      </c>
      <c r="Q5" t="str">
        <f>IFERROR(INDEX(Tabela2[Instrutor],MATCH(N5,Tabela2[ID],0)),"")</f>
        <v>Adriana Cuoco Portugal; Cinthia Thais de Carvalho Luz Thomazi; Fernanda Viana de Souza; Luiz Felipe Tenório de Lima Gondim; Priscila Nolasco de Oliveira</v>
      </c>
      <c r="R5">
        <f>IF(Q5="",0,LEN(Q5)-LEN(SUBSTITUTE(Q5,";",""))+1)</f>
        <v>5</v>
      </c>
      <c r="S5">
        <f>R5-P5</f>
        <v>4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>IF(C6="","",IF(ISNUMBER(SEARCH(C6,H6)),"sim","NÃO"))</f>
        <v>sim</v>
      </c>
      <c r="J6" t="s">
        <v>3143</v>
      </c>
      <c r="L6" t="str">
        <f>IF(K6="","",IFERROR(INDEX(Tabela2[Curso],MATCH(K6,Tabela2[ID],0)),""))</f>
        <v/>
      </c>
      <c r="N6" t="s">
        <v>2313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>IF(Q6="",0,LEN(Q6)-LEN(SUBSTITUTE(Q6,";",""))+1)</f>
        <v>2</v>
      </c>
      <c r="S6">
        <f>R6-P6</f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>IF(C7="","",IF(ISNUMBER(SEARCH(C7,H7)),"sim","NÃO"))</f>
        <v>sim</v>
      </c>
      <c r="J7" t="s">
        <v>3143</v>
      </c>
      <c r="L7" t="str">
        <f>IF(K7="","",IFERROR(INDEX(Tabela2[Curso],MATCH(K7,Tabela2[ID],0)),""))</f>
        <v/>
      </c>
      <c r="N7" t="s">
        <v>2325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>IF(Q7="",0,LEN(Q7)-LEN(SUBSTITUTE(Q7,";",""))+1)</f>
        <v>2</v>
      </c>
      <c r="S7">
        <f>R7-P7</f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>IF(C8="","",IF(ISNUMBER(SEARCH(C8,H8)),"sim","NÃO"))</f>
        <v>sim</v>
      </c>
      <c r="J8" t="s">
        <v>3143</v>
      </c>
      <c r="L8" t="str">
        <f>IF(K8="","",IFERROR(INDEX(Tabela2[Curso],MATCH(K8,Tabela2[ID],0)),""))</f>
        <v/>
      </c>
      <c r="N8" t="s">
        <v>2324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>IF(Q8="",0,LEN(Q8)-LEN(SUBSTITUTE(Q8,";",""))+1)</f>
        <v>3</v>
      </c>
      <c r="S8">
        <f>R8-P8</f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>IF(C9="","",IF(ISNUMBER(SEARCH(C9,H9)),"sim","NÃO"))</f>
        <v>sim</v>
      </c>
      <c r="J9" t="s">
        <v>3143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>IF(C10="","",IF(ISNUMBER(SEARCH(C10,H10)),"sim","NÃO"))</f>
        <v>sim</v>
      </c>
      <c r="J10" t="s">
        <v>3143</v>
      </c>
      <c r="L10" t="str">
        <f>IF(K10="","",IFERROR(INDEX(Tabela2[Curso],MATCH(K10,Tabela2[ID],0)),""))</f>
        <v/>
      </c>
      <c r="N10" s="115" t="s">
        <v>3150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>IF(C11="","",IF(ISNUMBER(SEARCH(C11,H11)),"sim","NÃO"))</f>
        <v>sim</v>
      </c>
      <c r="J11" t="s">
        <v>3143</v>
      </c>
      <c r="L11" t="str">
        <f>IF(K11="","",IFERROR(INDEX(Tabela2[Curso],MATCH(K11,Tabela2[ID],0)),""))</f>
        <v/>
      </c>
      <c r="N11" s="140" t="s">
        <v>3151</v>
      </c>
      <c r="O11" s="140" t="s">
        <v>3152</v>
      </c>
      <c r="P11" s="140" t="s">
        <v>3153</v>
      </c>
      <c r="Q11" s="140" t="s">
        <v>3135</v>
      </c>
      <c r="R11" s="140" t="s">
        <v>3136</v>
      </c>
      <c r="S11" s="140" t="s">
        <v>3154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>IF(C12="","",IF(ISNUMBER(SEARCH(C12,H12)),"sim","NÃO"))</f>
        <v>sim</v>
      </c>
      <c r="J12" t="s">
        <v>3143</v>
      </c>
      <c r="L12" t="str">
        <f>IF(K12="","",IFERROR(INDEX(Tabela2[Curso],MATCH(K12,Tabela2[ID],0)),""))</f>
        <v/>
      </c>
      <c r="N12" t="s">
        <v>3155</v>
      </c>
      <c r="O12" t="s">
        <v>2312</v>
      </c>
      <c r="P12" t="s">
        <v>3156</v>
      </c>
      <c r="Q12">
        <v>0</v>
      </c>
      <c r="R12">
        <v>0</v>
      </c>
      <c r="S12" t="s">
        <v>3157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>IF(C13="","",IF(ISNUMBER(SEARCH(C13,H13)),"sim","NÃO"))</f>
        <v>sim</v>
      </c>
      <c r="J13" t="s">
        <v>3143</v>
      </c>
      <c r="L13" t="str">
        <f>IF(K13="","",IFERROR(INDEX(Tabela2[Curso],MATCH(K13,Tabela2[ID],0)),""))</f>
        <v/>
      </c>
      <c r="N13" t="s">
        <v>3158</v>
      </c>
      <c r="O13" t="s">
        <v>2330</v>
      </c>
      <c r="P13" t="s">
        <v>3159</v>
      </c>
      <c r="Q13">
        <v>0</v>
      </c>
      <c r="R13">
        <v>0</v>
      </c>
      <c r="S13" t="s">
        <v>3160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>IF(C14="","",IF(ISNUMBER(SEARCH(C14,H14)),"sim","NÃO"))</f>
        <v>sim</v>
      </c>
      <c r="J14" t="s">
        <v>3143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>IF(C15="","",IF(ISNUMBER(SEARCH(C15,H15)),"sim","NÃO"))</f>
        <v>sim</v>
      </c>
      <c r="J15" t="s">
        <v>3143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>IF(C16="","",IF(ISNUMBER(SEARCH(C16,H16)),"sim","NÃO"))</f>
        <v>sim</v>
      </c>
      <c r="J16" t="s">
        <v>3143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>IF(C17="","",IF(ISNUMBER(SEARCH(C17,H17)),"sim","NÃO"))</f>
        <v>sim</v>
      </c>
      <c r="J17" t="s">
        <v>3143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>IF(C18="","",IF(ISNUMBER(SEARCH(C18,H18)),"sim","NÃO"))</f>
        <v>sim</v>
      </c>
      <c r="J18" t="s">
        <v>3143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>IF(C19="","",IF(ISNUMBER(SEARCH(C19,H19)),"sim","NÃO"))</f>
        <v>sim</v>
      </c>
      <c r="J19" t="s">
        <v>3143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>IF(C20="","",IF(ISNUMBER(SEARCH(C20,H20)),"sim","NÃO"))</f>
        <v>sim</v>
      </c>
      <c r="J20" t="s">
        <v>3143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>IF(C21="","",IF(ISNUMBER(SEARCH(C21,H21)),"sim","NÃO"))</f>
        <v>sim</v>
      </c>
      <c r="J21" t="s">
        <v>3143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>IF(C22="","",IF(ISNUMBER(SEARCH(C22,H22)),"sim","NÃO"))</f>
        <v>sim</v>
      </c>
      <c r="J22" t="s">
        <v>3143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>IF(C23="","",IF(ISNUMBER(SEARCH(C23,H23)),"sim","NÃO"))</f>
        <v>sim</v>
      </c>
      <c r="J23" t="s">
        <v>3143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>IF(C24="","",IF(ISNUMBER(SEARCH(C24,H24)),"sim","NÃO"))</f>
        <v>sim</v>
      </c>
      <c r="J24" t="s">
        <v>3143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>IF(C25="","",IF(ISNUMBER(SEARCH(C25,H25)),"sim","NÃO"))</f>
        <v>sim</v>
      </c>
      <c r="J25" t="s">
        <v>3143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>IF(C26="","",IF(ISNUMBER(SEARCH(C26,H26)),"sim","NÃO"))</f>
        <v>sim</v>
      </c>
      <c r="J26" t="s">
        <v>3143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>IF(C27="","",IF(ISNUMBER(SEARCH(C27,H27)),"sim","NÃO"))</f>
        <v>sim</v>
      </c>
      <c r="J27" t="s">
        <v>3143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>IF(C28="","",IF(ISNUMBER(SEARCH(C28,H28)),"sim","NÃO"))</f>
        <v>sim</v>
      </c>
      <c r="J28" t="s">
        <v>3143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>IF(C29="","",IF(ISNUMBER(SEARCH(C29,H29)),"sim","NÃO"))</f>
        <v>sim</v>
      </c>
      <c r="J29" t="s">
        <v>3143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>IF(C30="","",IF(ISNUMBER(SEARCH(C30,H30)),"sim","NÃO"))</f>
        <v>sim</v>
      </c>
      <c r="J30" t="s">
        <v>3143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>IF(C31="","",IF(ISNUMBER(SEARCH(C31,H31)),"sim","NÃO"))</f>
        <v>sim</v>
      </c>
      <c r="J31" t="s">
        <v>3143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>IF(C32="","",IF(ISNUMBER(SEARCH(C32,H32)),"sim","NÃO"))</f>
        <v>sim</v>
      </c>
      <c r="J32" t="s">
        <v>3143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>IF(C33="","",IF(ISNUMBER(SEARCH(C33,H33)),"sim","NÃO"))</f>
        <v>sim</v>
      </c>
      <c r="J33" t="s">
        <v>3143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>IF(C34="","",IF(ISNUMBER(SEARCH(C34,H34)),"sim","NÃO"))</f>
        <v>sim</v>
      </c>
      <c r="J34" t="s">
        <v>3143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>IF(C35="","",IF(ISNUMBER(SEARCH(C35,H35)),"sim","NÃO"))</f>
        <v>sim</v>
      </c>
      <c r="J35" t="s">
        <v>3143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>IF(C36="","",IF(ISNUMBER(SEARCH(C36,H36)),"sim","NÃO"))</f>
        <v>sim</v>
      </c>
      <c r="J36" t="s">
        <v>3143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>IF(C37="","",IF(ISNUMBER(SEARCH(C37,H37)),"sim","NÃO"))</f>
        <v>sim</v>
      </c>
      <c r="J37" t="s">
        <v>3143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>IF(C38="","",IF(ISNUMBER(SEARCH(C38,H38)),"sim","NÃO"))</f>
        <v>sim</v>
      </c>
      <c r="J38" t="s">
        <v>3143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>IF(C39="","",IF(ISNUMBER(SEARCH(C39,H39)),"sim","NÃO"))</f>
        <v>sim</v>
      </c>
      <c r="J39" t="s">
        <v>3143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0</v>
      </c>
      <c r="E40">
        <f>'GECC 2026'!AA41</f>
        <v>34.9</v>
      </c>
      <c r="F40" t="str">
        <f>IFERROR(INDEX(Tabela2[Curso],MATCH(B40,Tabela2[ID],0)),"")</f>
        <v>Oficina Temática - SEMAT: MROSC para servidores do GDF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>IF(C40="","",IF(ISNUMBER(SEARCH(C40,H40)),"sim","NÃO"))</f>
        <v>sim</v>
      </c>
      <c r="J40" t="s">
        <v>3143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34.9</v>
      </c>
      <c r="F41" t="str">
        <f>IFERROR(INDEX(Tabela2[Curso],MATCH(B41,Tabela2[ID],0)),"")</f>
        <v>Oficina Temática - SEMAT: MROSC para servidores do GDF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>IF(C41="","",IF(ISNUMBER(SEARCH(C41,H41)),"sim","NÃO"))</f>
        <v>sim</v>
      </c>
      <c r="J41" t="s">
        <v>3143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2.4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>IF(C42="","",IF(ISNUMBER(SEARCH(C42,H42)),"sim","NÃO"))</f>
        <v>sim</v>
      </c>
      <c r="J42" t="s">
        <v>3143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0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>IF(C43="","",IF(ISNUMBER(SEARCH(C43,H43)),"sim","NÃO"))</f>
        <v>sim</v>
      </c>
      <c r="J43" t="s">
        <v>3143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44" t="str">
        <f>IF(C44="","",IF(ISNUMBER(SEARCH(C44,H44)),"sim","NÃO"))</f>
        <v>sim</v>
      </c>
      <c r="J44" t="s">
        <v>3143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45" t="str">
        <f>IF(C45="","",IF(ISNUMBER(SEARCH(C45,H45)),"sim","NÃO"))</f>
        <v>sim</v>
      </c>
      <c r="J45" t="s">
        <v>3143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46" t="str">
        <f>IF(C46="","",IF(ISNUMBER(SEARCH(C46,H46)),"sim","NÃO"))</f>
        <v>sim</v>
      </c>
      <c r="J46" t="s">
        <v>3143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1</v>
      </c>
      <c r="E47">
        <f>'GECC 2026'!AA48</f>
        <v>0.3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47" t="str">
        <f>IF(C47="","",IF(ISNUMBER(SEARCH(C47,H47)),"sim","NÃO"))</f>
        <v>sim</v>
      </c>
      <c r="J47" t="s">
        <v>3143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48" t="str">
        <f>IF(C48="","",IF(ISNUMBER(SEARCH(C48,H48)),"sim","NÃO"))</f>
        <v>sim</v>
      </c>
      <c r="J48" t="s">
        <v>3143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49" t="str">
        <f>IF(C49="","",IF(ISNUMBER(SEARCH(C49,H49)),"sim","NÃO"))</f>
        <v>sim</v>
      </c>
      <c r="J49" t="s">
        <v>3143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50" t="str">
        <f>IF(C50="","",IF(ISNUMBER(SEARCH(C50,H50)),"sim","NÃO"))</f>
        <v>sim</v>
      </c>
      <c r="J50" t="s">
        <v>3143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51" t="str">
        <f>IF(C51="","",IF(ISNUMBER(SEARCH(C51,H51)),"sim","NÃO"))</f>
        <v>sim</v>
      </c>
      <c r="J51" t="s">
        <v>3143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52" t="str">
        <f>IF(C52="","",IF(ISNUMBER(SEARCH(C52,H52)),"sim","NÃO"))</f>
        <v>sim</v>
      </c>
      <c r="J52" t="s">
        <v>3143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53" t="str">
        <f>IF(C53="","",IF(ISNUMBER(SEARCH(C53,H53)),"sim","NÃO"))</f>
        <v>sim</v>
      </c>
      <c r="J53" t="s">
        <v>3143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>IF(C54="","",IF(ISNUMBER(SEARCH(C54,H54)),"sim","NÃO"))</f>
        <v>sim</v>
      </c>
      <c r="J54" t="s">
        <v>3143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 t="str">
        <f>IFERROR(INDEX(Tabela2[Instrutor],MATCH(B55,Tabela2[ID],0)),"")</f>
        <v>Adriana Cuoco Portugal; Cinthia Thais de Carvalho Luz Thomazi; Fernanda Viana de Souza; Luiz Felipe Tenório de Lima Gondim; Priscila Nolasco de Oliveira</v>
      </c>
      <c r="I55" t="str">
        <f>IF(C55="","",IF(ISNUMBER(SEARCH(C55,H55)),"sim","NÃO"))</f>
        <v>sim</v>
      </c>
      <c r="J55" t="s">
        <v>3143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>IF(C56="","",IF(ISNUMBER(SEARCH(C56,H56)),"sim","NÃO"))</f>
        <v>sim</v>
      </c>
      <c r="J56" t="s">
        <v>3143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>IF(C57="","",IF(ISNUMBER(SEARCH(C57,H57)),"sim","NÃO"))</f>
        <v>sim</v>
      </c>
      <c r="J57" t="s">
        <v>3143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>IF(C58="","",IF(ISNUMBER(SEARCH(C58,H58)),"sim","NÃO"))</f>
        <v>sim</v>
      </c>
      <c r="J58" t="s">
        <v>3143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>IF(C59="","",IF(ISNUMBER(SEARCH(C59,H59)),"sim","NÃO"))</f>
        <v>sim</v>
      </c>
      <c r="J59" t="s">
        <v>3143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>IF(C60="","",IF(ISNUMBER(SEARCH(C60,H60)),"sim","NÃO"))</f>
        <v>sim</v>
      </c>
      <c r="J60" t="s">
        <v>3143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>IF(C61="","",IF(ISNUMBER(SEARCH(C61,H61)),"sim","NÃO"))</f>
        <v>sim</v>
      </c>
      <c r="J61" t="s">
        <v>3143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>IF(C62="","",IF(ISNUMBER(SEARCH(C62,H62)),"sim","NÃO"))</f>
        <v>sim</v>
      </c>
      <c r="J62" t="s">
        <v>3143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>IF(C63="","",IF(ISNUMBER(SEARCH(C63,H63)),"sim","NÃO"))</f>
        <v>sim</v>
      </c>
      <c r="J63" t="s">
        <v>3143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34.9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Flávio José Fonseca de Souza; Felipe da Costa Malaquias</v>
      </c>
      <c r="I64" t="str">
        <f>IF(C64="","",IF(ISNUMBER(SEARCH(C64,H64)),"sim","NÃO"))</f>
        <v>sim</v>
      </c>
      <c r="J64" t="s">
        <v>3143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34.9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Flávio José Fonseca de Souza; Felipe da Costa Malaquias</v>
      </c>
      <c r="I65" t="str">
        <f>IF(C65="","",IF(ISNUMBER(SEARCH(C65,H65)),"sim","NÃO"))</f>
        <v>sim</v>
      </c>
      <c r="J65" t="s">
        <v>3143</v>
      </c>
      <c r="L65" t="str">
        <f>IF(K65="","",IFERROR(INDEX(Tabela2[Curso],MATCH(K65,Tabela2[ID],0)),""))</f>
        <v/>
      </c>
    </row>
  </sheetData>
  <conditionalFormatting sqref="A2:L65">
    <cfRule type="expression" dxfId="49" priority="1">
      <formula>$J2="CORRIGIR"</formula>
    </cfRule>
  </conditionalFormatting>
  <conditionalFormatting sqref="A2:L65">
    <cfRule type="expression" dxfId="48" priority="2">
      <formula>$J2="REVISAR"</formula>
    </cfRule>
  </conditionalFormatting>
  <conditionalFormatting sqref="A2:L65">
    <cfRule type="expression" dxfId="47" priority="3">
      <formula>$J2="OK"</formula>
    </cfRule>
  </conditionalFormatting>
  <conditionalFormatting sqref="I2:I65">
    <cfRule type="containsText" dxfId="46" priority="4" operator="containsText" text="NÃO">
      <formula>NOT(ISERROR(SEARCH("NÃO",I2)))</formula>
    </cfRule>
  </conditionalFormatting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2026-07-30T18:06:16Z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