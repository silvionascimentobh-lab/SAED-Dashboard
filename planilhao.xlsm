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9" documentId="8_{454372C2-A99E-4E47-A759-72B38925853E}" xr6:coauthVersionLast="47" xr6:coauthVersionMax="47" xr10:uidLastSave="{58FE51A7-8D81-43E4-B678-6B5558D62610}"/>
  <bookViews>
    <workbookView minimized="1" xWindow="-28860" yWindow="2010" windowWidth="28770" windowHeight="1557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s="1" a="1"/>
  <c r="D47" i="23" l="1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E5" i="23" l="1"/>
  <c r="B5" i="23"/>
  <c r="B105" i="23" s="1"/>
  <c r="D5" i="23"/>
  <c r="G5" i="23"/>
  <c r="C5" i="23"/>
  <c r="C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<sst xmlns="http://schemas.openxmlformats.org/spreadsheetml/2006/main" count="6811" uniqueCount="3028">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</sst>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1" dataDxfId="50" totalsRowDxfId="49" totalsRowBorderDxfId="48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47" totalsRowDxfId="46"/>
    <tableColumn id="3" xr3:uid="{8DE0B36A-F0DC-47A1-A74E-F4BE63A4FB1D}" name="Status Evento" dataDxfId="45" totalsRowDxfId="44"/>
    <tableColumn id="4" xr3:uid="{C1159FBD-CCD0-4CA2-BB8C-598E3AB5DDD8}" name="Processo" dataDxfId="43" totalsRowDxfId="42"/>
    <tableColumn id="5" xr3:uid="{A32670A4-BE4F-480D-8DE9-8FF18024C829}" name="Curso" dataDxfId="41" totalsRowDxfId="40"/>
    <tableColumn id="8" xr3:uid="{905DEA0A-D099-47EA-972D-1012D71C7792}" name="Público-Alvo" dataDxfId="39" totalsRowDxfId="38"/>
    <tableColumn id="9" xr3:uid="{7DC0A0BE-8030-47CA-AF56-2C13C9FF7AE5}" name="Programa" dataDxfId="37" totalsRowDxfId="36"/>
    <tableColumn id="11" xr3:uid="{2B799ACD-69E4-46A5-9A4F-F7E3D7A47CE9}" name="Data TXT" dataDxfId="35" totalsRowDxfId="34"/>
    <tableColumn id="12" xr3:uid="{62016C67-3729-4C41-B72D-09D6616B7474}" name="Início" dataDxfId="33" totalsRowDxfId="32"/>
    <tableColumn id="13" xr3:uid="{E4F20518-0042-40C0-B590-B7616F2843A5}" name="Término" dataDxfId="31" totalsRowDxfId="30"/>
    <tableColumn id="14" xr3:uid="{4D6C4412-CFEE-4506-830E-F79FD008371B}" name="Modalidade" dataDxfId="29" totalsRowDxfId="28"/>
    <tableColumn id="15" xr3:uid="{12EC931A-E71B-4AEB-B20B-0F9EA63D0C71}" name="Valor instrutoria" dataDxfId="27" totalsRowDxfId="26" dataCellStyle="Moeda"/>
    <tableColumn id="17" xr3:uid="{8FCDFADA-4FA3-41E0-86FF-E623116BAFEB}" name="Nota Av. Reação" dataDxfId="25" totalsRowDxfId="24"/>
    <tableColumn id="19" xr3:uid="{316EB379-BB97-4F60-9566-576B25A26B0E}" name="Qtd Vagas" dataDxfId="23" totalsRowDxfId="22"/>
    <tableColumn id="20" xr3:uid="{59A9FB16-6726-411C-88B5-8165DD520DA3}" name="P. Servidores" dataDxfId="21" totalsRowDxfId="20"/>
    <tableColumn id="21" xr3:uid="{0246E091-ADCD-4F62-8F95-84B21E8A7BE1}" name="P. Jurisdicionados" dataDxfId="19" totalsRowDxfId="18"/>
    <tableColumn id="22" xr3:uid="{1B6DBD6D-C072-4600-81C1-69D6F4422D7D}" name="P. Sociedade" dataDxfId="17" totalsRowDxfId="16"/>
    <tableColumn id="23" xr3:uid="{109F7E4E-776C-4249-88BE-FEC3A375D7D9}" name="Total Part." dataDxfId="15" totalsRowDxfId="14"/>
    <tableColumn id="24" xr3:uid="{C67AA4C6-834C-4EBB-839B-EF0CDD50F649}" name="C.H." dataDxfId="13" totalsRowDxfId="12"/>
    <tableColumn id="26" xr3:uid="{973608F6-3E97-493C-AC61-980F73C13CD6}" name="Instrutor" dataDxfId="11" totalsRowDxfId="10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92" activePane="bottomLeft" state="frozen"/>
      <selection pane="bottomLeft" activeCell="E700" sqref="E699:E700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2702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2709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2714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2732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2732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2739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2742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262" t="s">
        <v>2743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2742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2698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2754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2693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2758</v>
      </c>
      <c r="D680" s="70" t="s">
        <v>2745</v>
      </c>
      <c r="E680" s="65" t="s">
        <v>2759</v>
      </c>
      <c r="F680" s="29" t="s">
        <v>23</v>
      </c>
      <c r="G680" s="20" t="s">
        <v>2696</v>
      </c>
      <c r="H680" s="68" t="s">
        <v>2760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2755</v>
      </c>
      <c r="E681" s="272" t="s">
        <v>2761</v>
      </c>
      <c r="F681" s="31" t="s">
        <v>62</v>
      </c>
      <c r="G681" s="194" t="s">
        <v>2691</v>
      </c>
      <c r="H681" s="189" t="s">
        <v>2762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2693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2763</v>
      </c>
      <c r="E682" s="164" t="s">
        <v>2764</v>
      </c>
      <c r="F682" s="29" t="s">
        <v>62</v>
      </c>
      <c r="G682" s="181" t="s">
        <v>2691</v>
      </c>
      <c r="H682" s="182" t="s">
        <v>2765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2772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2754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2782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21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2732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2732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2799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2693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2812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2818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2825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2829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2834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2732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7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2840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8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2842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7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2842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8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2842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2849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2842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2842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9" priority="7">
      <formula>TRIM(C2)="Realizado"</formula>
    </cfRule>
    <cfRule type="expression" dxfId="8" priority="8">
      <formula>TRIM(C2)="Cancelado"</formula>
    </cfRule>
    <cfRule type="expression" dxfId="7" priority="9">
      <formula>TRIM(C2)="Adiado"</formula>
    </cfRule>
    <cfRule type="expression" dxfId="6" priority="10">
      <formula>AND(TRIM(C2)="A realizar",ISODD(ROW(C2)))</formula>
    </cfRule>
  </conditionalFormatting>
  <conditionalFormatting sqref="L680">
    <cfRule type="containsBlanks" dxfId="5" priority="4">
      <formula>LEN(TRIM(L680))=0</formula>
    </cfRule>
  </conditionalFormatting>
  <conditionalFormatting sqref="L689:L690">
    <cfRule type="containsBlanks" dxfId="4" priority="2">
      <formula>LEN(TRIM(L689))=0</formula>
    </cfRule>
  </conditionalFormatting>
  <conditionalFormatting sqref="M1:M513 L1:L537 L678">
    <cfRule type="containsBlanks" dxfId="3" priority="5">
      <formula>LEN(TRIM(L1))=0</formula>
    </cfRule>
  </conditionalFormatting>
  <conditionalFormatting sqref="M517:M675 L539:L675 L676:M676">
    <cfRule type="containsBlanks" dxfId="2" priority="6">
      <formula>LEN(TRIM(L517))=0</formula>
    </cfRule>
  </conditionalFormatting>
  <conditionalFormatting sqref="L704">
    <cfRule type="containsBlanks" dxfId="1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2852</v>
      </c>
      <c r="F1" s="281" t="s">
        <v>2853</v>
      </c>
    </row>
    <row r="2" spans="1:6" x14ac:dyDescent="0.25">
      <c r="F2" s="282" t="s">
        <v>2854</v>
      </c>
    </row>
    <row r="3" spans="1:6" x14ac:dyDescent="0.25">
      <c r="A3" t="s">
        <v>0</v>
      </c>
      <c r="B3" t="s">
        <v>19</v>
      </c>
      <c r="C3" t="s">
        <v>2855</v>
      </c>
      <c r="D3" t="s">
        <v>2856</v>
      </c>
      <c r="F3" s="282" t="s">
        <v>2857</v>
      </c>
    </row>
    <row r="4" spans="1:6" x14ac:dyDescent="0.25">
      <c r="A4">
        <v>1</v>
      </c>
      <c r="B4" t="s">
        <v>2858</v>
      </c>
      <c r="D4" t="s">
        <v>2859</v>
      </c>
      <c r="F4" s="282" t="s">
        <v>2860</v>
      </c>
    </row>
    <row r="5" spans="1:6" x14ac:dyDescent="0.25">
      <c r="A5">
        <v>2</v>
      </c>
      <c r="B5" t="s">
        <v>2500</v>
      </c>
      <c r="D5" t="s">
        <v>2859</v>
      </c>
      <c r="F5" s="282" t="s">
        <v>2861</v>
      </c>
    </row>
    <row r="6" spans="1:6" x14ac:dyDescent="0.25">
      <c r="A6">
        <v>3</v>
      </c>
      <c r="B6" t="s">
        <v>1023</v>
      </c>
      <c r="D6" t="s">
        <v>2859</v>
      </c>
    </row>
    <row r="7" spans="1:6" x14ac:dyDescent="0.25">
      <c r="A7">
        <v>4</v>
      </c>
      <c r="B7" t="s">
        <v>2862</v>
      </c>
      <c r="D7" t="s">
        <v>2859</v>
      </c>
      <c r="F7" s="282" t="s">
        <v>2863</v>
      </c>
    </row>
    <row r="8" spans="1:6" x14ac:dyDescent="0.25">
      <c r="A8">
        <v>5</v>
      </c>
      <c r="B8" t="s">
        <v>2864</v>
      </c>
      <c r="D8" t="s">
        <v>2859</v>
      </c>
    </row>
    <row r="9" spans="1:6" x14ac:dyDescent="0.25">
      <c r="A9">
        <v>6</v>
      </c>
      <c r="B9" t="s">
        <v>2310</v>
      </c>
      <c r="D9" t="s">
        <v>2859</v>
      </c>
    </row>
    <row r="10" spans="1:6" x14ac:dyDescent="0.25">
      <c r="A10">
        <v>7</v>
      </c>
      <c r="B10" t="s">
        <v>2409</v>
      </c>
      <c r="D10" t="s">
        <v>2859</v>
      </c>
    </row>
    <row r="11" spans="1:6" x14ac:dyDescent="0.25">
      <c r="A11">
        <v>8</v>
      </c>
      <c r="B11" t="s">
        <v>2471</v>
      </c>
      <c r="D11" t="s">
        <v>2859</v>
      </c>
    </row>
    <row r="12" spans="1:6" x14ac:dyDescent="0.25">
      <c r="A12">
        <v>10</v>
      </c>
      <c r="B12" t="s">
        <v>2714</v>
      </c>
      <c r="D12" t="s">
        <v>2859</v>
      </c>
    </row>
    <row r="13" spans="1:6" x14ac:dyDescent="0.25">
      <c r="A13">
        <v>11</v>
      </c>
      <c r="B13" t="s">
        <v>2274</v>
      </c>
      <c r="D13" t="s">
        <v>2859</v>
      </c>
    </row>
    <row r="14" spans="1:6" x14ac:dyDescent="0.25">
      <c r="A14">
        <v>12</v>
      </c>
      <c r="B14" t="s">
        <v>2370</v>
      </c>
      <c r="D14" t="s">
        <v>2859</v>
      </c>
    </row>
    <row r="15" spans="1:6" x14ac:dyDescent="0.25">
      <c r="A15">
        <v>13</v>
      </c>
      <c r="B15" t="s">
        <v>2688</v>
      </c>
      <c r="D15" t="s">
        <v>2859</v>
      </c>
    </row>
    <row r="16" spans="1:6" x14ac:dyDescent="0.25">
      <c r="A16">
        <v>14</v>
      </c>
      <c r="B16" t="s">
        <v>1902</v>
      </c>
      <c r="D16" t="s">
        <v>2859</v>
      </c>
    </row>
    <row r="17" spans="1:4" x14ac:dyDescent="0.25">
      <c r="A17">
        <v>15</v>
      </c>
      <c r="B17" t="s">
        <v>571</v>
      </c>
      <c r="D17" t="s">
        <v>2859</v>
      </c>
    </row>
    <row r="18" spans="1:4" x14ac:dyDescent="0.25">
      <c r="A18">
        <v>16</v>
      </c>
      <c r="B18" t="s">
        <v>1951</v>
      </c>
      <c r="D18" t="s">
        <v>2859</v>
      </c>
    </row>
    <row r="19" spans="1:4" x14ac:dyDescent="0.25">
      <c r="A19">
        <v>17</v>
      </c>
      <c r="B19" t="s">
        <v>1785</v>
      </c>
      <c r="D19" t="s">
        <v>2859</v>
      </c>
    </row>
    <row r="20" spans="1:4" x14ac:dyDescent="0.25">
      <c r="A20">
        <v>18</v>
      </c>
      <c r="B20" t="s">
        <v>2115</v>
      </c>
      <c r="D20" t="s">
        <v>2859</v>
      </c>
    </row>
    <row r="21" spans="1:4" x14ac:dyDescent="0.25">
      <c r="A21">
        <v>19</v>
      </c>
      <c r="B21" t="s">
        <v>1343</v>
      </c>
      <c r="D21" t="s">
        <v>2859</v>
      </c>
    </row>
    <row r="22" spans="1:4" x14ac:dyDescent="0.25">
      <c r="A22">
        <v>20</v>
      </c>
      <c r="B22" t="s">
        <v>2255</v>
      </c>
      <c r="D22" t="s">
        <v>2859</v>
      </c>
    </row>
    <row r="23" spans="1:4" x14ac:dyDescent="0.25">
      <c r="A23">
        <v>21</v>
      </c>
      <c r="B23" t="s">
        <v>2865</v>
      </c>
      <c r="D23" t="s">
        <v>2859</v>
      </c>
    </row>
    <row r="24" spans="1:4" x14ac:dyDescent="0.25">
      <c r="A24">
        <v>22</v>
      </c>
      <c r="B24" t="s">
        <v>584</v>
      </c>
      <c r="D24" t="s">
        <v>2859</v>
      </c>
    </row>
    <row r="25" spans="1:4" x14ac:dyDescent="0.25">
      <c r="A25">
        <v>23</v>
      </c>
      <c r="B25" t="s">
        <v>2866</v>
      </c>
      <c r="D25" t="s">
        <v>2859</v>
      </c>
    </row>
    <row r="26" spans="1:4" x14ac:dyDescent="0.25">
      <c r="A26">
        <v>24</v>
      </c>
      <c r="B26" t="s">
        <v>2867</v>
      </c>
      <c r="D26" t="s">
        <v>2859</v>
      </c>
    </row>
    <row r="27" spans="1:4" x14ac:dyDescent="0.25">
      <c r="A27">
        <v>25</v>
      </c>
      <c r="B27" t="s">
        <v>472</v>
      </c>
      <c r="D27" t="s">
        <v>2859</v>
      </c>
    </row>
    <row r="28" spans="1:4" x14ac:dyDescent="0.25">
      <c r="A28">
        <v>26</v>
      </c>
      <c r="B28" t="s">
        <v>69</v>
      </c>
      <c r="D28" t="s">
        <v>2859</v>
      </c>
    </row>
    <row r="29" spans="1:4" x14ac:dyDescent="0.25">
      <c r="A29">
        <v>27</v>
      </c>
      <c r="B29" t="s">
        <v>2868</v>
      </c>
      <c r="D29" t="s">
        <v>2859</v>
      </c>
    </row>
    <row r="30" spans="1:4" x14ac:dyDescent="0.25">
      <c r="A30">
        <v>28</v>
      </c>
      <c r="B30" t="s">
        <v>2102</v>
      </c>
      <c r="D30" t="s">
        <v>2859</v>
      </c>
    </row>
    <row r="31" spans="1:4" x14ac:dyDescent="0.25">
      <c r="A31">
        <v>29</v>
      </c>
      <c r="B31" t="s">
        <v>2250</v>
      </c>
      <c r="D31" t="s">
        <v>2859</v>
      </c>
    </row>
    <row r="32" spans="1:4" x14ac:dyDescent="0.25">
      <c r="A32">
        <v>30</v>
      </c>
      <c r="B32" t="s">
        <v>2505</v>
      </c>
      <c r="D32" t="s">
        <v>2859</v>
      </c>
    </row>
    <row r="33" spans="1:4" x14ac:dyDescent="0.25">
      <c r="A33">
        <v>31</v>
      </c>
      <c r="B33" t="s">
        <v>2869</v>
      </c>
      <c r="D33" t="s">
        <v>2859</v>
      </c>
    </row>
    <row r="34" spans="1:4" x14ac:dyDescent="0.25">
      <c r="A34">
        <v>32</v>
      </c>
      <c r="B34" t="s">
        <v>2870</v>
      </c>
      <c r="D34" t="s">
        <v>2859</v>
      </c>
    </row>
    <row r="35" spans="1:4" x14ac:dyDescent="0.25">
      <c r="A35">
        <v>33</v>
      </c>
      <c r="B35" t="s">
        <v>1367</v>
      </c>
      <c r="D35" t="s">
        <v>2859</v>
      </c>
    </row>
    <row r="36" spans="1:4" x14ac:dyDescent="0.25">
      <c r="A36">
        <v>34</v>
      </c>
      <c r="B36" t="s">
        <v>1472</v>
      </c>
      <c r="D36" t="s">
        <v>2859</v>
      </c>
    </row>
    <row r="37" spans="1:4" x14ac:dyDescent="0.25">
      <c r="A37">
        <v>35</v>
      </c>
      <c r="B37" t="s">
        <v>549</v>
      </c>
      <c r="D37" t="s">
        <v>2859</v>
      </c>
    </row>
    <row r="38" spans="1:4" x14ac:dyDescent="0.25">
      <c r="A38">
        <v>36</v>
      </c>
      <c r="B38" t="s">
        <v>2871</v>
      </c>
      <c r="D38" t="s">
        <v>2859</v>
      </c>
    </row>
    <row r="39" spans="1:4" x14ac:dyDescent="0.25">
      <c r="A39">
        <v>37</v>
      </c>
      <c r="B39" t="s">
        <v>2147</v>
      </c>
      <c r="D39" t="s">
        <v>2859</v>
      </c>
    </row>
    <row r="40" spans="1:4" x14ac:dyDescent="0.25">
      <c r="A40">
        <v>38</v>
      </c>
      <c r="B40" t="s">
        <v>2872</v>
      </c>
      <c r="D40" t="s">
        <v>2859</v>
      </c>
    </row>
    <row r="41" spans="1:4" x14ac:dyDescent="0.25">
      <c r="A41">
        <v>39</v>
      </c>
      <c r="B41" t="s">
        <v>2572</v>
      </c>
      <c r="D41" t="s">
        <v>2859</v>
      </c>
    </row>
    <row r="42" spans="1:4" x14ac:dyDescent="0.25">
      <c r="A42">
        <v>40</v>
      </c>
      <c r="B42" t="s">
        <v>2873</v>
      </c>
      <c r="D42" t="s">
        <v>2859</v>
      </c>
    </row>
    <row r="43" spans="1:4" x14ac:dyDescent="0.25">
      <c r="A43">
        <v>41</v>
      </c>
      <c r="B43" t="s">
        <v>855</v>
      </c>
      <c r="D43" t="s">
        <v>2859</v>
      </c>
    </row>
    <row r="44" spans="1:4" x14ac:dyDescent="0.25">
      <c r="A44">
        <v>42</v>
      </c>
      <c r="B44" t="s">
        <v>710</v>
      </c>
      <c r="D44" t="s">
        <v>2859</v>
      </c>
    </row>
    <row r="45" spans="1:4" x14ac:dyDescent="0.25">
      <c r="A45">
        <v>43</v>
      </c>
      <c r="B45" t="s">
        <v>2874</v>
      </c>
      <c r="D45" t="s">
        <v>2859</v>
      </c>
    </row>
    <row r="46" spans="1:4" x14ac:dyDescent="0.25">
      <c r="A46">
        <v>44</v>
      </c>
      <c r="B46" t="s">
        <v>2154</v>
      </c>
      <c r="D46" t="s">
        <v>2859</v>
      </c>
    </row>
    <row r="47" spans="1:4" x14ac:dyDescent="0.25">
      <c r="A47">
        <v>45</v>
      </c>
      <c r="B47" t="s">
        <v>211</v>
      </c>
      <c r="D47" t="s">
        <v>2859</v>
      </c>
    </row>
    <row r="48" spans="1:4" x14ac:dyDescent="0.25">
      <c r="A48">
        <v>46</v>
      </c>
      <c r="B48" t="s">
        <v>966</v>
      </c>
      <c r="D48" t="s">
        <v>2859</v>
      </c>
    </row>
    <row r="49" spans="1:4" x14ac:dyDescent="0.25">
      <c r="A49">
        <v>47</v>
      </c>
      <c r="B49" t="s">
        <v>1400</v>
      </c>
      <c r="D49" t="s">
        <v>2859</v>
      </c>
    </row>
    <row r="50" spans="1:4" x14ac:dyDescent="0.25">
      <c r="A50">
        <v>48</v>
      </c>
      <c r="B50" t="s">
        <v>2875</v>
      </c>
      <c r="D50" t="s">
        <v>2859</v>
      </c>
    </row>
    <row r="51" spans="1:4" x14ac:dyDescent="0.25">
      <c r="A51">
        <v>49</v>
      </c>
      <c r="B51" t="s">
        <v>2772</v>
      </c>
      <c r="D51" t="s">
        <v>2859</v>
      </c>
    </row>
    <row r="52" spans="1:4" x14ac:dyDescent="0.25">
      <c r="A52">
        <v>50</v>
      </c>
      <c r="B52" t="s">
        <v>2876</v>
      </c>
      <c r="D52" t="s">
        <v>2859</v>
      </c>
    </row>
    <row r="53" spans="1:4" x14ac:dyDescent="0.25">
      <c r="A53">
        <v>51</v>
      </c>
      <c r="B53" t="s">
        <v>1055</v>
      </c>
      <c r="D53" t="s">
        <v>2859</v>
      </c>
    </row>
    <row r="54" spans="1:4" x14ac:dyDescent="0.25">
      <c r="A54">
        <v>52</v>
      </c>
      <c r="B54" t="s">
        <v>1752</v>
      </c>
      <c r="D54" t="s">
        <v>2859</v>
      </c>
    </row>
    <row r="55" spans="1:4" x14ac:dyDescent="0.25">
      <c r="A55">
        <v>53</v>
      </c>
      <c r="B55" t="s">
        <v>2877</v>
      </c>
      <c r="D55" t="s">
        <v>2859</v>
      </c>
    </row>
    <row r="56" spans="1:4" x14ac:dyDescent="0.25">
      <c r="A56">
        <v>54</v>
      </c>
      <c r="B56" t="s">
        <v>74</v>
      </c>
      <c r="D56" t="s">
        <v>2859</v>
      </c>
    </row>
    <row r="57" spans="1:4" x14ac:dyDescent="0.25">
      <c r="A57">
        <v>55</v>
      </c>
      <c r="B57" t="s">
        <v>1096</v>
      </c>
      <c r="D57" t="s">
        <v>2859</v>
      </c>
    </row>
    <row r="58" spans="1:4" x14ac:dyDescent="0.25">
      <c r="A58">
        <v>56</v>
      </c>
      <c r="B58" t="s">
        <v>2048</v>
      </c>
      <c r="D58" t="s">
        <v>2859</v>
      </c>
    </row>
    <row r="59" spans="1:4" x14ac:dyDescent="0.25">
      <c r="A59">
        <v>57</v>
      </c>
      <c r="B59" t="s">
        <v>2878</v>
      </c>
      <c r="D59" t="s">
        <v>2859</v>
      </c>
    </row>
    <row r="60" spans="1:4" x14ac:dyDescent="0.25">
      <c r="A60">
        <v>58</v>
      </c>
      <c r="B60" t="s">
        <v>1873</v>
      </c>
      <c r="D60" t="s">
        <v>2859</v>
      </c>
    </row>
    <row r="61" spans="1:4" x14ac:dyDescent="0.25">
      <c r="A61">
        <v>59</v>
      </c>
      <c r="B61" t="s">
        <v>2082</v>
      </c>
      <c r="D61" t="s">
        <v>2859</v>
      </c>
    </row>
    <row r="62" spans="1:4" x14ac:dyDescent="0.25">
      <c r="A62">
        <v>60</v>
      </c>
      <c r="B62" t="s">
        <v>2014</v>
      </c>
      <c r="D62" t="s">
        <v>2859</v>
      </c>
    </row>
    <row r="63" spans="1:4" x14ac:dyDescent="0.25">
      <c r="A63">
        <v>61</v>
      </c>
      <c r="B63" t="s">
        <v>2879</v>
      </c>
      <c r="D63" t="s">
        <v>2859</v>
      </c>
    </row>
    <row r="64" spans="1:4" x14ac:dyDescent="0.25">
      <c r="A64">
        <v>62</v>
      </c>
      <c r="B64" t="s">
        <v>2880</v>
      </c>
      <c r="D64" t="s">
        <v>2859</v>
      </c>
    </row>
    <row r="65" spans="1:4" x14ac:dyDescent="0.25">
      <c r="A65">
        <v>63</v>
      </c>
      <c r="B65" t="s">
        <v>2881</v>
      </c>
      <c r="D65" t="s">
        <v>2859</v>
      </c>
    </row>
    <row r="66" spans="1:4" x14ac:dyDescent="0.25">
      <c r="A66">
        <v>64</v>
      </c>
      <c r="B66" t="s">
        <v>2882</v>
      </c>
      <c r="D66" t="s">
        <v>2859</v>
      </c>
    </row>
    <row r="67" spans="1:4" x14ac:dyDescent="0.25">
      <c r="A67">
        <v>65</v>
      </c>
      <c r="B67" t="s">
        <v>2698</v>
      </c>
      <c r="D67" t="s">
        <v>2859</v>
      </c>
    </row>
    <row r="68" spans="1:4" x14ac:dyDescent="0.25">
      <c r="A68">
        <v>66</v>
      </c>
      <c r="B68" t="s">
        <v>2549</v>
      </c>
      <c r="D68" t="s">
        <v>2859</v>
      </c>
    </row>
    <row r="69" spans="1:4" x14ac:dyDescent="0.25">
      <c r="A69">
        <v>67</v>
      </c>
      <c r="B69" t="s">
        <v>2883</v>
      </c>
      <c r="D69" t="s">
        <v>2859</v>
      </c>
    </row>
    <row r="70" spans="1:4" x14ac:dyDescent="0.25">
      <c r="A70">
        <v>68</v>
      </c>
      <c r="B70" t="s">
        <v>2884</v>
      </c>
      <c r="D70" t="s">
        <v>2859</v>
      </c>
    </row>
    <row r="71" spans="1:4" x14ac:dyDescent="0.25">
      <c r="A71">
        <v>69</v>
      </c>
      <c r="B71" t="s">
        <v>2450</v>
      </c>
      <c r="D71" t="s">
        <v>2859</v>
      </c>
    </row>
    <row r="72" spans="1:4" x14ac:dyDescent="0.25">
      <c r="A72">
        <v>70</v>
      </c>
      <c r="B72" t="s">
        <v>2885</v>
      </c>
      <c r="D72" t="s">
        <v>2859</v>
      </c>
    </row>
    <row r="73" spans="1:4" x14ac:dyDescent="0.25">
      <c r="A73">
        <v>71</v>
      </c>
      <c r="B73" t="s">
        <v>2659</v>
      </c>
      <c r="D73" t="s">
        <v>2859</v>
      </c>
    </row>
    <row r="74" spans="1:4" x14ac:dyDescent="0.25">
      <c r="A74">
        <v>72</v>
      </c>
      <c r="B74" t="s">
        <v>2315</v>
      </c>
      <c r="D74" t="s">
        <v>2859</v>
      </c>
    </row>
    <row r="75" spans="1:4" x14ac:dyDescent="0.25">
      <c r="A75">
        <v>73</v>
      </c>
      <c r="B75" t="s">
        <v>2294</v>
      </c>
      <c r="D75" t="s">
        <v>2859</v>
      </c>
    </row>
    <row r="76" spans="1:4" x14ac:dyDescent="0.25">
      <c r="A76">
        <v>74</v>
      </c>
      <c r="B76" t="s">
        <v>2886</v>
      </c>
      <c r="D76" t="s">
        <v>2859</v>
      </c>
    </row>
    <row r="77" spans="1:4" x14ac:dyDescent="0.25">
      <c r="A77">
        <v>75</v>
      </c>
      <c r="B77" t="s">
        <v>108</v>
      </c>
      <c r="D77" t="s">
        <v>2859</v>
      </c>
    </row>
    <row r="78" spans="1:4" x14ac:dyDescent="0.25">
      <c r="A78">
        <v>76</v>
      </c>
      <c r="B78" t="s">
        <v>935</v>
      </c>
      <c r="D78" t="s">
        <v>2859</v>
      </c>
    </row>
    <row r="79" spans="1:4" x14ac:dyDescent="0.25">
      <c r="A79">
        <v>77</v>
      </c>
      <c r="B79" t="s">
        <v>796</v>
      </c>
      <c r="D79" t="s">
        <v>2859</v>
      </c>
    </row>
    <row r="80" spans="1:4" x14ac:dyDescent="0.25">
      <c r="A80">
        <v>78</v>
      </c>
      <c r="B80" t="s">
        <v>418</v>
      </c>
      <c r="D80" t="s">
        <v>2859</v>
      </c>
    </row>
    <row r="81" spans="1:4" x14ac:dyDescent="0.25">
      <c r="A81">
        <v>79</v>
      </c>
      <c r="B81" t="s">
        <v>2887</v>
      </c>
      <c r="D81" t="s">
        <v>2859</v>
      </c>
    </row>
    <row r="82" spans="1:4" x14ac:dyDescent="0.25">
      <c r="A82">
        <v>80</v>
      </c>
      <c r="B82" t="s">
        <v>2888</v>
      </c>
      <c r="D82" t="s">
        <v>2859</v>
      </c>
    </row>
    <row r="83" spans="1:4" x14ac:dyDescent="0.25">
      <c r="A83">
        <v>81</v>
      </c>
      <c r="B83" t="s">
        <v>2889</v>
      </c>
      <c r="D83" t="s">
        <v>2859</v>
      </c>
    </row>
    <row r="84" spans="1:4" x14ac:dyDescent="0.25">
      <c r="A84">
        <v>82</v>
      </c>
      <c r="B84" t="s">
        <v>2890</v>
      </c>
      <c r="D84" t="s">
        <v>2859</v>
      </c>
    </row>
    <row r="85" spans="1:4" x14ac:dyDescent="0.25">
      <c r="A85">
        <v>83</v>
      </c>
      <c r="B85" t="s">
        <v>2475</v>
      </c>
      <c r="D85" t="s">
        <v>2859</v>
      </c>
    </row>
    <row r="86" spans="1:4" x14ac:dyDescent="0.25">
      <c r="A86">
        <v>84</v>
      </c>
      <c r="B86" t="s">
        <v>2891</v>
      </c>
      <c r="D86" t="s">
        <v>2859</v>
      </c>
    </row>
    <row r="87" spans="1:4" x14ac:dyDescent="0.25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4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7" t="s">
        <v>2949</v>
      </c>
      <c r="B1" s="287"/>
      <c r="C1" s="287"/>
      <c r="D1" s="287"/>
      <c r="E1" s="287"/>
      <c r="F1" s="287"/>
      <c r="G1" s="287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8" t="s">
        <v>2950</v>
      </c>
      <c r="B4" s="289"/>
      <c r="D4" s="290" t="s">
        <v>2951</v>
      </c>
      <c r="E4" s="291"/>
      <c r="G4" s="125" t="s">
        <v>2952</v>
      </c>
    </row>
    <row r="5" spans="1:7" ht="54.95" customHeight="1" thickBot="1" x14ac:dyDescent="0.75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34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5" t="s">
        <v>2954</v>
      </c>
      <c r="B8" s="285"/>
      <c r="D8" s="285" t="s">
        <v>2955</v>
      </c>
      <c r="E8" s="285"/>
    </row>
    <row r="9" spans="1:7" ht="5.0999999999999996" customHeight="1" x14ac:dyDescent="0.25">
      <c r="A9" s="286"/>
      <c r="B9" s="286"/>
      <c r="D9" s="286"/>
      <c r="E9" s="286"/>
    </row>
    <row r="10" spans="1:7" ht="24.95" customHeight="1" x14ac:dyDescent="0.25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6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2962</v>
      </c>
      <c r="B14" s="114">
        <f>SUM(B11:B13)</f>
        <v>34</v>
      </c>
      <c r="D14" s="113" t="s">
        <v>2963</v>
      </c>
      <c r="E14" s="114">
        <f>SUM(E11:E13)</f>
        <v>1518</v>
      </c>
    </row>
    <row r="30" spans="1:5" ht="17.25" x14ac:dyDescent="0.3">
      <c r="A30" s="285" t="s">
        <v>2964</v>
      </c>
      <c r="B30" s="285"/>
      <c r="C30" s="285"/>
      <c r="D30" s="285"/>
      <c r="E30" s="285"/>
    </row>
    <row r="31" spans="1:5" ht="5.0999999999999996" customHeight="1" x14ac:dyDescent="0.25">
      <c r="A31" s="286"/>
      <c r="B31" s="286"/>
      <c r="C31" s="286"/>
      <c r="D31" s="286"/>
      <c r="E31" s="286"/>
    </row>
    <row r="32" spans="1:5" ht="24.95" customHeight="1" x14ac:dyDescent="0.25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2728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2962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 x14ac:dyDescent="0.25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 x14ac:dyDescent="0.25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 x14ac:dyDescent="0.25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 x14ac:dyDescent="0.25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 x14ac:dyDescent="0.25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 x14ac:dyDescent="0.25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 x14ac:dyDescent="0.25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 x14ac:dyDescent="0.25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 x14ac:dyDescent="0.25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2744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 x14ac:dyDescent="0.25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 x14ac:dyDescent="0.25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 x14ac:dyDescent="0.25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 x14ac:dyDescent="0.25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 x14ac:dyDescent="0.25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 x14ac:dyDescent="0.25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 x14ac:dyDescent="0.25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 x14ac:dyDescent="0.25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2" t="s">
        <v>3014</v>
      </c>
      <c r="B1" s="292"/>
      <c r="C1" s="292"/>
      <c r="D1" s="292"/>
      <c r="E1" s="292"/>
      <c r="F1" s="292"/>
      <c r="G1" s="292"/>
      <c r="H1" s="292"/>
    </row>
    <row r="2" spans="1:8" x14ac:dyDescent="0.25">
      <c r="A2" s="130" t="s">
        <v>3015</v>
      </c>
    </row>
    <row r="4" spans="1:8" ht="21.95" customHeight="1" x14ac:dyDescent="0.25">
      <c r="A4" s="293" t="s">
        <v>3016</v>
      </c>
      <c r="B4" s="294"/>
      <c r="D4" s="293" t="s">
        <v>3017</v>
      </c>
      <c r="E4" s="294"/>
      <c r="G4" s="293" t="s">
        <v>3018</v>
      </c>
      <c r="H4" s="294"/>
    </row>
    <row r="5" spans="1:8" ht="35.1" customHeight="1" x14ac:dyDescent="0.25">
      <c r="A5" s="297">
        <f>COUNTIF('Ações InCompany'!E:E,"*maratona*")</f>
        <v>13</v>
      </c>
      <c r="B5" s="296"/>
      <c r="D5" s="295">
        <f>SUM(H8:H100)</f>
        <v>1762</v>
      </c>
      <c r="E5" s="296"/>
      <c r="G5" s="295">
        <f>IFERROR(ROUND(D5/A5,0),"-")</f>
        <v>136</v>
      </c>
      <c r="H5" s="296"/>
    </row>
    <row r="6" spans="1:8" ht="9.9499999999999993" customHeight="1" x14ac:dyDescent="0.25"/>
    <row r="7" spans="1:8" ht="24.95" customHeight="1" thickBot="1" x14ac:dyDescent="0.3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8" t="s">
        <v>3024</v>
      </c>
      <c r="B1" s="298"/>
      <c r="C1" s="298"/>
      <c r="D1" s="298"/>
      <c r="E1" s="298"/>
      <c r="F1" s="298"/>
    </row>
    <row r="2" spans="1:7" x14ac:dyDescent="0.25">
      <c r="A2" s="299" t="s">
        <v>3025</v>
      </c>
      <c r="B2" s="299"/>
      <c r="C2" s="299"/>
      <c r="D2" s="299"/>
      <c r="E2" s="299"/>
      <c r="F2" s="299"/>
    </row>
    <row r="4" spans="1:7" x14ac:dyDescent="0.25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2963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2026-07-06T21:11:44Z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