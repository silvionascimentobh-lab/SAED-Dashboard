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832" documentId="13_ncr:1_{6A2CC3E2-FAFB-4D8F-B284-5E8FB5045DFE}" xr6:coauthVersionLast="47" xr6:coauthVersionMax="47" xr10:uidLastSave="{1CC80595-F0D6-4C04-97B9-563C09A61B3E}"/>
  <bookViews>
    <workbookView minimized="1" xWindow="6375" yWindow="2460" windowWidth="2400" windowHeight="585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L4" i="20"/>
  <c r="R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s="1" a="1"/>
  <c r="A2" i="20" l="1" a="1"/>
  <c r="T4" i="20"/>
  <c r="E105" i="23" l="1"/>
  <c r="A5" i="23" a="1"/>
  <c r="A2" i="20"/>
  <c r="E64" i="23" l="1"/>
  <c r="F22" i="23"/>
  <c r="C41" i="23"/>
  <c r="C7" i="23"/>
  <c r="B53" i="23"/>
  <c r="E54" i="23"/>
  <c r="D6" i="23"/>
  <c r="B33" i="23"/>
  <c r="B58" i="23"/>
  <c r="D32" i="23"/>
  <c r="F33" i="23"/>
  <c r="E51" i="23"/>
  <c r="E18" i="23"/>
  <c r="B61" i="23"/>
  <c r="B29" i="23"/>
  <c r="D25" i="23"/>
  <c r="F44" i="23"/>
  <c r="D51" i="23"/>
  <c r="E15" i="23"/>
  <c r="F62" i="23"/>
  <c r="B50" i="23"/>
  <c r="B27" i="23"/>
  <c r="E52" i="23"/>
  <c r="C45" i="23"/>
  <c r="F45" i="23"/>
  <c r="E14" i="23"/>
  <c r="F29" i="23"/>
  <c r="C57" i="23"/>
  <c r="E36" i="23"/>
  <c r="E32" i="23"/>
  <c r="E60" i="23"/>
  <c r="D61" i="23"/>
  <c r="F53" i="23"/>
  <c r="D42" i="23"/>
  <c r="F26" i="23"/>
  <c r="D29" i="23"/>
  <c r="D57" i="23"/>
  <c r="C44" i="23"/>
  <c r="C51" i="23"/>
  <c r="C38" i="23"/>
  <c r="E50" i="23"/>
  <c r="E58" i="23"/>
  <c r="D20" i="23"/>
  <c r="C33" i="23"/>
  <c r="D34" i="23"/>
  <c r="C43" i="23"/>
  <c r="B60" i="23"/>
  <c r="B6" i="23"/>
  <c r="E27" i="23"/>
  <c r="D16" i="23"/>
  <c r="E26" i="23"/>
  <c r="B24" i="23"/>
  <c r="D38" i="23"/>
  <c r="B25" i="23"/>
  <c r="B31" i="23"/>
  <c r="D44" i="23"/>
  <c r="E55" i="23"/>
  <c r="B28" i="23"/>
  <c r="D40" i="23"/>
  <c r="C56" i="23"/>
  <c r="E17" i="23"/>
  <c r="D53" i="23"/>
  <c r="D47" i="23"/>
  <c r="D18" i="23"/>
  <c r="C31" i="23"/>
  <c r="D52" i="23"/>
  <c r="C30" i="23"/>
  <c r="F27" i="23"/>
  <c r="C54" i="23"/>
  <c r="B51" i="23"/>
  <c r="F54" i="23"/>
  <c r="F52" i="23"/>
  <c r="F50" i="23"/>
  <c r="B43" i="23"/>
  <c r="F60" i="23"/>
  <c r="B55" i="23"/>
  <c r="B48" i="23"/>
  <c r="D35" i="23"/>
  <c r="C11" i="23"/>
  <c r="D28" i="23"/>
  <c r="E45" i="23"/>
  <c r="C60" i="23"/>
  <c r="E12" i="23"/>
  <c r="E37" i="23"/>
  <c r="F40" i="23"/>
  <c r="D48" i="23"/>
  <c r="E8" i="23"/>
  <c r="B41" i="23"/>
  <c r="C9" i="23"/>
  <c r="E42" i="23"/>
  <c r="B10" i="23"/>
  <c r="F9" i="23"/>
  <c r="C53" i="23"/>
  <c r="C20" i="23"/>
  <c r="C27" i="23"/>
  <c r="C22" i="23"/>
  <c r="F30" i="23"/>
  <c r="D8" i="23"/>
  <c r="B59" i="23"/>
  <c r="D22" i="23"/>
  <c r="B19" i="23"/>
  <c r="F6" i="23"/>
  <c r="F35" i="23"/>
  <c r="D36" i="23"/>
  <c r="C59" i="23"/>
  <c r="C42" i="23"/>
  <c r="F16" i="23"/>
  <c r="F18" i="23"/>
  <c r="F56" i="23"/>
  <c r="B40" i="23"/>
  <c r="F59" i="23"/>
  <c r="C64" i="23"/>
  <c r="E43" i="23"/>
  <c r="C29" i="23"/>
  <c r="B7" i="23"/>
  <c r="E49" i="23"/>
  <c r="D23" i="23"/>
  <c r="E21" i="23"/>
  <c r="C25" i="23"/>
  <c r="F49" i="23"/>
  <c r="F48" i="23"/>
  <c r="B56" i="23"/>
  <c r="F31" i="23"/>
  <c r="B21" i="23"/>
  <c r="C55" i="23"/>
  <c r="B38" i="23"/>
  <c r="D46" i="23"/>
  <c r="D60" i="23"/>
  <c r="D11" i="23"/>
  <c r="C36" i="23"/>
  <c r="B17" i="23"/>
  <c r="F28" i="23"/>
  <c r="B54" i="23"/>
  <c r="B49" i="23"/>
  <c r="F51" i="23"/>
  <c r="F23" i="23"/>
  <c r="E53" i="23"/>
  <c r="F55" i="23"/>
  <c r="D31" i="23"/>
  <c r="F42" i="23"/>
  <c r="E35" i="23"/>
  <c r="D9" i="23"/>
  <c r="E39" i="23"/>
  <c r="B63" i="23"/>
  <c r="E16" i="23"/>
  <c r="D50" i="23"/>
  <c r="F10" i="23"/>
  <c r="F20" i="23"/>
  <c r="B64" i="23"/>
  <c r="B18" i="23"/>
  <c r="D27" i="23"/>
  <c r="C35" i="23"/>
  <c r="C15" i="23"/>
  <c r="F47" i="23"/>
  <c r="C16" i="23"/>
  <c r="B22" i="23"/>
  <c r="D13" i="23"/>
  <c r="B12" i="23"/>
  <c r="C37" i="23"/>
  <c r="B34" i="23"/>
  <c r="F7" i="23"/>
  <c r="C52" i="23"/>
  <c r="C47" i="23"/>
  <c r="C26" i="23"/>
  <c r="F24" i="23"/>
  <c r="B39" i="23"/>
  <c r="E40" i="23"/>
  <c r="F17" i="23"/>
  <c r="F58" i="23"/>
  <c r="D12" i="23"/>
  <c r="E9" i="23"/>
  <c r="C39" i="23"/>
  <c r="C63" i="23"/>
  <c r="C10" i="23"/>
  <c r="B52" i="23"/>
  <c r="F39" i="23"/>
  <c r="E61" i="23"/>
  <c r="C46" i="23"/>
  <c r="D58" i="23"/>
  <c r="B11" i="23"/>
  <c r="B57" i="23"/>
  <c r="D33" i="23"/>
  <c r="E38" i="23"/>
  <c r="B42" i="23"/>
  <c r="F61" i="23"/>
  <c r="C6" i="23"/>
  <c r="F57" i="23"/>
  <c r="C23" i="23"/>
  <c r="D59" i="23"/>
  <c r="E19" i="23"/>
  <c r="B35" i="23"/>
  <c r="C32" i="23"/>
  <c r="C19" i="23"/>
  <c r="D10" i="23"/>
  <c r="D63" i="23"/>
  <c r="B26" i="23"/>
  <c r="F36" i="23"/>
  <c r="D55" i="23"/>
  <c r="D30" i="23"/>
  <c r="F34" i="23"/>
  <c r="E23" i="23"/>
  <c r="E63" i="23"/>
  <c r="E56" i="23"/>
  <c r="C28" i="23"/>
  <c r="D21" i="23"/>
  <c r="B13" i="23"/>
  <c r="F15" i="23"/>
  <c r="B37" i="23"/>
  <c r="E46" i="23"/>
  <c r="C34" i="23"/>
  <c r="D26" i="23"/>
  <c r="E13" i="23"/>
  <c r="E62" i="23"/>
  <c r="C61" i="23"/>
  <c r="C17" i="23"/>
  <c r="F43" i="23"/>
  <c r="C14" i="23"/>
  <c r="C13" i="23"/>
  <c r="E29" i="23"/>
  <c r="D54" i="23"/>
  <c r="E6" i="23"/>
  <c r="B30" i="23"/>
  <c r="E11" i="23"/>
  <c r="B36" i="23"/>
  <c r="D24" i="23"/>
  <c r="D19" i="23"/>
  <c r="B9" i="23"/>
  <c r="E7" i="23"/>
  <c r="C24" i="23"/>
  <c r="E57" i="23"/>
  <c r="D43" i="23"/>
  <c r="D15" i="23"/>
  <c r="F11" i="23"/>
  <c r="D17" i="23"/>
  <c r="E10" i="23"/>
  <c r="C49" i="23"/>
  <c r="B32" i="23"/>
  <c r="C62" i="23"/>
  <c r="B45" i="23"/>
  <c r="C58" i="23"/>
  <c r="E28" i="23"/>
  <c r="E20" i="23"/>
  <c r="D49" i="23"/>
  <c r="B47" i="23"/>
  <c r="F25" i="23"/>
  <c r="B15" i="23"/>
  <c r="B8" i="23"/>
  <c r="B23" i="23"/>
  <c r="B46" i="23"/>
  <c r="B62" i="23"/>
  <c r="F38" i="23"/>
  <c r="F19" i="23"/>
  <c r="E30" i="23"/>
  <c r="F12" i="23"/>
  <c r="E34" i="23"/>
  <c r="D62" i="23"/>
  <c r="C18" i="23"/>
  <c r="E25" i="23"/>
  <c r="D64" i="23"/>
  <c r="C40" i="23"/>
  <c r="E33" i="23"/>
  <c r="E59" i="23"/>
  <c r="F14" i="23"/>
  <c r="F21" i="23"/>
  <c r="E44" i="23"/>
  <c r="E41" i="23"/>
  <c r="D37" i="23"/>
  <c r="D14" i="23"/>
  <c r="B16" i="23"/>
  <c r="F64" i="23"/>
  <c r="B44" i="23"/>
  <c r="C50" i="23"/>
  <c r="D7" i="23"/>
  <c r="E47" i="23"/>
  <c r="E48" i="23"/>
  <c r="F32" i="23"/>
  <c r="B20" i="23"/>
  <c r="D41" i="23"/>
  <c r="D56" i="23"/>
  <c r="F13" i="23"/>
  <c r="F41" i="23"/>
  <c r="C21" i="23"/>
  <c r="C12" i="23"/>
  <c r="C48" i="23"/>
  <c r="E24" i="23"/>
  <c r="D39" i="23"/>
  <c r="F46" i="23"/>
  <c r="F8" i="23"/>
  <c r="E22" i="23"/>
  <c r="E31" i="23"/>
  <c r="B14" i="23"/>
  <c r="C8" i="23"/>
  <c r="F63" i="23"/>
  <c r="F37" i="23"/>
  <c r="D45" i="23"/>
  <c r="A5" i="23"/>
  <c r="E5" i="23" l="1"/>
  <c r="B5" i="23"/>
  <c r="B105" i="23" s="1"/>
  <c r="C5" i="23"/>
  <c r="C105" i="23" s="1"/>
  <c r="G5" i="23"/>
  <c r="D5" i="23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<sst xmlns="http://schemas.openxmlformats.org/spreadsheetml/2006/main" count="7410" uniqueCount="3261">
  <si>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</si>
  <si>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</si>
  <si>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</si>
  <si>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</si>
  <si>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</si>
  <si>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</si>
  <si>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</si>
  <si>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</si>
  <si>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</si>
  <si>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</si>
  <si>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</si>
  <si>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</si>
  <si>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</si>
  <si>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</si>
  <si>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</si>
  <si>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</si>
  <si>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</si>
  <si>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</si>
  <si>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</si>
  <si>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</si>
  <si>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</si>
  <si>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</si>
  <si>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</si>
  <si>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</si>
  <si>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</si>
  <si>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</si>
  <si>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</si>
  <si>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</si>
  <si>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</si>
  <si>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</si>
  <si>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</si>
  <si>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</si>
  <si>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</si>
  <si>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</si>
  <si>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</si>
  <si>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</si>
  <si>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</si>
  <si>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</si>
  <si>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</si>
  <si>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</si>
  <si>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</si>
  <si>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</si>
  <si>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</si>
  <si>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</si>
  <si>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</si>
  <si>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</si>
  <si>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</si>
  <si>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</si>
  <si>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</si>
  <si>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</si>
  <si>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</si>
  <si>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</si>
  <si>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</si>
  <si>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</si>
  <si>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</si>
  <si>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</si>
  <si>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</si>
  <si>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</si>
  <si>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</si>
  <si>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</si>
  <si>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</si>
  <si>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</si>
  <si>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</si>
  <si>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</si>
  <si>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</si>
  <si>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</si>
  <si>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</si>
  <si>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</si>
  <si>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</si>
  <si>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</si>
  <si>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</si>
  <si>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</si>
  <si>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</si>
  <si>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</si>
  <si>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</si>
  <si>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</si>
  <si>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</si>
  <si>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</si>
  <si>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</si>
  <si>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</si>
  <si>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</si>
  <si>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</si>
  <si>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</si>
  <si>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</si>
  <si>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</si>
  <si>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</si>
  <si>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</si>
  <si>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</si>
  <si>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</si>
  <si>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</si>
  <si>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</si>
  <si>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</si>
  <si>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</si>
  <si>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</si>
  <si>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</si>
  <si>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</si>
  <si>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</si>
  <si>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</si>
  <si>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</si>
  <si>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</si>
  <si>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</si>
  <si>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</si>
  <si>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</si>
  <si>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</si>
  <si>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</si>
  <si>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</si>
  <si>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</si>
  <si>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</si>
  <si>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</si>
  <si>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</si>
  <si>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</si>
  <si>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</si>
  <si>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</si>
  <si>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</si>
  <si>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</si>
  <si>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</si>
  <si>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</si>
  <si>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</si>
  <si>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</si>
  <si>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</si>
  <si>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</si>
  <si>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</si>
  <si>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</si>
  <si>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</si>
  <si>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</si>
  <si>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</si>
  <si>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</si>
  <si>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</si>
  <si>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</si>
  <si>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</si>
  <si>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</si>
  <si>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</si>
  <si>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</si>
  <si>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</si>
  <si>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</si>
  <si>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</si>
  <si>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</si>
  <si>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</si>
  <si>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</si>
  <si>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</si>
  <si>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</si>
  <si>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</si>
  <si>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</si>
  <si>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</si>
  <si>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</si>
  <si>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</si>
  <si>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</si>
  <si>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</si>
  <si>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</si>
  <si>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</si>
  <si>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</si>
  <si>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</si>
  <si>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</si>
  <si>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</si>
  <si>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</si>
  <si>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</si>
  <si>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</si>
  <si>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</si>
  <si>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</si>
  <si>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</si>
  <si>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</si>
  <si>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</si>
  <si>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</si>
  <si>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</si>
  <si>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</si>
  <si>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</si>
  <si>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</si>
  <si>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</si>
  <si>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</si>
  <si>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</si>
  <si>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</si>
  <si>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</si>
  <si>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</si>
  <si>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</si>
  <si>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</si>
  <si>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</si>
  <si>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</si>
  <si>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</si>
  <si>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</si>
  <si>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</si>
  <si>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</si>
  <si>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</si>
  <si>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</si>
  <si>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</si>
  <si>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</si>
  <si>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</si>
  <si>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</si>
  <si>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</si>
  <si>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</si>
  <si>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</si>
  <si>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</si>
  <si>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</si>
  <si>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</si>
  <si>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</si>
  <si>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</si>
  <si>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</si>
  <si>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</si>
  <si>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</si>
  <si>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</si>
  <si>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</si>
  <si>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</si>
  <si>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</si>
  <si>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</si>
  <si>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</si>
  <si>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</si>
  <si>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</si>
  <si>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</si>
  <si>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</si>
  <si>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</si>
  <si>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</si>
  <si>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</si>
  <si>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</si>
  <si>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</si>
  <si>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</si>
  <si>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</si>
  <si>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</si>
  <si>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</si>
  <si>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</si>
  <si>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</si>
  <si>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</si>
  <si>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</si>
  <si>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</si>
  <si>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</si>
  <si>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</si>
  <si>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</si>
  <si>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</si>
  <si>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</si>
  <si>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</si>
  <si>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</si>
  <si>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</si>
  <si>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</si>
  <si>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</si>
  <si>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</si>
  <si>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</si>
  <si>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</si>
  <si>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</si>
  <si>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</si>
  <si>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</si>
  <si>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</si>
  <si>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</si>
  <si>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</si>
  <si>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</si>
  <si>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</si>
  <si>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</si>
  <si>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</si>
  <si>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</si>
  <si>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</si>
  <si>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</si>
  <si>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</si>
  <si>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</si>
  <si>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</si>
  <si>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</si>
  <si>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</si>
  <si>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</si>
  <si>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</si>
  <si>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</si>
  <si>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</si>
  <si>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</si>
  <si>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</si>
  <si>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</si>
  <si>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</si>
  <si>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</si>
  <si>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</si>
  <si>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</si>
  <si>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</si>
  <si>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</si>
  <si>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</si>
  <si>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</si>
  <si>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</si>
  <si>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</si>
  <si>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</si>
  <si>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</si>
  <si>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</si>
  <si>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</si>
  <si>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</si>
  <si>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</si>
  <si>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</si>
  <si>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</si>
  <si>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</si>
  <si>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</si>
  <si>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</si>
  <si>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</si>
  <si>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</si>
  <si>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</si>
  <si>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</si>
  <si>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</si>
  <si>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</si>
  <si>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</si>
  <si>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</si>
  <si>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</si>
  <si>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</si>
  <si>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</si>
  <si>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</si>
  <si>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</si>
  <si>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</si>
  <si>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</si>
  <si>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</si>
  <si>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</si>
  <si>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</si>
  <si>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</si>
  <si>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</si>
  <si>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</si>
  <si>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</si>
  <si>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</si>
  <si>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</si>
  <si>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</si>
  <si>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</si>
  <si>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</si>
  <si>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</si>
  <si>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</si>
  <si>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</si>
  <si>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</si>
  <si>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</si>
  <si>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</si>
  <si>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</si>
  <si>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</si>
  <si>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</si>
  <si>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</si>
  <si>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</si>
  <si>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</si>
  <si>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</si>
  <si>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</si>
  <si>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</si>
  <si>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</si>
  <si>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</si>
  <si>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</si>
  <si>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</si>
  <si>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</si>
  <si>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</si>
  <si>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</si>
  <si>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</si>
  <si>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</si>
  <si>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</si>
  <si>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</si>
  <si>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</si>
  <si>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</si>
  <si>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</si>
  <si>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</si>
  <si>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</si>
  <si>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</si>
  <si>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</si>
  <si>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</si>
  <si>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</si>
  <si>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</si>
  <si>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</si>
  <si>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</si>
  <si>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</si>
  <si>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</si>
  <si>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</si>
  <si>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</si>
  <si>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</si>
  <si>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</si>
  <si>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</si>
  <si>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</si>
  <si>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</si>
  <si>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</si>
  <si>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</si>
  <si>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</si>
  <si>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</si>
  <si>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</si>
  <si>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</si>
  <si>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</si>
  <si>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</si>
  <si>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</si>
  <si>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</si>
  <si>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</si>
  <si>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</si>
  <si>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</si>
  <si>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</si>
  <si>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</si>
  <si>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</si>
  <si>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</si>
  <si>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</si>
  <si>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</si>
  <si>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</si>
  <si>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</si>
  <si>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</si>
  <si>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</si>
  <si>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</si>
  <si>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</si>
  <si>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</si>
  <si>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</si>
  <si>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</si>
  <si>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</si>
  <si>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</si>
  <si>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</si>
  <si>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</si>
  <si>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</si>
  <si>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</si>
  <si>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</si>
  <si>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</si>
  <si>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</si>
  <si>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</si>
  <si>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</si>
  <si>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</si>
  <si>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</si>
  <si>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</si>
  <si>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</si>
  <si>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</si>
  <si>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</si>
  <si>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</si>
  <si>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</si>
  <si>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</si>
  <si>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</si>
  <si>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</si>
  <si>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</si>
  <si>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</si>
  <si>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</si>
  <si>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</si>
  <si>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</si>
  <si>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</si>
  <si>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</si>
  <si>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</si>
  <si>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</si>
  <si>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</si>
  <si>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</si>
  <si>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</si>
  <si>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</si>
  <si>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</si>
  <si>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</si>
  <si>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</si>
  <si>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</si>
  <si>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</si>
  <si>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</si>
  <si>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</si>
  <si>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</si>
  <si>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</si>
  <si>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</si>
  <si>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</si>
  <si>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</si>
  <si>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</si>
  <si>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</si>
  <si>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</si>
  <si>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</si>
  <si>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</si>
  <si>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</si>
  <si>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</si>
  <si>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</si>
  <si>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</si>
  <si>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</si>
  <si>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</si>
  <si>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</si>
  <si>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</si>
  <si>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</si>
  <si>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</si>
  <si>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</si>
  <si>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</si>
  <si>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</si>
  <si>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</si>
  <si>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</si>
  <si>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</si>
  <si>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</si>
  <si>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</si>
  <si>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</si>
  <si>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</si>
  <si>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</si>
  <si>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</si>
  <si>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</si>
  <si>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</si>
  <si>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</si>
  <si>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</si>
  <si>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</si>
  <si>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</si>
  <si>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</si>
  <si>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</si>
  <si>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</si>
  <si>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</si>
  <si>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</si>
  <si>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</si>
  <si>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</si>
  <si>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</si>
  <si>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</si>
  <si>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</si>
  <si>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</si>
  <si>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</si>
  <si>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</si>
  <si>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</si>
  <si>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</si>
  <si>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</si>
  <si>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</si>
  <si>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</si>
  <si>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</si>
  <si>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</si>
  <si>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</si>
  <si>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</si>
  <si>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</si>
  <si>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</si>
  <si>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</si>
  <si>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</si>
  <si>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</si>
  <si>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</si>
  <si>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</si>
  <si>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</si>
  <si>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</si>
  <si>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</si>
  <si>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</si>
  <si>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</si>
  <si>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</si>
  <si>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</si>
  <si>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</si>
  <si>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</si>
  <si>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</si>
  <si>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</si>
  <si>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</si>
  <si>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</si>
  <si>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</si>
  <si>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</si>
  <si>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</si>
  <si>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</si>
  <si>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</si>
  <si>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</si>
  <si>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</si>
  <si>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</si>
  <si>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</si>
  <si>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</si>
  <si>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</si>
  <si>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</si>
  <si>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</si>
  <si>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</si>
  <si>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</si>
  <si>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</si>
  <si>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</si>
  <si>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</si>
  <si>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</si>
  <si>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</si>
  <si>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</si>
  <si>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</si>
  <si>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</si>
  <si>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</si>
  <si>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</si>
  <si>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</si>
  <si>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</si>
  <si>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</si>
  <si>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</si>
  <si>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</si>
  <si>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</si>
  <si>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</si>
  <si>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</si>
  <si>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</si>
  <si>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</si>
  <si>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</si>
  <si>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</si>
  <si>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</si>
  <si>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</si>
  <si>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</si>
  <si>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</si>
  <si>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</si>
  <si>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</si>
  <si>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</si>
  <si>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</si>
  <si>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</si>
  <si>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</si>
  <si>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</si>
  <si>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</si>
  <si>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</si>
  <si>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</si>
  <si>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</si>
  <si>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</si>
  <si>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</si>
  <si>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</si>
  <si>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</si>
  <si>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</si>
  <si>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</si>
  <si>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</si>
  <si>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</si>
  <si>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</si>
  <si>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</si>
  <si>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</si>
  <si>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</si>
  <si>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</si>
  <si>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</si>
  <si>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</si>
  <si>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</si>
  <si>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</si>
  <si>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</si>
  <si>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</si>
  <si>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</si>
  <si>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</si>
  <si>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</si>
  <si>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</si>
  <si>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</si>
  <si>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</si>
  <si>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</si>
  <si>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</si>
  <si>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</si>
  <si>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</si>
  <si>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</si>
  <si>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</si>
  <si>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</si>
  <si>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</si>
  <si>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</si>
  <si>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</si>
  <si>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</si>
  <si>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</si>
  <si>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</si>
  <si>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</si>
  <si>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</si>
  <si>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</si>
  <si>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</si>
  <si>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</si>
  <si>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</si>
  <si>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</si>
  <si>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</si>
  <si>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</si>
  <si>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</si>
  <si>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</si>
  <si>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</si>
  <si>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</si>
  <si>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</si>
  <si>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</si>
  <si>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</si>
  <si>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</si>
  <si>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</si>
  <si>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</si>
  <si>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</si>
  <si>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</si>
  <si>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</si>
  <si>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</si>
  <si>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</si>
  <si>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</si>
  <si>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</si>
  <si>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</si>
  <si>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</si>
  <si>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</si>
  <si>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</si>
  <si>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</si>
  <si>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</si>
  <si>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</si>
  <si>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</si>
  <si>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</si>
  <si>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</si>
  <si>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</si>
  <si>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</si>
  <si>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</si>
  <si>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</si>
  <si>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</si>
  <si>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</si>
  <si>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</si>
  <si>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</si>
  <si>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</si>
  <si>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</si>
  <si>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</si>
  <si>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</si>
  <si>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</si>
  <si>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</si>
  <si>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</si>
  <si>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</si>
  <si>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</si>
  <si>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</si>
  <si>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</si>
  <si>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</si>
  <si>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</si>
  <si>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</si>
  <si>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</si>
  <si>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</si>
  <si>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</si>
  <si>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</si>
  <si>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</si>
  <si>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</si>
  <si>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</si>
  <si>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</si>
  <si>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</si>
  <si>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</si>
  <si>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</si>
  <si>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</si>
  <si>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</si>
  <si>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</si>
  <si>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</si>
  <si>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</si>
  <si>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</si>
  <si>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</si>
  <si>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</si>
  <si>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</si>
  <si>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</si>
  <si>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</si>
  <si>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</si>
  <si>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</si>
  <si>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</si>
  <si>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</si>
  <si>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</si>
  <si>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</si>
  <si>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</si>
  <si>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</si>
  <si>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</si>
  <si>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</si>
  <si>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</si>
  <si>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</si>
  <si>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</si>
  <si>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</si>
  <si>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</si>
  <si>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</si>
  <si>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</si>
  <si>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</si>
  <si>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</si>
  <si>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</si>
  <si>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</si>
  <si>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</si>
  <si>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</si>
  <si>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</si>
  <si>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</si>
  <si>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</si>
  <si>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</si>
  <si>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</si>
  <si>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</si>
  <si>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</si>
  <si>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</si>
  <si>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</si>
  <si>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</si>
  <si>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</si>
  <si>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</si>
  <si>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</si>
  <si>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</si>
  <si>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</si>
  <si>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</si>
  <si>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</si>
  <si>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</si>
  <si>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</si>
  <si>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</si>
  <si>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</si>
  <si>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</si>
  <si>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</si>
  <si>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</si>
  <si>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</si>
  <si>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</si>
  <si>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</si>
  <si>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</si>
  <si>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</si>
  <si>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</si>
  <si>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</si>
  <si>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</si>
  <si>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</si>
  <si>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</si>
  <si>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</si>
  <si>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</si>
  <si>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</si>
  <si>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</si>
  <si>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</si>
  <si>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</si>
  <si>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</si>
  <si>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</si>
  <si>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</si>
  <si>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</si>
  <si>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</si>
  <si>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</si>
  <si>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</si>
  <si>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</si>
  <si>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</si>
  <si>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</si>
  <si>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</si>
  <si>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</si>
  <si>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</si>
  <si>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</si>
  <si>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</si>
  <si>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</si>
  <si>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</si>
  <si>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</si>
  <si>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</si>
  <si>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</si>
  <si>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</si>
  <si>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</si>
  <si>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</si>
  <si>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</si>
  <si>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</si>
  <si>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</si>
  <si>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</si>
  <si>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</si>
  <si>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</si>
  <si>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</si>
  <si>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</si>
  <si>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</si>
  <si>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</si>
  <si>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</si>
  <si>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</si>
  <si>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</si>
  <si>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</si>
  <si>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</si>
  <si>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</si>
  <si>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</si>
  <si>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</si>
  <si>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</si>
  <si>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</si>
  <si>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</si>
  <si>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</si>
  <si>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</si>
  <si>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</si>
  <si>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</si>
  <si>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</si>
  <si>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</si>
  <si>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</si>
  <si>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</si>
  <si>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</si>
  <si>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</si>
  <si>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</si>
  <si>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</si>
  <si>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</si>
  <si>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</si>
  <si>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</si>
  <si>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</si>
  <si>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</si>
  <si>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</si>
  <si>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</si>
  <si>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</si>
  <si>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</si>
  <si>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</si>
  <si>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</si>
  <si>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</si>
  <si>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</si>
  <si>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</si>
  <si>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</si>
  <si>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</si>
  <si>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</si>
  <si>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</si>
  <si>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</si>
  <si>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</si>
  <si>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</si>
  <si>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</si>
  <si>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</si>
  <si>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</si>
  <si>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</si>
  <si>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</si>
  <si>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</si>
  <si>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</si>
  <si>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</si>
  <si>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</si>
  <si>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</si>
  <si>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</si>
  <si>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</si>
  <si>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</si>
  <si>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</si>
  <si>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</si>
  <si>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</si>
  <si>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</si>
  <si>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</si>
  <si>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</si>
  <si>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</si>
  <si>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</si>
  <si>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</si>
  <si>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</si>
  <si>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</si>
  <si>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</si>
  <si>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</si>
  <si>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</si>
  <si>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</si>
  <si>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</si>
  <si>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</si>
  <si>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</si>
  <si>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</si>
  <si>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</si>
  <si>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</si>
  <si>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</si>
  <si>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</si>
  <si>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</si>
  <si>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</si>
  <si>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</si>
  <si>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</si>
  <si>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</si>
  <si>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</si>
  <si>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</si>
  <si>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</si>
  <si>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</si>
  <si>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</si>
  <si>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</si>
  <si>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</si>
  <si>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</si>
  <si>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</si>
  <si>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</si>
  <si>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</si>
  <si>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</si>
  <si>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</si>
  <si>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</si>
  <si>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</si>
  <si>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</si>
  <si>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</si>
  <si>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</si>
  <si>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</si>
  <si>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</si>
  <si>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</si>
  <si>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</si>
  <si>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</si>
  <si>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</si>
  <si>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</si>
  <si>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</si>
  <si>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</si>
  <si>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</si>
  <si>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</si>
  <si>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</si>
  <si>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</si>
  <si>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</si>
  <si>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</si>
  <si>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</si>
  <si>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</si>
  <si>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</si>
  <si>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</si>
  <si>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</si>
  <si>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</si>
  <si>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</si>
  <si>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</si>
  <si>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</si>
  <si>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</si>
  <si>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</si>
  <si>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</si>
  <si>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</si>
  <si>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</si>
  <si>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</si>
  <si>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</si>
  <si>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</si>
  <si>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</si>
  <si>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</si>
  <si>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</si>
  <si>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</si>
  <si>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</si>
  <si>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</si>
  <si>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</si>
  <si>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</si>
  <si>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</si>
  <si>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</si>
  <si>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</si>
  <si>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</si>
  <si>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</si>
  <si>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</si>
  <si>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</si>
  <si>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</si>
  <si>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</si>
  <si>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</si>
  <si>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</si>
  <si>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</si>
  <si>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</si>
  <si>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</si>
  <si>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</si>
  <si>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</si>
  <si>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</si>
  <si>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</si>
  <si>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</si>
  <si>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</si>
  <si>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</si>
  <si>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</si>
  <si>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</si>
  <si>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</si>
  <si>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</si>
  <si>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</si>
  <si>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</si>
  <si>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</si>
  <si>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</si>
  <si>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</si>
  <si>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</si>
  <si>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</si>
  <si>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</si>
  <si>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</si>
  <si>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</si>
  <si>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</si>
  <si>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</si>
  <si>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</si>
  <si>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</si>
  <si>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</si>
  <si>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</si>
  <si>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</si>
  <si>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</si>
  <si>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</si>
  <si>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</si>
  <si>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</si>
  <si>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</si>
  <si>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</si>
  <si>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</si>
  <si>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</si>
  <si>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</si>
  <si>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</si>
  <si>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</si>
  <si>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</si>
  <si>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</si>
  <si>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</si>
  <si>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</si>
  <si>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</si>
  <si>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</si>
  <si>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</si>
  <si>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</si>
  <si>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</si>
  <si>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</si>
  <si>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</si>
  <si>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</si>
  <si>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</si>
  <si>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</si>
  <si>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</si>
  <si>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</si>
  <si>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</si>
  <si>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</si>
  <si>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</si>
  <si>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</si>
  <si>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</si>
  <si>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</si>
  <si>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</si>
  <si>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</si>
  <si>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</si>
  <si>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</si>
  <si>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</si>
  <si>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</si>
  <si>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</si>
  <si>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</si>
  <si>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</si>
  <si>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</si>
  <si>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</si>
  <si>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</si>
  <si>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</si>
  <si>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</si>
  <si>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</si>
  <si>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</si>
  <si>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</si>
  <si>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</si>
  <si>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</si>
  <si>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</si>
  <si>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</si>
  <si>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</si>
  <si>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</si>
  <si>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</si>
  <si>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</si>
  <si>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</si>
  <si>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</si>
  <si>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</si>
  <si>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</si>
  <si>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</si>
  <si>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</si>
  <si>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</si>
  <si>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</si>
  <si>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</si>
  <si>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</si>
  <si>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</si>
  <si>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</si>
  <si>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</si>
  <si>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</si>
  <si>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</si>
  <si>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</si>
  <si>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</si>
  <si>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</si>
  <si>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</si>
  <si>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</si>
  <si>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</si>
  <si>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</si>
  <si>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</si>
  <si>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</si>
  <si>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</si>
  <si>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</si>
  <si>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</si>
  <si>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</si>
  <si>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</si>
  <si>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</si>
  <si>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</si>
  <si>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</si>
  <si>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</si>
  <si>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</si>
  <si>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</si>
  <si>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</si>
  <si>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</si>
  <si>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</si>
  <si>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</si>
  <si>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</si>
  <si>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</si>
  <si>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</si>
  <si>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</si>
  <si>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</si>
  <si>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</si>
  <si>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</si>
  <si>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</si>
  <si>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</si>
  <si>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</si>
  <si>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</si>
  <si>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</si>
  <si>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</si>
  <si>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</si>
  <si>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</si>
  <si>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</si>
  <si>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</si>
  <si>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</si>
  <si>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</si>
  <si>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</si>
  <si>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</si>
  <si>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</si>
  <si>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</si>
  <si>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</si>
  <si>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</si>
  <si>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</si>
  <si>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</si>
  <si>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</si>
  <si>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</si>
  <si>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</si>
  <si>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</si>
  <si>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</si>
  <si>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</si>
  <si>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</si>
  <si>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</si>
  <si>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</si>
  <si>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</si>
  <si>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</si>
  <si>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</si>
  <si>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</si>
  <si>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</si>
  <si>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</si>
  <si>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</si>
  <si>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</si>
  <si>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</si>
  <si>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</si>
  <si>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</si>
  <si>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</si>
  <si>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</si>
  <si>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</si>
  <si>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</si>
  <si>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</si>
  <si>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</si>
  <si>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</si>
  <si>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</si>
  <si>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</si>
  <si>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</si>
  <si>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</si>
  <si>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</si>
  <si>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</si>
  <si>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</si>
  <si>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</si>
  <si>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</si>
  <si>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</si>
  <si>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</si>
  <si>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</si>
  <si>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</si>
  <si>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</si>
  <si>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</si>
  <si>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</si>
  <si>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</si>
  <si>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</si>
  <si>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</si>
  <si>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</si>
  <si>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</si>
  <si>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</si>
  <si>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</si>
  <si>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</si>
  <si>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</si>
  <si>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</si>
  <si>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</si>
  <si>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</si>
  <si>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</si>
  <si>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</si>
  <si>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</si>
  <si>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</si>
  <si>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</si>
  <si>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</si>
  <si>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</si>
  <si>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</si>
  <si>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</si>
  <si>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</si>
  <si>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</si>
  <si>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</si>
  <si>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</si>
  <si>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</si>
  <si>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</si>
  <si>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</si>
  <si>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</si>
  <si>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</si>
  <si>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</si>
  <si>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</si>
  <si>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</si>
  <si>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</si>
  <si>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</si>
  <si>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</si>
  <si>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</si>
  <si>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</si>
  <si>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</si>
  <si>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</si>
  <si>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</si>
  <si>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</si>
  <si>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</si>
  <si>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</si>
  <si>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</si>
  <si>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</si>
  <si>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</si>
  <si>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</si>
  <si>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</si>
  <si>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</si>
  <si>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</si>
  <si>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</si>
  <si>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</si>
  <si>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</si>
  <si>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</si>
  <si>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</si>
  <si>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</si>
  <si>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</si>
  <si>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</si>
  <si>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</si>
  <si>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</si>
  <si>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</si>
  <si>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</si>
  <si>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</si>
  <si>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</si>
  <si>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</si>
  <si>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</si>
  <si>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</si>
  <si>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</si>
  <si>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</si>
  <si>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</si>
  <si>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</si>
  <si>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</si>
  <si>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</si>
  <si>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</si>
  <si>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</si>
  <si>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</si>
  <si>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</si>
  <si>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</si>
  <si>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</si>
  <si>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</si>
  <si>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</si>
  <si>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</si>
  <si>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</si>
  <si>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</si>
  <si>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</si>
  <si>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</si>
  <si>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</si>
  <si>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</si>
  <si>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</si>
  <si>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</si>
  <si>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</si>
  <si>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</si>
  <si>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</si>
  <si>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</si>
  <si>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</si>
  <si>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</si>
  <si>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</si>
  <si>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</si>
  <si>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</si>
  <si>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</si>
  <si>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</si>
  <si>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</si>
  <si>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</si>
  <si>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</si>
  <si>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</si>
  <si>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</si>
  <si>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</si>
  <si>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</si>
  <si>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</si>
  <si>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</si>
  <si>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</si>
  <si>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</si>
  <si>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</si>
  <si>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</si>
  <si>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</si>
  <si>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</si>
  <si>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</si>
  <si>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</si>
  <si>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</si>
  <si>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</si>
  <si>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</si>
  <si>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</si>
  <si>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</si>
  <si>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</si>
  <si>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</si>
  <si>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</si>
  <si>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</si>
  <si>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</si>
  <si>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</si>
  <si>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</si>
  <si>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</si>
  <si>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</si>
  <si>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</si>
  <si>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</si>
  <si>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</si>
  <si>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</si>
  <si>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</si>
  <si>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</si>
  <si>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</si>
  <si>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</si>
  <si>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</si>
  <si>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</si>
  <si>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</si>
  <si>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</si>
  <si>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</si>
  <si>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</si>
  <si>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</si>
  <si>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</si>
  <si>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</si>
  <si>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</si>
  <si>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</si>
  <si>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</si>
  <si>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</si>
  <si>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</si>
  <si>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</si>
  <si>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</si>
  <si>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</si>
  <si>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</si>
  <si>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</si>
  <si>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</si>
  <si>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</si>
  <si>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</si>
  <si>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</si>
  <si>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</si>
  <si>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</si>
  <si>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</si>
  <si>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</si>
  <si>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</si>
  <si>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</si>
  <si>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</si>
  <si>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</si>
  <si>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</si>
  <si>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</si>
  <si>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</si>
  <si>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</si>
  <si>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</si>
  <si>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</si>
  <si>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</si>
  <si>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</si>
  <si>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</si>
  <si>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</si>
  <si>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</si>
  <si>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</si>
  <si>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</si>
  <si>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</si>
  <si>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</si>
  <si>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</si>
  <si>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</si>
  <si>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</si>
  <si>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</si>
  <si>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</si>
  <si>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</si>
  <si>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</si>
  <si>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</si>
  <si>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</si>
  <si>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</si>
  <si>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</si>
  <si>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</si>
  <si>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</si>
  <si>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</si>
  <si>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</si>
  <si>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</si>
  <si>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</si>
  <si>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</si>
  <si>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</si>
  <si>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</si>
  <si>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</si>
  <si>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</si>
  <si>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</si>
  <si>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</si>
  <si>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</si>
  <si>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</si>
  <si>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</si>
  <si>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</si>
  <si>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</si>
  <si>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</si>
  <si>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</si>
  <si>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</si>
  <si>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</si>
  <si>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</si>
  <si>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</si>
  <si>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</si>
  <si>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</si>
  <si>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</si>
  <si>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</si>
  <si>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</si>
  <si>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</si>
  <si>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</si>
  <si>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</si>
  <si>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</si>
  <si>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</si>
  <si>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</si>
  <si>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</si>
  <si>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</si>
  <si>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</si>
  <si>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</si>
  <si>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</si>
  <si>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</si>
  <si>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</si>
  <si>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</si>
  <si>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</si>
  <si>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</si>
  <si>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</si>
  <si>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</si>
  <si>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</si>
  <si>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</si>
  <si>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</si>
  <si>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</si>
  <si>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</si>
  <si>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</si>
  <si>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</si>
  <si>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</si>
  <si>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</si>
  <si>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</si>
  <si>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</si>
  <si>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</si>
  <si>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</si>
  <si>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</si>
  <si>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</si>
  <si>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</si>
  <si>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</si>
  <si>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</si>
  <si>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</si>
  <si>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</si>
  <si>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</si>
  <si>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</si>
  <si>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</si>
  <si>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</si>
  <si>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</si>
  <si>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</si>
  <si>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</si>
  <si>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</si>
  <si>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</si>
  <si>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</si>
  <si>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</si>
  <si>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</si>
  <si>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</si>
  <si>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</si>
  <si>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</si>
  <si>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</si>
  <si>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</si>
  <si>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</si>
  <si>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</si>
  <si>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</si>
  <si>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</si>
  <si>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</si>
  <si>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</si>
  <si>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</si>
  <si>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</si>
  <si>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</si>
  <si>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</si>
  <si>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</si>
  <si>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</si>
  <si>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</si>
  <si>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</si>
  <si>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</si>
  <si>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</si>
  <si>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</si>
  <si>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</si>
  <si>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</si>
  <si>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</si>
  <si>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</si>
  <si>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</si>
  <si>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</si>
  <si>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</si>
  <si>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</si>
  <si>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</si>
  <si>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</si>
  <si>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</si>
  <si>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</si>
  <si>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</si>
  <si>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</si>
  <si>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</si>
  <si>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</si>
  <si>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</si>
  <si>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</si>
  <si>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</si>
  <si>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</si>
  <si>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</si>
  <si>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</si>
  <si>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</si>
  <si>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</si>
  <si>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</si>
  <si>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</si>
  <si>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</si>
  <si>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</si>
  <si>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</si>
  <si>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</si>
  <si>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</si>
  <si>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</si>
  <si>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</si>
  <si>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</si>
  <si>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</si>
  <si>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</si>
  <si>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</si>
  <si>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</si>
  <si>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</si>
  <si>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</si>
  <si>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</si>
  <si>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</si>
  <si>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</si>
  <si>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</si>
  <si>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</si>
  <si>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</si>
  <si>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</si>
  <si>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</si>
  <si>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</si>
  <si>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</si>
  <si>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</si>
  <si>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</si>
  <si>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</si>
  <si>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</si>
  <si>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</si>
  <si>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</si>
  <si>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</si>
  <si>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</si>
  <si>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</si>
  <si>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</si>
  <si>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</si>
  <si>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</si>
  <si>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</si>
  <si>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</si>
  <si>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</si>
  <si>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</si>
  <si>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</si>
  <si>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</si>
  <si>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</si>
  <si>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</si>
  <si>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</si>
  <si>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</si>
  <si>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</si>
  <si>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</si>
  <si>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</si>
  <si>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</si>
  <si>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</si>
  <si>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</si>
  <si>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</si>
  <si>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</si>
  <si>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</si>
  <si>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</si>
  <si>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</si>
  <si>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</si>
  <si>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</si>
  <si>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</si>
  <si>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</si>
  <si>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</si>
  <si>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</si>
  <si>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</si>
  <si>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</si>
  <si>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</si>
  <si>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</si>
  <si>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</si>
  <si>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</si>
  <si>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</si>
  <si>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</si>
  <si>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</si>
  <si>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</si>
  <si>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</si>
  <si>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</si>
  <si>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</si>
  <si>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</si>
  <si>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</si>
  <si>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</si>
  <si>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</si>
  <si>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</si>
  <si>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</si>
  <si>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</si>
  <si>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</si>
  <si>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</si>
  <si>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</si>
  <si>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</si>
  <si>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</si>
  <si>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</si>
  <si>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</si>
  <si>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</si>
  <si>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</si>
  <si>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</si>
  <si>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</si>
  <si>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</si>
  <si>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</si>
  <si>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</si>
  <si>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</si>
  <si>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</si>
  <si>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</si>
  <si>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</si>
  <si>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</si>
  <si>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</si>
  <si>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</si>
  <si>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</si>
  <si>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</si>
  <si>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</si>
  <si>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</si>
  <si>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</si>
  <si>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</si>
  <si>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</si>
  <si>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</si>
  <si>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</si>
  <si>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</si>
  <si>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</si>
  <si>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</si>
  <si>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</si>
  <si>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</si>
  <si>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</si>
  <si>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</si>
  <si>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</si>
  <si>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</si>
  <si>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</si>
  <si>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</si>
  <si>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</si>
  <si>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</si>
  <si>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</si>
  <si>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</si>
  <si>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</si>
  <si>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</si>
  <si>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</si>
  <si>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</si>
  <si>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</si>
  <si>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</si>
  <si>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</si>
  <si>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</si>
  <si>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</si>
  <si>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</si>
  <si>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</si>
  <si>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</si>
  <si>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</si>
  <si>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</si>
  <si>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</si>
  <si>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</si>
  <si>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</si>
  <si>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</si>
  <si>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</si>
  <si>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</si>
  <si>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</si>
  <si>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</si>
  <si>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</si>
  <si>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</si>
  <si>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</si>
  <si>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</si>
  <si>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</si>
  <si>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</si>
  <si>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</si>
  <si>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</si>
  <si>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</si>
  <si>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</si>
  <si>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</si>
  <si>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</si>
  <si>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</si>
  <si>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</si>
  <si>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</si>
  <si>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</si>
  <si>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</si>
  <si>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</si>
  <si>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</si>
  <si>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</si>
  <si>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</si>
  <si>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</si>
  <si>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</si>
  <si>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</si>
  <si>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</si>
  <si>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</si>
  <si>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</si>
  <si>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</si>
  <si>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</si>
  <si>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</si>
  <si>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</si>
  <si>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</si>
  <si>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</si>
  <si>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</si>
  <si>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</si>
  <si>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</si>
  <si>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</si>
  <si>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</si>
  <si>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</si>
  <si>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</si>
  <si>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</si>
  <si>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</si>
  <si>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</si>
  <si>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</si>
  <si>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</si>
  <si>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</si>
  <si>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</si>
  <si>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</si>
  <si>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</si>
  <si>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</si>
  <si>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</si>
  <si>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</si>
  <si>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</si>
  <si>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</si>
  <si>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</si>
  <si>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</si>
  <si>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</si>
  <si>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</si>
  <si>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</si>
  <si>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</si>
  <si>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</si>
  <si>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</si>
  <si>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</si>
  <si>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</si>
  <si>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</si>
  <si>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</si>
  <si>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</si>
  <si>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</si>
  <si>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</si>
  <si>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</si>
  <si>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</si>
  <si>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</si>
  <si>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</si>
  <si>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</si>
  <si>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</si>
  <si>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</si>
  <si>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</si>
  <si>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</si>
  <si>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</si>
  <si>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</si>
  <si>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</si>
  <si>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</si>
  <si>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</si>
  <si>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</si>
  <si>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</si>
  <si>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</si>
  <si>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</si>
  <si>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</si>
  <si>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</si>
  <si>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</si>
  <si>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</si>
  <si>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</si>
  <si>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</si>
  <si>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</si>
  <si>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</si>
  <si>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</si>
  <si>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</si>
  <si>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</si>
  <si>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</si>
  <si>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</si>
  <si>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</si>
  <si>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</si>
  <si>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</si>
  <si>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</si>
  <si>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</si>
  <si>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</si>
  <si>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</si>
  <si>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</si>
  <si>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</si>
  <si>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</si>
  <si>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</si>
  <si>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</si>
  <si>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</si>
  <si>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</si>
  <si>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</si>
  <si>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</si>
  <si>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</si>
  <si>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</si>
  <si>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</si>
  <si>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</si>
  <si>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</si>
  <si>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</si>
  <si>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</si>
  <si>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</si>
  <si>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</si>
  <si>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</si>
  <si>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</si>
  <si>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</si>
  <si>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</si>
  <si>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</si>
  <si>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</si>
  <si>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</si>
  <si>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</si>
  <si>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</si>
  <si>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</si>
  <si>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</si>
  <si>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</si>
  <si>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</si>
  <si>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</si>
  <si>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</si>
  <si>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</si>
  <si>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</si>
  <si>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</si>
  <si>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</si>
  <si>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</si>
  <si>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</si>
  <si>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</si>
  <si>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</si>
  <si>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</si>
  <si>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</si>
  <si>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</si>
  <si>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</si>
  <si>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</si>
  <si>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</si>
  <si>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</si>
  <si>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</si>
  <si>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</si>
  <si>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</si>
  <si>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</si>
  <si>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</si>
  <si>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</si>
  <si>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</si>
  <si>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</si>
  <si>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</si>
  <si>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</si>
  <si>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</si>
  <si>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</si>
  <si>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</si>
  <si>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</si>
  <si>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</si>
  <si>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</si>
  <si>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</si>
  <si>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</si>
  <si>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</si>
  <si>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</si>
  <si>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</si>
  <si>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</si>
  <si>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</si>
  <si>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</si>
  <si>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</si>
  <si>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</si>
  <si>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</si>
  <si>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</si>
  <si>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</si>
  <si>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</si>
  <si>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</si>
  <si>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</si>
  <si>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</si>
  <si>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</si>
  <si>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</si>
  <si>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</si>
  <si>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</si>
  <si>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</si>
  <si>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</si>
  <si>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</si>
  <si>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</si>
  <si>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</si>
  <si>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</si>
  <si>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</si>
  <si>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</si>
  <si>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</si>
  <si>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</si>
  <si>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</si>
  <si>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</si>
  <si>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</si>
  <si>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</si>
  <si>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</si>
  <si>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</si>
  <si>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</si>
  <si>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</si>
  <si>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</si>
  <si>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</si>
  <si>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</si>
  <si>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</si>
  <si>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</si>
  <si>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</si>
  <si>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</si>
  <si>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</si>
  <si>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</si>
  <si>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</si>
  <si>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</si>
  <si>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</si>
  <si>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</si>
  <si>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</si>
  <si>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</si>
  <si>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</si>
  <si>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</si>
  <si>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</si>
  <si>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</si>
  <si>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</si>
  <si>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</si>
  <si>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</si>
  <si>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</si>
  <si>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</si>
  <si>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</si>
  <si>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</si>
  <si>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</si>
  <si>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</si>
  <si>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</si>
  <si>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</si>
  <si>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</si>
  <si>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</si>
  <si>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</si>
  <si>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</si>
  <si>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</si>
  <si>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</si>
  <si>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</si>
  <si>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</si>
  <si>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</si>
  <si>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</si>
  <si>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</si>
  <si>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</si>
  <si>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</si>
  <si>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</si>
  <si>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</si>
  <si>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</si>
  <si>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</si>
  <si>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</si>
  <si>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</si>
  <si>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</si>
  <si>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</si>
  <si>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</si>
  <si>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</si>
  <si>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</si>
  <si>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</si>
  <si>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</si>
  <si>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</si>
  <si>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</si>
  <si>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</si>
  <si>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</si>
  <si>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</si>
  <si>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</si>
  <si>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</si>
  <si>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</si>
  <si>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</si>
  <si>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</si>
  <si>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</si>
  <si>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</si>
  <si>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</si>
  <si>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</si>
  <si>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</si>
  <si>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</si>
  <si>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</si>
  <si>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</si>
  <si>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</si>
  <si>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</si>
  <si>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</si>
  <si>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</si>
  <si>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</si>
  <si>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</si>
  <si>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</si>
  <si>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</si>
  <si>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</si>
  <si>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</si>
  <si>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</si>
  <si>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</si>
  <si>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</si>
  <si>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</si>
  <si>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</si>
  <si>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</si>
  <si>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</si>
  <si>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</si>
  <si>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</si>
  <si>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</si>
  <si>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</si>
  <si>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</si>
  <si>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</si>
  <si>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</si>
  <si>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</si>
  <si>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</si>
  <si>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</si>
  <si>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</si>
  <si>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</si>
  <si>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</si>
  <si>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</si>
  <si>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</si>
  <si>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</si>
  <si>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</si>
  <si>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</si>
  <si>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</si>
  <si>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</si>
  <si>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</si>
  <si>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</si>
  <si>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</si>
  <si>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</si>
  <si>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</si>
  <si>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</si>
  <si>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</si>
  <si>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</si>
  <si>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</si>
  <si>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</si>
  <si>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</si>
  <si>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</si>
  <si>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</si>
  <si>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</si>
  <si>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</si>
  <si>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</si>
  <si>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</si>
  <si>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</si>
  <si>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</si>
  <si>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</si>
  <si>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</si>
  <si>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</si>
  <si>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</si>
  <si>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</si>
  <si>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</si>
  <si>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</si>
  <si>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</si>
  <si>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</si>
  <si>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</si>
  <si>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</si>
  <si>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</si>
  <si>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</si>
  <si>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</si>
  <si>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</si>
  <si>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</si>
  <si>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</si>
  <si>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</si>
  <si>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</si>
  <si>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</si>
  <si>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</si>
  <si>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</si>
  <si>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</si>
  <si>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</si>
  <si>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</si>
  <si>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</si>
  <si>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</si>
  <si>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</si>
  <si>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</si>
  <si>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</si>
  <si>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</si>
  <si>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</si>
  <si>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</si>
  <si>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</si>
  <si>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</si>
  <si>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</si>
  <si>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</si>
  <si>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</si>
  <si>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</si>
  <si>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</si>
  <si>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</si>
  <si>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</si>
  <si>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</si>
  <si>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</si>
  <si>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</si>
  <si>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</si>
  <si>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</si>
  <si>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</si>
  <si>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</si>
  <si>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</si>
  <si>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</si>
  <si>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</si>
  <si>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</si>
  <si>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</si>
  <si>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</si>
  <si>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</si>
  <si>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</si>
  <si>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</si>
  <si>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</si>
  <si>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</si>
  <si>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</si>
  <si>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</si>
  <si>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</si>
  <si>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</si>
  <si>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</si>
  <si>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</si>
  <si>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</si>
  <si>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</si>
  <si>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</si>
  <si>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</si>
  <si>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</si>
  <si>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</si>
  <si>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</si>
  <si>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</si>
  <si>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</si>
  <si>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</si>
  <si>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</si>
  <si>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</si>
  <si>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</si>
  <si>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</si>
  <si>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</si>
  <si>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</si>
  <si>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</si>
  <si>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</si>
  <si>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</si>
  <si>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</si>
  <si>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</si>
  <si>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</si>
  <si>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</si>
  <si>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</si>
  <si>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</si>
  <si>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</si>
  <si>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</si>
  <si>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</si>
  <si>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</si>
  <si>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</si>
  <si>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</si>
  <si>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</si>
  <si>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</si>
  <si>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</si>
  <si>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</si>
  <si>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</si>
  <si>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</si>
  <si>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</si>
  <si>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</si>
  <si>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</si>
  <si>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</si>
  <si>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</si>
  <si>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</si>
  <si>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</si>
  <si>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</si>
  <si>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</si>
  <si>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</si>
  <si>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</si>
  <si>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</si>
  <si>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</si>
  <si>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</si>
  <si>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</si>
  <si>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</si>
  <si>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</si>
  <si>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</si>
  <si>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</si>
  <si>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</si>
  <si>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</si>
  <si>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</si>
  <si>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</si>
  <si>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</si>
  <si>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</si>
  <si>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</si>
  <si>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</si>
  <si>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</si>
  <si>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</si>
  <si>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</si>
  <si>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</si>
  <si>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</si>
  <si>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</si>
  <si>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</si>
  <si>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</si>
  <si>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</si>
  <si>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</si>
  <si>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</si>
  <si>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</si>
  <si>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</si>
  <si>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</si>
  <si>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</si>
  <si>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</si>
  <si>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</si>
  <si>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</si>
  <si>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</si>
  <si>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</si>
  <si>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</si>
  <si>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</si>
  <si>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</si>
  <si>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</si>
  <si>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</si>
  <si>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</si>
  <si>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</si>
  <si>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</si>
  <si>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</si>
  <si>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</si>
  <si>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</si>
  <si>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</si>
  <si>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</si>
  <si>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</si>
  <si>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</si>
  <si>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</si>
  <si>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</si>
  <si>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</si>
  <si>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</si>
  <si>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</si>
  <si>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</si>
  <si>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</si>
  <si>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</si>
  <si>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</si>
  <si>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</si>
  <si>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</si>
  <si>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</si>
  <si>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</si>
  <si>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</si>
  <si>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</si>
  <si>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</si>
  <si>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</si>
  <si>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</si>
  <si>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</si>
  <si>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</si>
  <si>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</si>
  <si>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</si>
  <si>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</si>
  <si>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</si>
  <si>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</si>
  <si>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</si>
  <si>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</si>
  <si>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</si>
  <si>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</si>
  <si>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</si>
  <si>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</si>
  <si>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</si>
  <si>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</si>
  <si>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</si>
  <si>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</si>
  <si>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</si>
  <si>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</si>
  <si>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</si>
  <si>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</si>
  <si>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</si>
  <si>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</si>
  <si>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</si>
  <si>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</si>
  <si>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</si>
  <si>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</si>
  <si>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</si>
  <si>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</si>
  <si>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</si>
  <si>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</si>
  <si>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</si>
  <si>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</si>
  <si>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</si>
  <si>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</si>
  <si>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</si>
  <si>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</si>
  <si>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</si>
  <si>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</si>
  <si>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</si>
  <si>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</si>
  <si>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</si>
  <si>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</si>
  <si>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</si>
  <si>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</si>
  <si>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</si>
  <si>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</si>
  <si>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</si>
  <si>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</si>
  <si>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</si>
  <si>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</si>
  <si>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</si>
  <si>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</si>
  <si>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</si>
  <si>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</si>
  <si>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</si>
  <si>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</si>
  <si>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</si>
  <si>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</si>
  <si>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</si>
  <si>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</si>
  <si>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</si>
  <si>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</si>
  <si>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</si>
  <si>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</si>
  <si>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</si>
  <si>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</si>
  <si>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</si>
  <si>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</si>
  <si>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</si>
  <si>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</si>
  <si>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</si>
  <si>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</si>
  <si>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</si>
  <si>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</si>
  <si>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</si>
  <si>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</si>
  <si>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</si>
  <si>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</si>
  <si>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</si>
  <si>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</si>
  <si>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</si>
  <si>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</si>
  <si>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</si>
  <si>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</si>
  <si>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</si>
  <si>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</si>
  <si>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</si>
  <si>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</si>
  <si>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</si>
  <si>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</si>
  <si>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</si>
  <si>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</si>
  <si>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</si>
  <si>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</si>
  <si>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</si>
  <si>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</si>
  <si>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</si>
  <si>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</si>
  <si>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</si>
  <si>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</si>
  <si>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</si>
  <si>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</si>
  <si>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</si>
  <si>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</si>
  <si>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</si>
  <si>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</si>
  <si>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</si>
  <si>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</si>
  <si>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</si>
  <si>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</si>
  <si>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</si>
  <si>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</si>
  <si>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</si>
  <si>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</si>
  <si>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</si>
  <si>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</si>
  <si>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</si>
  <si>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</si>
  <si>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</si>
  <si>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</si>
  <si>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</si>
  <si>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</si>
  <si>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</si>
  <si>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</si>
  <si>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</si>
  <si>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</si>
  <si>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</si>
  <si>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</si>
  <si>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</si>
  <si>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</si>
  <si>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</si>
  <si>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</si>
  <si>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</si>
  <si>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</si>
  <si>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</si>
  <si>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</si>
  <si>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</si>
  <si>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</si>
  <si>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</si>
  <si>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</si>
  <si>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</si>
  <si>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</si>
  <si>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</si>
  <si>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</si>
  <si>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</si>
  <si>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</si>
  <si>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</si>
  <si>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</si>
  <si>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</si>
  <si>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</si>
  <si>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</si>
  <si>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</si>
  <si>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</si>
  <si>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</si>
  <si>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</si>
  <si>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</si>
  <si>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</si>
  <si>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</si>
  <si>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</si>
  <si>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</si>
  <si>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</si>
  <si>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</si>
  <si>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</si>
  <si>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</si>
  <si>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</si>
  <si>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</si>
  <si>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</si>
  <si>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</si>
  <si>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</si>
  <si>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</si>
  <si>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</si>
  <si>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</si>
  <si>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</si>
  <si>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</si>
  <si>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</si>
  <si>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</si>
  <si>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</si>
  <si>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</si>
  <si>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</si>
  <si>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</si>
  <si>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</si>
  <si>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</si>
  <si>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</si>
  <si>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</si>
  <si>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</si>
  <si>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</si>
  <si>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</si>
  <si>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</si>
  <si>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</si>
  <si>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</si>
  <si>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</si>
  <si>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</si>
  <si>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</si>
  <si>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</si>
  <si>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</si>
  <si>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</si>
  <si>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</si>
  <si>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</si>
  <si>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</si>
  <si>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</si>
  <si>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</si>
  <si>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</si>
  <si>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</si>
  <si>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</si>
  <si>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</si>
  <si>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</si>
  <si>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</si>
  <si>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</si>
  <si>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</si>
  <si>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</si>
  <si>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</si>
  <si>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</si>
  <si>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</si>
  <si>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</si>
  <si>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</si>
  <si>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</si>
  <si>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</si>
  <si>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</si>
  <si>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</si>
  <si>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</si>
  <si>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</si>
  <si>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</si>
  <si>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</si>
  <si>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</si>
  <si>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</si>
  <si>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</si>
  <si>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</si>
  <si>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</si>
  <si>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</si>
  <si>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</si>
  <si>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</si>
  <si>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</si>
  <si>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</si>
  <si>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</si>
  <si>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</si>
  <si>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</si>
  <si>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</si>
  <si>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</si>
  <si>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</si>
  <si>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</si>
  <si>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</si>
  <si>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</si>
  <si>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</si>
  <si>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</si>
  <si>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</si>
  <si>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</si>
  <si>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</si>
  <si>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</si>
  <si>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</si>
  <si>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</si>
  <si>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</si>
  <si>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</si>
  <si>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</si>
  <si>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</si>
  <si>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</si>
  <si>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</si>
  <si>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</si>
  <si>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</si>
  <si>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</si>
  <si>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</si>
  <si>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</si>
  <si>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</si>
  <si>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</si>
  <si>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</si>
  <si>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</si>
  <si>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</si>
  <si>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</si>
  <si>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</si>
  <si>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</si>
  <si>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</si>
  <si>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</si>
  <si>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</si>
  <si>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</si>
  <si>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</si>
  <si>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</si>
  <si>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</si>
  <si>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</si>
  <si>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</si>
  <si>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</si>
  <si>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</si>
  <si>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</si>
  <si>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</si>
  <si>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</si>
  <si>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</si>
  <si>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</si>
  <si>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</si>
  <si>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</si>
  <si>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</si>
  <si>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</si>
  <si>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</si>
  <si>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</si>
  <si>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</si>
  <si>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</si>
  <si>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</si>
  <si>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</si>
  <si>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</si>
  <si>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</si>
  <si>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</si>
  <si>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</si>
  <si>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</si>
  <si>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</si>
  <si>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</si>
  <si>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</si>
  <si>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</si>
  <si>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</si>
  <si>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</si>
  <si>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</si>
  <si>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</si>
  <si>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</si>
  <si>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</si>
  <si>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</si>
  <si>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</si>
  <si>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</si>
  <si>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</si>
  <si>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</si>
  <si>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</si>
  <si>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</si>
  <si>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</si>
  <si>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</si>
  <si>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</si>
  <si>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</si>
  <si>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</si>
  <si>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</si>
  <si>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</si>
  <si>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</si>
  <si>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</si>
  <si>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</si>
  <si>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</si>
  <si>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</si>
  <si>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</si>
  <si>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</si>
  <si>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</si>
  <si>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</si>
  <si>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</si>
  <si>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</si>
  <si>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</si>
  <si>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</si>
  <si>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</si>
  <si>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</si>
  <si>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</si>
  <si>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</si>
  <si>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</si>
  <si>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</si>
  <si>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</si>
  <si>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</si>
  <si>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</si>
  <si>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</si>
  <si>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</si>
  <si>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</si>
  <si>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</si>
  <si>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</si>
  <si>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</si>
  <si>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</si>
  <si>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</si>
  <si>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</si>
  <si>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</si>
  <si>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</si>
  <si>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</si>
  <si>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</si>
  <si>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</si>
  <si>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</si>
  <si>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</si>
  <si>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</si>
  <si>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</si>
  <si>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</si>
  <si>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</si>
  <si>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</si>
  <si>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</si>
  <si>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</si>
  <si>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</si>
  <si>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</si>
  <si>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</si>
  <si>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</si>
  <si>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</si>
  <si>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</si>
  <si>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</si>
  <si>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</si>
  <si>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</si>
  <si>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</si>
  <si>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</si>
  <si>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</si>
  <si>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</si>
  <si>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</si>
  <si>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</si>
  <si>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</si>
  <si>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</si>
  <si>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</si>
  <si>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</si>
  <si>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</si>
  <si>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</si>
  <si>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</si>
  <si>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</si>
  <si>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</si>
  <si>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</si>
  <si>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</si>
  <si>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</si>
  <si>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</si>
  <si>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</si>
  <si>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</si>
  <si>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</si>
  <si>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</si>
  <si>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</si>
  <si>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</si>
  <si>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</si>
  <si>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</si>
  <si>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</si>
  <si>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</si>
  <si>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</si>
  <si>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</si>
  <si>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</si>
  <si>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</si>
  <si>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</si>
  <si>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</si>
  <si>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</si>
  <si>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</si>
  <si>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</si>
  <si>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</si>
  <si>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</si>
  <si>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</si>
  <si>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</si>
  <si>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</si>
  <si>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</si>
  <si>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</si>
  <si>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</si>
  <si>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</si>
  <si>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</si>
  <si>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</si>
  <si>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</si>
  <si>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</si>
  <si>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</si>
  <si>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</si>
  <si>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</si>
  <si>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</si>
  <si>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</si>
  <si>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</si>
  <si>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</si>
  <si>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</si>
  <si>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</si>
  <si>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</si>
  <si>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</si>
  <si>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</si>
  <si>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</si>
  <si>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</si>
  <si>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</si>
  <si>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</si>
  <si>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</si>
  <si>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</si>
  <si>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</si>
  <si>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</si>
  <si>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</si>
  <si>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</si>
  <si>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</si>
  <si>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</si>
  <si>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</si>
  <si>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</si>
  <si>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</si>
  <si>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</si>
  <si>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</si>
  <si>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</si>
  <si>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</si>
  <si>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</si>
  <si>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</si>
  <si>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</si>
  <si>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</si>
  <si>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</si>
  <si>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</si>
  <si>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</si>
  <si>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</si>
  <si>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</si>
  <si>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</si>
  <si>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</si>
  <si>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</si>
  <si>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</si>
  <si>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</si>
  <si>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</si>
  <si>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</si>
  <si>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</si>
  <si>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</si>
  <si>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</si>
  <si>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</si>
  <si>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</si>
  <si>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</si>
  <si>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</si>
  <si>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</si>
  <si>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</si>
  <si>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</si>
  <si>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</si>
  <si>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</si>
  <si>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</si>
  <si>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</si>
  <si>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</si>
  <si>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</si>
  <si>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</si>
  <si>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</si>
  <si>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</si>
  <si>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</si>
  <si>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</si>
  <si>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</si>
  <si>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</si>
  <si>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</si>
  <si>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</si>
  <si>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</si>
  <si>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</si>
  <si>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</si>
  <si>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</si>
  <si>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</si>
  <si>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</si>
  <si>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</si>
  <si>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</si>
  <si>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</si>
  <si>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</si>
  <si>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</si>
  <si>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</si>
  <si>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</si>
  <si>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</si>
  <si>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</si>
  <si>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</si>
  <si>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</si>
  <si>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</si>
  <si>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</si>
  <si>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</si>
  <si>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</si>
  <si>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</si>
  <si>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</si>
  <si>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</si>
  <si>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</si>
  <si>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</si>
  <si>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</si>
  <si>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</si>
  <si>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</si>
  <si>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</si>
  <si>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</si>
  <si>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</si>
  <si>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</si>
  <si>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</si>
  <si>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</si>
  <si>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</si>
  <si>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</si>
  <si>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</si>
  <si>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</si>
  <si>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</si>
  <si>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</si>
  <si>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</si>
  <si>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</si>
  <si>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</si>
  <si>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</si>
  <si>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</si>
  <si>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</si>
  <si>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</si>
  <si>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</si>
  <si>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</si>
  <si>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</si>
  <si>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</si>
  <si>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</si>
  <si>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</si>
  <si>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</si>
  <si>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</si>
  <si>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</si>
  <si>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</si>
  <si>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</si>
  <si>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</si>
  <si>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</si>
  <si>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</si>
  <si>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</si>
  <si>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</si>
  <si>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</si>
  <si>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</si>
  <si>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</si>
  <si>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</si>
  <si>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</si>
  <si>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</si>
  <si>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</si>
  <si>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</si>
  <si>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</si>
  <si>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</si>
  <si>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</si>
  <si>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</si>
  <si>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</si>
  <si>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</si>
  <si>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</si>
  <si>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</si>
  <si>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</si>
  <si>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</si>
  <si>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</si>
  <si>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</si>
  <si>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</si>
  <si>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</si>
  <si>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</si>
  <si>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</si>
  <si>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</si>
  <si>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</si>
  <si>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</si>
  <si>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</si>
  <si>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</si>
  <si>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</si>
  <si>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</si>
  <si>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</si>
  <si>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</si>
  <si>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</si>
  <si>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</si>
  <si>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</si>
  <si>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</si>
  <si>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</si>
  <si>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</si>
  <si>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</si>
  <si>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</si>
  <si>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</si>
  <si>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</si>
  <si>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</si>
  <si>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</si>
  <si>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</si>
  <si>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</si>
  <si>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</si>
  <si>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</si>
  <si>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</si>
  <si>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</si>
  <si>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</si>
  <si>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</si>
  <si>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</si>
  <si>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</si>
  <si>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</si>
  <si>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</si>
  <si>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</si>
  <si>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</si>
  <si>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</si>
  <si>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</si>
  <si>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</si>
  <si>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</si>
  <si>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</si>
  <si>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</si>
  <si>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</si>
  <si>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</si>
  <si>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</si>
  <si>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</si>
  <si>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</si>
  <si>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</si>
  <si>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</si>
  <si>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</si>
  <si>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</si>
  <si>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</si>
  <si>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</si>
  <si>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</si>
  <si>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</si>
  <si>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</si>
  <si>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</si>
  <si>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</si>
  <si>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</si>
  <si>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</si>
  <si>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</si>
  <si>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</si>
  <si>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</si>
  <si>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</si>
  <si>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</si>
  <si>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</si>
  <si>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</si>
  <si>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</si>
  <si>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</si>
  <si>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</si>
  <si>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</si>
  <si>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</si>
  <si>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</si>
  <si>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</si>
  <si>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</si>
  <si>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</si>
  <si>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</si>
  <si>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</si>
  <si>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</si>
  <si>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</si>
  <si>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</si>
  <si>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</si>
  <si>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</si>
  <si>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</si>
  <si>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</si>
  <si>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</si>
  <si>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</si>
  <si>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</si>
  <si>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</si>
  <si>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</si>
  <si>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</si>
  <si>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</si>
  <si>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</si>
  <si>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</si>
  <si>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</si>
  <si>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</si>
  <si>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</si>
  <si>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</si>
  <si>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</si>
  <si>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</si>
  <si>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</si>
  <si>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</si>
  <si>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</si>
  <si>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</si>
  <si>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</si>
  <si>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</si>
  <si>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</si>
  <si>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</si>
  <si>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</si>
  <si>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</si>
  <si>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</si>
  <si>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</si>
  <si>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</si>
  <si>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</si>
  <si>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</si>
  <si>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</si>
  <si>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</si>
  <si>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</si>
  <si>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</si>
  <si>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</si>
  <si>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</si>
  <si>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</si>
  <si>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</si>
  <si>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</si>
  <si>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</si>
  <si>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</si>
  <si>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</si>
  <si>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</si>
  <si>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</si>
  <si>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</si>
  <si>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</si>
  <si>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</si>
  <si>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</si>
  <si>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</si>
  <si>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</si>
  <si>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</si>
  <si>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</si>
  <si>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</si>
  <si>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</si>
  <si>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</si>
  <si>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</si>
  <si>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</si>
  <si>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</si>
  <si>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</si>
  <si>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</si>
  <si>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</si>
  <si>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</si>
  <si>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</si>
  <si>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</si>
  <si>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</si>
  <si>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</si>
  <si>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</si>
  <si>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</si>
  <si>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</si>
  <si>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</si>
  <si>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</si>
  <si>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</si>
  <si>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</si>
  <si>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</si>
  <si>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</si>
  <si>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</si>
  <si>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</si>
  <si>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</si>
  <si>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</si>
  <si>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</si>
  <si>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</si>
  <si>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</si>
  <si>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</si>
  <si>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</si>
  <si>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</si>
  <si>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</si>
  <si>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</si>
  <si>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</si>
  <si>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</si>
  <si>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</si>
  <si>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</si>
  <si>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</si>
  <si>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</si>
  <si>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</si>
  <si>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</si>
  <si>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</si>
  <si>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</si>
  <si>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</si>
  <si>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</si>
  <si>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</si>
  <si>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</si>
  <si>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</si>
  <si>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</si>
  <si>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</si>
  <si>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</si>
  <si>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</si>
  <si>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</si>
  <si>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</si>
  <si>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</si>
  <si>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</si>
  <si>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</si>
  <si>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</si>
  <si>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</si>
  <si>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</si>
  <si>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</si>
  <si>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</si>
  <si>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</si>
  <si>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</si>
  <si>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</si>
  <si>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</si>
  <si>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</si>
  <si>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</si>
  <si>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</si>
  <si>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</si>
  <si>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</si>
  <si>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</si>
  <si>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</si>
  <si>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</si>
  <si>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</si>
  <si>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</si>
  <si>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</si>
  <si>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</si>
  <si>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</si>
  <si>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</si>
  <si>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</si>
  <si>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</si>
  <si>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</si>
  <si>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</si>
  <si>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</si>
  <si>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</si>
  <si>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</si>
  <si>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</si>
  <si>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</si>
  <si>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24/09/2026</t>
  </si>
  <si>
    <t>Ana Cristina Borges Carvalho; Cinthia Thais de Carvalho Luz Thomazi; Fernanda Viana de Souza; Luiz Felipe Tenório de Lima Gondim; Yasmin Carla Marchioro Silverio</t>
  </si>
  <si>
    <t>2026-060</t>
  </si>
  <si>
    <t>TCendo o Futuro 6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</si>
  <si>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</si>
  <si>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</si>
  <si>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</si>
  <si>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</si>
  <si>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</si>
  <si>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</si>
  <si>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</si>
  <si>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</si>
  <si>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</si>
  <si>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</si>
  <si>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</si>
  <si>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</si>
  <si>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</si>
  <si>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</si>
  <si>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</si>
  <si>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</si>
  <si>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</si>
  <si>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</si>
  <si>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</si>
  <si>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</si>
  <si>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</si>
  <si>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</si>
  <si>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</si>
  <si>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</si>
  <si>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</si>
  <si>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</si>
  <si>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</si>
  <si>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</si>
  <si>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</si>
  <si>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</si>
  <si>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</si>
  <si>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</si>
  <si>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</si>
  <si>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</si>
  <si>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</si>
  <si>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</si>
  <si>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</si>
  <si>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</si>
  <si>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</si>
  <si>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</si>
  <si>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</si>
  <si>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</si>
  <si>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</si>
  <si>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</si>
  <si>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</si>
  <si>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</si>
  <si>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</si>
  <si>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</si>
  <si>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</si>
  <si>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</si>
  <si>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</si>
  <si>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</si>
  <si>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</si>
  <si>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</si>
  <si>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</si>
  <si>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</si>
  <si>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</si>
  <si>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</si>
  <si>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</si>
  <si>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</si>
  <si>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</si>
  <si>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</si>
  <si>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</si>
  <si>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</si>
  <si>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</si>
  <si>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</si>
  <si>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</si>
  <si>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</si>
  <si>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</si>
  <si>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</si>
  <si>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</si>
  <si>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</si>
  <si>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</si>
  <si>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</si>
  <si>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</si>
  <si>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</si>
  <si>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</si>
  <si>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</si>
  <si>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</si>
  <si>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</si>
  <si>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</si>
  <si>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</si>
  <si>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</si>
  <si>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</si>
  <si>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</si>
  <si>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</si>
  <si>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</si>
  <si>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</si>
  <si>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</si>
  <si>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</si>
  <si>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</si>
  <si>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</si>
  <si>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</si>
  <si>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</si>
  <si>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</si>
  <si>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</si>
  <si>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</si>
  <si>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</si>
  <si>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</si>
  <si>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</si>
  <si>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</si>
  <si>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</si>
  <si>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</si>
  <si>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</si>
  <si>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</si>
  <si>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</si>
  <si>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</si>
  <si>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</si>
  <si>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</si>
  <si>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</si>
  <si>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</si>
  <si>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</si>
  <si>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</si>
  <si>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</si>
  <si>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</si>
  <si>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</si>
  <si>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</si>
  <si>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</si>
  <si>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</si>
  <si>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</si>
  <si>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</si>
  <si>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</si>
  <si>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</si>
  <si>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</si>
  <si>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</si>
  <si>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</si>
  <si>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</si>
  <si>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</si>
  <si>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</si>
  <si>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</si>
  <si>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</si>
  <si>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</si>
  <si>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</si>
  <si>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</si>
  <si>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</si>
  <si>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</si>
  <si>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</si>
  <si>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</si>
  <si>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</si>
  <si>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</si>
  <si>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</si>
  <si>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</si>
  <si>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</si>
  <si>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</si>
  <si>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</si>
  <si>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</si>
  <si>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</si>
  <si>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</si>
  <si>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</si>
  <si>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</si>
  <si>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</si>
  <si>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</si>
  <si>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</si>
  <si>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</si>
  <si>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</si>
  <si>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</si>
  <si>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</si>
  <si>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</si>
  <si>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</si>
  <si>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</si>
  <si>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</si>
  <si>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</si>
  <si>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</si>
  <si>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</si>
  <si>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</si>
  <si>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</si>
  <si>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</si>
  <si>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</si>
  <si>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</si>
  <si>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</si>
  <si>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</si>
  <si>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</si>
  <si>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</si>
  <si>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</si>
  <si>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</si>
  <si>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</si>
  <si>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</si>
  <si>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</si>
  <si>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</si>
  <si>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</si>
  <si>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</si>
  <si>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</si>
  <si>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</si>
  <si>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</si>
  <si>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</si>
  <si>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</si>
  <si>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</si>
  <si>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</si>
  <si>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</si>
  <si>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</si>
  <si>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</si>
  <si>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</si>
  <si>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</si>
  <si>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</si>
  <si>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</si>
  <si>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</si>
  <si>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</si>
  <si>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</si>
  <si>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</si>
  <si>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</si>
  <si>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</si>
  <si>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</si>
  <si>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</si>
  <si>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</si>
  <si>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</si>
  <si>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</si>
  <si>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</si>
  <si>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</si>
  <si>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</si>
  <si>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</si>
  <si>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</si>
  <si>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</si>
  <si>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</si>
  <si>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</si>
  <si>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</si>
  <si>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</si>
  <si>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</si>
  <si>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</si>
  <si>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</si>
  <si>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</si>
  <si>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</si>
  <si>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</si>
  <si>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</si>
  <si>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</si>
  <si>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</si>
  <si>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</si>
  <si>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</si>
  <si>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</si>
  <si>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</si>
  <si>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</si>
  <si>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</si>
  <si>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</si>
  <si>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</si>
  <si>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</si>
  <si>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</si>
  <si>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</si>
  <si>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</si>
  <si>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</si>
  <si>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</si>
  <si>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</si>
  <si>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</si>
  <si>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</si>
  <si>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</si>
  <si>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</si>
  <si>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</si>
  <si>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</si>
  <si>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</si>
  <si>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</si>
  <si>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</si>
  <si>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</si>
  <si>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</si>
  <si>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</si>
  <si>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</si>
  <si>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</si>
  <si>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</si>
  <si>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</si>
  <si>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</si>
  <si>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</si>
  <si>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</si>
  <si>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</si>
  <si>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</si>
  <si>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</si>
  <si>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Cancelado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</si>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</sst>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26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1618</c:v>
                </c:pt>
                <c:pt idx="2">
                  <c:v>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12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xmlns:x14="http://schemas.microsoft.com/office/spreadsheetml/2009/9/main" ref="A1:T2007" xr:uid="{D1BD5F14-CD6F-4B62-85D2-128A9D3B5FF1}">
    <filterColumn colId="4">
      <filters>
        <mc:AlternateContent xmlns:mc="http://schemas.openxmlformats.org/markup-compatibility/2006">
          <mc:Choice Requires="x14">
            <x14:filter val="“Chat GPT na prática docente"/>
            <x14:filter val="3ª Maratona Temática em Saúde Pública - Boas Práticas"/>
            <x14:filter val="Análise e Avaliação de Políticas Públicas"/>
            <x14:filter val="Análise e Avaliação de Políticas Públicas - mentoria"/>
            <x14:filter val="Atualização Gramatical"/>
            <x14:filter val="Atualização gramatical - turma 1"/>
            <x14:filter val="Atualização gramatical - turma 2"/>
            <x14:filter val="Avaliação da qualidade instrucional, &quot;ANT na prática&quot; e &quot;Gestão Estratégica de Treinamento &amp; Desenvolvimento (T&amp;D)&quot;"/>
            <x14:filter val="Boas práticas em gestão para Administrações Regionais"/>
            <x14:filter val="Boas Práticas para uma Atuação Eficiente dos Executores de Contratos Administrativos"/>
            <x14:filter val="Coffee-Talk PDG - Comunicação e Feedback - nível tatico"/>
            <x14:filter val="Coffee-Talk PDG - Gestão para o Futuro - nível tatico"/>
            <x14:filter val="Coffee-Talk PDG - O Papel do Líder - nível tatico"/>
            <x14:filter val="Comunicação: princípios e práticas para se relacionar com empatia e assertividade"/>
            <x14:filter val="Concessões, PPPs e Regulação de Serviços Públicos na Prática"/>
            <x14:filter val="Contratação de Soluções de Tecnologia da Informação e Comunicação - TIC - T.1"/>
            <x14:filter val="Contratação de Soluções de Tecnologia da Informação e Comunicação - TIC - T.2"/>
            <x14:filter val="Contratação de Soluções de TIC conforme a Nova Lei de Licitações (turma 1)"/>
            <x14:filter val="Contratação de Soluções de TIC conforme a Nova Lei de Licitações (turma 2)"/>
            <x14:filter val="Contratação de Soluções em TIC"/>
            <x14:filter val="Contratação de TIC"/>
            <x14:filter val="Contratações de TIC com base na jurisprudência do TCDF - EAD"/>
            <x14:filter val="Contratações de TIC com base na jurisprudência do TCDF - SGDI"/>
            <x14:filter val="Controle Social, Trasnparência e Acesso à Informação - Teoria e Prática"/>
            <x14:filter val="Controle Social, Trasnparência e Acesso à Informação - Teoria e Prática (turma 1),"/>
            <x14:filter val="Controle Social, Trasnparência e Acesso à Informação - Teoria e Prática (turma 2)"/>
            <x14:filter val="Controle Tecnológico de Pavimentos Asfálticos, Auditoria e Análise de Superfaturamento"/>
            <x14:filter val="Curso &quot;Teoria e prática de elaboração de ementas jurisprudenciais&quot; - T2"/>
            <x14:filter val="Curso “Contratação Integrada na Prática”"/>
            <x14:filter val="Curso “Sisaudit na Prática”"/>
            <x14:filter val="Curso de Aperfeiçoamento em Avaliação e Controle de Políticas Públicas"/>
            <x14:filter val="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"/>
            <x14:filter val="Curso de nivelamento em Políticas Públicas"/>
            <x14:filter val="Curso Exigência e análise das condições de habilitação com base na Lei 14.133/21 - Boas práticas"/>
            <x14:filter val="Curso People Analytics"/>
            <x14:filter val="Curso prático de Amostragem de Unidades Monetárias em Auditorias Financeiras"/>
            <x14:filter val="Curso Prático de ETP e TR - T1"/>
            <x14:filter val="Curso Prático de ETP e TR - T2"/>
            <x14:filter val="Curso Prático de Siggo para Auditoria"/>
            <x14:filter val="Curso Prático para executores de contrato - Turma 1"/>
            <x14:filter val="Curso Prático para executores de contrato - Turma 2"/>
            <x14:filter val="Denúncia, representação e consulta ao TCDF: fundamentos e prática"/>
            <x14:filter val="Denúncia, representação e consulta ao TCDF: fundamentos e prática - turma 2"/>
            <x14:filter val="Encontro com boas práticas - A Experiência do STF com Gestão de Risco"/>
            <x14:filter val="Encontro com boas práticas – Experiência TST com o desenvolvimento do sistema Bem-te-vi"/>
            <x14:filter val="Encontro com boas práticas: Gestão estratégica, gestão de processos, gestão de riscos e os desafios enfrentados na implementação dessas práticas no STF"/>
            <x14:filter val="Encontro de encerramento das mentorias e apresentação do diagnóstico das lideranças no TCDF."/>
            <x14:filter val="Entendendo a planilha de custos e formação de preços da IN 5/2017: Abordagem prática - impactos da reforma trabalhista"/>
            <x14:filter val="Falhas recorrentes em contratações de Obras - Legislação e aspectos práticos - T1"/>
            <x14:filter val="Foco na liderança e desenvolvimento da mentalidade de People Analytics - T1"/>
            <x14:filter val="Foco na liderança e desenvolvimento da mentalidade de People Analytics - T2"/>
            <x14:filter val="Foco na liderança e desenvolvimento da mentalidade de People Analytics - T3"/>
            <x14:filter val="Formulação e Avaliação de Políticas Públicas com foco no Controle Externo"/>
            <x14:filter val="Governança e gestão de TIC - Melhores práticas de mercado"/>
            <x14:filter val="Informática Básica"/>
            <x14:filter val="Levantamento na prática"/>
            <x14:filter val="Maratona Temática - educação"/>
            <x14:filter val="Maratona temática - Governança em Saúde"/>
            <x14:filter val="Maratona Temática - Mobilidade Urbana"/>
            <x14:filter val="Maratona Temática - Obras Públicas"/>
            <x14:filter val="Maratona Temática “O Olhar dos Tribunais de Contas sobre Políticas Públicas&quot;"/>
            <x14:filter val="Maratona temática: auditoria em mobilidade urbana"/>
            <x14:filter val="Maratona Temática: auditoria em resíduos sólidos"/>
            <x14:filter val="Maratona Temática: Auditoria em saúde"/>
            <x14:filter val="Maratona Temática: Obras Públicas"/>
            <x14:filter val="Maratona temática: primeira infância"/>
            <x14:filter val="Maratona Temática: Segurança Pública"/>
            <x14:filter val="Maratona Temática: Transparência Pública"/>
            <x14:filter val="Matriz de responsabilização: teoria e prática"/>
            <x14:filter val="Mentorias individuais para gstores de nivel tático do TCDF"/>
            <x14:filter val="O novo olhar sobre as políticas públicas para o Controle Externo"/>
            <x14:filter val="Oficina &quot;Poética Visual&quot;"/>
            <x14:filter val="Oficina de Boas práticas administrativas para Gabinetes e Secretariado."/>
            <x14:filter val="Oficina PDG - Comunicação e Feedback - nível tatico"/>
            <x14:filter val="Oficina PDG - Gestão para o Futuro - nível tatico"/>
            <x14:filter val="Oficina PDG - O Papel do Líder - nível tatico"/>
            <x14:filter val="Oficina PDG - Performance de Equipe - nível tatico"/>
            <x14:filter val="Oficina SEMAT - Falhas recorrentes em contratações de Obras - Legislação e aspectos práticos"/>
            <x14:filter val="Oficina SEMAT XXVIII - TIC"/>
            <x14:filter val="Oficina temática - Reajustes em contratos de obras públicas – Legislação e aspectos práticos,"/>
            <x14:filter val="Oficina Temática - SEMAT: Aditivos na Contratação Integrada de obras e serviços de engenharia"/>
            <x14:filter val="Oficina temática – SEMAT: Concessões e Fiscalização de Pessoal"/>
            <x14:filter val="Oficina temática - SEMAT: Concursos públicos e registro de admissões"/>
            <x14:filter val="Oficina Temática – SEMAT: Controle Tecnológico de obras e serviços de engenharia"/>
            <x14:filter val="Oficina temática – SEMAT: Falhas recorrentes em contratações de Obras - Legislação e aspectos práticos"/>
            <x14:filter val="Oficina Temática – SEMAT: Falhas recorrentes em contratações de TI"/>
            <x14:filter val="Oficina Temática - SEMAT: Falhas recorrentes em Contratações de TI."/>
            <x14:filter val="Oficina Temática - SEMAT: Matriz de Riscos em contratos de obras e serviços de engenharia"/>
            <x14:filter val="Oficina Temática - SEMAT: MROSC"/>
            <x14:filter val="Oficina Temática - SEMAT: Pesquisa de Preços em contratos de obras e serviços de engenharia"/>
            <x14:filter val="Oficina Temática - SEMAT: Reajuste de preços em contratos de obras e serviços de engenharia"/>
            <x14:filter val="Oficina temática SEMAT – Admissões e Fiscalização de Pessoal"/>
            <x14:filter val="Oficina temática SEMAT - Concessões e Fiscalização de Pessoal"/>
            <x14:filter val="Oficina temática SEMAT - Reajustes em contratos de obras públicas – Legislação e aspectos práticos,"/>
            <x14:filter val="Oficina temática SEMAT: Uso do modelo de 5 dimensões para a formulação de políticas públicas."/>
            <x14:filter val="Palestra &quot;IA Generativa na prática&quot;"/>
            <x14:filter val="Palestra “Consensualismo nos Tribunais de Contas: perspectivas sob a ótica do modelo de auditoria do setor público adotado pela Constituição brasileira”"/>
            <x14:filter val="Palestra People Analytics"/>
            <x14:filter val="Roda de Conversa &quot;Boas Práticas de Sustentabilidade e Proteção do Meio Ambiente no DF&quot;"/>
            <x14:filter val="Roda de Conversa Boas Práticas de Controle Social no DF"/>
            <x14:filter val="Teoria e prática de elaboração de ementas jurisprudenciais"/>
            <x14:filter val="Teoria e prática na elaboração de ementas jurisprudenciais"/>
            <x14:filter val="Visão SIstêmica dos Instrumentos de Fiscalização do TCDF e Boas Práticas em Documentação em Auditoria - turma A"/>
            <x14:filter val="Visão SIstêmica dos Instrumentos de Fiscalização do TCDF e Boas Práticas em Documentação em Auditoria - turma B"/>
          </mc:Choice>
          <mc:Fallback>
            <filter val="“Chat GPT na prática docente"/>
            <filter val="3ª Maratona Temática em Saúde Pública - Boas Práticas"/>
            <filter val="Análise e Avaliação de Políticas Públicas"/>
            <filter val="Análise e Avaliação de Políticas Públicas - mentoria"/>
            <filter val="Atualização Gramatical"/>
            <filter val="Atualização gramatical - turma 1"/>
            <filter val="Atualização gramatical - turma 2"/>
            <filter val="Avaliação da qualidade instrucional, &quot;ANT na prática&quot; e &quot;Gestão Estratégica de Treinamento &amp; Desenvolvimento (T&amp;D)&quot;"/>
            <filter val="Boas práticas em gestão para Administrações Regionais"/>
            <filter val="Boas Práticas para uma Atuação Eficiente dos Executores de Contratos Administrativos"/>
            <filter val="Coffee-Talk PDG - Comunicação e Feedback - nível tatico"/>
            <filter val="Coffee-Talk PDG - Gestão para o Futuro - nível tatico"/>
            <filter val="Coffee-Talk PDG - O Papel do Líder - nível tatico"/>
            <filter val="Comunicação: princípios e práticas para se relacionar com empatia e assertividade"/>
            <filter val="Concessões, PPPs e Regulação de Serviços Públicos na Prática"/>
            <filter val="Contratação de Soluções de Tecnologia da Informação e Comunicação - TIC - T.1"/>
            <filter val="Contratação de Soluções de Tecnologia da Informação e Comunicação - TIC - T.2"/>
            <filter val="Contratação de Soluções de TIC conforme a Nova Lei de Licitações (turma 1)"/>
            <filter val="Contratação de Soluções de TIC conforme a Nova Lei de Licitações (turma 2)"/>
            <filter val="Contratação de Soluções em TIC"/>
            <filter val="Contratação de TIC"/>
            <filter val="Contratações de TIC com base na jurisprudência do TCDF - EAD"/>
            <filter val="Contratações de TIC com base na jurisprudência do TCDF - SGDI"/>
            <filter val="Controle Social, Trasnparência e Acesso à Informação - Teoria e Prática"/>
            <filter val="Controle Social, Trasnparência e Acesso à Informação - Teoria e Prática (turma 1),"/>
            <filter val="Controle Social, Trasnparência e Acesso à Informação - Teoria e Prática (turma 2)"/>
            <filter val="Controle Tecnológico de Pavimentos Asfálticos, Auditoria e Análise de Superfaturamento"/>
            <filter val="Curso &quot;Teoria e prática de elaboração de ementas jurisprudenciais&quot; - T2"/>
            <filter val="Curso “Contratação Integrada na Prática”"/>
            <filter val="Curso “Sisaudit na Prática”"/>
            <filter val="Curso de Aperfeiçoamento em Avaliação e Controle de Políticas Públicas"/>
            <filter val="Curso de nivelamento em Políticas Públicas"/>
            <filter val="Curso Exigência e análise das condições de habilitação com base na Lei 14.133/21 - Boas práticas"/>
            <filter val="Curso People Analytics"/>
            <filter val="Curso prático de Amostragem de Unidades Monetárias em Auditorias Financeiras"/>
            <filter val="Curso Prático de ETP e TR - T1"/>
            <filter val="Curso Prático de ETP e TR - T2"/>
            <filter val="Curso Prático de Siggo para Auditoria"/>
            <filter val="Curso Prático para executores de contrato - Turma 1"/>
            <filter val="Curso Prático para executores de contrato - Turma 2"/>
            <filter val="Denúncia, representação e consulta ao TCDF: fundamentos e prática"/>
            <filter val="Denúncia, representação e consulta ao TCDF: fundamentos e prática - turma 2"/>
            <filter val="Encontro com boas práticas - A Experiência do STF com Gestão de Risco"/>
            <filter val="Encontro com boas práticas – Experiência TST com o desenvolvimento do sistema Bem-te-vi"/>
            <filter val="Encontro com boas práticas: Gestão estratégica, gestão de processos, gestão de riscos e os desafios enfrentados na implementação dessas práticas no STF"/>
            <filter val="Encontro de encerramento das mentorias e apresentação do diagnóstico das lideranças no TCDF."/>
            <filter val="Entendendo a planilha de custos e formação de preços da IN 5/2017: Abordagem prática - impactos da reforma trabalhista"/>
            <filter val="Falhas recorrentes em contratações de Obras - Legislação e aspectos práticos - T1"/>
            <filter val="Foco na liderança e desenvolvimento da mentalidade de People Analytics - T1"/>
            <filter val="Foco na liderança e desenvolvimento da mentalidade de People Analytics - T2"/>
            <filter val="Foco na liderança e desenvolvimento da mentalidade de People Analytics - T3"/>
            <filter val="Formulação e Avaliação de Políticas Públicas com foco no Controle Externo"/>
            <filter val="Governança e gestão de TIC - Melhores práticas de mercado"/>
            <filter val="Informática Básica"/>
            <filter val="Levantamento na prática"/>
            <filter val="Maratona Temática - educação"/>
            <filter val="Maratona temática - Governança em Saúde"/>
            <filter val="Maratona Temática - Mobilidade Urbana"/>
            <filter val="Maratona Temática - Obras Públicas"/>
            <filter val="Maratona Temática “O Olhar dos Tribunais de Contas sobre Políticas Públicas&quot;"/>
            <filter val="Maratona temática: auditoria em mobilidade urbana"/>
            <filter val="Maratona Temática: auditoria em resíduos sólidos"/>
            <filter val="Maratona Temática: Auditoria em saúde"/>
            <filter val="Maratona Temática: Obras Públicas"/>
            <filter val="Maratona temática: primeira infância"/>
            <filter val="Maratona Temática: Segurança Pública"/>
            <filter val="Maratona Temática: Transparência Pública"/>
            <filter val="Matriz de responsabilização: teoria e prática"/>
            <filter val="Mentorias individuais para gstores de nivel tático do TCDF"/>
            <filter val="O novo olhar sobre as políticas públicas para o Controle Externo"/>
            <filter val="Oficina &quot;Poética Visual&quot;"/>
            <filter val="Oficina de Boas práticas administrativas para Gabinetes e Secretariado."/>
            <filter val="Oficina PDG - Comunicação e Feedback - nível tatico"/>
            <filter val="Oficina PDG - Gestão para o Futuro - nível tatico"/>
            <filter val="Oficina PDG - O Papel do Líder - nível tatico"/>
            <filter val="Oficina PDG - Performance de Equipe - nível tatico"/>
            <filter val="Oficina SEMAT - Falhas recorrentes em contratações de Obras - Legislação e aspectos práticos"/>
            <filter val="Oficina SEMAT XXVIII - TIC"/>
            <filter val="Oficina temática - Reajustes em contratos de obras públicas – Legislação e aspectos práticos,"/>
            <filter val="Oficina Temática - SEMAT: Aditivos na Contratação Integrada de obras e serviços de engenharia"/>
            <filter val="Oficina temática – SEMAT: Concessões e Fiscalização de Pessoal"/>
            <filter val="Oficina temática - SEMAT: Concursos públicos e registro de admissões"/>
            <filter val="Oficina Temática – SEMAT: Controle Tecnológico de obras e serviços de engenharia"/>
            <filter val="Oficina temática – SEMAT: Falhas recorrentes em contratações de Obras - Legislação e aspectos práticos"/>
            <filter val="Oficina Temática – SEMAT: Falhas recorrentes em contratações de TI"/>
            <filter val="Oficina Temática - SEMAT: Falhas recorrentes em Contratações de TI."/>
            <filter val="Oficina Temática - SEMAT: Matriz de Riscos em contratos de obras e serviços de engenharia"/>
            <filter val="Oficina Temática - SEMAT: MROSC"/>
            <filter val="Oficina Temática - SEMAT: Pesquisa de Preços em contratos de obras e serviços de engenharia"/>
            <filter val="Oficina Temática - SEMAT: Reajuste de preços em contratos de obras e serviços de engenharia"/>
            <filter val="Oficina temática SEMAT – Admissões e Fiscalização de Pessoal"/>
            <filter val="Oficina temática SEMAT - Concessões e Fiscalização de Pessoal"/>
            <filter val="Oficina temática SEMAT - Reajustes em contratos de obras públicas – Legislação e aspectos práticos,"/>
            <filter val="Oficina temática SEMAT: Uso do modelo de 5 dimensões para a formulação de políticas públicas."/>
            <filter val="Palestra &quot;IA Generativa na prática&quot;"/>
            <filter val="Palestra “Consensualismo nos Tribunais de Contas: perspectivas sob a ótica do modelo de auditoria do setor público adotado pela Constituição brasileira”"/>
            <filter val="Palestra People Analytics"/>
            <filter val="Roda de Conversa &quot;Boas Práticas de Sustentabilidade e Proteção do Meio Ambiente no DF&quot;"/>
            <filter val="Roda de Conversa Boas Práticas de Controle Social no DF"/>
            <filter val="Teoria e prática de elaboração de ementas jurisprudenciais"/>
            <filter val="Teoria e prática na elaboração de ementas jurisprudenciais"/>
            <filter val="Visão SIstêmica dos Instrumentos de Fiscalização do TCDF e Boas Práticas em Documentação em Auditoria - turma A"/>
            <filter val="Visão SIstêmica dos Instrumentos de Fiscalização do TCDF e Boas Práticas em Documentação em Auditoria - turma B"/>
          </mc:Fallback>
        </mc:AlternateContent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600" activePane="bottomLeft" state="frozen"/>
      <selection pane="bottomLeft" activeCell="E737" sqref="E737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hidden="1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hidden="1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hidden="1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hidden="1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hidden="1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hidden="1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hidden="1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hidden="1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hidden="1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hidden="1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hidden="1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hidden="1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hidden="1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hidden="1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hidden="1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hidden="1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hidden="1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hidden="1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hidden="1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hidden="1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hidden="1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hidden="1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hidden="1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hidden="1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hidden="1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hidden="1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hidden="1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hidden="1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hidden="1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hidden="1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hidden="1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hidden="1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hidden="1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hidden="1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hidden="1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hidden="1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hidden="1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hidden="1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hidden="1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hidden="1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hidden="1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hidden="1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hidden="1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hidden="1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hidden="1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hidden="1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hidden="1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hidden="1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hidden="1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hidden="1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hidden="1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hidden="1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hidden="1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hidden="1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hidden="1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hidden="1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hidden="1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hidden="1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hidden="1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hidden="1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hidden="1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hidden="1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hidden="1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hidden="1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hidden="1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hidden="1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hidden="1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hidden="1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hidden="1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hidden="1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hidden="1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hidden="1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hidden="1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hidden="1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hidden="1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hidden="1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hidden="1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hidden="1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hidden="1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hidden="1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hidden="1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hidden="1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hidden="1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hidden="1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hidden="1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hidden="1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hidden="1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hidden="1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hidden="1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hidden="1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hidden="1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hidden="1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hidden="1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hidden="1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hidden="1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hidden="1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hidden="1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hidden="1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hidden="1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hidden="1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hidden="1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hidden="1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hidden="1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hidden="1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hidden="1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hidden="1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hidden="1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hidden="1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hidden="1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hidden="1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hidden="1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hidden="1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hidden="1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hidden="1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hidden="1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hidden="1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hidden="1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hidden="1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hidden="1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hidden="1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hidden="1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hidden="1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hidden="1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hidden="1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hidden="1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hidden="1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hidden="1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hidden="1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hidden="1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hidden="1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hidden="1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hidden="1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hidden="1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hidden="1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hidden="1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hidden="1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hidden="1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hidden="1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hidden="1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hidden="1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hidden="1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hidden="1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hidden="1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hidden="1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hidden="1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hidden="1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hidden="1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hidden="1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hidden="1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hidden="1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hidden="1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hidden="1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hidden="1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hidden="1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hidden="1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hidden="1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hidden="1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hidden="1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hidden="1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hidden="1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hidden="1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hidden="1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hidden="1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hidden="1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hidden="1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hidden="1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hidden="1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hidden="1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hidden="1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hidden="1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hidden="1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hidden="1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hidden="1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hidden="1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hidden="1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hidden="1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hidden="1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hidden="1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hidden="1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hidden="1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hidden="1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hidden="1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hidden="1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hidden="1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hidden="1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hidden="1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hidden="1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hidden="1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hidden="1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hidden="1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hidden="1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hidden="1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hidden="1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hidden="1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hidden="1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hidden="1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hidden="1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hidden="1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hidden="1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hidden="1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hidden="1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hidden="1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hidden="1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hidden="1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hidden="1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hidden="1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hidden="1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hidden="1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hidden="1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hidden="1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hidden="1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hidden="1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hidden="1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hidden="1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hidden="1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hidden="1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hidden="1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hidden="1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hidden="1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hidden="1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hidden="1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hidden="1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hidden="1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hidden="1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hidden="1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hidden="1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hidden="1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hidden="1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hidden="1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hidden="1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hidden="1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hidden="1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hidden="1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hidden="1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hidden="1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hidden="1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hidden="1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hidden="1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hidden="1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hidden="1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hidden="1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hidden="1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hidden="1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hidden="1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hidden="1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hidden="1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hidden="1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hidden="1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hidden="1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hidden="1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hidden="1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hidden="1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hidden="1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hidden="1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hidden="1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hidden="1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hidden="1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hidden="1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hidden="1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hidden="1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hidden="1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hidden="1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hidden="1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hidden="1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hidden="1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hidden="1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hidden="1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hidden="1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hidden="1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hidden="1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hidden="1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hidden="1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hidden="1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hidden="1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hidden="1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hidden="1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hidden="1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hidden="1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hidden="1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hidden="1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hidden="1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hidden="1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hidden="1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hidden="1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hidden="1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hidden="1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hidden="1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hidden="1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hidden="1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hidden="1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hidden="1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hidden="1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hidden="1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hidden="1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hidden="1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hidden="1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hidden="1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hidden="1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hidden="1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hidden="1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hidden="1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hidden="1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hidden="1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hidden="1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hidden="1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hidden="1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hidden="1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hidden="1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hidden="1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hidden="1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hidden="1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hidden="1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hidden="1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hidden="1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hidden="1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hidden="1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hidden="1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hidden="1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hidden="1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hidden="1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hidden="1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hidden="1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hidden="1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hidden="1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hidden="1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hidden="1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hidden="1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hidden="1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hidden="1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hidden="1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hidden="1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hidden="1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hidden="1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hidden="1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hidden="1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hidden="1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hidden="1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hidden="1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hidden="1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hidden="1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hidden="1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hidden="1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hidden="1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hidden="1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hidden="1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hidden="1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hidden="1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hidden="1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hidden="1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hidden="1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 hidden="1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 hidden="1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 hidden="1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 hidden="1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 hidden="1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 hidden="1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 hidden="1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 hidden="1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 hidden="1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 hidden="1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 hidden="1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 hidden="1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 hidden="1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 hidden="1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 hidden="1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 hidden="1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 hidden="1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 hidden="1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 hidden="1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 hidden="1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 hidden="1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 hidden="1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 hidden="1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 hidden="1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 hidden="1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 hidden="1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 hidden="1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 hidden="1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 hidden="1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 hidden="1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 hidden="1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 hidden="1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 hidden="1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 hidden="1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 hidden="1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 hidden="1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 hidden="1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 hidden="1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 hidden="1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 hidden="1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 hidden="1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 hidden="1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 hidden="1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 hidden="1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hidden="1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hidden="1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hidden="1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hidden="1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hidden="1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hidden="1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hidden="1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hidden="1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hidden="1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 hidden="1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 hidden="1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 hidden="1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 hidden="1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 hidden="1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 hidden="1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 hidden="1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 hidden="1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 hidden="1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 hidden="1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 hidden="1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 hidden="1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 hidden="1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 hidden="1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 hidden="1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 hidden="1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 hidden="1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 hidden="1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 hidden="1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 hidden="1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 hidden="1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 hidden="1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 hidden="1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 hidden="1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 hidden="1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 hidden="1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 hidden="1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 hidden="1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 hidden="1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 hidden="1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 hidden="1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 hidden="1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 hidden="1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 hidden="1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 hidden="1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 hidden="1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 hidden="1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 hidden="1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 hidden="1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 hidden="1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 hidden="1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 hidden="1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 hidden="1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hidden="1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hidden="1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hidden="1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hidden="1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hidden="1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hidden="1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hidden="1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hidden="1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 hidden="1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 hidden="1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 hidden="1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 hidden="1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 hidden="1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 hidden="1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 hidden="1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 hidden="1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 hidden="1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 hidden="1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 hidden="1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 hidden="1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 hidden="1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 hidden="1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 hidden="1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 hidden="1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 hidden="1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 hidden="1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 hidden="1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 hidden="1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 hidden="1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 hidden="1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 hidden="1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 hidden="1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 hidden="1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 hidden="1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 hidden="1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 hidden="1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 hidden="1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 hidden="1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 hidden="1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 hidden="1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 hidden="1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 hidden="1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 hidden="1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 hidden="1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 hidden="1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 hidden="1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 hidden="1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 hidden="1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 hidden="1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 hidden="1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 hidden="1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 hidden="1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 hidden="1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 hidden="1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hidden="1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hidden="1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hidden="1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hidden="1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hidden="1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hidden="1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hidden="1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hidden="1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hidden="1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 hidden="1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 hidden="1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 hidden="1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 hidden="1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 hidden="1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 hidden="1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 hidden="1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 hidden="1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 hidden="1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 hidden="1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 hidden="1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 hidden="1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 hidden="1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 hidden="1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 hidden="1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 hidden="1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 hidden="1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 hidden="1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 hidden="1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 hidden="1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 hidden="1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 hidden="1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 hidden="1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 hidden="1" x14ac:dyDescent="0.25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 hidden="1" x14ac:dyDescent="0.25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 hidden="1" x14ac:dyDescent="0.2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 hidden="1" x14ac:dyDescent="0.2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 x14ac:dyDescent="0.2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 hidden="1" x14ac:dyDescent="0.25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 x14ac:dyDescent="0.25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 hidden="1" x14ac:dyDescent="0.2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 hidden="1" x14ac:dyDescent="0.25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 hidden="1" x14ac:dyDescent="0.2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 hidden="1" x14ac:dyDescent="0.2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 hidden="1" x14ac:dyDescent="0.2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 hidden="1" x14ac:dyDescent="0.2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 x14ac:dyDescent="0.2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 hidden="1" x14ac:dyDescent="0.25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 hidden="1" x14ac:dyDescent="0.2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 hidden="1" x14ac:dyDescent="0.2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 hidden="1" x14ac:dyDescent="0.25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 hidden="1" x14ac:dyDescent="0.25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 hidden="1" x14ac:dyDescent="0.25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 hidden="1" x14ac:dyDescent="0.25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 hidden="1" x14ac:dyDescent="0.2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 x14ac:dyDescent="0.2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 hidden="1" x14ac:dyDescent="0.25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 hidden="1" x14ac:dyDescent="0.25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 hidden="1" x14ac:dyDescent="0.2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 hidden="1" x14ac:dyDescent="0.2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hidden="1" x14ac:dyDescent="0.2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hidden="1" x14ac:dyDescent="0.2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hidden="1" x14ac:dyDescent="0.2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hidden="1" x14ac:dyDescent="0.2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 x14ac:dyDescent="0.2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hidden="1" x14ac:dyDescent="0.2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hidden="1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hidden="1" x14ac:dyDescent="0.25">
      <c r="A663" s="156" t="s">
        <v>2714</v>
      </c>
      <c r="B663" s="118">
        <v>2026</v>
      </c>
      <c r="C663" s="146" t="s">
        <v>22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>
        <v>5</v>
      </c>
      <c r="P663" s="125">
        <v>46</v>
      </c>
      <c r="Q663" s="125">
        <v>34</v>
      </c>
      <c r="R663" s="125">
        <f>SUM(O663:Q663)</f>
        <v>85</v>
      </c>
      <c r="S663" s="118">
        <v>32</v>
      </c>
      <c r="T663" s="121" t="s">
        <v>2719</v>
      </c>
    </row>
    <row r="664" spans="1:20" ht="15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hidden="1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hidden="1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hidden="1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hidden="1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hidden="1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hidden="1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hidden="1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hidden="1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hidden="1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hidden="1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hidden="1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hidden="1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hidden="1" x14ac:dyDescent="0.2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hidden="1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hidden="1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hidden="1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hidden="1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hidden="1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hidden="1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hidden="1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hidden="1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hidden="1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hidden="1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hidden="1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hidden="1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hidden="1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hidden="1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hidden="1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hidden="1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2845</v>
      </c>
      <c r="I693" s="191"/>
      <c r="J693" s="191"/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 x14ac:dyDescent="0.25">
      <c r="A694" s="156" t="s">
        <v>2846</v>
      </c>
      <c r="B694" s="137">
        <v>2026</v>
      </c>
      <c r="C694" s="118" t="s">
        <v>2789</v>
      </c>
      <c r="D694" s="154" t="s">
        <v>2847</v>
      </c>
      <c r="E694" s="159" t="s">
        <v>2848</v>
      </c>
      <c r="F694" s="120" t="s">
        <v>69</v>
      </c>
      <c r="G694" s="121" t="s">
        <v>79</v>
      </c>
      <c r="H694" s="156" t="s">
        <v>2849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x14ac:dyDescent="0.25">
      <c r="A695" s="156" t="s">
        <v>2850</v>
      </c>
      <c r="B695" s="137">
        <v>2026</v>
      </c>
      <c r="C695" s="154" t="s">
        <v>2710</v>
      </c>
      <c r="D695" s="154" t="s">
        <v>2851</v>
      </c>
      <c r="E695" s="159" t="s">
        <v>2852</v>
      </c>
      <c r="F695" s="170" t="s">
        <v>69</v>
      </c>
      <c r="G695" s="155" t="s">
        <v>79</v>
      </c>
      <c r="H695" s="156" t="s">
        <v>2853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x14ac:dyDescent="0.25">
      <c r="A696" s="122" t="s">
        <v>2854</v>
      </c>
      <c r="B696" s="137">
        <v>2026</v>
      </c>
      <c r="C696" s="118" t="s">
        <v>22</v>
      </c>
      <c r="D696" s="118" t="s">
        <v>2855</v>
      </c>
      <c r="E696" s="119" t="s">
        <v>2856</v>
      </c>
      <c r="F696" s="120" t="s">
        <v>69</v>
      </c>
      <c r="G696" s="121" t="s">
        <v>79</v>
      </c>
      <c r="H696" s="122" t="s">
        <v>2857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hidden="1" x14ac:dyDescent="0.25">
      <c r="A697" s="122" t="s">
        <v>2858</v>
      </c>
      <c r="B697" s="137">
        <v>2026</v>
      </c>
      <c r="C697" s="118" t="s">
        <v>22</v>
      </c>
      <c r="D697" s="154" t="s">
        <v>2859</v>
      </c>
      <c r="E697" s="159" t="s">
        <v>2860</v>
      </c>
      <c r="F697" s="120" t="s">
        <v>24</v>
      </c>
      <c r="G697" s="132" t="s">
        <v>2699</v>
      </c>
      <c r="H697" s="156" t="s">
        <v>2861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hidden="1" x14ac:dyDescent="0.25">
      <c r="A698" s="156" t="s">
        <v>2862</v>
      </c>
      <c r="B698" s="137">
        <v>2026</v>
      </c>
      <c r="C698" s="154" t="s">
        <v>2789</v>
      </c>
      <c r="D698" s="154" t="s">
        <v>2863</v>
      </c>
      <c r="E698" s="159" t="s">
        <v>2864</v>
      </c>
      <c r="F698" s="170" t="s">
        <v>24</v>
      </c>
      <c r="G698" s="155" t="s">
        <v>75</v>
      </c>
      <c r="H698" s="156" t="s">
        <v>2865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2866</v>
      </c>
    </row>
    <row r="699" spans="1:20" ht="15" hidden="1" x14ac:dyDescent="0.25">
      <c r="A699" s="122" t="s">
        <v>2867</v>
      </c>
      <c r="B699" s="137">
        <v>2026</v>
      </c>
      <c r="C699" s="118" t="s">
        <v>22</v>
      </c>
      <c r="D699" s="118" t="s">
        <v>2868</v>
      </c>
      <c r="E699" s="119" t="s">
        <v>2869</v>
      </c>
      <c r="F699" s="120" t="s">
        <v>24</v>
      </c>
      <c r="G699" s="121" t="s">
        <v>206</v>
      </c>
      <c r="H699" s="122" t="s">
        <v>2870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2871</v>
      </c>
    </row>
    <row r="700" spans="1:20" ht="15" hidden="1" x14ac:dyDescent="0.25">
      <c r="A700" s="156" t="s">
        <v>2872</v>
      </c>
      <c r="B700" s="137">
        <v>2026</v>
      </c>
      <c r="C700" s="154" t="s">
        <v>22</v>
      </c>
      <c r="D700" s="154" t="s">
        <v>2873</v>
      </c>
      <c r="E700" s="159" t="s">
        <v>2874</v>
      </c>
      <c r="F700" s="170" t="s">
        <v>88</v>
      </c>
      <c r="G700" s="155" t="s">
        <v>2717</v>
      </c>
      <c r="H700" s="156" t="s">
        <v>2875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 x14ac:dyDescent="0.25">
      <c r="A701" s="156" t="s">
        <v>2876</v>
      </c>
      <c r="B701" s="137">
        <v>2026</v>
      </c>
      <c r="C701" s="154" t="s">
        <v>22</v>
      </c>
      <c r="D701" s="154" t="s">
        <v>2877</v>
      </c>
      <c r="E701" s="159" t="s">
        <v>2878</v>
      </c>
      <c r="F701" s="170" t="s">
        <v>24</v>
      </c>
      <c r="G701" s="155" t="s">
        <v>75</v>
      </c>
      <c r="H701" s="156" t="s">
        <v>2879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 x14ac:dyDescent="0.25">
      <c r="A702" s="156" t="s">
        <v>2880</v>
      </c>
      <c r="B702" s="137">
        <v>2026</v>
      </c>
      <c r="C702" s="154" t="s">
        <v>22</v>
      </c>
      <c r="D702" s="154" t="s">
        <v>2881</v>
      </c>
      <c r="E702" s="159" t="s">
        <v>2882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2883</v>
      </c>
    </row>
    <row r="703" spans="1:20" ht="15" x14ac:dyDescent="0.25">
      <c r="A703" s="156" t="s">
        <v>2884</v>
      </c>
      <c r="B703" s="137">
        <v>2026</v>
      </c>
      <c r="C703" s="154" t="s">
        <v>22</v>
      </c>
      <c r="D703" s="154" t="s">
        <v>2885</v>
      </c>
      <c r="E703" s="159" t="s">
        <v>2886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2887</v>
      </c>
    </row>
    <row r="704" spans="1:20" ht="15" x14ac:dyDescent="0.25">
      <c r="A704" s="156" t="s">
        <v>2888</v>
      </c>
      <c r="B704" s="137">
        <v>2026</v>
      </c>
      <c r="C704" s="154" t="s">
        <v>22</v>
      </c>
      <c r="D704" s="154" t="s">
        <v>2889</v>
      </c>
      <c r="E704" s="159" t="s">
        <v>2890</v>
      </c>
      <c r="F704" s="170" t="s">
        <v>69</v>
      </c>
      <c r="G704" s="155" t="s">
        <v>79</v>
      </c>
      <c r="H704" s="156" t="s">
        <v>2891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 x14ac:dyDescent="0.25">
      <c r="A705" s="156" t="s">
        <v>2892</v>
      </c>
      <c r="B705" s="137">
        <v>2026</v>
      </c>
      <c r="C705" s="154" t="s">
        <v>22</v>
      </c>
      <c r="D705" s="154" t="s">
        <v>2893</v>
      </c>
      <c r="E705" s="159" t="s">
        <v>2894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2895</v>
      </c>
    </row>
    <row r="706" spans="1:21" ht="15" x14ac:dyDescent="0.25">
      <c r="A706" s="156" t="s">
        <v>2896</v>
      </c>
      <c r="B706" s="137">
        <v>2026</v>
      </c>
      <c r="C706" s="154" t="s">
        <v>22</v>
      </c>
      <c r="D706" s="154" t="s">
        <v>2897</v>
      </c>
      <c r="E706" s="159" t="s">
        <v>2898</v>
      </c>
      <c r="F706" s="170" t="s">
        <v>69</v>
      </c>
      <c r="G706" s="155" t="s">
        <v>79</v>
      </c>
      <c r="H706" s="156" t="s">
        <v>2899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 x14ac:dyDescent="0.25">
      <c r="A707" s="156" t="s">
        <v>2900</v>
      </c>
      <c r="B707" s="137">
        <v>2026</v>
      </c>
      <c r="C707" s="154" t="s">
        <v>22</v>
      </c>
      <c r="D707" s="154" t="s">
        <v>2901</v>
      </c>
      <c r="E707" s="159" t="s">
        <v>2902</v>
      </c>
      <c r="F707" s="170" t="s">
        <v>69</v>
      </c>
      <c r="G707" s="155" t="s">
        <v>79</v>
      </c>
      <c r="H707" s="156" t="s">
        <v>2903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 x14ac:dyDescent="0.25">
      <c r="A708" s="156" t="s">
        <v>2904</v>
      </c>
      <c r="B708" s="137">
        <v>2026</v>
      </c>
      <c r="C708" s="154" t="s">
        <v>22</v>
      </c>
      <c r="D708" s="154" t="s">
        <v>2905</v>
      </c>
      <c r="E708" s="159" t="s">
        <v>2906</v>
      </c>
      <c r="F708" s="170" t="s">
        <v>69</v>
      </c>
      <c r="G708" s="155" t="s">
        <v>79</v>
      </c>
      <c r="H708" s="156" t="s">
        <v>2899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2907</v>
      </c>
    </row>
    <row r="709" spans="1:21" ht="15" hidden="1" x14ac:dyDescent="0.25">
      <c r="A709" s="156" t="s">
        <v>2908</v>
      </c>
      <c r="B709" s="137">
        <v>2026</v>
      </c>
      <c r="C709" s="154" t="s">
        <v>2710</v>
      </c>
      <c r="D709" s="154" t="s">
        <v>2909</v>
      </c>
      <c r="E709" s="159" t="s">
        <v>2910</v>
      </c>
      <c r="F709" s="170" t="s">
        <v>24</v>
      </c>
      <c r="G709" s="155" t="s">
        <v>75</v>
      </c>
      <c r="H709" s="156" t="s">
        <v>2911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2912</v>
      </c>
      <c r="U709" s="105"/>
    </row>
    <row r="710" spans="1:21" ht="15" hidden="1" x14ac:dyDescent="0.25">
      <c r="A710" s="156" t="s">
        <v>2913</v>
      </c>
      <c r="B710" s="137">
        <v>2026</v>
      </c>
      <c r="C710" s="154" t="s">
        <v>22</v>
      </c>
      <c r="D710" s="154" t="s">
        <v>2914</v>
      </c>
      <c r="E710" s="159" t="s">
        <v>2915</v>
      </c>
      <c r="F710" s="170" t="s">
        <v>69</v>
      </c>
      <c r="G710" s="155" t="s">
        <v>79</v>
      </c>
      <c r="H710" s="156" t="s">
        <v>2916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 hidden="1" x14ac:dyDescent="0.25">
      <c r="A711" s="156" t="s">
        <v>2917</v>
      </c>
      <c r="B711" s="137">
        <v>2026</v>
      </c>
      <c r="C711" s="154" t="s">
        <v>22</v>
      </c>
      <c r="D711" s="154" t="s">
        <v>2918</v>
      </c>
      <c r="E711" s="159" t="s">
        <v>2919</v>
      </c>
      <c r="F711" s="170" t="s">
        <v>24</v>
      </c>
      <c r="G711" s="155" t="s">
        <v>206</v>
      </c>
      <c r="H711" s="156" t="s">
        <v>2899</v>
      </c>
      <c r="I711" s="156" t="s">
        <v>2899</v>
      </c>
      <c r="J711" s="156" t="s">
        <v>2899</v>
      </c>
      <c r="K711" s="154" t="s">
        <v>27</v>
      </c>
      <c r="L711" s="160">
        <v>2000</v>
      </c>
      <c r="M711" s="183">
        <v>5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2920</v>
      </c>
    </row>
    <row r="712" spans="1:21" ht="15" hidden="1" x14ac:dyDescent="0.25">
      <c r="A712" s="122" t="s">
        <v>2921</v>
      </c>
      <c r="B712" s="137">
        <v>2026</v>
      </c>
      <c r="C712" s="118" t="s">
        <v>22</v>
      </c>
      <c r="D712" s="122" t="s">
        <v>2922</v>
      </c>
      <c r="E712" s="119" t="s">
        <v>2923</v>
      </c>
      <c r="F712" s="120" t="s">
        <v>69</v>
      </c>
      <c r="G712" s="121" t="s">
        <v>79</v>
      </c>
      <c r="H712" s="122" t="s">
        <v>2924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hidden="1" x14ac:dyDescent="0.25">
      <c r="A713" s="122" t="s">
        <v>2925</v>
      </c>
      <c r="B713" s="137">
        <v>2026</v>
      </c>
      <c r="C713" s="118" t="s">
        <v>22</v>
      </c>
      <c r="D713" s="122" t="s">
        <v>2922</v>
      </c>
      <c r="E713" s="119" t="s">
        <v>2926</v>
      </c>
      <c r="F713" s="120" t="s">
        <v>69</v>
      </c>
      <c r="G713" s="121" t="s">
        <v>79</v>
      </c>
      <c r="H713" s="122" t="s">
        <v>2927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hidden="1" x14ac:dyDescent="0.25">
      <c r="A714" s="156" t="s">
        <v>2928</v>
      </c>
      <c r="B714" s="137">
        <v>2026</v>
      </c>
      <c r="C714" s="154" t="s">
        <v>22</v>
      </c>
      <c r="D714" s="154" t="s">
        <v>2929</v>
      </c>
      <c r="E714" s="159" t="s">
        <v>2930</v>
      </c>
      <c r="F714" s="170" t="s">
        <v>88</v>
      </c>
      <c r="G714" s="155" t="s">
        <v>2717</v>
      </c>
      <c r="H714" s="156" t="s">
        <v>2931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2932</v>
      </c>
    </row>
    <row r="715" spans="1:21" ht="30" hidden="1" x14ac:dyDescent="0.25">
      <c r="A715" s="156" t="s">
        <v>2933</v>
      </c>
      <c r="B715" s="137">
        <v>2026</v>
      </c>
      <c r="C715" s="154" t="s">
        <v>22</v>
      </c>
      <c r="D715" s="154" t="s">
        <v>2929</v>
      </c>
      <c r="E715" s="159" t="s">
        <v>2934</v>
      </c>
      <c r="F715" s="170" t="s">
        <v>88</v>
      </c>
      <c r="G715" s="155" t="s">
        <v>2717</v>
      </c>
      <c r="H715" s="156" t="s">
        <v>2935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2932</v>
      </c>
    </row>
    <row r="716" spans="1:21" ht="15" hidden="1" x14ac:dyDescent="0.25">
      <c r="A716" s="156" t="s">
        <v>2936</v>
      </c>
      <c r="B716" s="137">
        <v>2026</v>
      </c>
      <c r="C716" s="154" t="s">
        <v>2710</v>
      </c>
      <c r="D716" s="154" t="s">
        <v>2929</v>
      </c>
      <c r="E716" s="159" t="s">
        <v>2937</v>
      </c>
      <c r="F716" s="170" t="s">
        <v>88</v>
      </c>
      <c r="G716" s="155" t="s">
        <v>2717</v>
      </c>
      <c r="H716" s="156" t="s">
        <v>2938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 t="s">
        <v>2939</v>
      </c>
    </row>
    <row r="717" spans="1:21" ht="15" hidden="1" x14ac:dyDescent="0.25">
      <c r="A717" s="156" t="s">
        <v>2940</v>
      </c>
      <c r="B717" s="137">
        <v>2026</v>
      </c>
      <c r="C717" s="154" t="s">
        <v>2710</v>
      </c>
      <c r="D717" s="154" t="s">
        <v>2929</v>
      </c>
      <c r="E717" s="159" t="s">
        <v>2941</v>
      </c>
      <c r="F717" s="170" t="s">
        <v>88</v>
      </c>
      <c r="G717" s="155" t="s">
        <v>2717</v>
      </c>
      <c r="H717" s="156" t="s">
        <v>2942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 t="s">
        <v>2943</v>
      </c>
    </row>
    <row r="718" spans="1:21" ht="15" hidden="1" x14ac:dyDescent="0.25">
      <c r="A718" s="156" t="s">
        <v>2944</v>
      </c>
      <c r="B718" s="137">
        <v>2026</v>
      </c>
      <c r="C718" s="154" t="s">
        <v>2710</v>
      </c>
      <c r="D718" s="154" t="s">
        <v>2929</v>
      </c>
      <c r="E718" s="159" t="s">
        <v>2945</v>
      </c>
      <c r="F718" s="170" t="s">
        <v>88</v>
      </c>
      <c r="G718" s="155" t="s">
        <v>2717</v>
      </c>
      <c r="H718" s="156" t="s">
        <v>2946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 hidden="1" x14ac:dyDescent="0.25">
      <c r="A719" s="156" t="s">
        <v>2947</v>
      </c>
      <c r="B719" s="137">
        <v>2026</v>
      </c>
      <c r="C719" s="154" t="s">
        <v>2710</v>
      </c>
      <c r="D719" s="154" t="s">
        <v>2929</v>
      </c>
      <c r="E719" s="159" t="s">
        <v>2948</v>
      </c>
      <c r="F719" s="170" t="s">
        <v>88</v>
      </c>
      <c r="G719" s="155" t="s">
        <v>2717</v>
      </c>
      <c r="H719" s="156" t="s">
        <v>2949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 hidden="1" x14ac:dyDescent="0.25">
      <c r="A720" s="122" t="s">
        <v>2950</v>
      </c>
      <c r="B720" s="137">
        <v>2026</v>
      </c>
      <c r="C720" s="118" t="s">
        <v>22</v>
      </c>
      <c r="D720" s="118" t="s">
        <v>2951</v>
      </c>
      <c r="E720" s="119" t="s">
        <v>2952</v>
      </c>
      <c r="F720" s="120" t="s">
        <v>24</v>
      </c>
      <c r="G720" s="121" t="s">
        <v>206</v>
      </c>
      <c r="H720" s="122" t="s">
        <v>2953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2954</v>
      </c>
    </row>
    <row r="721" spans="1:20" ht="45" hidden="1" x14ac:dyDescent="0.25">
      <c r="A721" s="122" t="s">
        <v>2955</v>
      </c>
      <c r="B721" s="137">
        <v>2026</v>
      </c>
      <c r="C721" s="137" t="s">
        <v>22</v>
      </c>
      <c r="D721" s="137" t="s">
        <v>2929</v>
      </c>
      <c r="E721" s="138" t="s">
        <v>2956</v>
      </c>
      <c r="F721" s="144" t="s">
        <v>88</v>
      </c>
      <c r="G721" s="150" t="s">
        <v>2717</v>
      </c>
      <c r="H721" s="140" t="s">
        <v>2957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2958</v>
      </c>
    </row>
    <row r="722" spans="1:20" ht="45" hidden="1" x14ac:dyDescent="0.25">
      <c r="A722" s="122" t="s">
        <v>2959</v>
      </c>
      <c r="B722" s="118">
        <v>2026</v>
      </c>
      <c r="C722" s="118" t="s">
        <v>22</v>
      </c>
      <c r="D722" s="118" t="s">
        <v>2929</v>
      </c>
      <c r="E722" s="119" t="s">
        <v>2960</v>
      </c>
      <c r="F722" s="120" t="s">
        <v>88</v>
      </c>
      <c r="G722" s="146" t="s">
        <v>2717</v>
      </c>
      <c r="H722" s="122" t="s">
        <v>2961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2962</v>
      </c>
    </row>
    <row r="723" spans="1:20" ht="15" hidden="1" x14ac:dyDescent="0.25">
      <c r="A723" s="122" t="s">
        <v>2963</v>
      </c>
      <c r="B723" s="137">
        <v>2026</v>
      </c>
      <c r="C723" s="154" t="s">
        <v>22</v>
      </c>
      <c r="D723" s="154" t="s">
        <v>2964</v>
      </c>
      <c r="E723" s="159" t="s">
        <v>2965</v>
      </c>
      <c r="F723" s="170" t="s">
        <v>88</v>
      </c>
      <c r="G723" s="155" t="s">
        <v>2717</v>
      </c>
      <c r="H723" s="156" t="s">
        <v>2966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hidden="1" x14ac:dyDescent="0.25">
      <c r="A724" s="156" t="s">
        <v>2967</v>
      </c>
      <c r="B724" s="172">
        <v>2026</v>
      </c>
      <c r="C724" s="154" t="s">
        <v>22</v>
      </c>
      <c r="D724" s="154" t="s">
        <v>2968</v>
      </c>
      <c r="E724" s="159" t="s">
        <v>2969</v>
      </c>
      <c r="F724" s="170" t="s">
        <v>88</v>
      </c>
      <c r="G724" s="155" t="s">
        <v>2717</v>
      </c>
      <c r="H724" s="156" t="s">
        <v>2970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hidden="1" x14ac:dyDescent="0.25">
      <c r="A725" s="156" t="s">
        <v>2971</v>
      </c>
      <c r="B725" s="154">
        <v>2026</v>
      </c>
      <c r="C725" s="154" t="s">
        <v>22</v>
      </c>
      <c r="D725" s="154" t="s">
        <v>2964</v>
      </c>
      <c r="E725" s="159" t="s">
        <v>2972</v>
      </c>
      <c r="F725" s="170" t="s">
        <v>88</v>
      </c>
      <c r="G725" s="155" t="s">
        <v>2717</v>
      </c>
      <c r="H725" s="156" t="s">
        <v>2973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hidden="1" x14ac:dyDescent="0.25">
      <c r="A726" s="156" t="s">
        <v>2974</v>
      </c>
      <c r="B726" s="154">
        <v>2026</v>
      </c>
      <c r="C726" s="154" t="s">
        <v>2710</v>
      </c>
      <c r="D726" s="154" t="s">
        <v>2975</v>
      </c>
      <c r="E726" s="159" t="s">
        <v>2976</v>
      </c>
      <c r="F726" s="170" t="s">
        <v>88</v>
      </c>
      <c r="G726" s="155" t="s">
        <v>2717</v>
      </c>
      <c r="H726" s="156" t="s">
        <v>2977</v>
      </c>
      <c r="I726" s="191">
        <v>46287</v>
      </c>
      <c r="J726" s="191">
        <v>46294</v>
      </c>
      <c r="K726" s="154" t="s">
        <v>38</v>
      </c>
      <c r="L726" s="160"/>
      <c r="M726" s="183"/>
      <c r="N726" s="158">
        <v>40</v>
      </c>
      <c r="O726" s="158">
        <v>0</v>
      </c>
      <c r="P726" s="158">
        <v>0</v>
      </c>
      <c r="Q726" s="158">
        <v>40</v>
      </c>
      <c r="R726" s="158">
        <f t="shared" ref="R726:R749" si="15">IF(B726="","",SUM(O726:Q726))</f>
        <v>40</v>
      </c>
      <c r="S726" s="154">
        <v>5</v>
      </c>
      <c r="T726" s="155" t="s">
        <v>2978</v>
      </c>
    </row>
    <row r="727" spans="1:20" ht="15" hidden="1" x14ac:dyDescent="0.25">
      <c r="A727" s="156" t="s">
        <v>2979</v>
      </c>
      <c r="B727" s="154">
        <v>2026</v>
      </c>
      <c r="C727" s="154" t="s">
        <v>2710</v>
      </c>
      <c r="D727" s="154" t="s">
        <v>2964</v>
      </c>
      <c r="E727" s="159" t="s">
        <v>2980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 hidden="1" x14ac:dyDescent="0.25">
      <c r="A728" s="156" t="s">
        <v>2981</v>
      </c>
      <c r="B728" s="154">
        <v>2026</v>
      </c>
      <c r="C728" s="154" t="s">
        <v>22</v>
      </c>
      <c r="D728" s="154" t="s">
        <v>2964</v>
      </c>
      <c r="E728" s="159" t="s">
        <v>2982</v>
      </c>
      <c r="F728" s="170" t="s">
        <v>88</v>
      </c>
      <c r="G728" s="155" t="s">
        <v>2717</v>
      </c>
      <c r="H728" s="156" t="s">
        <v>2983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 hidden="1" x14ac:dyDescent="0.25">
      <c r="A729" s="156" t="s">
        <v>2984</v>
      </c>
      <c r="B729" s="154">
        <v>2026</v>
      </c>
      <c r="C729" s="154" t="s">
        <v>2710</v>
      </c>
      <c r="D729" s="154" t="s">
        <v>2964</v>
      </c>
      <c r="E729" s="159" t="s">
        <v>2985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 hidden="1" x14ac:dyDescent="0.25">
      <c r="A730" s="156" t="s">
        <v>2986</v>
      </c>
      <c r="B730" s="154">
        <v>2026</v>
      </c>
      <c r="C730" s="154" t="s">
        <v>2710</v>
      </c>
      <c r="D730" s="154" t="s">
        <v>2964</v>
      </c>
      <c r="E730" s="201" t="s">
        <v>2987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 hidden="1" x14ac:dyDescent="0.25">
      <c r="A731" s="156" t="s">
        <v>2988</v>
      </c>
      <c r="B731" s="154">
        <v>2026</v>
      </c>
      <c r="C731" s="154" t="s">
        <v>2710</v>
      </c>
      <c r="D731" s="154" t="s">
        <v>2964</v>
      </c>
      <c r="E731" s="201" t="s">
        <v>2989</v>
      </c>
      <c r="F731" s="170" t="s">
        <v>88</v>
      </c>
      <c r="G731" s="155" t="s">
        <v>2717</v>
      </c>
      <c r="H731" s="156" t="s">
        <v>2990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 hidden="1" x14ac:dyDescent="0.25">
      <c r="A732" s="156" t="s">
        <v>2991</v>
      </c>
      <c r="B732" s="154">
        <v>2026</v>
      </c>
      <c r="C732" s="154" t="s">
        <v>2710</v>
      </c>
      <c r="D732" s="154" t="s">
        <v>2992</v>
      </c>
      <c r="E732" s="159" t="s">
        <v>2993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 hidden="1" x14ac:dyDescent="0.25">
      <c r="A733" s="156" t="s">
        <v>2994</v>
      </c>
      <c r="B733" s="154">
        <v>2026</v>
      </c>
      <c r="C733" s="154" t="s">
        <v>2710</v>
      </c>
      <c r="D733" s="154"/>
      <c r="E733" s="201" t="s">
        <v>2995</v>
      </c>
      <c r="F733" s="170" t="s">
        <v>24</v>
      </c>
      <c r="G733" s="155" t="s">
        <v>2717</v>
      </c>
      <c r="H733" s="156" t="s">
        <v>2996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 hidden="1" x14ac:dyDescent="0.25">
      <c r="A734" s="156" t="s">
        <v>2997</v>
      </c>
      <c r="B734" s="154">
        <v>2026</v>
      </c>
      <c r="C734" s="154" t="s">
        <v>2710</v>
      </c>
      <c r="D734" s="154" t="s">
        <v>2998</v>
      </c>
      <c r="E734" s="159" t="s">
        <v>2999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 hidden="1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3000</v>
      </c>
      <c r="E735" s="159" t="s">
        <v>3001</v>
      </c>
      <c r="F735" s="170" t="s">
        <v>24</v>
      </c>
      <c r="G735" s="155" t="s">
        <v>206</v>
      </c>
      <c r="H735" s="156" t="s">
        <v>3002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3003</v>
      </c>
    </row>
    <row r="736" spans="1:20" ht="15" hidden="1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3004</v>
      </c>
      <c r="E736" s="159" t="s">
        <v>3005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 x14ac:dyDescent="0.25">
      <c r="A737" s="156" t="s">
        <v>3006</v>
      </c>
      <c r="B737" s="154">
        <v>2026</v>
      </c>
      <c r="C737" s="154" t="s">
        <v>22</v>
      </c>
      <c r="D737" s="154" t="s">
        <v>3007</v>
      </c>
      <c r="E737" s="159" t="s">
        <v>3008</v>
      </c>
      <c r="F737" s="170" t="s">
        <v>69</v>
      </c>
      <c r="G737" s="155" t="s">
        <v>79</v>
      </c>
      <c r="H737" s="156" t="s">
        <v>3009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 hidden="1" x14ac:dyDescent="0.25">
      <c r="A738" s="156" t="s">
        <v>3010</v>
      </c>
      <c r="B738" s="154">
        <v>2026</v>
      </c>
      <c r="C738" s="154" t="s">
        <v>22</v>
      </c>
      <c r="D738" s="154" t="s">
        <v>3011</v>
      </c>
      <c r="E738" s="159" t="s">
        <v>3012</v>
      </c>
      <c r="F738" s="170" t="s">
        <v>69</v>
      </c>
      <c r="G738" s="155" t="s">
        <v>2693</v>
      </c>
      <c r="H738" s="156" t="s">
        <v>3013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3014</v>
      </c>
    </row>
    <row r="739" spans="1:20" ht="15" hidden="1" x14ac:dyDescent="0.25">
      <c r="A739" s="156" t="s">
        <v>3015</v>
      </c>
      <c r="B739" s="154">
        <v>2026</v>
      </c>
      <c r="C739" s="154" t="s">
        <v>22</v>
      </c>
      <c r="D739" s="154" t="s">
        <v>3016</v>
      </c>
      <c r="E739" s="159" t="s">
        <v>3017</v>
      </c>
      <c r="F739" s="170" t="s">
        <v>24</v>
      </c>
      <c r="G739" s="155" t="s">
        <v>2699</v>
      </c>
      <c r="H739" s="156" t="s">
        <v>3018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 hidden="1" x14ac:dyDescent="0.25">
      <c r="A740" s="156" t="s">
        <v>3019</v>
      </c>
      <c r="B740" s="154">
        <v>2026</v>
      </c>
      <c r="C740" s="154" t="s">
        <v>2710</v>
      </c>
      <c r="D740" s="154" t="s">
        <v>3020</v>
      </c>
      <c r="E740" s="159" t="s">
        <v>3021</v>
      </c>
      <c r="F740" s="170" t="s">
        <v>24</v>
      </c>
      <c r="G740" s="155" t="s">
        <v>2699</v>
      </c>
      <c r="H740" s="156" t="s">
        <v>3022</v>
      </c>
      <c r="I740" s="156" t="s">
        <v>3022</v>
      </c>
      <c r="J740" s="156" t="s">
        <v>3022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 hidden="1" x14ac:dyDescent="0.25">
      <c r="A741" s="156" t="s">
        <v>3023</v>
      </c>
      <c r="B741" s="154">
        <v>2026</v>
      </c>
      <c r="C741" s="154" t="s">
        <v>22</v>
      </c>
      <c r="D741" s="154" t="s">
        <v>3024</v>
      </c>
      <c r="E741" s="159" t="s">
        <v>3025</v>
      </c>
      <c r="F741" s="170" t="s">
        <v>24</v>
      </c>
      <c r="G741" s="155" t="s">
        <v>2699</v>
      </c>
      <c r="H741" s="156" t="s">
        <v>3026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>
        <v>21</v>
      </c>
      <c r="P741" s="158">
        <v>0</v>
      </c>
      <c r="Q741" s="158">
        <v>0</v>
      </c>
      <c r="R741" s="158">
        <f t="shared" si="15"/>
        <v>21</v>
      </c>
      <c r="S741" s="154">
        <v>8</v>
      </c>
      <c r="T741" s="155" t="s">
        <v>2826</v>
      </c>
    </row>
    <row r="742" spans="1:20" ht="15" hidden="1" x14ac:dyDescent="0.25">
      <c r="A742" s="156" t="s">
        <v>3027</v>
      </c>
      <c r="B742" s="154">
        <v>2026</v>
      </c>
      <c r="C742" s="154" t="s">
        <v>2710</v>
      </c>
      <c r="D742" s="154" t="s">
        <v>3024</v>
      </c>
      <c r="E742" s="159" t="s">
        <v>3028</v>
      </c>
      <c r="F742" s="170" t="s">
        <v>24</v>
      </c>
      <c r="G742" s="155" t="s">
        <v>2699</v>
      </c>
      <c r="H742" s="156" t="s">
        <v>3029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 hidden="1" x14ac:dyDescent="0.25">
      <c r="A743" s="156" t="s">
        <v>3030</v>
      </c>
      <c r="B743" s="154">
        <v>2026</v>
      </c>
      <c r="C743" s="154" t="s">
        <v>22</v>
      </c>
      <c r="D743" s="154" t="s">
        <v>3031</v>
      </c>
      <c r="E743" s="159" t="s">
        <v>3032</v>
      </c>
      <c r="F743" s="170" t="s">
        <v>24</v>
      </c>
      <c r="G743" s="155" t="s">
        <v>206</v>
      </c>
      <c r="H743" s="156" t="s">
        <v>3033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3003</v>
      </c>
    </row>
    <row r="744" spans="1:20" ht="15" hidden="1" x14ac:dyDescent="0.25">
      <c r="A744" s="156" t="s">
        <v>3034</v>
      </c>
      <c r="B744" s="154">
        <v>2026</v>
      </c>
      <c r="C744" s="154" t="s">
        <v>2710</v>
      </c>
      <c r="D744" s="154" t="s">
        <v>3035</v>
      </c>
      <c r="E744" s="166" t="s">
        <v>3036</v>
      </c>
      <c r="F744" s="170" t="s">
        <v>24</v>
      </c>
      <c r="G744" s="155" t="s">
        <v>206</v>
      </c>
      <c r="H744" s="156" t="s">
        <v>3037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 hidden="1" x14ac:dyDescent="0.25">
      <c r="A745" s="156" t="s">
        <v>3038</v>
      </c>
      <c r="B745" s="154">
        <v>2026</v>
      </c>
      <c r="C745" s="154" t="s">
        <v>2710</v>
      </c>
      <c r="D745" s="154" t="s">
        <v>3035</v>
      </c>
      <c r="E745" s="166" t="s">
        <v>3039</v>
      </c>
      <c r="F745" s="170" t="s">
        <v>24</v>
      </c>
      <c r="G745" s="155" t="s">
        <v>206</v>
      </c>
      <c r="H745" s="156" t="s">
        <v>3040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 hidden="1" x14ac:dyDescent="0.25">
      <c r="A746" s="156" t="s">
        <v>3041</v>
      </c>
      <c r="B746" s="154">
        <v>2026</v>
      </c>
      <c r="C746" s="154" t="s">
        <v>2789</v>
      </c>
      <c r="D746" s="154" t="s">
        <v>3042</v>
      </c>
      <c r="E746" s="166" t="s">
        <v>3043</v>
      </c>
      <c r="F746" s="170" t="s">
        <v>24</v>
      </c>
      <c r="G746" s="155" t="s">
        <v>206</v>
      </c>
      <c r="H746" s="156" t="s">
        <v>3044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3045</v>
      </c>
    </row>
    <row r="747" spans="1:20" ht="15" hidden="1" x14ac:dyDescent="0.25">
      <c r="A747" s="156" t="s">
        <v>3046</v>
      </c>
      <c r="B747" s="154">
        <v>2026</v>
      </c>
      <c r="C747" s="154" t="s">
        <v>22</v>
      </c>
      <c r="D747" s="154" t="s">
        <v>3047</v>
      </c>
      <c r="E747" s="166" t="s">
        <v>3048</v>
      </c>
      <c r="F747" s="170" t="s">
        <v>24</v>
      </c>
      <c r="G747" s="155" t="s">
        <v>206</v>
      </c>
      <c r="H747" s="156" t="s">
        <v>3049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 hidden="1" x14ac:dyDescent="0.25">
      <c r="A748" s="156" t="s">
        <v>3050</v>
      </c>
      <c r="B748" s="154">
        <v>2026</v>
      </c>
      <c r="C748" s="154" t="s">
        <v>2696</v>
      </c>
      <c r="D748" s="154" t="s">
        <v>3051</v>
      </c>
      <c r="E748" s="159" t="s">
        <v>3052</v>
      </c>
      <c r="F748" s="170" t="s">
        <v>69</v>
      </c>
      <c r="G748" s="155" t="s">
        <v>79</v>
      </c>
      <c r="H748" s="156" t="s">
        <v>3053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 x14ac:dyDescent="0.25">
      <c r="A749" s="156" t="s">
        <v>3054</v>
      </c>
      <c r="B749" s="154">
        <v>2026</v>
      </c>
      <c r="C749" s="154" t="s">
        <v>3205</v>
      </c>
      <c r="D749" s="154" t="s">
        <v>3055</v>
      </c>
      <c r="E749" s="166" t="s">
        <v>3056</v>
      </c>
      <c r="F749" s="170" t="s">
        <v>24</v>
      </c>
      <c r="G749" s="155" t="s">
        <v>25</v>
      </c>
      <c r="H749" s="156"/>
      <c r="I749" s="191"/>
      <c r="J749" s="191"/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3057</v>
      </c>
    </row>
    <row r="750" spans="1:20" ht="15" hidden="1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hidden="1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hidden="1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hidden="1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hidden="1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hidden="1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hidden="1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hidden="1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hidden="1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hidden="1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hidden="1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hidden="1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hidden="1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hidden="1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hidden="1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hidden="1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hidden="1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hidden="1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hidden="1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hidden="1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hidden="1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hidden="1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hidden="1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hidden="1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hidden="1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hidden="1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hidden="1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hidden="1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hidden="1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hidden="1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hidden="1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hidden="1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hidden="1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hidden="1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hidden="1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hidden="1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hidden="1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hidden="1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hidden="1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hidden="1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hidden="1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hidden="1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hidden="1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hidden="1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hidden="1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hidden="1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hidden="1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hidden="1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hidden="1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hidden="1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hidden="1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hidden="1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hidden="1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hidden="1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hidden="1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hidden="1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hidden="1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hidden="1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hidden="1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hidden="1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hidden="1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hidden="1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hidden="1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hidden="1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hidden="1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hidden="1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hidden="1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hidden="1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hidden="1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hidden="1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hidden="1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hidden="1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hidden="1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hidden="1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hidden="1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hidden="1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hidden="1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hidden="1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hidden="1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hidden="1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hidden="1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hidden="1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hidden="1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hidden="1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hidden="1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hidden="1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hidden="1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hidden="1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hidden="1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hidden="1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hidden="1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hidden="1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hidden="1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hidden="1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hidden="1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hidden="1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hidden="1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hidden="1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hidden="1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hidden="1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hidden="1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hidden="1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hidden="1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hidden="1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hidden="1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hidden="1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hidden="1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hidden="1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hidden="1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hidden="1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hidden="1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hidden="1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hidden="1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hidden="1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hidden="1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hidden="1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hidden="1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hidden="1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hidden="1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hidden="1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hidden="1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hidden="1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hidden="1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hidden="1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hidden="1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hidden="1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hidden="1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hidden="1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hidden="1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hidden="1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hidden="1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hidden="1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hidden="1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hidden="1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hidden="1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hidden="1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hidden="1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hidden="1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hidden="1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hidden="1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hidden="1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hidden="1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hidden="1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hidden="1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hidden="1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hidden="1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hidden="1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hidden="1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hidden="1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hidden="1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hidden="1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hidden="1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hidden="1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hidden="1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hidden="1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hidden="1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hidden="1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hidden="1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hidden="1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hidden="1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hidden="1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hidden="1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hidden="1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hidden="1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hidden="1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hidden="1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hidden="1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hidden="1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hidden="1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hidden="1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hidden="1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hidden="1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hidden="1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hidden="1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hidden="1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hidden="1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hidden="1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hidden="1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hidden="1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hidden="1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hidden="1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hidden="1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hidden="1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hidden="1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hidden="1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hidden="1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hidden="1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hidden="1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hidden="1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hidden="1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hidden="1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hidden="1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hidden="1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hidden="1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hidden="1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hidden="1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hidden="1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hidden="1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hidden="1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hidden="1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hidden="1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hidden="1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hidden="1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hidden="1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hidden="1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hidden="1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hidden="1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hidden="1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hidden="1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hidden="1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hidden="1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hidden="1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hidden="1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hidden="1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hidden="1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hidden="1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hidden="1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hidden="1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hidden="1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hidden="1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hidden="1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hidden="1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hidden="1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hidden="1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hidden="1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hidden="1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hidden="1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hidden="1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hidden="1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hidden="1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hidden="1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hidden="1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hidden="1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hidden="1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hidden="1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hidden="1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hidden="1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hidden="1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hidden="1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hidden="1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hidden="1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hidden="1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hidden="1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hidden="1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hidden="1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hidden="1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hidden="1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hidden="1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hidden="1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hidden="1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hidden="1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hidden="1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hidden="1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hidden="1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hidden="1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hidden="1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hidden="1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hidden="1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hidden="1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hidden="1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hidden="1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hidden="1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hidden="1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hidden="1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hidden="1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hidden="1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hidden="1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hidden="1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hidden="1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hidden="1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hidden="1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hidden="1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hidden="1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hidden="1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hidden="1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hidden="1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hidden="1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hidden="1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hidden="1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hidden="1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hidden="1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hidden="1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hidden="1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hidden="1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hidden="1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hidden="1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hidden="1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hidden="1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hidden="1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hidden="1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hidden="1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hidden="1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hidden="1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hidden="1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hidden="1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hidden="1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hidden="1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hidden="1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hidden="1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hidden="1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hidden="1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hidden="1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hidden="1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hidden="1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hidden="1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hidden="1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hidden="1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hidden="1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hidden="1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hidden="1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hidden="1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hidden="1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hidden="1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hidden="1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hidden="1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hidden="1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hidden="1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hidden="1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hidden="1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hidden="1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hidden="1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hidden="1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hidden="1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hidden="1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hidden="1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hidden="1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hidden="1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hidden="1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hidden="1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hidden="1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hidden="1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hidden="1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hidden="1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hidden="1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hidden="1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hidden="1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hidden="1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hidden="1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hidden="1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hidden="1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hidden="1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hidden="1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hidden="1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hidden="1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hidden="1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hidden="1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hidden="1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hidden="1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hidden="1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hidden="1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hidden="1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hidden="1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hidden="1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hidden="1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hidden="1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hidden="1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hidden="1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hidden="1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hidden="1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hidden="1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hidden="1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hidden="1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hidden="1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hidden="1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hidden="1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hidden="1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hidden="1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hidden="1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hidden="1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hidden="1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hidden="1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hidden="1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hidden="1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hidden="1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hidden="1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hidden="1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hidden="1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hidden="1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hidden="1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hidden="1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hidden="1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hidden="1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hidden="1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hidden="1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hidden="1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hidden="1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hidden="1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hidden="1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hidden="1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hidden="1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hidden="1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hidden="1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hidden="1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hidden="1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hidden="1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hidden="1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hidden="1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hidden="1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hidden="1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hidden="1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hidden="1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hidden="1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hidden="1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hidden="1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hidden="1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hidden="1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hidden="1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hidden="1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hidden="1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hidden="1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hidden="1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hidden="1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hidden="1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hidden="1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hidden="1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hidden="1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hidden="1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hidden="1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hidden="1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hidden="1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hidden="1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hidden="1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hidden="1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hidden="1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hidden="1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hidden="1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hidden="1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hidden="1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hidden="1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hidden="1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hidden="1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hidden="1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hidden="1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hidden="1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hidden="1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hidden="1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hidden="1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hidden="1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hidden="1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hidden="1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hidden="1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hidden="1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hidden="1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hidden="1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hidden="1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hidden="1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hidden="1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hidden="1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hidden="1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hidden="1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hidden="1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hidden="1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hidden="1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hidden="1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hidden="1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hidden="1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hidden="1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hidden="1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hidden="1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hidden="1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hidden="1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hidden="1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hidden="1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hidden="1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hidden="1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hidden="1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hidden="1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hidden="1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hidden="1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hidden="1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hidden="1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hidden="1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hidden="1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hidden="1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hidden="1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hidden="1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hidden="1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hidden="1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hidden="1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hidden="1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hidden="1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hidden="1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hidden="1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hidden="1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hidden="1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hidden="1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hidden="1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hidden="1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hidden="1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hidden="1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hidden="1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hidden="1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hidden="1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hidden="1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hidden="1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hidden="1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hidden="1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hidden="1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hidden="1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hidden="1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hidden="1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hidden="1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hidden="1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hidden="1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hidden="1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hidden="1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hidden="1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hidden="1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hidden="1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hidden="1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hidden="1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hidden="1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hidden="1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hidden="1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hidden="1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hidden="1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hidden="1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hidden="1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hidden="1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hidden="1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hidden="1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hidden="1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hidden="1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hidden="1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hidden="1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hidden="1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hidden="1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hidden="1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hidden="1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hidden="1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hidden="1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hidden="1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hidden="1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hidden="1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hidden="1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hidden="1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hidden="1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hidden="1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hidden="1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hidden="1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hidden="1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hidden="1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hidden="1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hidden="1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hidden="1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hidden="1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hidden="1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hidden="1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hidden="1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hidden="1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hidden="1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hidden="1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hidden="1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hidden="1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hidden="1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hidden="1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hidden="1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hidden="1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hidden="1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hidden="1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hidden="1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hidden="1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hidden="1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hidden="1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hidden="1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hidden="1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hidden="1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hidden="1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hidden="1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hidden="1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hidden="1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hidden="1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hidden="1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hidden="1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hidden="1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hidden="1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hidden="1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hidden="1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hidden="1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hidden="1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hidden="1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hidden="1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hidden="1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hidden="1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hidden="1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hidden="1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hidden="1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hidden="1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hidden="1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hidden="1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hidden="1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hidden="1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hidden="1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hidden="1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hidden="1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hidden="1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hidden="1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hidden="1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hidden="1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hidden="1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hidden="1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hidden="1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hidden="1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hidden="1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hidden="1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hidden="1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hidden="1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hidden="1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hidden="1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hidden="1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hidden="1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hidden="1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hidden="1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hidden="1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hidden="1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hidden="1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hidden="1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hidden="1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hidden="1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hidden="1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hidden="1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hidden="1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hidden="1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hidden="1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hidden="1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hidden="1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hidden="1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hidden="1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hidden="1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hidden="1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hidden="1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hidden="1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hidden="1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hidden="1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hidden="1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hidden="1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hidden="1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hidden="1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hidden="1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hidden="1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hidden="1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hidden="1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hidden="1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hidden="1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hidden="1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hidden="1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hidden="1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hidden="1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hidden="1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hidden="1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hidden="1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hidden="1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hidden="1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hidden="1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hidden="1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hidden="1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hidden="1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hidden="1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hidden="1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hidden="1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hidden="1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hidden="1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hidden="1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hidden="1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hidden="1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hidden="1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hidden="1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hidden="1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hidden="1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hidden="1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hidden="1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hidden="1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hidden="1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hidden="1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hidden="1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hidden="1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hidden="1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hidden="1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hidden="1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hidden="1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hidden="1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hidden="1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hidden="1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hidden="1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hidden="1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hidden="1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hidden="1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hidden="1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hidden="1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hidden="1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hidden="1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hidden="1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hidden="1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hidden="1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hidden="1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hidden="1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hidden="1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hidden="1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hidden="1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hidden="1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hidden="1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hidden="1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hidden="1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hidden="1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hidden="1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hidden="1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hidden="1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hidden="1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hidden="1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hidden="1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hidden="1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hidden="1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hidden="1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hidden="1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hidden="1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hidden="1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hidden="1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hidden="1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hidden="1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hidden="1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hidden="1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hidden="1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hidden="1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hidden="1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hidden="1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hidden="1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hidden="1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hidden="1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hidden="1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hidden="1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hidden="1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hidden="1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hidden="1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hidden="1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hidden="1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hidden="1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hidden="1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hidden="1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hidden="1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hidden="1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hidden="1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hidden="1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hidden="1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hidden="1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hidden="1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hidden="1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hidden="1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hidden="1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hidden="1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hidden="1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hidden="1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hidden="1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hidden="1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hidden="1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hidden="1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hidden="1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hidden="1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hidden="1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hidden="1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hidden="1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hidden="1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hidden="1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hidden="1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hidden="1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hidden="1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hidden="1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hidden="1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hidden="1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hidden="1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hidden="1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hidden="1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hidden="1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hidden="1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hidden="1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hidden="1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hidden="1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hidden="1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hidden="1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hidden="1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hidden="1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hidden="1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hidden="1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hidden="1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hidden="1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hidden="1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hidden="1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hidden="1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hidden="1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hidden="1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hidden="1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hidden="1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hidden="1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hidden="1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hidden="1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hidden="1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hidden="1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hidden="1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hidden="1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hidden="1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hidden="1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hidden="1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hidden="1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hidden="1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hidden="1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hidden="1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hidden="1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hidden="1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hidden="1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hidden="1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hidden="1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hidden="1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hidden="1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hidden="1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hidden="1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hidden="1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hidden="1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hidden="1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hidden="1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hidden="1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hidden="1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hidden="1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hidden="1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hidden="1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hidden="1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hidden="1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hidden="1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hidden="1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hidden="1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hidden="1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hidden="1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hidden="1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hidden="1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hidden="1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hidden="1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hidden="1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hidden="1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hidden="1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hidden="1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hidden="1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hidden="1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hidden="1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hidden="1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hidden="1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hidden="1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hidden="1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hidden="1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hidden="1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hidden="1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hidden="1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hidden="1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hidden="1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hidden="1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hidden="1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hidden="1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hidden="1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hidden="1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hidden="1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hidden="1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hidden="1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hidden="1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hidden="1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hidden="1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hidden="1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hidden="1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hidden="1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hidden="1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hidden="1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hidden="1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hidden="1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hidden="1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hidden="1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hidden="1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hidden="1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hidden="1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hidden="1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hidden="1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hidden="1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hidden="1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hidden="1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hidden="1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hidden="1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hidden="1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hidden="1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hidden="1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hidden="1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hidden="1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hidden="1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hidden="1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hidden="1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hidden="1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hidden="1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hidden="1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hidden="1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hidden="1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hidden="1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hidden="1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hidden="1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hidden="1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hidden="1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hidden="1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hidden="1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hidden="1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hidden="1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hidden="1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hidden="1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hidden="1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hidden="1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hidden="1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hidden="1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hidden="1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hidden="1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hidden="1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hidden="1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hidden="1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hidden="1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hidden="1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hidden="1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hidden="1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hidden="1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hidden="1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hidden="1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hidden="1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hidden="1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hidden="1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hidden="1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hidden="1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hidden="1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hidden="1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hidden="1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hidden="1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hidden="1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hidden="1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hidden="1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hidden="1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hidden="1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hidden="1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hidden="1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hidden="1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hidden="1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hidden="1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hidden="1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hidden="1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hidden="1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hidden="1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hidden="1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hidden="1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hidden="1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hidden="1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hidden="1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hidden="1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hidden="1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hidden="1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hidden="1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hidden="1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hidden="1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hidden="1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hidden="1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hidden="1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hidden="1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hidden="1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hidden="1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hidden="1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hidden="1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hidden="1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hidden="1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hidden="1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hidden="1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hidden="1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hidden="1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hidden="1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hidden="1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hidden="1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hidden="1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hidden="1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hidden="1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hidden="1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hidden="1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hidden="1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hidden="1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hidden="1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hidden="1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hidden="1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hidden="1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hidden="1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hidden="1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hidden="1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hidden="1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hidden="1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hidden="1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hidden="1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hidden="1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hidden="1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hidden="1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hidden="1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hidden="1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hidden="1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hidden="1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hidden="1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hidden="1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hidden="1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hidden="1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hidden="1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hidden="1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hidden="1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hidden="1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hidden="1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hidden="1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hidden="1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hidden="1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hidden="1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hidden="1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hidden="1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hidden="1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hidden="1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hidden="1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hidden="1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hidden="1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hidden="1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hidden="1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hidden="1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hidden="1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hidden="1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hidden="1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hidden="1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hidden="1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hidden="1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hidden="1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hidden="1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hidden="1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hidden="1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hidden="1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hidden="1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hidden="1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hidden="1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hidden="1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hidden="1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hidden="1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hidden="1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hidden="1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hidden="1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hidden="1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hidden="1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hidden="1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hidden="1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hidden="1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hidden="1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hidden="1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hidden="1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hidden="1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hidden="1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hidden="1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hidden="1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hidden="1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hidden="1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hidden="1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hidden="1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hidden="1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hidden="1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hidden="1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hidden="1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hidden="1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hidden="1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hidden="1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hidden="1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hidden="1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hidden="1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hidden="1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hidden="1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hidden="1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hidden="1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hidden="1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hidden="1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hidden="1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hidden="1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hidden="1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hidden="1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hidden="1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hidden="1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hidden="1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hidden="1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hidden="1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hidden="1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hidden="1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hidden="1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hidden="1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hidden="1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hidden="1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hidden="1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hidden="1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hidden="1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hidden="1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hidden="1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hidden="1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hidden="1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hidden="1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hidden="1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hidden="1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hidden="1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hidden="1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hidden="1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hidden="1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hidden="1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hidden="1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hidden="1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hidden="1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hidden="1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hidden="1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hidden="1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hidden="1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hidden="1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hidden="1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hidden="1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hidden="1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hidden="1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hidden="1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hidden="1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hidden="1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hidden="1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hidden="1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hidden="1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hidden="1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hidden="1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hidden="1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hidden="1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hidden="1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hidden="1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hidden="1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hidden="1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hidden="1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hidden="1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hidden="1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hidden="1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hidden="1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hidden="1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hidden="1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hidden="1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hidden="1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hidden="1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hidden="1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hidden="1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hidden="1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hidden="1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hidden="1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hidden="1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hidden="1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hidden="1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hidden="1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hidden="1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hidden="1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hidden="1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hidden="1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hidden="1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hidden="1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hidden="1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hidden="1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hidden="1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hidden="1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hidden="1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hidden="1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hidden="1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hidden="1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hidden="1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hidden="1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hidden="1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hidden="1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hidden="1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hidden="1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hidden="1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hidden="1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hidden="1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hidden="1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hidden="1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hidden="1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hidden="1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hidden="1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hidden="1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hidden="1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hidden="1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hidden="1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hidden="1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hidden="1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hidden="1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hidden="1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hidden="1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hidden="1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hidden="1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hidden="1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hidden="1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hidden="1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hidden="1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hidden="1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hidden="1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hidden="1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hidden="1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hidden="1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hidden="1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hidden="1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hidden="1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hidden="1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hidden="1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hidden="1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hidden="1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hidden="1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hidden="1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hidden="1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hidden="1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hidden="1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hidden="1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hidden="1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hidden="1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hidden="1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hidden="1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hidden="1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hidden="1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hidden="1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hidden="1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hidden="1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hidden="1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hidden="1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hidden="1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hidden="1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hidden="1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hidden="1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hidden="1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hidden="1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hidden="1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hidden="1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hidden="1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hidden="1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hidden="1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hidden="1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hidden="1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hidden="1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hidden="1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hidden="1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hidden="1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hidden="1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hidden="1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hidden="1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hidden="1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hidden="1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hidden="1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hidden="1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hidden="1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hidden="1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hidden="1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hidden="1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hidden="1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hidden="1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hidden="1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hidden="1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hidden="1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hidden="1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hidden="1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hidden="1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hidden="1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hidden="1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hidden="1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12:J720 I706:J710 H2002:I2014 I744:J2001 I704:J704 I736:J739 I741:J742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3058</v>
      </c>
      <c r="H1" s="168" t="s">
        <v>3059</v>
      </c>
    </row>
    <row r="2" spans="1:8" x14ac:dyDescent="0.25">
      <c r="H2" s="167" t="s">
        <v>3060</v>
      </c>
    </row>
    <row r="3" spans="1:8" x14ac:dyDescent="0.25">
      <c r="A3" t="s">
        <v>0</v>
      </c>
      <c r="B3" t="s">
        <v>19</v>
      </c>
      <c r="C3" t="s">
        <v>3061</v>
      </c>
      <c r="D3" t="s">
        <v>3062</v>
      </c>
      <c r="E3" t="s">
        <v>3063</v>
      </c>
      <c r="H3" s="167" t="s">
        <v>3064</v>
      </c>
    </row>
    <row r="4" spans="1:8" x14ac:dyDescent="0.25">
      <c r="A4">
        <v>1</v>
      </c>
      <c r="B4" t="s">
        <v>3065</v>
      </c>
      <c r="D4" t="s">
        <v>3066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3067</v>
      </c>
    </row>
    <row r="5" spans="1:8" x14ac:dyDescent="0.25">
      <c r="A5">
        <v>2</v>
      </c>
      <c r="B5" t="s">
        <v>2507</v>
      </c>
      <c r="D5" t="s">
        <v>3066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3068</v>
      </c>
    </row>
    <row r="6" spans="1:8" x14ac:dyDescent="0.25">
      <c r="A6">
        <v>3</v>
      </c>
      <c r="B6" t="s">
        <v>1030</v>
      </c>
      <c r="D6" t="s">
        <v>3066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3069</v>
      </c>
      <c r="D7" t="s">
        <v>3066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3070</v>
      </c>
    </row>
    <row r="8" spans="1:8" x14ac:dyDescent="0.25">
      <c r="A8">
        <v>5</v>
      </c>
      <c r="B8" t="s">
        <v>3071</v>
      </c>
      <c r="D8" t="s">
        <v>3066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3066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3066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3066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3066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3066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3066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3066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3066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3066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3066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3066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3066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3066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3066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3072</v>
      </c>
      <c r="D23" t="s">
        <v>3066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3066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3073</v>
      </c>
      <c r="D25" t="s">
        <v>3066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3074</v>
      </c>
      <c r="D26" t="s">
        <v>3066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3066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3066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3075</v>
      </c>
      <c r="D29" t="s">
        <v>3066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3066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3066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3066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3076</v>
      </c>
      <c r="D33" t="s">
        <v>3066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3077</v>
      </c>
      <c r="D34" t="s">
        <v>3066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3066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3066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3066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3078</v>
      </c>
      <c r="D38" t="s">
        <v>3066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3079</v>
      </c>
      <c r="D39" t="s">
        <v>3066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2582</v>
      </c>
      <c r="D40" t="s">
        <v>3066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3080</v>
      </c>
      <c r="D41" t="s">
        <v>3066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3066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3066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3081</v>
      </c>
      <c r="D44" t="s">
        <v>3066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3066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3066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3066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3066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3082</v>
      </c>
      <c r="D49" t="s">
        <v>3066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3066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3083</v>
      </c>
      <c r="D51" t="s">
        <v>3066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3066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3066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3084</v>
      </c>
      <c r="D54" t="s">
        <v>3066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3066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3066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3066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3085</v>
      </c>
      <c r="D58" t="s">
        <v>3066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3066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3066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3086</v>
      </c>
      <c r="D61" t="s">
        <v>3066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3087</v>
      </c>
      <c r="D62" t="s">
        <v>3066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3088</v>
      </c>
      <c r="D63" t="s">
        <v>3066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3089</v>
      </c>
      <c r="D64" t="s">
        <v>3066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3066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3066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3090</v>
      </c>
      <c r="D67" t="s">
        <v>3066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3091</v>
      </c>
      <c r="D68" t="s">
        <v>3066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3066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3092</v>
      </c>
      <c r="D70" t="s">
        <v>3066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2669</v>
      </c>
      <c r="D71" t="s">
        <v>3066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3066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3066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3093</v>
      </c>
      <c r="D74" t="s">
        <v>3066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3066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3066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3066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3066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3094</v>
      </c>
      <c r="D79" t="s">
        <v>3066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3095</v>
      </c>
      <c r="D80" t="s">
        <v>3066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3096</v>
      </c>
      <c r="D81" t="s">
        <v>3066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3097</v>
      </c>
      <c r="D82" t="s">
        <v>3066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3066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3098</v>
      </c>
      <c r="D84" t="s">
        <v>3066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2577</v>
      </c>
      <c r="D85" t="s">
        <v>3066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3099</v>
      </c>
      <c r="D86" t="s">
        <v>3066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3100</v>
      </c>
      <c r="D87" t="s">
        <v>3066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3101</v>
      </c>
      <c r="D88" t="s">
        <v>3066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3102</v>
      </c>
      <c r="D89" t="s">
        <v>3066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3103</v>
      </c>
      <c r="D90" t="s">
        <v>3066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3104</v>
      </c>
      <c r="D91" t="s">
        <v>3066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3105</v>
      </c>
      <c r="D92" t="s">
        <v>3066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3106</v>
      </c>
      <c r="D93" t="s">
        <v>3066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3107</v>
      </c>
      <c r="D94" t="s">
        <v>3066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2920</v>
      </c>
      <c r="D95" t="s">
        <v>3066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3108</v>
      </c>
      <c r="D96" t="s">
        <v>3066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2912</v>
      </c>
      <c r="D97" t="s">
        <v>3066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3109</v>
      </c>
      <c r="D98" t="s">
        <v>3066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3110</v>
      </c>
      <c r="D99" t="s">
        <v>3066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3111</v>
      </c>
      <c r="D100" t="s">
        <v>3066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3112</v>
      </c>
      <c r="D101" t="s">
        <v>3066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3066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3113</v>
      </c>
      <c r="D103" t="s">
        <v>3066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3114</v>
      </c>
      <c r="D104" t="s">
        <v>3066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3115</v>
      </c>
      <c r="D105" t="s">
        <v>3066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2866</v>
      </c>
      <c r="D106" t="s">
        <v>3066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2871</v>
      </c>
      <c r="D107" t="s">
        <v>3066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3116</v>
      </c>
      <c r="D108" t="s">
        <v>3066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3117</v>
      </c>
      <c r="D109" t="s">
        <v>3066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3118</v>
      </c>
      <c r="D110" t="s">
        <v>3066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3119</v>
      </c>
      <c r="D111" t="s">
        <v>3066</v>
      </c>
      <c r="E111" s="169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3120</v>
      </c>
      <c r="D112" t="s">
        <v>3066</v>
      </c>
      <c r="E112" s="169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3121</v>
      </c>
      <c r="D113" t="s">
        <v>3066</v>
      </c>
      <c r="E113" s="169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3122</v>
      </c>
      <c r="C1" s="18" t="s">
        <v>3123</v>
      </c>
      <c r="D1" s="18" t="s">
        <v>4</v>
      </c>
      <c r="E1" s="18" t="s">
        <v>3124</v>
      </c>
      <c r="F1" s="18" t="s">
        <v>19</v>
      </c>
      <c r="G1" s="18" t="s">
        <v>3125</v>
      </c>
      <c r="H1" s="18" t="s">
        <v>3126</v>
      </c>
      <c r="I1" s="18" t="s">
        <v>3127</v>
      </c>
      <c r="J1" s="18" t="s">
        <v>3128</v>
      </c>
      <c r="L1" s="110" t="s">
        <v>3129</v>
      </c>
      <c r="M1" s="22">
        <v>2026</v>
      </c>
      <c r="U1" s="79" t="s">
        <v>3130</v>
      </c>
      <c r="V1" s="78"/>
      <c r="X1" s="77" t="s">
        <v>3131</v>
      </c>
      <c r="Y1" s="26"/>
      <c r="Z1" s="26"/>
      <c r="AA1" s="26"/>
      <c r="AC1" s="99" t="s">
        <v>3132</v>
      </c>
    </row>
    <row r="2" spans="1:31" x14ac:dyDescent="0.25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3133</v>
      </c>
      <c r="M2" s="106" t="s">
        <v>2928</v>
      </c>
      <c r="X2" s="112" t="s">
        <v>3122</v>
      </c>
      <c r="Y2" s="112" t="s">
        <v>19</v>
      </c>
      <c r="Z2" s="112" t="s">
        <v>3134</v>
      </c>
      <c r="AA2" s="112" t="s">
        <v>3135</v>
      </c>
      <c r="AC2" s="113" t="s">
        <v>1</v>
      </c>
      <c r="AD2" s="113" t="s">
        <v>3136</v>
      </c>
      <c r="AE2" s="113" t="s">
        <v>3137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3138</v>
      </c>
      <c r="M3" s="111" t="s">
        <v>3139</v>
      </c>
      <c r="N3" s="111" t="s">
        <v>3140</v>
      </c>
      <c r="O3" s="111" t="s">
        <v>3141</v>
      </c>
      <c r="P3" s="111" t="s">
        <v>3142</v>
      </c>
      <c r="Q3" s="111" t="s">
        <v>3143</v>
      </c>
      <c r="R3" s="111" t="s">
        <v>3144</v>
      </c>
      <c r="S3" s="111" t="s">
        <v>3145</v>
      </c>
      <c r="T3" s="111" t="s">
        <v>3146</v>
      </c>
      <c r="X3" t="s">
        <v>2835</v>
      </c>
      <c r="Y3" t="s">
        <v>3079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2831</v>
      </c>
      <c r="Z5">
        <v>1</v>
      </c>
      <c r="AA5">
        <v>0.6</v>
      </c>
      <c r="AC5" s="96">
        <v>2026</v>
      </c>
      <c r="AD5" s="17" t="s">
        <v>3147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3079</v>
      </c>
      <c r="Z6">
        <v>1</v>
      </c>
      <c r="AA6">
        <v>0</v>
      </c>
      <c r="AC6" s="96">
        <v>2026</v>
      </c>
      <c r="AD6" s="17" t="s">
        <v>3148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2950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2950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2950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2950</v>
      </c>
      <c r="Y11" s="17" t="s">
        <v>3073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2950</v>
      </c>
      <c r="Y12" s="17" t="s">
        <v>3091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2959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2959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2959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2959</v>
      </c>
      <c r="Y16" s="17" t="s">
        <v>3073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2959</v>
      </c>
      <c r="Y17" s="17" t="s">
        <v>3091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2955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2955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2955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2955</v>
      </c>
      <c r="Y21" s="17" t="s">
        <v>3073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2955</v>
      </c>
      <c r="Y22" s="17" t="s">
        <v>3091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3079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3079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3114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3110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3092</v>
      </c>
      <c r="Z33">
        <v>4</v>
      </c>
      <c r="AA33">
        <v>0.6</v>
      </c>
      <c r="AC33" s="98"/>
      <c r="AD33" s="114" t="s">
        <v>3149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3093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2896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2896</v>
      </c>
      <c r="Y42" t="s">
        <v>3084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2904</v>
      </c>
      <c r="Y43" s="17" t="s">
        <v>3101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2904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3100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3112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3109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2685</v>
      </c>
      <c r="Y48" t="s">
        <v>3111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2685</v>
      </c>
      <c r="Y49" t="s">
        <v>3108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2685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2685</v>
      </c>
      <c r="Y51" t="s">
        <v>3150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2685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2685</v>
      </c>
      <c r="Y53" t="s">
        <v>3115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2685</v>
      </c>
      <c r="Y54" t="s">
        <v>3113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2783</v>
      </c>
      <c r="Y55" t="s">
        <v>3100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A realizar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2748</v>
      </c>
      <c r="Y58" s="109" t="s">
        <v>3107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134</v>
      </c>
      <c r="T59">
        <f ca="1"/>
        <v>132</v>
      </c>
      <c r="X59" t="s">
        <v>2748</v>
      </c>
      <c r="Y59" t="s">
        <v>3106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135</v>
      </c>
      <c r="T60">
        <f ca="1"/>
        <v>134</v>
      </c>
      <c r="X60" t="s">
        <v>2748</v>
      </c>
      <c r="Y60" t="s">
        <v>3105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138</v>
      </c>
      <c r="T61">
        <f ca="1"/>
        <v>135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139</v>
      </c>
      <c r="T62">
        <f ca="1"/>
        <v>138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141</v>
      </c>
      <c r="T63">
        <f ca="1"/>
        <v>139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142</v>
      </c>
      <c r="T64">
        <f ca="1"/>
        <v>141</v>
      </c>
      <c r="X64" t="s">
        <v>2701</v>
      </c>
      <c r="Y64" t="s">
        <v>3097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143</v>
      </c>
      <c r="T65">
        <f ca="1"/>
        <v>142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145</v>
      </c>
      <c r="T66">
        <f ca="1"/>
        <v>143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2963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Realizado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150</v>
      </c>
      <c r="T68">
        <f ca="1"/>
        <v>147</v>
      </c>
      <c r="X68" t="s">
        <v>2963</v>
      </c>
      <c r="Y68" t="s">
        <v>3095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Em andamento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152</v>
      </c>
      <c r="T69">
        <f ca="1"/>
        <v>150</v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2026-093</v>
      </c>
      <c r="N70" t="str">
        <f ca="1"/>
        <v>Adiado</v>
      </c>
      <c r="O70" t="str">
        <f ca="1"/>
        <v>Controle Tecnológico de Pavimentos Asfálticos, Auditoria e Análise de Superfaturamento</v>
      </c>
      <c r="P70">
        <f ca="1"/>
        <v>12</v>
      </c>
      <c r="Q70" t="str">
        <f ca="1"/>
        <v>Marcelo Silva Santana; Matheus Viana de Souza</v>
      </c>
      <c r="R70">
        <f ca="1"/>
        <v>2</v>
      </c>
      <c r="S70">
        <f ca="1"/>
        <v>154</v>
      </c>
      <c r="T70">
        <f ca="1"/>
        <v>152</v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2822</v>
      </c>
      <c r="Y71" s="17" t="s">
        <v>3079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3084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2913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2900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2900</v>
      </c>
      <c r="Y77" t="s">
        <v>3098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3102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3099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3103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2950</v>
      </c>
      <c r="Y83" t="s">
        <v>3085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2955</v>
      </c>
      <c r="Y84" t="s">
        <v>3085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2959</v>
      </c>
      <c r="Y85" t="s">
        <v>3085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3151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3151</v>
      </c>
      <c r="Y87" t="s">
        <v>3097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3151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3050</v>
      </c>
      <c r="Y89" t="s">
        <v>3084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3054</v>
      </c>
      <c r="Y90" t="s">
        <v>3118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2026-059</v>
      </c>
      <c r="C98" t="str">
        <f ca="1"/>
        <v>A realizar</v>
      </c>
      <c r="D98" t="str">
        <f ca="1"/>
        <v>TCendo o Futuro 5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2026-059</v>
      </c>
      <c r="C99" t="str">
        <f ca="1"/>
        <v>A realizar</v>
      </c>
      <c r="D99" t="str">
        <f ca="1"/>
        <v>TCendo o Futuro 5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2026-059</v>
      </c>
      <c r="C100" t="str">
        <f ca="1"/>
        <v>A realizar</v>
      </c>
      <c r="D100" t="str">
        <f ca="1"/>
        <v>TCendo o Futuro 5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2026-059</v>
      </c>
      <c r="C101" t="str">
        <f ca="1"/>
        <v>A realizar</v>
      </c>
      <c r="D101" t="str">
        <f ca="1"/>
        <v>TCendo o Futuro 5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2026-060</v>
      </c>
      <c r="C102" t="str">
        <f ca="1"/>
        <v>A realizar</v>
      </c>
      <c r="D102" t="str">
        <f ca="1"/>
        <v>TCendo o Futuro 6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2026-060</v>
      </c>
      <c r="C103" t="str">
        <f ca="1"/>
        <v>A realizar</v>
      </c>
      <c r="D103" t="str">
        <f ca="1"/>
        <v>TCendo o Futuro 6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2026-060</v>
      </c>
      <c r="C104" t="str">
        <f ca="1"/>
        <v>A realizar</v>
      </c>
      <c r="D104" t="str">
        <f ca="1"/>
        <v>TCendo o Futuro 6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2026-060</v>
      </c>
      <c r="C105" t="str">
        <f ca="1"/>
        <v>A realizar</v>
      </c>
      <c r="D105" t="str">
        <f ca="1"/>
        <v>TCendo o Futuro 6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2026-060</v>
      </c>
      <c r="C106" t="str">
        <f ca="1"/>
        <v>A realizar</v>
      </c>
      <c r="D106" t="str">
        <f ca="1"/>
        <v>TCendo o Futuro 6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2026-070</v>
      </c>
      <c r="C131" t="str">
        <f ca="1"/>
        <v>A realizar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2026-070</v>
      </c>
      <c r="C132" t="str">
        <f ca="1"/>
        <v>A realizar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2026-070</v>
      </c>
      <c r="C133" t="str">
        <f ca="1"/>
        <v>A realizar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2026-072</v>
      </c>
      <c r="C134" t="str">
        <f ca="1"/>
        <v>Realizado</v>
      </c>
      <c r="D134" t="str">
        <f ca="1"/>
        <v>UniTCDF: Gestão Pública e Responsabilidade Fiscal (CEUB)</v>
      </c>
      <c r="E134">
        <f ca="1"/>
        <v>3</v>
      </c>
      <c r="F134" t="str">
        <f ca="1"/>
        <v>Fernanda Viana de Souza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Túllio Herbeth Teixeira Moraes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2026-077</v>
      </c>
      <c r="C136" t="str">
        <f ca="1"/>
        <v>A realizar</v>
      </c>
      <c r="D136" t="str">
        <f ca="1"/>
        <v>Exibição de filme: Consciência Negra</v>
      </c>
      <c r="E136">
        <f ca="1"/>
        <v>0</v>
      </c>
      <c r="F136" t="str">
        <f ca="1"/>
        <v>0</v>
      </c>
      <c r="G136">
        <f ca="1"/>
        <v>1</v>
      </c>
      <c r="H136">
        <f ca="1"/>
        <v>0</v>
      </c>
      <c r="I136">
        <f ca="1"/>
        <v>0</v>
      </c>
      <c r="J136">
        <f ca="1"/>
        <v>0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2026-079</v>
      </c>
      <c r="C137" t="str">
        <f ca="1"/>
        <v>Realizado</v>
      </c>
      <c r="D137" t="str">
        <f ca="1"/>
        <v>Café e Tertúlia: Gincana dos Neurotransmissores</v>
      </c>
      <c r="E137">
        <f ca="1"/>
        <v>2</v>
      </c>
      <c r="F137" t="str">
        <f ca="1"/>
        <v>Isac Mendes Caixeta de Pamplona Araújo</v>
      </c>
      <c r="G137">
        <f ca="1"/>
        <v>3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Valéria Feitoza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Cinthia Thais de Carvalho Luz Thomazi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2026-081</v>
      </c>
      <c r="C140" t="str">
        <f ca="1"/>
        <v>Realizado</v>
      </c>
      <c r="D140" t="str">
        <f ca="1"/>
        <v>Contratações de TIC com base na jurisprudência do TCDF - SGDI</v>
      </c>
      <c r="E140">
        <f ca="1"/>
        <v>8</v>
      </c>
      <c r="F140" t="str">
        <f ca="1"/>
        <v>Felipe da Costa Malaquias</v>
      </c>
      <c r="G140">
        <f ca="1"/>
        <v>1</v>
      </c>
      <c r="H140">
        <f ca="1"/>
        <v>8</v>
      </c>
      <c r="I140">
        <f ca="1"/>
        <v>2.4</v>
      </c>
      <c r="J140">
        <f ca="1"/>
        <v>10.4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2026-082</v>
      </c>
      <c r="C141" t="str">
        <f ca="1"/>
        <v>Realizado</v>
      </c>
      <c r="D141" t="str">
        <f ca="1"/>
        <v>Curso de formação para gestores e fiscais de contrato nas unidades hospitalares – Turma 4</v>
      </c>
      <c r="E141">
        <f ca="1"/>
        <v>12</v>
      </c>
      <c r="F141" t="str">
        <f ca="1"/>
        <v>Luciana Alvim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Tarsila Firmino Ely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2026-083</v>
      </c>
      <c r="C143" t="str">
        <f ca="1"/>
        <v>Realizado</v>
      </c>
      <c r="D143" t="str">
        <f ca="1"/>
        <v>Oficina básica de Power Automate</v>
      </c>
      <c r="E143">
        <f ca="1"/>
        <v>9</v>
      </c>
      <c r="F143" t="str">
        <f ca="1"/>
        <v>Josdeyvi Magalhães Russi</v>
      </c>
      <c r="G143">
        <f ca="1"/>
        <v>1</v>
      </c>
      <c r="H143">
        <f ca="1"/>
        <v>9</v>
      </c>
      <c r="I143">
        <f ca="1"/>
        <v>2.6999999999999997</v>
      </c>
      <c r="J143">
        <f ca="1"/>
        <v>11.7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2026-084</v>
      </c>
      <c r="C144" t="str">
        <f ca="1"/>
        <v>A realizar</v>
      </c>
      <c r="D144" t="str">
        <f ca="1"/>
        <v>Oficina EmentAI: o seu assistente de IA na elaboração de ementas jurisprudenciais</v>
      </c>
      <c r="E144">
        <f ca="1"/>
        <v>4</v>
      </c>
      <c r="F144" t="str">
        <f ca="1"/>
        <v>Caio Filipe</v>
      </c>
      <c r="G144">
        <f ca="1"/>
        <v>1</v>
      </c>
      <c r="H144">
        <f ca="1"/>
        <v>4</v>
      </c>
      <c r="I144">
        <f ca="1"/>
        <v>1.2</v>
      </c>
      <c r="J144">
        <f ca="1"/>
        <v>5.2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2026-085</v>
      </c>
      <c r="C145" t="str">
        <f ca="1"/>
        <v>Realizado</v>
      </c>
      <c r="D145" t="str">
        <f ca="1"/>
        <v xml:space="preserve">Introdução à Engenharia de Prompt – T5 </v>
      </c>
      <c r="E145">
        <f ca="1"/>
        <v>8</v>
      </c>
      <c r="F145" t="str">
        <f ca="1"/>
        <v>Arthur Wú</v>
      </c>
      <c r="G145">
        <f ca="1"/>
        <v>2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2026-085</v>
      </c>
      <c r="C146" t="str">
        <f ca="1"/>
        <v>Realizado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Gustavo Takahashi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2026-086</v>
      </c>
      <c r="C147" t="str">
        <f ca="1"/>
        <v>A realizar</v>
      </c>
      <c r="D147" t="str">
        <f ca="1"/>
        <v>Introdução à Engenharia de Prompt – T6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2026-087</v>
      </c>
      <c r="C149" t="str">
        <f ca="1"/>
        <v>Realizado</v>
      </c>
      <c r="D149" t="str">
        <f ca="1"/>
        <v>Café e Tertúlia - Show de Talentos</v>
      </c>
      <c r="E149">
        <f ca="1"/>
        <v>2</v>
      </c>
      <c r="F149" t="str">
        <f ca="1"/>
        <v>Isac Mendes Caixeta de Pamplona Araújo</v>
      </c>
      <c r="G149">
        <f ca="1"/>
        <v>3</v>
      </c>
      <c r="H149">
        <f ca="1"/>
        <v>2</v>
      </c>
      <c r="I149">
        <f ca="1"/>
        <v>0.6</v>
      </c>
      <c r="J149">
        <f ca="1"/>
        <v>2.6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2026-087</v>
      </c>
      <c r="C150" t="str">
        <f ca="1"/>
        <v>Realizado</v>
      </c>
      <c r="D150" t="str">
        <f ca="1"/>
        <v>Café e Tertúlia - Show de Talentos</v>
      </c>
      <c r="E150">
        <f ca="1"/>
        <v>2</v>
      </c>
      <c r="F150" t="str">
        <f ca="1"/>
        <v>Valéria Feitoza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Cinthia Thais de Carvalho Luz Thomazi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2026-092</v>
      </c>
      <c r="C152" t="str">
        <f ca="1"/>
        <v>Em andamento</v>
      </c>
      <c r="D152" t="str">
        <f ca="1"/>
        <v>MROSC para servidores do GDF</v>
      </c>
      <c r="E152">
        <f ca="1"/>
        <v>12</v>
      </c>
      <c r="F152" t="str">
        <f ca="1"/>
        <v>Indio Artiaga do Brasil Rabelo</v>
      </c>
      <c r="G152">
        <f ca="1"/>
        <v>2</v>
      </c>
      <c r="H152">
        <f ca="1"/>
        <v>12</v>
      </c>
      <c r="I152">
        <f ca="1"/>
        <v>3.5999999999999996</v>
      </c>
      <c r="J152">
        <f ca="1"/>
        <v>15.6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2026-092</v>
      </c>
      <c r="C153" t="str">
        <f ca="1"/>
        <v>Em andamento</v>
      </c>
      <c r="D153" t="str">
        <f ca="1"/>
        <v>MROSC para servidores do GDF</v>
      </c>
      <c r="E153">
        <f ca="1"/>
        <v>12</v>
      </c>
      <c r="F153" t="str">
        <f ca="1"/>
        <v>Leonardo de Melo</v>
      </c>
      <c r="G153">
        <f ca="1"/>
        <v>2</v>
      </c>
      <c r="H153">
        <f ca="1"/>
        <v>0</v>
      </c>
      <c r="I153">
        <f ca="1"/>
        <v>0</v>
      </c>
      <c r="J153">
        <f ca="1"/>
        <v>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2026-093</v>
      </c>
      <c r="C154" t="str">
        <f ca="1"/>
        <v>Adiado</v>
      </c>
      <c r="D154" t="str">
        <f ca="1"/>
        <v>Controle Tecnológico de Pavimentos Asfálticos, Auditoria e Análise de Superfaturamento</v>
      </c>
      <c r="E154">
        <f ca="1"/>
        <v>12</v>
      </c>
      <c r="F154" t="str">
        <f ca="1"/>
        <v>Marcelo Silva Santana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2026-093</v>
      </c>
      <c r="C155" t="str">
        <f ca="1"/>
        <v>Adiado</v>
      </c>
      <c r="D155" t="str">
        <f ca="1"/>
        <v>Controle Tecnológico de Pavimentos Asfálticos, Auditoria e Análise de Superfaturamento</v>
      </c>
      <c r="E155">
        <f ca="1"/>
        <v>12</v>
      </c>
      <c r="F155" t="str">
        <f ca="1"/>
        <v>Matheus Viana de Souza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R156" t="str">
        <f ca="1"/>
        <v/>
      </c>
      <c r="S156" t="str">
        <f ca="1"/>
        <v/>
      </c>
    </row>
    <row r="157" spans="1:19" x14ac:dyDescent="0.25">
      <c r="R157" t="str">
        <f ca="1"/>
        <v/>
      </c>
      <c r="S157" t="str">
        <f ca="1"/>
        <v/>
      </c>
    </row>
    <row r="158" spans="1:19" x14ac:dyDescent="0.25">
      <c r="R158" t="str">
        <f ca="1"/>
        <v/>
      </c>
      <c r="S158" t="str">
        <f ca="1"/>
        <v/>
      </c>
    </row>
    <row r="159" spans="1:19" x14ac:dyDescent="0.25"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4" t="s">
        <v>3152</v>
      </c>
      <c r="B1" s="214"/>
      <c r="C1" s="214"/>
      <c r="D1" s="214"/>
      <c r="E1" s="214"/>
      <c r="F1" s="214"/>
      <c r="G1" s="214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5" t="s">
        <v>3153</v>
      </c>
      <c r="B4" s="216"/>
      <c r="D4" s="217" t="s">
        <v>3154</v>
      </c>
      <c r="E4" s="218"/>
      <c r="G4" s="44" t="s">
        <v>3155</v>
      </c>
    </row>
    <row r="5" spans="1:7" ht="54.95" customHeight="1" thickBot="1" x14ac:dyDescent="0.75">
      <c r="A5" s="34">
        <f>COUNTIF('Ações InCompany'!B:B,2026)</f>
        <v>93</v>
      </c>
      <c r="B5" s="35" t="s">
        <v>3156</v>
      </c>
      <c r="D5" s="42">
        <f>COUNTIFS('Ações InCompany'!B:B,2026,'Ações InCompany'!C:C,"Realizado")</f>
        <v>63</v>
      </c>
      <c r="E5" s="43" t="s">
        <v>3156</v>
      </c>
      <c r="G5" s="45">
        <f>COUNTIFS('Ações InCompany'!B:B,2026,'Ações InCompany'!C:C,"A realizar")</f>
        <v>20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2" t="s">
        <v>3157</v>
      </c>
      <c r="B8" s="212"/>
      <c r="D8" s="212" t="s">
        <v>3158</v>
      </c>
      <c r="E8" s="212"/>
    </row>
    <row r="9" spans="1:7" ht="5.0999999999999996" customHeight="1" x14ac:dyDescent="0.25">
      <c r="A9" s="213"/>
      <c r="B9" s="213"/>
      <c r="D9" s="213"/>
      <c r="E9" s="213"/>
    </row>
    <row r="10" spans="1:7" ht="24.95" customHeight="1" x14ac:dyDescent="0.25">
      <c r="A10" s="27" t="s">
        <v>5</v>
      </c>
      <c r="B10" s="27" t="s">
        <v>3159</v>
      </c>
      <c r="D10" s="27" t="s">
        <v>3160</v>
      </c>
      <c r="E10" s="27" t="s">
        <v>3161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25</v>
      </c>
      <c r="D11" s="28" t="s">
        <v>3162</v>
      </c>
      <c r="E11" s="29">
        <f>SUMIFS('Ações InCompany'!O:O,'Ações InCompany'!B:B,2026,'Ações InCompany'!C:C,"Realizado")</f>
        <v>1047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3163</v>
      </c>
      <c r="E12" s="31">
        <f>SUMIFS('Ações InCompany'!P:P,'Ações InCompany'!B:B,2026,'Ações InCompany'!C:C,"Realizado")</f>
        <v>1618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12</v>
      </c>
      <c r="D13" s="28" t="s">
        <v>3164</v>
      </c>
      <c r="E13" s="29">
        <f>SUMIFS('Ações InCompany'!Q:Q,'Ações InCompany'!B:B,2026,'Ações InCompany'!C:C,"Realizado")</f>
        <v>637</v>
      </c>
    </row>
    <row r="14" spans="1:7" ht="27.95" customHeight="1" x14ac:dyDescent="0.3">
      <c r="A14" s="32" t="s">
        <v>3165</v>
      </c>
      <c r="B14" s="33">
        <f>SUM(B11:B13)</f>
        <v>63</v>
      </c>
      <c r="D14" s="32" t="s">
        <v>3166</v>
      </c>
      <c r="E14" s="33">
        <f>SUM(E11:E13)</f>
        <v>3302</v>
      </c>
    </row>
    <row r="30" spans="1:5" ht="17.25" x14ac:dyDescent="0.3">
      <c r="A30" s="212" t="s">
        <v>3167</v>
      </c>
      <c r="B30" s="212"/>
      <c r="C30" s="212"/>
      <c r="D30" s="212"/>
      <c r="E30" s="212"/>
    </row>
    <row r="31" spans="1:5" ht="5.0999999999999996" customHeight="1" x14ac:dyDescent="0.25">
      <c r="A31" s="213"/>
      <c r="B31" s="213"/>
      <c r="C31" s="213"/>
      <c r="D31" s="213"/>
      <c r="E31" s="213"/>
    </row>
    <row r="32" spans="1:5" ht="24.95" customHeight="1" x14ac:dyDescent="0.25">
      <c r="A32" s="27" t="s">
        <v>6</v>
      </c>
      <c r="B32" s="27" t="s">
        <v>3168</v>
      </c>
      <c r="C32" s="27" t="s">
        <v>3169</v>
      </c>
      <c r="D32" s="27" t="s">
        <v>3170</v>
      </c>
      <c r="E32" s="27" t="s">
        <v>3171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21</v>
      </c>
      <c r="E33" s="37">
        <f t="shared" ref="E33:E44" si="1">D33/$D$45</f>
        <v>0.25301204819277107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4.8192771084337352E-2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0.10843373493975904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2.4096385542168676E-2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0.12048192771084337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12</v>
      </c>
      <c r="C38" s="47">
        <f>COUNTIFS('Ações InCompany'!B:B,2026,'Ações InCompany'!C:C,"A realizar",'Ações InCompany'!G:G,A38)</f>
        <v>10</v>
      </c>
      <c r="D38" s="38">
        <f t="shared" si="0"/>
        <v>22</v>
      </c>
      <c r="E38" s="39">
        <f t="shared" si="1"/>
        <v>0.26506024096385544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4.8192771084337352E-2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2.4096385542168676E-2</v>
      </c>
    </row>
    <row r="41" spans="1:5" ht="24" customHeight="1" x14ac:dyDescent="0.25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8.4337349397590355E-2</v>
      </c>
    </row>
    <row r="42" spans="1:5" ht="24" customHeight="1" x14ac:dyDescent="0.25">
      <c r="A42" s="74" t="s">
        <v>3172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2.4096385542168676E-2</v>
      </c>
    </row>
    <row r="44" spans="1:5" ht="24" customHeight="1" x14ac:dyDescent="0.25">
      <c r="A44" s="66" t="s">
        <v>3173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3165</v>
      </c>
      <c r="B45" s="40">
        <f>SUM(B33:B44)</f>
        <v>63</v>
      </c>
      <c r="C45" s="40">
        <f>SUM(C33:C44)</f>
        <v>20</v>
      </c>
      <c r="D45" s="40">
        <f>SUM(D33:D44)</f>
        <v>83</v>
      </c>
      <c r="E45" s="41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3174</v>
      </c>
      <c r="B1" s="11" t="s">
        <v>3175</v>
      </c>
      <c r="C1" s="12" t="s">
        <v>3176</v>
      </c>
      <c r="D1" s="12" t="s">
        <v>3177</v>
      </c>
      <c r="E1" s="12" t="s">
        <v>3178</v>
      </c>
    </row>
    <row r="2" spans="1:5" ht="18" customHeight="1" x14ac:dyDescent="0.25">
      <c r="A2" s="11" t="s">
        <v>3179</v>
      </c>
      <c r="B2" s="11" t="s">
        <v>3180</v>
      </c>
      <c r="C2" s="11" t="s">
        <v>1736</v>
      </c>
      <c r="D2" s="11" t="s">
        <v>3181</v>
      </c>
      <c r="E2" s="11" t="s">
        <v>3182</v>
      </c>
    </row>
    <row r="3" spans="1:5" ht="18" customHeight="1" x14ac:dyDescent="0.25">
      <c r="A3" s="11" t="s">
        <v>3179</v>
      </c>
      <c r="B3" s="11" t="s">
        <v>3180</v>
      </c>
      <c r="C3" s="13" t="s">
        <v>25</v>
      </c>
      <c r="D3" s="11" t="s">
        <v>3183</v>
      </c>
      <c r="E3" s="11" t="s">
        <v>3184</v>
      </c>
    </row>
    <row r="4" spans="1:5" ht="18" customHeight="1" x14ac:dyDescent="0.25">
      <c r="A4" s="11" t="s">
        <v>3179</v>
      </c>
      <c r="B4" s="11" t="s">
        <v>3180</v>
      </c>
      <c r="C4" s="11" t="s">
        <v>75</v>
      </c>
      <c r="D4" s="11" t="s">
        <v>3181</v>
      </c>
      <c r="E4" s="11" t="s">
        <v>3185</v>
      </c>
    </row>
    <row r="5" spans="1:5" ht="18" customHeight="1" x14ac:dyDescent="0.25">
      <c r="A5" s="11" t="s">
        <v>3179</v>
      </c>
      <c r="B5" s="11" t="s">
        <v>3180</v>
      </c>
      <c r="C5" s="11" t="s">
        <v>79</v>
      </c>
      <c r="D5" s="11" t="s">
        <v>3186</v>
      </c>
      <c r="E5" s="11" t="s">
        <v>3187</v>
      </c>
    </row>
    <row r="6" spans="1:5" ht="18" customHeight="1" x14ac:dyDescent="0.25">
      <c r="A6" s="11" t="s">
        <v>3179</v>
      </c>
      <c r="B6" s="11" t="s">
        <v>3180</v>
      </c>
      <c r="C6" s="11" t="s">
        <v>2717</v>
      </c>
      <c r="D6" s="11" t="s">
        <v>3188</v>
      </c>
      <c r="E6" s="11" t="s">
        <v>3189</v>
      </c>
    </row>
    <row r="7" spans="1:5" ht="18" customHeight="1" x14ac:dyDescent="0.25">
      <c r="A7" s="11" t="s">
        <v>3179</v>
      </c>
      <c r="B7" s="11" t="s">
        <v>3190</v>
      </c>
      <c r="C7" s="11" t="s">
        <v>36</v>
      </c>
      <c r="D7" s="11" t="s">
        <v>3191</v>
      </c>
      <c r="E7" s="11" t="s">
        <v>3192</v>
      </c>
    </row>
    <row r="8" spans="1:5" ht="18" customHeight="1" x14ac:dyDescent="0.25">
      <c r="A8" s="11" t="s">
        <v>3179</v>
      </c>
      <c r="B8" s="11" t="s">
        <v>3190</v>
      </c>
      <c r="C8" s="11" t="s">
        <v>42</v>
      </c>
      <c r="D8" s="11" t="s">
        <v>3193</v>
      </c>
      <c r="E8" s="11" t="s">
        <v>3194</v>
      </c>
    </row>
    <row r="9" spans="1:5" ht="18" customHeight="1" x14ac:dyDescent="0.25">
      <c r="A9" s="11" t="s">
        <v>3179</v>
      </c>
      <c r="B9" s="11" t="s">
        <v>3195</v>
      </c>
      <c r="C9" s="11" t="s">
        <v>464</v>
      </c>
      <c r="D9" s="11" t="s">
        <v>3196</v>
      </c>
      <c r="E9" s="11" t="s">
        <v>3197</v>
      </c>
    </row>
    <row r="10" spans="1:5" ht="18" customHeight="1" x14ac:dyDescent="0.25">
      <c r="A10" s="11" t="s">
        <v>3179</v>
      </c>
      <c r="B10" s="11" t="s">
        <v>3195</v>
      </c>
      <c r="C10" s="11" t="s">
        <v>206</v>
      </c>
      <c r="D10" s="11" t="s">
        <v>24</v>
      </c>
      <c r="E10" s="11" t="s">
        <v>3198</v>
      </c>
    </row>
    <row r="11" spans="1:5" ht="18" customHeight="1" x14ac:dyDescent="0.25">
      <c r="A11" s="11" t="s">
        <v>3179</v>
      </c>
      <c r="B11" s="11" t="s">
        <v>3195</v>
      </c>
      <c r="C11" s="11" t="s">
        <v>371</v>
      </c>
      <c r="D11" s="11" t="s">
        <v>24</v>
      </c>
      <c r="E11" s="11" t="s">
        <v>3199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3200</v>
      </c>
      <c r="B1" s="5" t="s">
        <v>10</v>
      </c>
      <c r="C1" s="14" t="s">
        <v>3201</v>
      </c>
      <c r="D1" s="14" t="s">
        <v>3123</v>
      </c>
    </row>
    <row r="2" spans="1:4" ht="21" customHeight="1" x14ac:dyDescent="0.25">
      <c r="A2" s="102" t="s">
        <v>24</v>
      </c>
      <c r="B2" s="102" t="s">
        <v>38</v>
      </c>
      <c r="C2" s="11" t="s">
        <v>3202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3203</v>
      </c>
      <c r="D3" s="11" t="s">
        <v>2696</v>
      </c>
    </row>
    <row r="4" spans="1:4" ht="21" customHeight="1" x14ac:dyDescent="0.25">
      <c r="A4" s="13" t="s">
        <v>88</v>
      </c>
      <c r="B4" s="102" t="s">
        <v>227</v>
      </c>
      <c r="D4" s="11" t="s">
        <v>3204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3205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3174</v>
      </c>
      <c r="B1" s="11" t="s">
        <v>3175</v>
      </c>
      <c r="C1" s="12" t="s">
        <v>3176</v>
      </c>
      <c r="D1" s="12" t="s">
        <v>3177</v>
      </c>
      <c r="E1" s="12" t="s">
        <v>3178</v>
      </c>
    </row>
    <row r="2" spans="1:5" ht="18" customHeight="1" x14ac:dyDescent="0.25">
      <c r="A2" s="11" t="s">
        <v>3206</v>
      </c>
      <c r="B2" s="11" t="s">
        <v>3180</v>
      </c>
      <c r="C2" s="13" t="s">
        <v>25</v>
      </c>
      <c r="D2" s="11" t="s">
        <v>3181</v>
      </c>
      <c r="E2" s="16" t="s">
        <v>3207</v>
      </c>
    </row>
    <row r="3" spans="1:5" ht="18" customHeight="1" x14ac:dyDescent="0.25">
      <c r="A3" s="11" t="s">
        <v>3206</v>
      </c>
      <c r="B3" s="11" t="s">
        <v>3180</v>
      </c>
      <c r="C3" s="11" t="s">
        <v>75</v>
      </c>
      <c r="D3" s="11" t="s">
        <v>3183</v>
      </c>
      <c r="E3" s="11" t="s">
        <v>3208</v>
      </c>
    </row>
    <row r="4" spans="1:5" ht="18" customHeight="1" x14ac:dyDescent="0.25">
      <c r="A4" s="11" t="s">
        <v>3206</v>
      </c>
      <c r="B4" s="11" t="s">
        <v>3180</v>
      </c>
      <c r="C4" s="11" t="s">
        <v>79</v>
      </c>
      <c r="D4" s="11" t="s">
        <v>3186</v>
      </c>
      <c r="E4" s="11" t="s">
        <v>3209</v>
      </c>
    </row>
    <row r="5" spans="1:5" ht="27.75" customHeight="1" x14ac:dyDescent="0.25">
      <c r="A5" s="11" t="s">
        <v>3206</v>
      </c>
      <c r="B5" s="11" t="s">
        <v>3180</v>
      </c>
      <c r="C5" s="11" t="s">
        <v>2693</v>
      </c>
      <c r="D5" s="16" t="s">
        <v>3210</v>
      </c>
      <c r="E5" s="11" t="s">
        <v>3211</v>
      </c>
    </row>
    <row r="6" spans="1:5" ht="18" customHeight="1" x14ac:dyDescent="0.25">
      <c r="A6" s="11" t="s">
        <v>3206</v>
      </c>
      <c r="B6" s="11" t="s">
        <v>3180</v>
      </c>
      <c r="C6" s="11" t="s">
        <v>2717</v>
      </c>
      <c r="D6" s="11" t="s">
        <v>3188</v>
      </c>
      <c r="E6" s="11" t="s">
        <v>3189</v>
      </c>
    </row>
    <row r="7" spans="1:5" ht="18" customHeight="1" x14ac:dyDescent="0.25">
      <c r="A7" s="11" t="s">
        <v>3206</v>
      </c>
      <c r="B7" s="11" t="s">
        <v>3190</v>
      </c>
      <c r="C7" s="11" t="s">
        <v>2699</v>
      </c>
      <c r="D7" s="11" t="s">
        <v>3212</v>
      </c>
      <c r="E7" s="11" t="s">
        <v>3213</v>
      </c>
    </row>
    <row r="8" spans="1:5" ht="18" customHeight="1" x14ac:dyDescent="0.25">
      <c r="A8" s="11" t="s">
        <v>3206</v>
      </c>
      <c r="B8" s="11" t="s">
        <v>3190</v>
      </c>
      <c r="C8" s="11" t="s">
        <v>42</v>
      </c>
      <c r="D8" s="11" t="s">
        <v>3193</v>
      </c>
      <c r="E8" s="11" t="s">
        <v>3194</v>
      </c>
    </row>
    <row r="9" spans="1:5" ht="18" customHeight="1" x14ac:dyDescent="0.25">
      <c r="A9" s="11" t="s">
        <v>3206</v>
      </c>
      <c r="B9" s="11" t="s">
        <v>3190</v>
      </c>
      <c r="C9" s="11" t="s">
        <v>2792</v>
      </c>
      <c r="D9" s="11" t="s">
        <v>3214</v>
      </c>
      <c r="E9" s="16" t="s">
        <v>3215</v>
      </c>
    </row>
    <row r="10" spans="1:5" ht="18" customHeight="1" x14ac:dyDescent="0.25">
      <c r="A10" s="11" t="s">
        <v>3206</v>
      </c>
      <c r="B10" s="11" t="s">
        <v>3216</v>
      </c>
      <c r="C10" s="11" t="s">
        <v>3172</v>
      </c>
      <c r="D10" s="11" t="s">
        <v>3217</v>
      </c>
      <c r="E10" s="16" t="s">
        <v>3218</v>
      </c>
    </row>
    <row r="11" spans="1:5" ht="18" customHeight="1" x14ac:dyDescent="0.25">
      <c r="A11" s="11" t="s">
        <v>3206</v>
      </c>
      <c r="B11" s="11" t="s">
        <v>3216</v>
      </c>
      <c r="C11" s="11" t="s">
        <v>206</v>
      </c>
      <c r="D11" s="11" t="s">
        <v>24</v>
      </c>
      <c r="E11" s="11" t="s">
        <v>3198</v>
      </c>
    </row>
    <row r="12" spans="1:5" ht="18" customHeight="1" x14ac:dyDescent="0.25">
      <c r="A12" s="11" t="s">
        <v>3206</v>
      </c>
      <c r="B12" s="11" t="s">
        <v>3216</v>
      </c>
      <c r="C12" s="11" t="s">
        <v>371</v>
      </c>
      <c r="D12" s="11" t="s">
        <v>24</v>
      </c>
      <c r="E12" s="11" t="s">
        <v>3199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9" t="s">
        <v>3219</v>
      </c>
      <c r="B1" s="219"/>
      <c r="C1" s="219"/>
      <c r="D1" s="219"/>
      <c r="E1" s="219"/>
      <c r="F1" s="219"/>
      <c r="G1" s="219"/>
      <c r="H1" s="219"/>
    </row>
    <row r="2" spans="1:8" x14ac:dyDescent="0.25">
      <c r="A2" s="48" t="s">
        <v>3220</v>
      </c>
    </row>
    <row r="4" spans="1:8" ht="21.95" customHeight="1" x14ac:dyDescent="0.25">
      <c r="A4" s="220" t="s">
        <v>3221</v>
      </c>
      <c r="B4" s="221"/>
      <c r="D4" s="220" t="s">
        <v>3222</v>
      </c>
      <c r="E4" s="221"/>
      <c r="G4" s="220" t="s">
        <v>3223</v>
      </c>
      <c r="H4" s="221"/>
    </row>
    <row r="5" spans="1:8" ht="35.1" customHeight="1" x14ac:dyDescent="0.25">
      <c r="A5" s="224">
        <f>COUNTIF('Ações InCompany'!E:E,"*maratona*")</f>
        <v>13</v>
      </c>
      <c r="B5" s="223"/>
      <c r="D5" s="222">
        <f>SUM(H8:H100)</f>
        <v>1762</v>
      </c>
      <c r="E5" s="223"/>
      <c r="G5" s="222">
        <f>IFERROR(ROUND(D5/A5,0),"-")</f>
        <v>136</v>
      </c>
      <c r="H5" s="223"/>
    </row>
    <row r="6" spans="1:8" ht="9.9499999999999993" customHeight="1" x14ac:dyDescent="0.25"/>
    <row r="7" spans="1:8" ht="24.95" customHeight="1" thickBot="1" x14ac:dyDescent="0.3">
      <c r="A7" s="61" t="s">
        <v>3224</v>
      </c>
      <c r="B7" s="61" t="s">
        <v>3225</v>
      </c>
      <c r="C7" s="61" t="s">
        <v>1</v>
      </c>
      <c r="D7" s="61" t="s">
        <v>3226</v>
      </c>
      <c r="E7" s="61" t="s">
        <v>3227</v>
      </c>
      <c r="F7" s="61" t="s">
        <v>3123</v>
      </c>
      <c r="G7" s="61" t="s">
        <v>5</v>
      </c>
      <c r="H7" s="61" t="s">
        <v>3228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5" t="s">
        <v>3229</v>
      </c>
      <c r="B1" s="225"/>
      <c r="C1" s="225"/>
      <c r="D1" s="225"/>
      <c r="E1" s="225"/>
      <c r="F1" s="225"/>
    </row>
    <row r="2" spans="1:7" x14ac:dyDescent="0.25">
      <c r="A2" s="226" t="s">
        <v>3230</v>
      </c>
      <c r="B2" s="226"/>
      <c r="C2" s="226"/>
      <c r="D2" s="226"/>
      <c r="E2" s="226"/>
      <c r="F2" s="226"/>
    </row>
    <row r="4" spans="1:7" x14ac:dyDescent="0.25">
      <c r="A4" s="24" t="s">
        <v>19</v>
      </c>
      <c r="B4" s="24" t="s">
        <v>3126</v>
      </c>
      <c r="C4" s="24" t="s">
        <v>3127</v>
      </c>
      <c r="D4" s="24" t="s">
        <v>3231</v>
      </c>
      <c r="E4" s="24" t="s">
        <v>3128</v>
      </c>
      <c r="F4" s="24" t="s">
        <v>3232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 x14ac:dyDescent="0.25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 x14ac:dyDescent="0.25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 x14ac:dyDescent="0.25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 x14ac:dyDescent="0.25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 x14ac:dyDescent="0.25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 x14ac:dyDescent="0.25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 x14ac:dyDescent="0.25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 x14ac:dyDescent="0.25">
      <c r="A17" t="str">
        <f ca="1"/>
        <v>Cinthia Thais de Carvalho Luz Thomazi</v>
      </c>
      <c r="B17" s="25">
        <f ca="1">IF($A17="","",SUMIFS('GECC 2026'!H$2:H$200,'GECC 2026'!F$2:F$200,$A17))</f>
        <v>47</v>
      </c>
      <c r="C17" s="25">
        <f ca="1">IF($A17="","",SUMIFS('GECC 2026'!I$2:I$200,'GECC 2026'!F$2:F$200,$A17))</f>
        <v>10.499999999999998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57.500000000000014</v>
      </c>
      <c r="F17" s="23">
        <f ca="1">IF($A17="","",COUNTIFS('GECC 2026'!F$2:F$200,$A17))</f>
        <v>11</v>
      </c>
    </row>
    <row r="18" spans="1:6" x14ac:dyDescent="0.25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 x14ac:dyDescent="0.25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 x14ac:dyDescent="0.25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 x14ac:dyDescent="0.25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 x14ac:dyDescent="0.25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 x14ac:dyDescent="0.25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 x14ac:dyDescent="0.25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 x14ac:dyDescent="0.25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 x14ac:dyDescent="0.25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 x14ac:dyDescent="0.25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 x14ac:dyDescent="0.25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 x14ac:dyDescent="0.25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 x14ac:dyDescent="0.25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 x14ac:dyDescent="0.25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 x14ac:dyDescent="0.25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 x14ac:dyDescent="0.25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 x14ac:dyDescent="0.25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 x14ac:dyDescent="0.25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 x14ac:dyDescent="0.25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 x14ac:dyDescent="0.25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 x14ac:dyDescent="0.25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 x14ac:dyDescent="0.25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 x14ac:dyDescent="0.25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 x14ac:dyDescent="0.25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 x14ac:dyDescent="0.25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Marcelo Silva Santana</v>
      </c>
      <c r="B45" s="25">
        <f ca="1">IF($A45="","",SUMIFS('GECC 2026'!H$2:H$200,'GECC 2026'!F$2:F$200,$A45))</f>
        <v>24</v>
      </c>
      <c r="C45" s="25">
        <f ca="1">IF($A45="","",SUMIFS('GECC 2026'!I$2:I$200,'GECC 2026'!F$2:F$200,$A45))</f>
        <v>5.0399999999999991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29.04</v>
      </c>
      <c r="F45" s="23">
        <f ca="1">IF($A45="","",COUNTIFS('GECC 2026'!F$2:F$200,$A45))</f>
        <v>3</v>
      </c>
    </row>
    <row r="46" spans="1:6" x14ac:dyDescent="0.25">
      <c r="A46" t="str">
        <f ca="1"/>
        <v>Matheus Viana de Souza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0</v>
      </c>
      <c r="F46" s="23">
        <f ca="1">IF($A46="","",COUNTIFS('GECC 2026'!F$2:F$200,$A46))</f>
        <v>1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88</v>
      </c>
      <c r="C59" s="25">
        <f ca="1">IF($A59="","",SUMIFS('GECC 2026'!I$2:I$200,'GECC 2026'!F$2:F$200,$A59))</f>
        <v>83.6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171.6</v>
      </c>
      <c r="F59" s="23">
        <f ca="1">IF($A59="","",COUNTIFS('GECC 2026'!F$2:F$200,$A59))</f>
        <v>7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9</v>
      </c>
      <c r="C61" s="25">
        <f ca="1">IF($A61="","",SUMIFS('GECC 2026'!I$2:I$200,'GECC 2026'!F$2:F$200,$A61))</f>
        <v>2.6999999999999997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11.7</v>
      </c>
      <c r="F61" s="23">
        <f ca="1">IF($A61="","",COUNTIFS('GECC 2026'!F$2:F$200,$A61))</f>
        <v>3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2</v>
      </c>
      <c r="C62" s="25">
        <f ca="1">IF($A62="","",SUMIFS('GECC 2026'!I$2:I$200,'GECC 2026'!F$2:F$200,$A62))</f>
        <v>0.6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2.6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3166</v>
      </c>
      <c r="B105" s="94">
        <f ca="1">SUM(B5:B100)</f>
        <v>884</v>
      </c>
      <c r="C105" s="94">
        <f ca="1">SUM(C5:C100)</f>
        <v>393.54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3233</v>
      </c>
      <c r="B1" s="117" t="s">
        <v>3234</v>
      </c>
      <c r="C1" s="117" t="s">
        <v>3235</v>
      </c>
      <c r="D1" s="117" t="s">
        <v>3236</v>
      </c>
      <c r="E1" s="117" t="s">
        <v>3237</v>
      </c>
      <c r="F1" s="117" t="s">
        <v>3238</v>
      </c>
      <c r="G1" s="117" t="s">
        <v>10</v>
      </c>
      <c r="H1" s="117" t="s">
        <v>3239</v>
      </c>
      <c r="I1" s="117" t="s">
        <v>3240</v>
      </c>
      <c r="J1" s="117" t="s">
        <v>3241</v>
      </c>
      <c r="K1" s="117" t="s">
        <v>3242</v>
      </c>
      <c r="L1" s="117" t="s">
        <v>3243</v>
      </c>
      <c r="N1" s="117" t="s">
        <v>3244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3245</v>
      </c>
      <c r="L2" t="str">
        <f>IF(K2="","",IFERROR(INDEX(Tabela2[Curso],MATCH(K2,Tabela2[ID],0)),""))</f>
        <v/>
      </c>
      <c r="N2" s="117" t="s">
        <v>3122</v>
      </c>
      <c r="O2" s="117" t="s">
        <v>4</v>
      </c>
      <c r="P2" s="117" t="s">
        <v>3246</v>
      </c>
      <c r="Q2" s="117" t="s">
        <v>3247</v>
      </c>
      <c r="R2" s="117" t="s">
        <v>3248</v>
      </c>
      <c r="S2" s="117" t="s">
        <v>3249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3245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3245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3245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3245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3245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3245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3245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3245</v>
      </c>
      <c r="L10" t="str">
        <f>IF(K10="","",IFERROR(INDEX(Tabela2[Curso],MATCH(K10,Tabela2[ID],0)),""))</f>
        <v/>
      </c>
      <c r="N10" s="111" t="s">
        <v>3250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3245</v>
      </c>
      <c r="L11" t="str">
        <f>IF(K11="","",IFERROR(INDEX(Tabela2[Curso],MATCH(K11,Tabela2[ID],0)),""))</f>
        <v/>
      </c>
      <c r="N11" s="210" t="s">
        <v>3251</v>
      </c>
      <c r="O11" s="210" t="s">
        <v>3252</v>
      </c>
      <c r="P11" s="210" t="s">
        <v>3253</v>
      </c>
      <c r="Q11" s="210" t="s">
        <v>3236</v>
      </c>
      <c r="R11" s="210" t="s">
        <v>3237</v>
      </c>
      <c r="S11" s="210" t="s">
        <v>3254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3245</v>
      </c>
      <c r="L12" t="str">
        <f>IF(K12="","",IFERROR(INDEX(Tabela2[Curso],MATCH(K12,Tabela2[ID],0)),""))</f>
        <v/>
      </c>
      <c r="N12" t="s">
        <v>3255</v>
      </c>
      <c r="O12" t="s">
        <v>2753</v>
      </c>
      <c r="P12" t="s">
        <v>3256</v>
      </c>
      <c r="Q12">
        <v>0</v>
      </c>
      <c r="R12">
        <v>0</v>
      </c>
      <c r="S12" t="s">
        <v>3257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3245</v>
      </c>
      <c r="L13" t="str">
        <f>IF(K13="","",IFERROR(INDEX(Tabela2[Curso],MATCH(K13,Tabela2[ID],0)),""))</f>
        <v/>
      </c>
      <c r="N13" t="s">
        <v>3258</v>
      </c>
      <c r="O13" t="s">
        <v>2685</v>
      </c>
      <c r="P13" t="s">
        <v>3259</v>
      </c>
      <c r="Q13">
        <v>0</v>
      </c>
      <c r="R13">
        <v>0</v>
      </c>
      <c r="S13" t="s">
        <v>3260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3245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3245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3245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3245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3245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3245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3245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3245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3245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3245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3245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3245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3245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3245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3245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3245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3245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3245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3245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3245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3245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3245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3245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3245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3245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3245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3245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3245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3245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3245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3245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3245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3245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3245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3245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3245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3245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3245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3245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3245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3245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3245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3245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3245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3245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3245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3245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3245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3245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3245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3245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3245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documentManagement/types"/>
    <ds:schemaRef ds:uri="http://purl.org/dc/elements/1.1/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2026-09-30T17:23:37Z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