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8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46" documentId="13_ncr:1_{6A2CC3E2-FAFB-4D8F-B284-5E8FB5045DFE}" xr6:coauthVersionLast="47" xr6:coauthVersionMax="47" xr10:uidLastSave="{F3AA69E7-B0C9-49B5-A622-4BC3340FBB5F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l="1" a="1"/>
  <c r="T4" i="20" s="1"/>
  <c r="A2" i="20" l="1" a="1"/>
  <c r="A5" i="23" l="1" a="1"/>
  <c r="E105" i="23"/>
  <c r="A2" i="20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A5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<sst xmlns="http://schemas.openxmlformats.org/spreadsheetml/2006/main" count="7258" uniqueCount="3189">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</sst>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19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13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8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Curso de formação para gestores e fiscais de Contrato em equipamentos nas unidades hospitalares - T2"/>
        <filter val="Curso de formação para gestores e fiscais de Contrato em equipamentos nas unidades hospitalares - T3"/>
        <filter val="Gestão e Fiscalização de Contratos de Equipamentos Médico Hospitalares e Serviços de Manutenção"/>
        <filter val="Regularidade nos Processo de Aquisição / Manutenção de Equipamentos médico-hospitalares – Termos de Referência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93" activePane="bottomLeft" state="frozen"/>
      <selection pane="bottomLeft" activeCell="E2015" sqref="E2015"/>
    </sheetView>
  </sheetViews>
  <sheetFormatPr defaultColWidth="9.140625" defaultRowHeight="22.5" customHeight="1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hidden="1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9.4</v>
      </c>
      <c r="T662" s="186" t="s">
        <v>2715</v>
      </c>
    </row>
    <row r="663" spans="1:20" ht="30" hidden="1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hidden="1">
      <c r="A679" s="191" t="s">
        <v>2785</v>
      </c>
      <c r="B679" s="127">
        <v>2026</v>
      </c>
      <c r="C679" s="193" t="s">
        <v>2566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hidden="1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hidden="1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hidden="1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hidden="1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hidden="1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hidden="1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2715</v>
      </c>
    </row>
    <row r="705" spans="1:21" ht="15">
      <c r="A705" s="191" t="s">
        <v>2893</v>
      </c>
      <c r="B705" s="152">
        <v>2026</v>
      </c>
      <c r="C705" s="183" t="s">
        <v>2697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>
      <c r="A707" s="191" t="s">
        <v>2901</v>
      </c>
      <c r="B707" s="152">
        <v>2026</v>
      </c>
      <c r="C707" s="183" t="s">
        <v>2697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2994</v>
      </c>
      <c r="H1" s="213" t="s">
        <v>2995</v>
      </c>
    </row>
    <row r="2" spans="1:8">
      <c r="H2" s="212" t="s">
        <v>2996</v>
      </c>
    </row>
    <row r="3" spans="1:8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9.4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9.4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18.8</v>
      </c>
      <c r="J17" s="22">
        <f ca="1"/>
        <v>18.8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Em andamento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Em andamento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Em andamento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1</v>
      </c>
      <c r="AA48">
        <v>0.3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18.8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A realizar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A realizar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A realizar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>
      <c r="R119" t="str">
        <f ca="1"/>
        <v/>
      </c>
      <c r="S119" t="str">
        <f ca="1"/>
        <v/>
      </c>
    </row>
    <row r="120" spans="1:19">
      <c r="R120" t="str">
        <f ca="1"/>
        <v/>
      </c>
      <c r="S120" t="str">
        <f ca="1"/>
        <v/>
      </c>
    </row>
    <row r="121" spans="1:19"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7" t="s">
        <v>3081</v>
      </c>
      <c r="B1" s="227"/>
      <c r="C1" s="227"/>
      <c r="D1" s="227"/>
      <c r="E1" s="227"/>
      <c r="F1" s="227"/>
      <c r="G1" s="227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8" t="s">
        <v>3082</v>
      </c>
      <c r="B4" s="229"/>
      <c r="D4" s="230" t="s">
        <v>3083</v>
      </c>
      <c r="E4" s="231"/>
      <c r="G4" s="45" t="s">
        <v>3084</v>
      </c>
    </row>
    <row r="5" spans="1:7" ht="54.95" customHeight="1" thickBot="1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46</v>
      </c>
      <c r="E5" s="44" t="s">
        <v>3085</v>
      </c>
      <c r="G5" s="46">
        <f>COUNTIFS('Ações InCompany'!B:B,2026,'Ações InCompany'!C:C,"A realizar")</f>
        <v>31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6" t="s">
        <v>3086</v>
      </c>
      <c r="B8" s="226"/>
      <c r="D8" s="226" t="s">
        <v>3087</v>
      </c>
      <c r="E8" s="226"/>
    </row>
    <row r="9" spans="1:7" ht="5.0999999999999996" customHeight="1">
      <c r="A9" s="238"/>
      <c r="B9" s="238"/>
      <c r="D9" s="238"/>
      <c r="E9" s="238"/>
    </row>
    <row r="10" spans="1:7" ht="24.95" customHeight="1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550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19</v>
      </c>
      <c r="D12" s="31" t="s">
        <v>3092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490</v>
      </c>
    </row>
    <row r="14" spans="1:7" ht="27.95" customHeight="1">
      <c r="A14" s="33" t="s">
        <v>3094</v>
      </c>
      <c r="B14" s="34">
        <f>SUM(B11:B13)</f>
        <v>44</v>
      </c>
      <c r="D14" s="33" t="s">
        <v>3095</v>
      </c>
      <c r="E14" s="34">
        <f>SUM(E11:E13)</f>
        <v>1848</v>
      </c>
    </row>
    <row r="30" spans="1:5" ht="17.25">
      <c r="A30" s="226" t="s">
        <v>3096</v>
      </c>
      <c r="B30" s="226"/>
      <c r="C30" s="226"/>
      <c r="D30" s="226"/>
      <c r="E30" s="226"/>
    </row>
    <row r="31" spans="1:5" ht="5.0999999999999996" customHeight="1">
      <c r="A31" s="238"/>
      <c r="B31" s="238"/>
      <c r="C31" s="238"/>
      <c r="D31" s="238"/>
      <c r="E31" s="238"/>
    </row>
    <row r="32" spans="1:5" ht="24.95" customHeight="1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13</v>
      </c>
      <c r="C33" s="47">
        <f>COUNTIFS('Ações InCompany'!B:B,2026,'Ações InCompany'!C:C,"A realizar",'Ações InCompany'!G:G,A33)</f>
        <v>8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3094</v>
      </c>
      <c r="B45" s="41">
        <f>SUM(B33:B44)</f>
        <v>46</v>
      </c>
      <c r="C45" s="41">
        <f>SUM(C33:C44)</f>
        <v>31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2791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2" t="s">
        <v>3147</v>
      </c>
      <c r="B1" s="232"/>
      <c r="C1" s="232"/>
      <c r="D1" s="232"/>
      <c r="E1" s="232"/>
      <c r="F1" s="232"/>
      <c r="G1" s="232"/>
      <c r="H1" s="232"/>
    </row>
    <row r="2" spans="1:8">
      <c r="A2" s="49" t="s">
        <v>3148</v>
      </c>
    </row>
    <row r="4" spans="1:8" ht="21.95" customHeight="1">
      <c r="A4" s="233" t="s">
        <v>3149</v>
      </c>
      <c r="B4" s="234"/>
      <c r="D4" s="233" t="s">
        <v>3150</v>
      </c>
      <c r="E4" s="234"/>
      <c r="G4" s="233" t="s">
        <v>3151</v>
      </c>
      <c r="H4" s="234"/>
    </row>
    <row r="5" spans="1:8" ht="35.1" customHeight="1">
      <c r="A5" s="237">
        <f>COUNTIF('Ações InCompany'!E:E,"*maratona*")</f>
        <v>13</v>
      </c>
      <c r="B5" s="236"/>
      <c r="D5" s="235">
        <f>SUM(H8:H100)</f>
        <v>1762</v>
      </c>
      <c r="E5" s="236"/>
      <c r="G5" s="235">
        <f>IFERROR(ROUND(D5/A5,0),"-")</f>
        <v>136</v>
      </c>
      <c r="H5" s="236"/>
    </row>
    <row r="6" spans="1:8" ht="9.9499999999999993" customHeight="1"/>
    <row r="7" spans="1:8" ht="24.95" customHeight="1" thickBot="1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9" t="s">
        <v>3157</v>
      </c>
      <c r="B1" s="239"/>
      <c r="C1" s="239"/>
      <c r="D1" s="239"/>
      <c r="E1" s="239"/>
      <c r="F1" s="239"/>
    </row>
    <row r="2" spans="1:7">
      <c r="A2" s="240" t="s">
        <v>3158</v>
      </c>
      <c r="B2" s="240"/>
      <c r="C2" s="240"/>
      <c r="D2" s="240"/>
      <c r="E2" s="240"/>
      <c r="F2" s="240"/>
    </row>
    <row r="4" spans="1:7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23.599999999999998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39.6</v>
      </c>
      <c r="F22" s="24">
        <f ca="1">IF($A22="","",COUNTIFS('GECC 2026'!F$2:F$200,$A22))</f>
        <v>3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3095</v>
      </c>
      <c r="B105" s="95">
        <f ca="1">SUM(B5:B100)</f>
        <v>705</v>
      </c>
      <c r="C105" s="95">
        <f ca="1">SUM(C5:C100)</f>
        <v>331.34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18.8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C07A846-7927-4130-BFB7-172DFD21A058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Rafaela Da Ponte Sousa</cp:lastModifiedBy>
  <cp:revision/>
  <dcterms:created xsi:type="dcterms:W3CDTF">2024-04-02T18:43:15Z</dcterms:created>
  <dcterms:modified xsi:type="dcterms:W3CDTF">2026-08-14T15:12:05Z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