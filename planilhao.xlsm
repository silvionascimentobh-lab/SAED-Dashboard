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49" documentId="8_{454372C2-A99E-4E47-A759-72B38925853E}" xr6:coauthVersionLast="47" xr6:coauthVersionMax="47" xr10:uidLastSave="{EE622D38-4E3C-42BA-8365-19199B76A1D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8" i="29" l="1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<sst xmlns="http://schemas.openxmlformats.org/spreadsheetml/2006/main" count="7133" uniqueCount="3162">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</sst>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1" dataDxfId="3" totalsRowDxfId="50" totalsRowBorderDxfId="49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23" totalsRowDxfId="48"/>
    <tableColumn id="2" xr3:uid="{19532738-24D5-4BD5-BE04-C19DCC5894A1}" name="Ano" dataDxfId="22" totalsRowDxfId="47"/>
    <tableColumn id="3" xr3:uid="{8DE0B36A-F0DC-47A1-A74E-F4BE63A4FB1D}" name="Status Evento" dataDxfId="21" totalsRowDxfId="46"/>
    <tableColumn id="4" xr3:uid="{C1159FBD-CCD0-4CA2-BB8C-598E3AB5DDD8}" name="Processo" dataDxfId="20" totalsRowDxfId="45"/>
    <tableColumn id="5" xr3:uid="{A32670A4-BE4F-480D-8DE9-8FF18024C829}" name="Curso" dataDxfId="19" totalsRowDxfId="44"/>
    <tableColumn id="8" xr3:uid="{905DEA0A-D099-47EA-972D-1012D71C7792}" name="Público-Alvo" dataDxfId="18" totalsRowDxfId="43"/>
    <tableColumn id="9" xr3:uid="{7DC0A0BE-8030-47CA-AF56-2C13C9FF7AE5}" name="Programa" dataDxfId="17" totalsRowDxfId="42"/>
    <tableColumn id="11" xr3:uid="{2B799ACD-69E4-46A5-9A4F-F7E3D7A47CE9}" name="Data TXT" dataDxfId="16" totalsRowDxfId="41"/>
    <tableColumn id="12" xr3:uid="{62016C67-3729-4C41-B72D-09D6616B7474}" name="Início" dataDxfId="15" totalsRowDxfId="40"/>
    <tableColumn id="13" xr3:uid="{E4F20518-0042-40C0-B590-B7616F2843A5}" name="Término" dataDxfId="14" totalsRowDxfId="39"/>
    <tableColumn id="14" xr3:uid="{4D6C4412-CFEE-4506-830E-F79FD008371B}" name="Modalidade" dataDxfId="13" totalsRowDxfId="38"/>
    <tableColumn id="15" xr3:uid="{12EC931A-E71B-4AEB-B20B-0F9EA63D0C71}" name="Valor instrutoria" dataDxfId="12" totalsRowDxfId="37" dataCellStyle="Moeda"/>
    <tableColumn id="17" xr3:uid="{8FCDFADA-4FA3-41E0-86FF-E623116BAFEB}" name="Nota Av. Reação" dataDxfId="11" totalsRowDxfId="36"/>
    <tableColumn id="19" xr3:uid="{316EB379-BB97-4F60-9566-576B25A26B0E}" name="Qtd Vagas" dataDxfId="10" totalsRowDxfId="35"/>
    <tableColumn id="20" xr3:uid="{59A9FB16-6726-411C-88B5-8165DD520DA3}" name="P. Servidores" dataDxfId="9" totalsRowDxfId="34"/>
    <tableColumn id="21" xr3:uid="{0246E091-ADCD-4F62-8F95-84B21E8A7BE1}" name="P. Jurisdicionados" dataDxfId="8" totalsRowDxfId="33"/>
    <tableColumn id="22" xr3:uid="{1B6DBD6D-C072-4600-81C1-69D6F4422D7D}" name="P. Sociedade" dataDxfId="7" totalsRowDxfId="32"/>
    <tableColumn id="23" xr3:uid="{109F7E4E-776C-4249-88BE-FEC3A375D7D9}" name="Total Part." dataDxfId="6" totalsRowDxfId="31"/>
    <tableColumn id="24" xr3:uid="{C67AA4C6-834C-4EBB-839B-EF0CDD50F649}" name="C.H." dataDxfId="5" totalsRowDxfId="30"/>
    <tableColumn id="26" xr3:uid="{973608F6-3E97-493C-AC61-980F73C13CD6}" name="Instrutor" dataDxfId="4" totalsRowDxfId="29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4" activePane="bottomLeft" state="frozen"/>
      <selection pane="bottomLeft" activeCell="C704" sqref="C70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11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2026-071</v>
      </c>
    </row>
    <row r="4" spans="1:23" ht="22.5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725</v>
      </c>
    </row>
    <row r="5" spans="1:23" ht="22.5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/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 t="str">
        <f>IF(B726="","",SUM(O726:Q726))</f>
        <v/>
      </c>
      <c r="S726" s="198"/>
      <c r="T726" s="201"/>
    </row>
    <row r="727" spans="1:20" ht="22.5" customHeight="1" x14ac:dyDescent="0.25">
      <c r="A727" s="208"/>
      <c r="B727" s="238"/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 t="str">
        <f>IF(B727="","",SUM(O727:Q727))</f>
        <v/>
      </c>
      <c r="S727" s="198"/>
      <c r="T727" s="201"/>
    </row>
    <row r="728" spans="1:20" ht="22.5" customHeight="1" x14ac:dyDescent="0.25">
      <c r="A728" s="208"/>
      <c r="B728" s="238"/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 t="str">
        <f>IF(B728="","",SUM(O728:Q728))</f>
        <v/>
      </c>
      <c r="S728" s="198"/>
      <c r="T728" s="201"/>
    </row>
    <row r="729" spans="1:20" ht="22.5" customHeight="1" x14ac:dyDescent="0.25">
      <c r="A729" s="208"/>
      <c r="B729" s="238"/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 t="str">
        <f>IF(B729="","",SUM(O729:Q729))</f>
        <v/>
      </c>
      <c r="S729" s="198"/>
      <c r="T729" s="201"/>
    </row>
    <row r="730" spans="1:20" ht="22.5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M2001">
    <cfRule type="containsBlanks" dxfId="56" priority="7">
      <formula>LEN(TRIM(L1))=0</formula>
    </cfRule>
  </conditionalFormatting>
  <conditionalFormatting sqref="L2001">
    <cfRule type="containsBlanks" dxfId="55" priority="5">
      <formula>LEN(TRIM(L2001))=0</formula>
    </cfRule>
  </conditionalFormatting>
  <conditionalFormatting sqref="C2:C2001">
    <cfRule type="expression" dxfId="54" priority="9">
      <formula>TRIM(C2)="Cancelado"</formula>
    </cfRule>
    <cfRule type="expression" dxfId="53" priority="10">
      <formula>TRIM(C2)="Adiado"</formula>
    </cfRule>
  </conditionalFormatting>
  <conditionalFormatting sqref="A2:A2001">
    <cfRule type="expression" dxfId="52" priority="12">
      <formula>AND($B2&lt;&gt;"",$A2="")</formula>
    </cfRule>
  </conditionalFormatting>
  <conditionalFormatting sqref="A2:T2001">
    <cfRule type="expression" dxfId="2" priority="15">
      <formula>MOD(ROW(),2)=0</formula>
    </cfRule>
  </conditionalFormatting>
  <conditionalFormatting sqref="A2:T2001">
    <cfRule type="expression" dxfId="1" priority="17">
      <formula>MOD(ROW(),2)=1</formula>
    </cfRule>
  </conditionalFormatting>
  <conditionalFormatting sqref="C2:C2001">
    <cfRule type="expression" dxfId="0" priority="14">
      <formula>TRIM(C2)="Adiado"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69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28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27" priority="1">
      <formula>$J2="CORRIGIR"</formula>
    </cfRule>
  </conditionalFormatting>
  <conditionalFormatting sqref="A2:L65">
    <cfRule type="expression" dxfId="26" priority="2">
      <formula>$J2="REVISAR"</formula>
    </cfRule>
  </conditionalFormatting>
  <conditionalFormatting sqref="A2:L65">
    <cfRule type="expression" dxfId="25" priority="3">
      <formula>$J2="OK"</formula>
    </cfRule>
  </conditionalFormatting>
  <conditionalFormatting sqref="I2:I65">
    <cfRule type="containsText" dxfId="24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2026-07-30T16:45:25Z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