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26" documentId="13_ncr:1_{6A2CC3E2-FAFB-4D8F-B284-5E8FB5045DFE}" xr6:coauthVersionLast="47" xr6:coauthVersionMax="47" xr10:uidLastSave="{55194FF2-9257-4048-916A-DBE3D7CE7C3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l="1"/>
  <c r="A2" i="20" a="1"/>
  <c r="E105" i="23" l="1"/>
  <c r="A5" i="23" a="1"/>
  <c r="A2" i="20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A5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<sst xmlns="http://schemas.openxmlformats.org/spreadsheetml/2006/main" count="7411" uniqueCount="3262">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</sst>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D1" zoomScaleNormal="100" workbookViewId="0">
      <pane ySplit="1" topLeftCell="A737" activePane="bottomLeft" state="frozen"/>
      <selection pane="bottomLeft" activeCell="C741" sqref="C741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3050</v>
      </c>
      <c r="B748" s="154">
        <v>2026</v>
      </c>
      <c r="C748" s="154" t="s">
        <v>2710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3054</v>
      </c>
      <c r="B749" s="154">
        <v>2026</v>
      </c>
      <c r="C749" s="154" t="s">
        <v>2710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 t="s">
        <v>3057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3058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3059</v>
      </c>
      <c r="H1" s="168" t="s">
        <v>3060</v>
      </c>
    </row>
    <row r="2" spans="1:8">
      <c r="H2" s="167" t="s">
        <v>3061</v>
      </c>
    </row>
    <row r="3" spans="1:8">
      <c r="A3" t="s">
        <v>0</v>
      </c>
      <c r="B3" t="s">
        <v>19</v>
      </c>
      <c r="C3" t="s">
        <v>3062</v>
      </c>
      <c r="D3" t="s">
        <v>3063</v>
      </c>
      <c r="E3" t="s">
        <v>3064</v>
      </c>
      <c r="H3" s="167" t="s">
        <v>3065</v>
      </c>
    </row>
    <row r="4" spans="1:8">
      <c r="A4">
        <v>1</v>
      </c>
      <c r="B4" t="s">
        <v>3066</v>
      </c>
      <c r="D4" t="s">
        <v>3067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3068</v>
      </c>
    </row>
    <row r="5" spans="1:8">
      <c r="A5">
        <v>2</v>
      </c>
      <c r="B5" t="s">
        <v>2507</v>
      </c>
      <c r="D5" t="s">
        <v>3067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3069</v>
      </c>
    </row>
    <row r="6" spans="1:8">
      <c r="A6">
        <v>3</v>
      </c>
      <c r="B6" t="s">
        <v>1030</v>
      </c>
      <c r="D6" t="s">
        <v>3067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3070</v>
      </c>
      <c r="D7" t="s">
        <v>3067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3071</v>
      </c>
    </row>
    <row r="8" spans="1:8">
      <c r="A8">
        <v>5</v>
      </c>
      <c r="B8" t="s">
        <v>3072</v>
      </c>
      <c r="D8" t="s">
        <v>3067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3067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3067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3067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3067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3067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3067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3067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3067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3067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3067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3067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3067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3067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3067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3073</v>
      </c>
      <c r="D23" t="s">
        <v>3067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3067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3074</v>
      </c>
      <c r="D25" t="s">
        <v>3067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3075</v>
      </c>
      <c r="D26" t="s">
        <v>3067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3067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3067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3076</v>
      </c>
      <c r="D29" t="s">
        <v>3067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3067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3067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3067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3077</v>
      </c>
      <c r="D33" t="s">
        <v>3067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3078</v>
      </c>
      <c r="D34" t="s">
        <v>3067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3067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3067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3067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3079</v>
      </c>
      <c r="D38" t="s">
        <v>3067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3080</v>
      </c>
      <c r="D39" t="s">
        <v>3067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3067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3081</v>
      </c>
      <c r="D41" t="s">
        <v>3067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3067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3067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3082</v>
      </c>
      <c r="D44" t="s">
        <v>3067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3067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3067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3067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3067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3083</v>
      </c>
      <c r="D49" t="s">
        <v>3067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3067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3084</v>
      </c>
      <c r="D51" t="s">
        <v>3067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3067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3067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3085</v>
      </c>
      <c r="D54" t="s">
        <v>3067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3067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3067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3067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3086</v>
      </c>
      <c r="D58" t="s">
        <v>3067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3067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3067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3087</v>
      </c>
      <c r="D61" t="s">
        <v>3067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3088</v>
      </c>
      <c r="D62" t="s">
        <v>3067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3089</v>
      </c>
      <c r="D63" t="s">
        <v>3067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3090</v>
      </c>
      <c r="D64" t="s">
        <v>3067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3067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3067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3091</v>
      </c>
      <c r="D67" t="s">
        <v>3067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3092</v>
      </c>
      <c r="D68" t="s">
        <v>3067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3067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3093</v>
      </c>
      <c r="D70" t="s">
        <v>3067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3067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3067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3067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3094</v>
      </c>
      <c r="D74" t="s">
        <v>3067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3067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3067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3067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3067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3095</v>
      </c>
      <c r="D79" t="s">
        <v>3067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3096</v>
      </c>
      <c r="D80" t="s">
        <v>3067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3097</v>
      </c>
      <c r="D81" t="s">
        <v>3067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3098</v>
      </c>
      <c r="D82" t="s">
        <v>3067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3067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3099</v>
      </c>
      <c r="D84" t="s">
        <v>3067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3067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3100</v>
      </c>
      <c r="D86" t="s">
        <v>3067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3101</v>
      </c>
      <c r="D87" t="s">
        <v>3067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3102</v>
      </c>
      <c r="D88" t="s">
        <v>3067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3103</v>
      </c>
      <c r="D89" t="s">
        <v>3067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3104</v>
      </c>
      <c r="D90" t="s">
        <v>3067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3105</v>
      </c>
      <c r="D91" t="s">
        <v>3067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3106</v>
      </c>
      <c r="D92" t="s">
        <v>3067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3107</v>
      </c>
      <c r="D93" t="s">
        <v>3067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3108</v>
      </c>
      <c r="D94" t="s">
        <v>3067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3067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3109</v>
      </c>
      <c r="D96" t="s">
        <v>3067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3067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3110</v>
      </c>
      <c r="D98" t="s">
        <v>3067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3111</v>
      </c>
      <c r="D99" t="s">
        <v>3067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3112</v>
      </c>
      <c r="D100" t="s">
        <v>3067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3113</v>
      </c>
      <c r="D101" t="s">
        <v>3067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3067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3114</v>
      </c>
      <c r="D103" t="s">
        <v>3067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3115</v>
      </c>
      <c r="D104" t="s">
        <v>3067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3116</v>
      </c>
      <c r="D105" t="s">
        <v>3067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3067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3067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3117</v>
      </c>
      <c r="D108" t="s">
        <v>3067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3118</v>
      </c>
      <c r="D109" t="s">
        <v>3067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3119</v>
      </c>
      <c r="D110" t="s">
        <v>3067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3120</v>
      </c>
      <c r="D111" t="s">
        <v>3067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3121</v>
      </c>
      <c r="D112" t="s">
        <v>3067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3122</v>
      </c>
      <c r="D113" t="s">
        <v>3067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3123</v>
      </c>
      <c r="C1" s="18" t="s">
        <v>3124</v>
      </c>
      <c r="D1" s="18" t="s">
        <v>4</v>
      </c>
      <c r="E1" s="18" t="s">
        <v>3125</v>
      </c>
      <c r="F1" s="18" t="s">
        <v>19</v>
      </c>
      <c r="G1" s="18" t="s">
        <v>3126</v>
      </c>
      <c r="H1" s="18" t="s">
        <v>3127</v>
      </c>
      <c r="I1" s="18" t="s">
        <v>3128</v>
      </c>
      <c r="J1" s="18" t="s">
        <v>3129</v>
      </c>
      <c r="L1" s="110" t="s">
        <v>3130</v>
      </c>
      <c r="M1" s="22">
        <v>2026</v>
      </c>
      <c r="U1" s="79" t="s">
        <v>3131</v>
      </c>
      <c r="V1" s="78"/>
      <c r="X1" s="77" t="s">
        <v>3132</v>
      </c>
      <c r="Y1" s="26"/>
      <c r="Z1" s="26"/>
      <c r="AA1" s="26"/>
      <c r="AC1" s="99" t="s">
        <v>3133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3134</v>
      </c>
      <c r="M2" s="106" t="s">
        <v>2928</v>
      </c>
      <c r="X2" s="112" t="s">
        <v>3123</v>
      </c>
      <c r="Y2" s="112" t="s">
        <v>19</v>
      </c>
      <c r="Z2" s="112" t="s">
        <v>3135</v>
      </c>
      <c r="AA2" s="112" t="s">
        <v>3136</v>
      </c>
      <c r="AC2" s="113" t="s">
        <v>1</v>
      </c>
      <c r="AD2" s="113" t="s">
        <v>3137</v>
      </c>
      <c r="AE2" s="113" t="s">
        <v>3138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3139</v>
      </c>
      <c r="M3" s="111" t="s">
        <v>3140</v>
      </c>
      <c r="N3" s="111" t="s">
        <v>3141</v>
      </c>
      <c r="O3" s="111" t="s">
        <v>3142</v>
      </c>
      <c r="P3" s="111" t="s">
        <v>3143</v>
      </c>
      <c r="Q3" s="111" t="s">
        <v>3144</v>
      </c>
      <c r="R3" s="111" t="s">
        <v>3145</v>
      </c>
      <c r="S3" s="111" t="s">
        <v>3146</v>
      </c>
      <c r="T3" s="111" t="s">
        <v>3147</v>
      </c>
      <c r="X3" t="s">
        <v>2835</v>
      </c>
      <c r="Y3" t="s">
        <v>3080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3148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3080</v>
      </c>
      <c r="Z6">
        <v>1</v>
      </c>
      <c r="AA6">
        <v>0</v>
      </c>
      <c r="AC6" s="96">
        <v>2026</v>
      </c>
      <c r="AD6" s="17" t="s">
        <v>3149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3074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3092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3074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3092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3074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3092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3080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3080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3115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3111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3093</v>
      </c>
      <c r="Z33">
        <v>4</v>
      </c>
      <c r="AA33">
        <v>0.6</v>
      </c>
      <c r="AC33" s="98"/>
      <c r="AD33" s="114" t="s">
        <v>3150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3094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3085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3102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3101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3113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3110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3112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3109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3116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3114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3101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3108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3107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3106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3098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3096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3080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3085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3099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3103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3100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3104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3086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3086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3086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3152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3152</v>
      </c>
      <c r="Y87" t="s">
        <v>3098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3152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3085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3119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3153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3154</v>
      </c>
      <c r="B4" s="215"/>
      <c r="D4" s="216" t="s">
        <v>3155</v>
      </c>
      <c r="E4" s="217"/>
      <c r="G4" s="44" t="s">
        <v>3156</v>
      </c>
    </row>
    <row r="5" spans="1:7" ht="54.95" customHeight="1" thickBot="1">
      <c r="A5" s="34">
        <f>COUNTIF('Ações InCompany'!B:B,2026)</f>
        <v>93</v>
      </c>
      <c r="B5" s="35" t="s">
        <v>3157</v>
      </c>
      <c r="D5" s="42">
        <f>COUNTIFS('Ações InCompany'!B:B,2026,'Ações InCompany'!C:C,"Realizado")</f>
        <v>63</v>
      </c>
      <c r="E5" s="43" t="s">
        <v>3157</v>
      </c>
      <c r="G5" s="45">
        <f>COUNTIFS('Ações InCompany'!B:B,2026,'Ações InCompany'!C:C,"A realizar")</f>
        <v>22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3158</v>
      </c>
      <c r="B8" s="212"/>
      <c r="D8" s="212" t="s">
        <v>3159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3164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3165</v>
      </c>
      <c r="E13" s="29">
        <f>SUMIFS('Ações InCompany'!Q:Q,'Ações InCompany'!B:B,2026,'Ações InCompany'!C:C,"Realizado")</f>
        <v>637</v>
      </c>
    </row>
    <row r="14" spans="1:7" ht="27.95" customHeight="1">
      <c r="A14" s="32" t="s">
        <v>3166</v>
      </c>
      <c r="B14" s="33">
        <f>SUM(B11:B13)</f>
        <v>63</v>
      </c>
      <c r="D14" s="32" t="s">
        <v>3167</v>
      </c>
      <c r="E14" s="33">
        <f>SUM(E11:E13)</f>
        <v>3302</v>
      </c>
    </row>
    <row r="30" spans="1:5" ht="17.25">
      <c r="A30" s="212" t="s">
        <v>3168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0.10588235294117647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2.3529411764705882E-2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0.11764705882352941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0.25882352941176473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5.8823529411764705E-2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3166</v>
      </c>
      <c r="B45" s="40">
        <f>SUM(B33:B44)</f>
        <v>63</v>
      </c>
      <c r="C45" s="40">
        <f>SUM(C33:C44)</f>
        <v>22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3180</v>
      </c>
      <c r="B2" s="11" t="s">
        <v>3181</v>
      </c>
      <c r="C2" s="11" t="s">
        <v>1736</v>
      </c>
      <c r="D2" s="11" t="s">
        <v>3182</v>
      </c>
      <c r="E2" s="11" t="s">
        <v>3183</v>
      </c>
    </row>
    <row r="3" spans="1:5" ht="18" customHeight="1">
      <c r="A3" s="11" t="s">
        <v>3180</v>
      </c>
      <c r="B3" s="11" t="s">
        <v>3181</v>
      </c>
      <c r="C3" s="13" t="s">
        <v>25</v>
      </c>
      <c r="D3" s="11" t="s">
        <v>3184</v>
      </c>
      <c r="E3" s="11" t="s">
        <v>3185</v>
      </c>
    </row>
    <row r="4" spans="1:5" ht="18" customHeight="1">
      <c r="A4" s="11" t="s">
        <v>3180</v>
      </c>
      <c r="B4" s="11" t="s">
        <v>3181</v>
      </c>
      <c r="C4" s="11" t="s">
        <v>75</v>
      </c>
      <c r="D4" s="11" t="s">
        <v>3182</v>
      </c>
      <c r="E4" s="11" t="s">
        <v>3186</v>
      </c>
    </row>
    <row r="5" spans="1:5" ht="18" customHeight="1">
      <c r="A5" s="11" t="s">
        <v>3180</v>
      </c>
      <c r="B5" s="11" t="s">
        <v>3181</v>
      </c>
      <c r="C5" s="11" t="s">
        <v>79</v>
      </c>
      <c r="D5" s="11" t="s">
        <v>3187</v>
      </c>
      <c r="E5" s="11" t="s">
        <v>3188</v>
      </c>
    </row>
    <row r="6" spans="1:5" ht="18" customHeight="1">
      <c r="A6" s="11" t="s">
        <v>3180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>
      <c r="A7" s="11" t="s">
        <v>3180</v>
      </c>
      <c r="B7" s="11" t="s">
        <v>3191</v>
      </c>
      <c r="C7" s="11" t="s">
        <v>36</v>
      </c>
      <c r="D7" s="11" t="s">
        <v>3192</v>
      </c>
      <c r="E7" s="11" t="s">
        <v>3193</v>
      </c>
    </row>
    <row r="8" spans="1:5" ht="18" customHeight="1">
      <c r="A8" s="11" t="s">
        <v>3180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>
      <c r="A9" s="11" t="s">
        <v>3180</v>
      </c>
      <c r="B9" s="11" t="s">
        <v>3196</v>
      </c>
      <c r="C9" s="11" t="s">
        <v>464</v>
      </c>
      <c r="D9" s="11" t="s">
        <v>3197</v>
      </c>
      <c r="E9" s="11" t="s">
        <v>3198</v>
      </c>
    </row>
    <row r="10" spans="1:5" ht="18" customHeight="1">
      <c r="A10" s="11" t="s">
        <v>3180</v>
      </c>
      <c r="B10" s="11" t="s">
        <v>3196</v>
      </c>
      <c r="C10" s="11" t="s">
        <v>206</v>
      </c>
      <c r="D10" s="11" t="s">
        <v>24</v>
      </c>
      <c r="E10" s="11" t="s">
        <v>3199</v>
      </c>
    </row>
    <row r="11" spans="1:5" ht="18" customHeight="1">
      <c r="A11" s="11" t="s">
        <v>3180</v>
      </c>
      <c r="B11" s="11" t="s">
        <v>3196</v>
      </c>
      <c r="C11" s="11" t="s">
        <v>371</v>
      </c>
      <c r="D11" s="11" t="s">
        <v>24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3201</v>
      </c>
      <c r="B1" s="5" t="s">
        <v>10</v>
      </c>
      <c r="C1" s="14" t="s">
        <v>3202</v>
      </c>
      <c r="D1" s="14" t="s">
        <v>3124</v>
      </c>
    </row>
    <row r="2" spans="1:4" ht="21" customHeight="1">
      <c r="A2" s="102" t="s">
        <v>24</v>
      </c>
      <c r="B2" s="102" t="s">
        <v>38</v>
      </c>
      <c r="C2" s="11" t="s">
        <v>3203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3204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3205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3206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3207</v>
      </c>
      <c r="B2" s="11" t="s">
        <v>3181</v>
      </c>
      <c r="C2" s="13" t="s">
        <v>25</v>
      </c>
      <c r="D2" s="11" t="s">
        <v>3182</v>
      </c>
      <c r="E2" s="16" t="s">
        <v>3208</v>
      </c>
    </row>
    <row r="3" spans="1:5" ht="18" customHeight="1">
      <c r="A3" s="11" t="s">
        <v>3207</v>
      </c>
      <c r="B3" s="11" t="s">
        <v>3181</v>
      </c>
      <c r="C3" s="11" t="s">
        <v>75</v>
      </c>
      <c r="D3" s="11" t="s">
        <v>3184</v>
      </c>
      <c r="E3" s="11" t="s">
        <v>3209</v>
      </c>
    </row>
    <row r="4" spans="1:5" ht="18" customHeight="1">
      <c r="A4" s="11" t="s">
        <v>3207</v>
      </c>
      <c r="B4" s="11" t="s">
        <v>3181</v>
      </c>
      <c r="C4" s="11" t="s">
        <v>79</v>
      </c>
      <c r="D4" s="11" t="s">
        <v>3187</v>
      </c>
      <c r="E4" s="11" t="s">
        <v>3210</v>
      </c>
    </row>
    <row r="5" spans="1:5" ht="27.75" customHeight="1">
      <c r="A5" s="11" t="s">
        <v>3207</v>
      </c>
      <c r="B5" s="11" t="s">
        <v>3181</v>
      </c>
      <c r="C5" s="11" t="s">
        <v>2693</v>
      </c>
      <c r="D5" s="16" t="s">
        <v>3211</v>
      </c>
      <c r="E5" s="11" t="s">
        <v>3212</v>
      </c>
    </row>
    <row r="6" spans="1:5" ht="18" customHeight="1">
      <c r="A6" s="11" t="s">
        <v>3207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>
      <c r="A7" s="11" t="s">
        <v>3207</v>
      </c>
      <c r="B7" s="11" t="s">
        <v>3191</v>
      </c>
      <c r="C7" s="11" t="s">
        <v>2699</v>
      </c>
      <c r="D7" s="11" t="s">
        <v>3213</v>
      </c>
      <c r="E7" s="11" t="s">
        <v>3214</v>
      </c>
    </row>
    <row r="8" spans="1:5" ht="18" customHeight="1">
      <c r="A8" s="11" t="s">
        <v>3207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>
      <c r="A9" s="11" t="s">
        <v>3207</v>
      </c>
      <c r="B9" s="11" t="s">
        <v>3191</v>
      </c>
      <c r="C9" s="11" t="s">
        <v>2792</v>
      </c>
      <c r="D9" s="11" t="s">
        <v>3215</v>
      </c>
      <c r="E9" s="16" t="s">
        <v>3216</v>
      </c>
    </row>
    <row r="10" spans="1:5" ht="18" customHeight="1">
      <c r="A10" s="11" t="s">
        <v>3207</v>
      </c>
      <c r="B10" s="11" t="s">
        <v>3217</v>
      </c>
      <c r="C10" s="11" t="s">
        <v>3173</v>
      </c>
      <c r="D10" s="11" t="s">
        <v>3218</v>
      </c>
      <c r="E10" s="16" t="s">
        <v>3219</v>
      </c>
    </row>
    <row r="11" spans="1:5" ht="18" customHeight="1">
      <c r="A11" s="11" t="s">
        <v>3207</v>
      </c>
      <c r="B11" s="11" t="s">
        <v>3217</v>
      </c>
      <c r="C11" s="11" t="s">
        <v>206</v>
      </c>
      <c r="D11" s="11" t="s">
        <v>24</v>
      </c>
      <c r="E11" s="11" t="s">
        <v>3199</v>
      </c>
    </row>
    <row r="12" spans="1:5" ht="18" customHeight="1">
      <c r="A12" s="11" t="s">
        <v>3207</v>
      </c>
      <c r="B12" s="11" t="s">
        <v>3217</v>
      </c>
      <c r="C12" s="11" t="s">
        <v>371</v>
      </c>
      <c r="D12" s="11" t="s">
        <v>24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3220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3221</v>
      </c>
    </row>
    <row r="4" spans="1:8" ht="21.95" customHeight="1">
      <c r="A4" s="219" t="s">
        <v>3222</v>
      </c>
      <c r="B4" s="220"/>
      <c r="D4" s="219" t="s">
        <v>3223</v>
      </c>
      <c r="E4" s="220"/>
      <c r="G4" s="219" t="s">
        <v>3224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3225</v>
      </c>
      <c r="B7" s="61" t="s">
        <v>3226</v>
      </c>
      <c r="C7" s="61" t="s">
        <v>1</v>
      </c>
      <c r="D7" s="61" t="s">
        <v>3227</v>
      </c>
      <c r="E7" s="61" t="s">
        <v>3228</v>
      </c>
      <c r="F7" s="61" t="s">
        <v>3124</v>
      </c>
      <c r="G7" s="61" t="s">
        <v>5</v>
      </c>
      <c r="H7" s="61" t="s">
        <v>3229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3230</v>
      </c>
      <c r="B1" s="225"/>
      <c r="C1" s="225"/>
      <c r="D1" s="225"/>
      <c r="E1" s="225"/>
      <c r="F1" s="225"/>
    </row>
    <row r="2" spans="1:7">
      <c r="A2" s="226" t="s">
        <v>3231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3127</v>
      </c>
      <c r="C4" s="24" t="s">
        <v>3128</v>
      </c>
      <c r="D4" s="24" t="s">
        <v>3232</v>
      </c>
      <c r="E4" s="24" t="s">
        <v>3129</v>
      </c>
      <c r="F4" s="24" t="s">
        <v>3233</v>
      </c>
    </row>
    <row r="5" spans="1:7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3167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3234</v>
      </c>
      <c r="B1" s="117" t="s">
        <v>3235</v>
      </c>
      <c r="C1" s="117" t="s">
        <v>3236</v>
      </c>
      <c r="D1" s="117" t="s">
        <v>3237</v>
      </c>
      <c r="E1" s="117" t="s">
        <v>3238</v>
      </c>
      <c r="F1" s="117" t="s">
        <v>3239</v>
      </c>
      <c r="G1" s="117" t="s">
        <v>10</v>
      </c>
      <c r="H1" s="117" t="s">
        <v>3240</v>
      </c>
      <c r="I1" s="117" t="s">
        <v>3241</v>
      </c>
      <c r="J1" s="117" t="s">
        <v>3242</v>
      </c>
      <c r="K1" s="117" t="s">
        <v>3243</v>
      </c>
      <c r="L1" s="117" t="s">
        <v>3244</v>
      </c>
      <c r="N1" s="117" t="s">
        <v>3245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3246</v>
      </c>
      <c r="L2" t="str">
        <f>IF(K2="","",IFERROR(INDEX(Tabela2[Curso],MATCH(K2,Tabela2[ID],0)),""))</f>
        <v/>
      </c>
      <c r="N2" s="117" t="s">
        <v>3123</v>
      </c>
      <c r="O2" s="117" t="s">
        <v>4</v>
      </c>
      <c r="P2" s="117" t="s">
        <v>3247</v>
      </c>
      <c r="Q2" s="117" t="s">
        <v>3248</v>
      </c>
      <c r="R2" s="117" t="s">
        <v>3249</v>
      </c>
      <c r="S2" s="117" t="s">
        <v>3250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3246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3246</v>
      </c>
      <c r="L10" t="str">
        <f>IF(K10="","",IFERROR(INDEX(Tabela2[Curso],MATCH(K10,Tabela2[ID],0)),""))</f>
        <v/>
      </c>
      <c r="N10" s="111" t="s">
        <v>3251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3246</v>
      </c>
      <c r="L11" t="str">
        <f>IF(K11="","",IFERROR(INDEX(Tabela2[Curso],MATCH(K11,Tabela2[ID],0)),""))</f>
        <v/>
      </c>
      <c r="N11" s="210" t="s">
        <v>3252</v>
      </c>
      <c r="O11" s="210" t="s">
        <v>3253</v>
      </c>
      <c r="P11" s="210" t="s">
        <v>3254</v>
      </c>
      <c r="Q11" s="210" t="s">
        <v>3237</v>
      </c>
      <c r="R11" s="210" t="s">
        <v>3238</v>
      </c>
      <c r="S11" s="210" t="s">
        <v>3255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3246</v>
      </c>
      <c r="L12" t="str">
        <f>IF(K12="","",IFERROR(INDEX(Tabela2[Curso],MATCH(K12,Tabela2[ID],0)),""))</f>
        <v/>
      </c>
      <c r="N12" t="s">
        <v>3256</v>
      </c>
      <c r="O12" t="s">
        <v>2753</v>
      </c>
      <c r="P12" t="s">
        <v>3257</v>
      </c>
      <c r="Q12">
        <v>0</v>
      </c>
      <c r="R12">
        <v>0</v>
      </c>
      <c r="S12" t="s">
        <v>3258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3246</v>
      </c>
      <c r="L13" t="str">
        <f>IF(K13="","",IFERROR(INDEX(Tabela2[Curso],MATCH(K13,Tabela2[ID],0)),""))</f>
        <v/>
      </c>
      <c r="N13" t="s">
        <v>3259</v>
      </c>
      <c r="O13" t="s">
        <v>2685</v>
      </c>
      <c r="P13" t="s">
        <v>3260</v>
      </c>
      <c r="Q13">
        <v>0</v>
      </c>
      <c r="R13">
        <v>0</v>
      </c>
      <c r="S13" t="s">
        <v>3261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2026-09-24T19:08:22Z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