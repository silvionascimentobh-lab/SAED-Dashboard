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3" documentId="8_{454372C2-A99E-4E47-A759-72B38925853E}" xr6:coauthVersionLast="47" xr6:coauthVersionMax="47" xr10:uidLastSave="{E5589508-9D02-41EB-BC02-653F0C4D785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<sst xmlns="http://schemas.openxmlformats.org/spreadsheetml/2006/main" count="6239" uniqueCount="2408">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</sst>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49" fontId="41" fillId="22" borderId="22" xfId="0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Encontro Escola de Instrutores - Premiação"/>
        <filter val="Escola de Inatrutores: Avaliação de Aprendizagem"/>
        <filter val="Escola de Instrutores - Curso &quot;Fundamentos em TD&amp;E&quot;"/>
        <filter val="Escola de Instrutores - Design Instrucional"/>
        <filter val="Projeto Escola de Instrutores - 2º Encontro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1" activePane="bottomLeft" state="frozen"/>
      <selection pane="bottomLeft" activeCell="E676" sqref="E67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1419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1431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63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62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1549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1358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1812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62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1889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1749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63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1994</v>
      </c>
      <c r="E648" s="27" t="s">
        <v>1995</v>
      </c>
      <c r="F648" s="29" t="s">
        <v>51</v>
      </c>
      <c r="G648" s="20" t="s">
        <v>59</v>
      </c>
      <c r="H648" s="262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63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2076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2076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2083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2086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2084</v>
      </c>
      <c r="E675" s="27" t="s">
        <v>2372</v>
      </c>
      <c r="F675" s="29" t="s">
        <v>66</v>
      </c>
      <c r="G675" s="48" t="s">
        <v>2072</v>
      </c>
      <c r="H675" s="262" t="s">
        <v>2087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2086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2042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2092</v>
      </c>
      <c r="E677" s="274" t="s">
        <v>2093</v>
      </c>
      <c r="F677" s="188" t="s">
        <v>22</v>
      </c>
      <c r="G677" s="194" t="s">
        <v>34</v>
      </c>
      <c r="H677" s="189" t="s">
        <v>2094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2095</v>
      </c>
      <c r="E678" s="30" t="s">
        <v>2096</v>
      </c>
      <c r="F678" s="31" t="s">
        <v>22</v>
      </c>
      <c r="G678" s="45" t="s">
        <v>23</v>
      </c>
      <c r="H678" s="189" t="s">
        <v>2097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2098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2099</v>
      </c>
      <c r="E679" s="275" t="s">
        <v>2100</v>
      </c>
      <c r="F679" s="29" t="s">
        <v>51</v>
      </c>
      <c r="G679" s="179" t="s">
        <v>2035</v>
      </c>
      <c r="H679" s="182" t="s">
        <v>2101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2037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2099</v>
      </c>
      <c r="E680" s="272" t="s">
        <v>2105</v>
      </c>
      <c r="F680" s="31" t="s">
        <v>51</v>
      </c>
      <c r="G680" s="167" t="s">
        <v>2035</v>
      </c>
      <c r="H680" s="189" t="s">
        <v>2106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2037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2107</v>
      </c>
      <c r="E681" s="164" t="s">
        <v>2108</v>
      </c>
      <c r="F681" s="29" t="s">
        <v>51</v>
      </c>
      <c r="G681" s="181" t="s">
        <v>2035</v>
      </c>
      <c r="H681" s="182" t="s">
        <v>2109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2089</v>
      </c>
      <c r="E682" s="65" t="s">
        <v>2103</v>
      </c>
      <c r="F682" s="29" t="s">
        <v>22</v>
      </c>
      <c r="G682" s="67" t="s">
        <v>2040</v>
      </c>
      <c r="H682" s="68" t="s">
        <v>2104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2042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6" t="s">
        <v>2110</v>
      </c>
      <c r="E683" s="187" t="s">
        <v>2111</v>
      </c>
      <c r="F683" s="31" t="s">
        <v>51</v>
      </c>
      <c r="G683" s="21" t="s">
        <v>59</v>
      </c>
      <c r="H683" s="189" t="s">
        <v>2112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2116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2102</v>
      </c>
      <c r="D685" s="209" t="s">
        <v>2117</v>
      </c>
      <c r="E685" s="210" t="s">
        <v>2118</v>
      </c>
      <c r="F685" s="211" t="s">
        <v>51</v>
      </c>
      <c r="G685" s="208" t="s">
        <v>59</v>
      </c>
      <c r="H685" s="212" t="s">
        <v>2119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2011</v>
      </c>
      <c r="D686" s="218" t="s">
        <v>2120</v>
      </c>
      <c r="E686" s="239" t="s">
        <v>2121</v>
      </c>
      <c r="F686" s="220" t="s">
        <v>22</v>
      </c>
      <c r="G686" s="217" t="s">
        <v>56</v>
      </c>
      <c r="H686" s="221" t="s">
        <v>2122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2098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2088</v>
      </c>
      <c r="D687" s="209" t="s">
        <v>2123</v>
      </c>
      <c r="E687" s="210" t="s">
        <v>2124</v>
      </c>
      <c r="F687" s="211" t="s">
        <v>22</v>
      </c>
      <c r="G687" s="208" t="s">
        <v>56</v>
      </c>
      <c r="H687" s="212" t="s">
        <v>2125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2126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2127</v>
      </c>
      <c r="E688" s="239" t="s">
        <v>2128</v>
      </c>
      <c r="F688" s="220" t="s">
        <v>66</v>
      </c>
      <c r="G688" s="217" t="s">
        <v>2072</v>
      </c>
      <c r="H688" s="221" t="s">
        <v>2129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1847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2130</v>
      </c>
      <c r="E689" s="244" t="s">
        <v>2131</v>
      </c>
      <c r="F689" s="211" t="s">
        <v>22</v>
      </c>
      <c r="G689" s="208" t="s">
        <v>2056</v>
      </c>
      <c r="H689" s="246" t="s">
        <v>2132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2076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2130</v>
      </c>
      <c r="E690" s="245" t="s">
        <v>2133</v>
      </c>
      <c r="F690" s="220" t="s">
        <v>22</v>
      </c>
      <c r="G690" s="217" t="s">
        <v>2056</v>
      </c>
      <c r="H690" s="247" t="s">
        <v>2134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2076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2135</v>
      </c>
      <c r="E691" s="244" t="s">
        <v>2015</v>
      </c>
      <c r="F691" s="211" t="s">
        <v>22</v>
      </c>
      <c r="G691" s="208" t="s">
        <v>34</v>
      </c>
      <c r="H691" s="212" t="s">
        <v>2136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1358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2137</v>
      </c>
      <c r="E692" s="245" t="s">
        <v>2138</v>
      </c>
      <c r="F692" s="220" t="s">
        <v>22</v>
      </c>
      <c r="G692" s="217" t="s">
        <v>283</v>
      </c>
      <c r="H692" s="221" t="s">
        <v>2139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2140</v>
      </c>
      <c r="E693" s="244" t="s">
        <v>2373</v>
      </c>
      <c r="F693" s="211" t="s">
        <v>22</v>
      </c>
      <c r="G693" s="208" t="s">
        <v>23</v>
      </c>
      <c r="H693" s="212" t="s">
        <v>2141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2142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2102</v>
      </c>
      <c r="D694" s="218" t="s">
        <v>2143</v>
      </c>
      <c r="E694" s="219" t="s">
        <v>2144</v>
      </c>
      <c r="F694" s="220" t="s">
        <v>51</v>
      </c>
      <c r="G694" s="217" t="s">
        <v>2035</v>
      </c>
      <c r="H694" s="221" t="s">
        <v>2145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2037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2011</v>
      </c>
      <c r="D695" s="209" t="s">
        <v>2146</v>
      </c>
      <c r="E695" s="210" t="s">
        <v>2147</v>
      </c>
      <c r="F695" s="211" t="s">
        <v>66</v>
      </c>
      <c r="G695" s="260" t="s">
        <v>2072</v>
      </c>
      <c r="H695" s="212" t="s">
        <v>2148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2149</v>
      </c>
      <c r="E696" s="219" t="s">
        <v>2150</v>
      </c>
      <c r="F696" s="220" t="s">
        <v>66</v>
      </c>
      <c r="G696" s="269" t="s">
        <v>2072</v>
      </c>
      <c r="H696" s="221" t="s">
        <v>2151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2152</v>
      </c>
      <c r="E697" s="210" t="s">
        <v>2153</v>
      </c>
      <c r="F697" s="211" t="s">
        <v>66</v>
      </c>
      <c r="G697" s="260" t="s">
        <v>2072</v>
      </c>
      <c r="H697" s="212" t="s">
        <v>2154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2155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2102</v>
      </c>
      <c r="D698" s="218" t="s">
        <v>2156</v>
      </c>
      <c r="E698" s="219" t="s">
        <v>2157</v>
      </c>
      <c r="F698" s="220" t="s">
        <v>22</v>
      </c>
      <c r="G698" s="217" t="s">
        <v>23</v>
      </c>
      <c r="H698" s="221" t="s">
        <v>2145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2113</v>
      </c>
      <c r="D699" s="209" t="s">
        <v>2158</v>
      </c>
      <c r="E699" s="210" t="s">
        <v>2159</v>
      </c>
      <c r="F699" s="211" t="s">
        <v>22</v>
      </c>
      <c r="G699" s="208" t="s">
        <v>56</v>
      </c>
      <c r="H699" s="212" t="s">
        <v>2145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2161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2011</v>
      </c>
      <c r="D700" s="218" t="s">
        <v>2162</v>
      </c>
      <c r="E700" s="219" t="s">
        <v>2163</v>
      </c>
      <c r="F700" s="220" t="s">
        <v>51</v>
      </c>
      <c r="G700" s="217" t="s">
        <v>59</v>
      </c>
      <c r="H700" s="221" t="s">
        <v>2164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2102</v>
      </c>
      <c r="D701" s="209" t="s">
        <v>2165</v>
      </c>
      <c r="E701" s="210" t="s">
        <v>2166</v>
      </c>
      <c r="F701" s="211" t="s">
        <v>51</v>
      </c>
      <c r="G701" s="208" t="s">
        <v>59</v>
      </c>
      <c r="H701" s="212" t="s">
        <v>2167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2168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2169</v>
      </c>
      <c r="E702" s="245" t="s">
        <v>2170</v>
      </c>
      <c r="F702" s="220" t="s">
        <v>22</v>
      </c>
      <c r="G702" s="217" t="s">
        <v>23</v>
      </c>
      <c r="H702" s="221" t="s">
        <v>2171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2172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2102</v>
      </c>
      <c r="D703" s="209" t="s">
        <v>2173</v>
      </c>
      <c r="E703" s="210" t="s">
        <v>2174</v>
      </c>
      <c r="F703" s="211" t="s">
        <v>51</v>
      </c>
      <c r="G703" s="208" t="s">
        <v>59</v>
      </c>
      <c r="H703" s="212" t="s">
        <v>2145</v>
      </c>
      <c r="I703" s="212" t="s">
        <v>2175</v>
      </c>
      <c r="J703" s="212" t="s">
        <v>2176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2177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2178</v>
      </c>
      <c r="E704" s="245" t="s">
        <v>2179</v>
      </c>
      <c r="F704" s="220" t="s">
        <v>51</v>
      </c>
      <c r="G704" s="217" t="s">
        <v>59</v>
      </c>
      <c r="H704" s="221" t="s">
        <v>2180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2076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2102</v>
      </c>
      <c r="D705" s="209" t="s">
        <v>2084</v>
      </c>
      <c r="E705" s="244" t="s">
        <v>2181</v>
      </c>
      <c r="F705" s="211" t="s">
        <v>66</v>
      </c>
      <c r="G705" s="260" t="s">
        <v>2072</v>
      </c>
      <c r="H705" s="276" t="s">
        <v>2182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2183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2102</v>
      </c>
      <c r="D706" s="209" t="s">
        <v>2084</v>
      </c>
      <c r="E706" s="290" t="s">
        <v>2181</v>
      </c>
      <c r="F706" s="220" t="s">
        <v>66</v>
      </c>
      <c r="G706" s="269" t="s">
        <v>2072</v>
      </c>
      <c r="H706" s="277" t="s">
        <v>2184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2185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2102</v>
      </c>
      <c r="D707" s="209" t="s">
        <v>2084</v>
      </c>
      <c r="E707" s="210" t="s">
        <v>2181</v>
      </c>
      <c r="F707" s="211" t="s">
        <v>66</v>
      </c>
      <c r="G707" s="260" t="s">
        <v>2072</v>
      </c>
      <c r="H707" s="276" t="s">
        <v>2186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2185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2102</v>
      </c>
      <c r="D708" s="209" t="s">
        <v>2084</v>
      </c>
      <c r="E708" s="290" t="s">
        <v>2181</v>
      </c>
      <c r="F708" s="220" t="s">
        <v>66</v>
      </c>
      <c r="G708" s="269" t="s">
        <v>2072</v>
      </c>
      <c r="H708" s="277" t="s">
        <v>2187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2185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2102</v>
      </c>
      <c r="D709" s="209" t="s">
        <v>2188</v>
      </c>
      <c r="E709" s="210" t="s">
        <v>2189</v>
      </c>
      <c r="F709" s="211" t="s">
        <v>22</v>
      </c>
      <c r="G709" s="208" t="s">
        <v>2056</v>
      </c>
      <c r="H709" s="212" t="s">
        <v>2145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2102</v>
      </c>
      <c r="D710" s="218" t="s">
        <v>2190</v>
      </c>
      <c r="E710" s="290" t="s">
        <v>2191</v>
      </c>
      <c r="F710" s="220" t="s">
        <v>51</v>
      </c>
      <c r="G710" s="217" t="s">
        <v>59</v>
      </c>
      <c r="H710" s="221" t="s">
        <v>2160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2192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2102</v>
      </c>
      <c r="D711" s="209" t="s">
        <v>2084</v>
      </c>
      <c r="E711" s="210" t="s">
        <v>2181</v>
      </c>
      <c r="F711" s="211" t="s">
        <v>66</v>
      </c>
      <c r="G711" s="260" t="s">
        <v>2072</v>
      </c>
      <c r="H711" s="212" t="s">
        <v>2193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2185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2102</v>
      </c>
      <c r="D712" s="218" t="s">
        <v>2084</v>
      </c>
      <c r="E712" s="290" t="s">
        <v>2181</v>
      </c>
      <c r="F712" s="220" t="s">
        <v>66</v>
      </c>
      <c r="G712" s="269" t="s">
        <v>2072</v>
      </c>
      <c r="H712" s="221" t="s">
        <v>2194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2185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2102</v>
      </c>
      <c r="D713" s="209" t="s">
        <v>2374</v>
      </c>
      <c r="E713" s="244" t="s">
        <v>2399</v>
      </c>
      <c r="F713" s="211" t="s">
        <v>51</v>
      </c>
      <c r="G713" s="208" t="s">
        <v>59</v>
      </c>
      <c r="H713" s="212" t="s">
        <v>2375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2377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2102</v>
      </c>
      <c r="D714" s="218" t="s">
        <v>2378</v>
      </c>
      <c r="E714" s="245" t="s">
        <v>2380</v>
      </c>
      <c r="F714" s="220" t="s">
        <v>51</v>
      </c>
      <c r="G714" s="217" t="s">
        <v>59</v>
      </c>
      <c r="H714" s="221" t="s">
        <v>2381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1477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2102</v>
      </c>
      <c r="D715" s="209" t="s">
        <v>2379</v>
      </c>
      <c r="E715" s="244" t="s">
        <v>2400</v>
      </c>
      <c r="F715" s="211" t="s">
        <v>51</v>
      </c>
      <c r="G715" s="208" t="s">
        <v>59</v>
      </c>
      <c r="H715" s="212" t="s">
        <v>2382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1847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2102</v>
      </c>
      <c r="D716" s="218" t="s">
        <v>2384</v>
      </c>
      <c r="E716" s="245" t="s">
        <v>2401</v>
      </c>
      <c r="F716" s="220" t="s">
        <v>51</v>
      </c>
      <c r="G716" s="217" t="s">
        <v>59</v>
      </c>
      <c r="H716" s="221" t="s">
        <v>2382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2386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2102</v>
      </c>
      <c r="D717" s="209" t="s">
        <v>2387</v>
      </c>
      <c r="E717" s="244" t="s">
        <v>2402</v>
      </c>
      <c r="F717" s="211" t="s">
        <v>51</v>
      </c>
      <c r="G717" s="208" t="s">
        <v>59</v>
      </c>
      <c r="H717" s="212" t="s">
        <v>2388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1855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2102</v>
      </c>
      <c r="D718" s="218" t="s">
        <v>2389</v>
      </c>
      <c r="E718" s="245" t="s">
        <v>2403</v>
      </c>
      <c r="F718" s="220" t="s">
        <v>51</v>
      </c>
      <c r="G718" s="217" t="s">
        <v>59</v>
      </c>
      <c r="H718" s="221" t="s">
        <v>2381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2391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2102</v>
      </c>
      <c r="D719" s="209" t="s">
        <v>2392</v>
      </c>
      <c r="E719" s="244" t="s">
        <v>2404</v>
      </c>
      <c r="F719" s="211" t="s">
        <v>51</v>
      </c>
      <c r="G719" s="208" t="s">
        <v>59</v>
      </c>
      <c r="H719" s="212" t="s">
        <v>2375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2394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2102</v>
      </c>
      <c r="D720" s="218" t="s">
        <v>2398</v>
      </c>
      <c r="E720" s="288" t="s">
        <v>2405</v>
      </c>
      <c r="F720" s="220" t="s">
        <v>51</v>
      </c>
      <c r="G720" s="217" t="s">
        <v>59</v>
      </c>
      <c r="H720" s="286" t="s">
        <v>2395</v>
      </c>
      <c r="I720" s="286" t="s">
        <v>2395</v>
      </c>
      <c r="J720" s="286" t="s">
        <v>2395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2397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2" priority="8">
      <formula>TRIM(C2)="Realizado"</formula>
    </cfRule>
    <cfRule type="expression" dxfId="51" priority="9">
      <formula>TRIM(C2)="Cancelado"</formula>
    </cfRule>
    <cfRule type="expression" dxfId="50" priority="10">
      <formula>TRIM(C2)="Adiado"</formula>
    </cfRule>
    <cfRule type="expression" dxfId="49" priority="11">
      <formula>AND(TRIM(C2)="A realizar",ISODD(ROW(C2)))</formula>
    </cfRule>
  </conditionalFormatting>
  <conditionalFormatting sqref="L680">
    <cfRule type="containsBlanks" dxfId="48" priority="5">
      <formula>LEN(TRIM(L680))=0</formula>
    </cfRule>
  </conditionalFormatting>
  <conditionalFormatting sqref="L689:L690">
    <cfRule type="containsBlanks" dxfId="47" priority="3">
      <formula>LEN(TRIM(L689))=0</formula>
    </cfRule>
  </conditionalFormatting>
  <conditionalFormatting sqref="M1:M513 L1:L537 L678">
    <cfRule type="containsBlanks" dxfId="46" priority="6">
      <formula>LEN(TRIM(L1))=0</formula>
    </cfRule>
  </conditionalFormatting>
  <conditionalFormatting sqref="M517:M675 L539:L675 L676:M676">
    <cfRule type="containsBlanks" dxfId="45" priority="7">
      <formula>LEN(TRIM(L517))=0</formula>
    </cfRule>
  </conditionalFormatting>
  <conditionalFormatting sqref="L704">
    <cfRule type="containsBlanks" dxfId="44" priority="2">
      <formula>LEN(TRIM(L704))=0</formula>
    </cfRule>
  </conditionalFormatting>
  <conditionalFormatting sqref="L695">
    <cfRule type="containsBlanks" dxfId="43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2195</v>
      </c>
      <c r="F1" s="280" t="s">
        <v>2196</v>
      </c>
    </row>
    <row r="2" spans="1:6" x14ac:dyDescent="0.25">
      <c r="F2" s="28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81" t="s">
        <v>2200</v>
      </c>
    </row>
    <row r="4" spans="1:6" x14ac:dyDescent="0.25">
      <c r="A4">
        <v>1</v>
      </c>
      <c r="B4" t="s">
        <v>2201</v>
      </c>
      <c r="D4" t="s">
        <v>2202</v>
      </c>
      <c r="F4" s="281" t="s">
        <v>2203</v>
      </c>
    </row>
    <row r="5" spans="1:6" x14ac:dyDescent="0.25">
      <c r="A5">
        <v>2</v>
      </c>
      <c r="B5" t="s">
        <v>1889</v>
      </c>
      <c r="D5" t="s">
        <v>2202</v>
      </c>
      <c r="F5" s="28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8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53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8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54" t="s">
        <v>1</v>
      </c>
      <c r="AD2" s="254" t="s">
        <v>2250</v>
      </c>
      <c r="AE2" s="254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48">
        <v>2026</v>
      </c>
      <c r="AD3" s="95" t="s">
        <v>1358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48">
        <v>2026</v>
      </c>
      <c r="AD5" s="95" t="s">
        <v>2264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48">
        <v>2026</v>
      </c>
      <c r="AD6" s="95" t="s">
        <v>2265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2270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2270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2270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2270</v>
      </c>
      <c r="Y21" s="95" t="s">
        <v>2209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2270</v>
      </c>
      <c r="Y22" s="95" t="s">
        <v>2268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2271</v>
      </c>
      <c r="Y23" s="95" t="s">
        <v>2058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Em andamento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2271</v>
      </c>
      <c r="Y24" s="95" t="s">
        <v>2215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2272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2272</v>
      </c>
      <c r="Y26" s="95" t="s">
        <v>2220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2273</v>
      </c>
      <c r="Y27" s="95" t="s">
        <v>2058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2273</v>
      </c>
      <c r="Y28" s="95" t="s">
        <v>2215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2274</v>
      </c>
      <c r="Y29" s="95" t="s">
        <v>2058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2274</v>
      </c>
      <c r="Y30" s="95" t="s">
        <v>2215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2275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2276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2276</v>
      </c>
      <c r="Y33" t="s">
        <v>2228</v>
      </c>
      <c r="Z33">
        <v>4</v>
      </c>
      <c r="AA33">
        <v>0.6</v>
      </c>
      <c r="AC33" s="250"/>
      <c r="AD33" s="251" t="s">
        <v>2277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Em andamento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2278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Em andamento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2026-030</v>
      </c>
      <c r="C44" t="str">
        <v>Em andamento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Em andamento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Em andamento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3" t="s">
        <v>2292</v>
      </c>
      <c r="B1" s="293"/>
      <c r="C1" s="293"/>
      <c r="D1" s="293"/>
      <c r="E1" s="293"/>
      <c r="F1" s="293"/>
      <c r="G1" s="293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4" t="s">
        <v>2293</v>
      </c>
      <c r="B4" s="295"/>
      <c r="D4" s="296" t="s">
        <v>2294</v>
      </c>
      <c r="E4" s="297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35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1" t="s">
        <v>2297</v>
      </c>
      <c r="B8" s="291"/>
      <c r="D8" s="291" t="s">
        <v>2298</v>
      </c>
      <c r="E8" s="291"/>
    </row>
    <row r="9" spans="1:7" ht="5.0999999999999996" customHeight="1" x14ac:dyDescent="0.25">
      <c r="A9" s="292"/>
      <c r="B9" s="292"/>
      <c r="D9" s="292"/>
      <c r="E9" s="292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35</v>
      </c>
      <c r="D14" s="113" t="s">
        <v>2306</v>
      </c>
      <c r="E14" s="114">
        <f>SUM(E11:E13)</f>
        <v>1556</v>
      </c>
    </row>
    <row r="30" spans="1:5" ht="17.25" x14ac:dyDescent="0.3">
      <c r="A30" s="291" t="s">
        <v>2307</v>
      </c>
      <c r="B30" s="291"/>
      <c r="C30" s="291"/>
      <c r="D30" s="291"/>
      <c r="E30" s="291"/>
    </row>
    <row r="31" spans="1:5" ht="5.0999999999999996" customHeight="1" x14ac:dyDescent="0.25">
      <c r="A31" s="292"/>
      <c r="B31" s="292"/>
      <c r="C31" s="292"/>
      <c r="D31" s="292"/>
      <c r="E31" s="292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0.32758620689655171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5.1724137931034482E-2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0.10344827586206896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3.4482758620689655E-2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3.4482758620689655E-2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0.22413793103448276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6.8965517241379309E-2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0.1206896551724138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3.4482758620689655E-2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35</v>
      </c>
      <c r="C45" s="121">
        <f>SUM(C33:C44)</f>
        <v>23</v>
      </c>
      <c r="D45" s="121">
        <f>SUM(D33:D44)</f>
        <v>58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58" t="s">
        <v>22</v>
      </c>
      <c r="B2" s="258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58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58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8" t="s">
        <v>2357</v>
      </c>
      <c r="B1" s="298"/>
      <c r="C1" s="298"/>
      <c r="D1" s="298"/>
      <c r="E1" s="298"/>
      <c r="F1" s="298"/>
      <c r="G1" s="298"/>
      <c r="H1" s="298"/>
    </row>
    <row r="2" spans="1:8" x14ac:dyDescent="0.25">
      <c r="A2" s="130" t="s">
        <v>2358</v>
      </c>
    </row>
    <row r="4" spans="1:8" ht="21.95" customHeight="1" x14ac:dyDescent="0.25">
      <c r="A4" s="299" t="s">
        <v>2359</v>
      </c>
      <c r="B4" s="300"/>
      <c r="D4" s="299" t="s">
        <v>2360</v>
      </c>
      <c r="E4" s="300"/>
      <c r="G4" s="299" t="s">
        <v>2361</v>
      </c>
      <c r="H4" s="300"/>
    </row>
    <row r="5" spans="1:8" ht="35.1" customHeight="1" x14ac:dyDescent="0.25">
      <c r="A5" s="303">
        <f>COUNTIF('Ações InCompany'!E:E,"*maratona*")</f>
        <v>13</v>
      </c>
      <c r="B5" s="302"/>
      <c r="D5" s="301">
        <f>SUM(H8:H100)</f>
        <v>1762</v>
      </c>
      <c r="E5" s="302"/>
      <c r="G5" s="301">
        <f>IFERROR(ROUND(D5/A5,0),"-")</f>
        <v>136</v>
      </c>
      <c r="H5" s="302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4" t="s">
        <v>2367</v>
      </c>
      <c r="B1" s="304"/>
      <c r="C1" s="304"/>
      <c r="D1" s="304"/>
      <c r="E1" s="304"/>
      <c r="F1" s="304"/>
    </row>
    <row r="2" spans="1:7" x14ac:dyDescent="0.25">
      <c r="A2" s="305" t="s">
        <v>2368</v>
      </c>
      <c r="B2" s="305"/>
      <c r="C2" s="305"/>
      <c r="D2" s="305"/>
      <c r="E2" s="305"/>
      <c r="F2" s="305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2306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2026-07-20T20:40:52Z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