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15" documentId="13_ncr:1_{6A2CC3E2-FAFB-4D8F-B284-5E8FB5045DFE}" xr6:coauthVersionLast="47" xr6:coauthVersionMax="47" xr10:uidLastSave="{BEDDE172-3372-4A7C-A3D9-707D462B9BE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2" i="28" l="1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AE33" i="20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D63" i="23" l="1"/>
  <c r="E63" i="23"/>
  <c r="F63" i="23"/>
  <c r="C63" i="23"/>
  <c r="B63" i="23"/>
  <c r="D62" i="23"/>
  <c r="E62" i="23"/>
  <c r="F62" i="23"/>
  <c r="C62" i="23"/>
  <c r="B62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7" i="23"/>
  <c r="C30" i="23"/>
  <c r="F26" i="23"/>
  <c r="E52" i="23"/>
  <c r="F50" i="23"/>
  <c r="D27" i="23"/>
  <c r="D20" i="23"/>
  <c r="C37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F5" i="23"/>
  <c r="E5" i="23"/>
  <c r="D5" i="23"/>
  <c r="G5" i="23"/>
  <c r="C5" i="23"/>
  <c r="B5" i="23"/>
  <c r="C105" i="23" l="1"/>
  <c r="B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<sst xmlns="http://schemas.openxmlformats.org/spreadsheetml/2006/main" count="7402" uniqueCount="3255">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</sst>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2" totalsRowShown="0">
  <autoFilter ref="A3:E112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I735" activePane="bottomLeft" state="frozen"/>
      <selection pane="bottomLeft" activeCell="T726" sqref="T72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2"/>
  <sheetViews>
    <sheetView topLeftCell="A96" workbookViewId="0">
      <selection activeCell="D120" sqref="D120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3054</v>
      </c>
      <c r="H1" s="168" t="s">
        <v>3055</v>
      </c>
    </row>
    <row r="2" spans="1:8">
      <c r="H2" s="167" t="s">
        <v>3056</v>
      </c>
    </row>
    <row r="3" spans="1:8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>
      <c r="A2" s="20" cm="1">
        <f t="array" aca="1" ref="A2:J14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3145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3109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>
        <f ca="1"/>
        <v>0</v>
      </c>
      <c r="R58">
        <f ca="1"/>
        <v>1</v>
      </c>
      <c r="S58">
        <f ca="1"/>
        <v>122</v>
      </c>
      <c r="T58">
        <f ca="1"/>
        <v>121</v>
      </c>
      <c r="X58" t="s">
        <v>2748</v>
      </c>
      <c r="Y58" s="109" t="s">
        <v>3103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124</v>
      </c>
      <c r="T59">
        <f ca="1"/>
        <v>122</v>
      </c>
      <c r="X59" t="s">
        <v>2748</v>
      </c>
      <c r="Y59" t="s">
        <v>3102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125</v>
      </c>
      <c r="T60">
        <f ca="1"/>
        <v>124</v>
      </c>
      <c r="X60" t="s">
        <v>2748</v>
      </c>
      <c r="Y60" t="s">
        <v>3101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128</v>
      </c>
      <c r="T61">
        <f ca="1"/>
        <v>125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129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131</v>
      </c>
      <c r="T63">
        <f ca="1"/>
        <v>129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133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135</v>
      </c>
      <c r="T66">
        <f ca="1"/>
        <v>133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137</v>
      </c>
      <c r="T67">
        <f ca="1"/>
        <v>135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140</v>
      </c>
      <c r="T68">
        <f ca="1"/>
        <v>137</v>
      </c>
      <c r="X68" t="s">
        <v>2959</v>
      </c>
      <c r="Y68" t="s">
        <v>3091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142</v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144</v>
      </c>
      <c r="T70">
        <f ca="1"/>
        <v>142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144</v>
      </c>
      <c r="X71" t="s">
        <v>2822</v>
      </c>
      <c r="Y71" s="17" t="s">
        <v>3075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5</v>
      </c>
      <c r="F123" t="str">
        <f ca="1"/>
        <v>0</v>
      </c>
      <c r="G123">
        <f ca="1"/>
        <v>1</v>
      </c>
      <c r="H123">
        <f ca="1"/>
        <v>5</v>
      </c>
      <c r="I123">
        <f ca="1"/>
        <v>1.5</v>
      </c>
      <c r="J123">
        <f ca="1"/>
        <v>6.5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Fernanda Viana de Souza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2026-072</v>
      </c>
      <c r="C125" t="str">
        <f ca="1"/>
        <v>Realizado</v>
      </c>
      <c r="D125" t="str">
        <f ca="1"/>
        <v>UniTCDF: Gestão Pública e Responsabilidade Fiscal (CEUB)</v>
      </c>
      <c r="E125">
        <f ca="1"/>
        <v>3</v>
      </c>
      <c r="F125" t="str">
        <f ca="1"/>
        <v>Túllio Herbeth Teixeira Moraes</v>
      </c>
      <c r="G125">
        <f ca="1"/>
        <v>2</v>
      </c>
      <c r="H125">
        <f ca="1"/>
        <v>3</v>
      </c>
      <c r="I125">
        <f ca="1"/>
        <v>0.89999999999999991</v>
      </c>
      <c r="J125">
        <f ca="1"/>
        <v>3.9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2026-077</v>
      </c>
      <c r="C126" t="str">
        <f ca="1"/>
        <v>A realizar</v>
      </c>
      <c r="D126" t="str">
        <f ca="1"/>
        <v>Exibição de filme: Consciência Negra</v>
      </c>
      <c r="E126">
        <f ca="1"/>
        <v>0</v>
      </c>
      <c r="F126" t="str">
        <f ca="1"/>
        <v>0</v>
      </c>
      <c r="G126">
        <f ca="1"/>
        <v>1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Isac Mendes Caixeta de Pamplona Araújo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Valéria Feitoza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Cinthia Thais de Carvalho Luz Thomazi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2026-081</v>
      </c>
      <c r="C130" t="str">
        <f ca="1"/>
        <v>Realizado</v>
      </c>
      <c r="D130" t="str">
        <f ca="1"/>
        <v>Contratações de TIC com base na jurisprudência do TCDF - SGDI</v>
      </c>
      <c r="E130">
        <f ca="1"/>
        <v>8</v>
      </c>
      <c r="F130" t="str">
        <f ca="1"/>
        <v>Felipe da Costa Malaquias</v>
      </c>
      <c r="G130">
        <f ca="1"/>
        <v>1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Luciana Alvim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2026-082</v>
      </c>
      <c r="C132" t="str">
        <f ca="1"/>
        <v>Realizado</v>
      </c>
      <c r="D132" t="str">
        <f ca="1"/>
        <v>Curso de formação para gestores e fiscais de contrato nas unidades hospitalares – Turma 4</v>
      </c>
      <c r="E132">
        <f ca="1"/>
        <v>12</v>
      </c>
      <c r="F132" t="str">
        <f ca="1"/>
        <v>Tarsila Firmino Ely</v>
      </c>
      <c r="G132">
        <f ca="1"/>
        <v>2</v>
      </c>
      <c r="H132">
        <f ca="1"/>
        <v>12</v>
      </c>
      <c r="I132">
        <f ca="1"/>
        <v>3.5999999999999996</v>
      </c>
      <c r="J132">
        <f ca="1"/>
        <v>15.6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2026-083</v>
      </c>
      <c r="C133" t="str">
        <f ca="1"/>
        <v>Realizado</v>
      </c>
      <c r="D133" t="str">
        <f ca="1"/>
        <v>Oficina básica de Power Automate</v>
      </c>
      <c r="E133">
        <f ca="1"/>
        <v>9</v>
      </c>
      <c r="F133" t="str">
        <f ca="1"/>
        <v>Josdeyvi Magalhães Russi</v>
      </c>
      <c r="G133">
        <f ca="1"/>
        <v>1</v>
      </c>
      <c r="H133">
        <f ca="1"/>
        <v>9</v>
      </c>
      <c r="I133">
        <f ca="1"/>
        <v>2.6999999999999997</v>
      </c>
      <c r="J133">
        <f ca="1"/>
        <v>11.7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2026-084</v>
      </c>
      <c r="C134" t="str">
        <f ca="1"/>
        <v>A realizar</v>
      </c>
      <c r="D134" t="str">
        <f ca="1"/>
        <v>Oficina EmentAI: o seu assistente de IA na elaboração de ementas jurisprudenciais</v>
      </c>
      <c r="E134">
        <f ca="1"/>
        <v>4</v>
      </c>
      <c r="F134" t="str">
        <f ca="1"/>
        <v>Caio Filipe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2026-085</v>
      </c>
      <c r="C136" t="str">
        <f ca="1"/>
        <v>A realizar</v>
      </c>
      <c r="D136" t="str">
        <f ca="1"/>
        <v xml:space="preserve">Introdução à Engenharia de Prompt – T5 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2026-086</v>
      </c>
      <c r="C138" t="str">
        <f ca="1"/>
        <v>A realizar</v>
      </c>
      <c r="D138" t="str">
        <f ca="1"/>
        <v>Introdução à Engenharia de Prompt – T6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Indio Artiaga do Brasil Rabelo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2026-092</v>
      </c>
      <c r="C143" t="str">
        <f ca="1"/>
        <v>A realizar</v>
      </c>
      <c r="D143" t="str">
        <f ca="1"/>
        <v>MROSC para servidores do GDF</v>
      </c>
      <c r="E143">
        <f ca="1"/>
        <v>12</v>
      </c>
      <c r="F143" t="str">
        <f ca="1"/>
        <v>Leonardo de Melo</v>
      </c>
      <c r="G143">
        <f ca="1"/>
        <v>2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Marcelo Silva Santana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2026-093</v>
      </c>
      <c r="C145" t="str">
        <f ca="1"/>
        <v>A realizar</v>
      </c>
      <c r="D145" t="str">
        <f ca="1"/>
        <v>Controle Tecnológico de Pavimentos Asfálticos, Auditoria e Análise de Superfaturamento</v>
      </c>
      <c r="E145">
        <f ca="1"/>
        <v>12</v>
      </c>
      <c r="F145" t="str">
        <f ca="1"/>
        <v>Matheus Viana de Souza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>
      <c r="R146" t="str">
        <f ca="1"/>
        <v/>
      </c>
      <c r="S146" t="str">
        <f ca="1"/>
        <v/>
      </c>
    </row>
    <row r="147" spans="1:19">
      <c r="R147" t="str">
        <f ca="1"/>
        <v/>
      </c>
      <c r="S147" t="str">
        <f ca="1"/>
        <v/>
      </c>
    </row>
    <row r="148" spans="1:19">
      <c r="R148" t="str">
        <f ca="1"/>
        <v/>
      </c>
      <c r="S148" t="str">
        <f ca="1"/>
        <v/>
      </c>
    </row>
    <row r="149" spans="1:19">
      <c r="R149" t="str">
        <f ca="1"/>
        <v/>
      </c>
      <c r="S149" t="str">
        <f ca="1"/>
        <v/>
      </c>
    </row>
    <row r="150" spans="1:19">
      <c r="R150" t="str">
        <f ca="1"/>
        <v/>
      </c>
      <c r="S150" t="str">
        <f ca="1"/>
        <v/>
      </c>
    </row>
    <row r="151" spans="1:19">
      <c r="R151" t="str">
        <f ca="1"/>
        <v/>
      </c>
      <c r="S151" t="str">
        <f ca="1"/>
        <v/>
      </c>
    </row>
    <row r="152" spans="1:19">
      <c r="R152" t="str">
        <f ca="1"/>
        <v/>
      </c>
      <c r="S152" t="str">
        <f ca="1"/>
        <v/>
      </c>
    </row>
    <row r="153" spans="1:19"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3147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3148</v>
      </c>
      <c r="B4" s="215"/>
      <c r="D4" s="216" t="s">
        <v>3149</v>
      </c>
      <c r="E4" s="217"/>
      <c r="G4" s="44" t="s">
        <v>3150</v>
      </c>
    </row>
    <row r="5" spans="1:7" ht="54.95" customHeight="1" thickBot="1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3152</v>
      </c>
      <c r="B8" s="212"/>
      <c r="D8" s="212" t="s">
        <v>3153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>
      <c r="A30" s="212" t="s">
        <v>3162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3213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3214</v>
      </c>
    </row>
    <row r="4" spans="1:8" ht="21.95" customHeight="1">
      <c r="A4" s="219" t="s">
        <v>3215</v>
      </c>
      <c r="B4" s="220"/>
      <c r="D4" s="219" t="s">
        <v>3216</v>
      </c>
      <c r="E4" s="220"/>
      <c r="G4" s="219" t="s">
        <v>3217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3223</v>
      </c>
      <c r="B1" s="225"/>
      <c r="C1" s="225"/>
      <c r="D1" s="225"/>
      <c r="E1" s="225"/>
      <c r="F1" s="225"/>
    </row>
    <row r="2" spans="1:7">
      <c r="A2" s="226" t="s">
        <v>3224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21</v>
      </c>
      <c r="C5" s="25">
        <f ca="1">IF($A5="","",SUMIFS('GECC 2026'!I$2:I$200,'GECC 2026'!F$2:F$200,$A5))</f>
        <v>6.3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27.3</v>
      </c>
      <c r="F5" s="23">
        <f ca="1">IF($A5="","",COUNTIFS('GECC 2026'!F$2:F$200,$A5))</f>
        <v>6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3161</v>
      </c>
      <c r="B105" s="94">
        <f ca="1">SUM(B5:B100)</f>
        <v>842</v>
      </c>
      <c r="C105" s="94">
        <f ca="1">SUM(C5:C100)</f>
        <v>380.94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2026-09-18T17:38:29Z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