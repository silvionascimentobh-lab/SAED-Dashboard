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01" documentId="13_ncr:1_{6A2CC3E2-FAFB-4D8F-B284-5E8FB5045DFE}" xr6:coauthVersionLast="47" xr6:coauthVersionMax="47" xr10:uidLastSave="{28459C5C-9DCC-4327-8582-0316C8AAEAD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R4" i="20" s="1" a="1"/>
  <c r="S4" i="20" s="1" a="1"/>
  <c r="T4" i="20" s="1" a="1"/>
  <c r="A2" i="20" s="1" a="1"/>
  <c r="A5" i="23" l="1" a="1"/>
  <c r="E105" i="23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<sst xmlns="http://schemas.openxmlformats.org/spreadsheetml/2006/main" count="7409" uniqueCount="3263">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</sst>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662" activePane="bottomLeft" state="frozen"/>
      <selection pane="bottomLeft" activeCell="J2014" sqref="J201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3001</v>
      </c>
      <c r="B662" s="153">
        <v>2026</v>
      </c>
      <c r="C662" s="153" t="s">
        <v>23</v>
      </c>
      <c r="D662" s="153" t="s">
        <v>3002</v>
      </c>
      <c r="E662" s="158" t="s">
        <v>3003</v>
      </c>
      <c r="F662" s="169" t="s">
        <v>25</v>
      </c>
      <c r="G662" s="154" t="s">
        <v>207</v>
      </c>
      <c r="H662" s="155" t="s">
        <v>3004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31">
        <f>IF(B662="","",SUM(O662:Q662))</f>
        <v>0</v>
      </c>
      <c r="S662" s="153">
        <v>2</v>
      </c>
      <c r="T662" s="154" t="s">
        <v>3005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2868</v>
      </c>
      <c r="B677" s="117">
        <v>2026</v>
      </c>
      <c r="C677" s="136" t="s">
        <v>23</v>
      </c>
      <c r="D677" s="136" t="s">
        <v>2869</v>
      </c>
      <c r="E677" s="118" t="s">
        <v>2870</v>
      </c>
      <c r="F677" s="119" t="s">
        <v>25</v>
      </c>
      <c r="G677" s="138" t="s">
        <v>207</v>
      </c>
      <c r="H677" s="139" t="s">
        <v>2871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32">
        <f>SUM(O677:Q677)</f>
        <v>0</v>
      </c>
      <c r="S677" s="136"/>
      <c r="T677" s="131" t="s">
        <v>2872</v>
      </c>
      <c r="U677" s="210"/>
    </row>
    <row r="678" spans="1:21" ht="15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5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5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5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5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5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5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5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5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5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5" x14ac:dyDescent="0.25">
      <c r="A693" s="121" t="s">
        <v>2777</v>
      </c>
      <c r="B693" s="136">
        <v>2026</v>
      </c>
      <c r="C693" s="153" t="s">
        <v>2697</v>
      </c>
      <c r="D693" s="153" t="s">
        <v>2778</v>
      </c>
      <c r="E693" s="158" t="s">
        <v>2779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31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3033</v>
      </c>
      <c r="B695" s="193">
        <v>2026</v>
      </c>
      <c r="C695" s="153" t="s">
        <v>23</v>
      </c>
      <c r="D695" s="153" t="s">
        <v>3034</v>
      </c>
      <c r="E695" s="158" t="s">
        <v>3035</v>
      </c>
      <c r="F695" s="169" t="s">
        <v>25</v>
      </c>
      <c r="G695" s="154" t="s">
        <v>207</v>
      </c>
      <c r="H695" s="155" t="s">
        <v>3036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33">
        <f>IF(B695="","",SUM(O695:Q695))</f>
        <v>60</v>
      </c>
      <c r="S695" s="153">
        <v>2</v>
      </c>
      <c r="T695" s="154" t="s">
        <v>3005</v>
      </c>
      <c r="U695" s="210"/>
    </row>
    <row r="696" spans="1:21" ht="15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5" x14ac:dyDescent="0.25">
      <c r="A699" s="155" t="s">
        <v>2946</v>
      </c>
      <c r="B699" s="136">
        <v>2026</v>
      </c>
      <c r="C699" s="153" t="s">
        <v>2711</v>
      </c>
      <c r="D699" s="153" t="s">
        <v>2930</v>
      </c>
      <c r="E699" s="158" t="s">
        <v>2947</v>
      </c>
      <c r="F699" s="169" t="s">
        <v>89</v>
      </c>
      <c r="G699" s="154" t="s">
        <v>2718</v>
      </c>
      <c r="H699" s="155" t="s">
        <v>2948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31">
        <f>IF(B699="","",SUM(O699:Q699))</f>
        <v>0</v>
      </c>
      <c r="S699" s="153">
        <v>4</v>
      </c>
      <c r="T699" s="120"/>
      <c r="U699" s="210"/>
    </row>
    <row r="700" spans="1:21" ht="15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>IF(B700="","",SUM(O700:Q700))</f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>IF(B701="","",SUM(O701:Q701))</f>
        <v>15</v>
      </c>
      <c r="S701" s="153">
        <v>24</v>
      </c>
      <c r="T701" s="154" t="s">
        <v>2810</v>
      </c>
      <c r="U701" s="210"/>
    </row>
    <row r="702" spans="1:21" ht="15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>IF(B702="","",SUM(O702:Q702))</f>
        <v>51</v>
      </c>
      <c r="S702" s="153">
        <v>4</v>
      </c>
      <c r="T702" s="154" t="s">
        <v>2884</v>
      </c>
      <c r="U702" s="210"/>
    </row>
    <row r="703" spans="1:21" ht="15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>IF(B703="","",SUM(O703:Q703))</f>
        <v>42</v>
      </c>
      <c r="S703" s="153">
        <v>4</v>
      </c>
      <c r="T703" s="154" t="s">
        <v>2888</v>
      </c>
      <c r="U703" s="210"/>
    </row>
    <row r="704" spans="1:21" ht="15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>IF(B704="","",SUM(O704:Q704))</f>
        <v>34</v>
      </c>
      <c r="S704" s="153">
        <v>8</v>
      </c>
      <c r="T704" s="120" t="s">
        <v>2714</v>
      </c>
      <c r="U704" s="210"/>
    </row>
    <row r="705" spans="1:21" ht="15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>IF(B705="","",SUM(O705:Q705))</f>
        <v>47</v>
      </c>
      <c r="S705" s="153">
        <v>4</v>
      </c>
      <c r="T705" s="154" t="s">
        <v>2896</v>
      </c>
      <c r="U705" s="210"/>
    </row>
    <row r="706" spans="1:21" ht="15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>IF(B706="","",SUM(O706:Q706))</f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>IF(B707="","",SUM(O707:Q707))</f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>IF(B708="","",SUM(O708:Q708))</f>
        <v>60</v>
      </c>
      <c r="S708" s="153">
        <v>4</v>
      </c>
      <c r="T708" s="154" t="s">
        <v>2908</v>
      </c>
      <c r="U708" s="210"/>
    </row>
    <row r="709" spans="1:21" ht="15" x14ac:dyDescent="0.25">
      <c r="A709" s="155" t="s">
        <v>2949</v>
      </c>
      <c r="B709" s="136">
        <v>2026</v>
      </c>
      <c r="C709" s="153" t="s">
        <v>2711</v>
      </c>
      <c r="D709" s="153" t="s">
        <v>2930</v>
      </c>
      <c r="E709" s="158" t="s">
        <v>2950</v>
      </c>
      <c r="F709" s="169" t="s">
        <v>89</v>
      </c>
      <c r="G709" s="154" t="s">
        <v>2718</v>
      </c>
      <c r="H709" s="155" t="s">
        <v>2951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>IF(B709="","",SUM(O709:Q709))</f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>IF(B710="","",SUM(O710:Q710))</f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>IF(B711="","",SUM(O711:Q711))</f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>IF(B714="","",SUM(O714:Q714))</f>
        <v>69</v>
      </c>
      <c r="S714" s="153">
        <v>4</v>
      </c>
      <c r="T714" s="108" t="s">
        <v>2933</v>
      </c>
      <c r="U714" s="210"/>
    </row>
    <row r="715" spans="1:21" ht="30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>IF(B715="","",SUM(O715:Q715))</f>
        <v>72</v>
      </c>
      <c r="S715" s="153">
        <v>4</v>
      </c>
      <c r="T715" s="108" t="s">
        <v>2933</v>
      </c>
      <c r="U715" s="210"/>
    </row>
    <row r="716" spans="1:21" ht="30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>IF(B716="","",SUM(O716:Q716))</f>
        <v>63</v>
      </c>
      <c r="S716" s="153">
        <v>4</v>
      </c>
      <c r="T716" s="215" t="s">
        <v>2940</v>
      </c>
      <c r="U716" s="210" t="s">
        <v>2941</v>
      </c>
    </row>
    <row r="717" spans="1:21" ht="30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>IF(B717="","",SUM(O717:Q717))</f>
        <v>67</v>
      </c>
      <c r="S717" s="153">
        <v>4</v>
      </c>
      <c r="T717" s="215" t="s">
        <v>2945</v>
      </c>
      <c r="U717" s="210" t="s">
        <v>2941</v>
      </c>
    </row>
    <row r="718" spans="1:21" ht="15" x14ac:dyDescent="0.25">
      <c r="A718" s="155" t="s">
        <v>3037</v>
      </c>
      <c r="B718" s="193">
        <v>2026</v>
      </c>
      <c r="C718" s="153" t="s">
        <v>2711</v>
      </c>
      <c r="D718" s="153" t="s">
        <v>3038</v>
      </c>
      <c r="E718" s="165" t="s">
        <v>3039</v>
      </c>
      <c r="F718" s="169" t="s">
        <v>25</v>
      </c>
      <c r="G718" s="154" t="s">
        <v>207</v>
      </c>
      <c r="H718" s="155" t="s">
        <v>3040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>IF(B718="","",SUM(O718:Q718))</f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2851</v>
      </c>
      <c r="B719" s="136">
        <v>2026</v>
      </c>
      <c r="C719" s="153" t="s">
        <v>2711</v>
      </c>
      <c r="D719" s="153" t="s">
        <v>2852</v>
      </c>
      <c r="E719" s="158" t="s">
        <v>2853</v>
      </c>
      <c r="F719" s="169" t="s">
        <v>70</v>
      </c>
      <c r="G719" s="154" t="s">
        <v>80</v>
      </c>
      <c r="H719" s="155" t="s">
        <v>2854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>IF(B719="","",SUM(O719:Q719))</f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21.75" customHeight="1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25.5" customHeight="1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5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>IF(B726="","",SUM(O726:Q726))</f>
        <v>40</v>
      </c>
      <c r="S726" s="153">
        <v>5</v>
      </c>
      <c r="T726" s="154" t="s">
        <v>2980</v>
      </c>
      <c r="U726" s="210"/>
    </row>
    <row r="727" spans="1:21" ht="15" x14ac:dyDescent="0.2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>IF(B727="","",SUM(O727:Q727))</f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>IF(B728="","",SUM(O728:Q728))</f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>IF(B729="","",SUM(O729:Q729))</f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>IF(B730="","",SUM(O730:Q730))</f>
        <v>80</v>
      </c>
      <c r="S730" s="153">
        <v>4</v>
      </c>
      <c r="T730" s="154"/>
      <c r="U730" s="210"/>
    </row>
    <row r="731" spans="1:21" ht="15" x14ac:dyDescent="0.2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>IF(B731="","",SUM(O731:Q731))</f>
        <v>100</v>
      </c>
      <c r="S731" s="153">
        <v>3</v>
      </c>
      <c r="T731" s="154"/>
      <c r="U731" s="210"/>
    </row>
    <row r="732" spans="1:21" ht="15" x14ac:dyDescent="0.2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>IF(B732="","",SUM(O732:Q732))</f>
        <v>50</v>
      </c>
      <c r="S732" s="153"/>
      <c r="T732" s="154"/>
      <c r="U732" s="210"/>
    </row>
    <row r="733" spans="1:21" ht="15" x14ac:dyDescent="0.25">
      <c r="A733" s="155" t="s">
        <v>3030</v>
      </c>
      <c r="B733" s="153">
        <v>2026</v>
      </c>
      <c r="C733" s="153" t="s">
        <v>2711</v>
      </c>
      <c r="D733" s="153" t="s">
        <v>3027</v>
      </c>
      <c r="E733" s="158" t="s">
        <v>3031</v>
      </c>
      <c r="F733" s="169" t="s">
        <v>25</v>
      </c>
      <c r="G733" s="154" t="s">
        <v>2700</v>
      </c>
      <c r="H733" s="155" t="s">
        <v>3032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>IF(B733="","",SUM(O733:Q733))</f>
        <v>0</v>
      </c>
      <c r="S733" s="153">
        <v>8</v>
      </c>
      <c r="T733" s="154" t="s">
        <v>2827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>IF(B734="","",SUM(O734:Q734))</f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>IF(B735="","",SUM(O735:Q735))</f>
        <v>30</v>
      </c>
      <c r="S735" s="153">
        <v>8</v>
      </c>
      <c r="T735" s="154" t="s">
        <v>2714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>IF(B736="","",SUM(O736:Q736))</f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>IF(B737="","",SUM(O737:Q737))</f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2909</v>
      </c>
      <c r="B738" s="117">
        <v>2026</v>
      </c>
      <c r="C738" s="153" t="s">
        <v>2711</v>
      </c>
      <c r="D738" s="153" t="s">
        <v>2910</v>
      </c>
      <c r="E738" s="158" t="s">
        <v>2911</v>
      </c>
      <c r="F738" s="169" t="s">
        <v>25</v>
      </c>
      <c r="G738" s="154" t="s">
        <v>76</v>
      </c>
      <c r="H738" s="155" t="s">
        <v>2912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>IF(B738="","",SUM(O738:Q738))</f>
        <v>0</v>
      </c>
      <c r="S738" s="153">
        <v>10</v>
      </c>
      <c r="T738" s="154" t="s">
        <v>2913</v>
      </c>
      <c r="U738" s="211"/>
    </row>
    <row r="739" spans="1:21" ht="15" x14ac:dyDescent="0.2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>IF(B739="","",SUM(O739:Q739))</f>
        <v>21</v>
      </c>
      <c r="S739" s="153">
        <v>8</v>
      </c>
      <c r="T739" s="154" t="s">
        <v>2827</v>
      </c>
      <c r="U739" s="210"/>
    </row>
    <row r="740" spans="1:21" ht="15" x14ac:dyDescent="0.25">
      <c r="A740" s="155" t="s">
        <v>3041</v>
      </c>
      <c r="B740" s="153">
        <v>2026</v>
      </c>
      <c r="C740" s="153" t="s">
        <v>2711</v>
      </c>
      <c r="D740" s="153" t="s">
        <v>3038</v>
      </c>
      <c r="E740" s="165" t="s">
        <v>3042</v>
      </c>
      <c r="F740" s="169" t="s">
        <v>25</v>
      </c>
      <c r="G740" s="154" t="s">
        <v>207</v>
      </c>
      <c r="H740" s="155" t="s">
        <v>3043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>IF(B740="","",SUM(O740:Q740))</f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3022</v>
      </c>
      <c r="B741" s="153">
        <v>2026</v>
      </c>
      <c r="C741" s="153" t="s">
        <v>2711</v>
      </c>
      <c r="D741" s="153" t="s">
        <v>3023</v>
      </c>
      <c r="E741" s="158" t="s">
        <v>3024</v>
      </c>
      <c r="F741" s="169" t="s">
        <v>25</v>
      </c>
      <c r="G741" s="154" t="s">
        <v>2700</v>
      </c>
      <c r="H741" s="155" t="s">
        <v>3025</v>
      </c>
      <c r="I741" s="155" t="s">
        <v>3025</v>
      </c>
      <c r="J741" s="155" t="s">
        <v>3025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>IF(B741="","",SUM(O741:Q741))</f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2710</v>
      </c>
      <c r="B742" s="117">
        <v>2026</v>
      </c>
      <c r="C742" s="153" t="s">
        <v>2711</v>
      </c>
      <c r="D742" s="153" t="s">
        <v>2712</v>
      </c>
      <c r="E742" s="158" t="s">
        <v>2713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>IF(B742="","",SUM(O742:Q742))</f>
        <v>0</v>
      </c>
      <c r="S742" s="153">
        <v>9.66</v>
      </c>
      <c r="T742" s="154" t="s">
        <v>2714</v>
      </c>
      <c r="U742" s="210"/>
    </row>
    <row r="743" spans="1:21" ht="15" x14ac:dyDescent="0.25">
      <c r="A743" s="155" t="s">
        <v>2843</v>
      </c>
      <c r="B743" s="117">
        <v>2026</v>
      </c>
      <c r="C743" s="153" t="s">
        <v>2711</v>
      </c>
      <c r="D743" s="153" t="s">
        <v>2844</v>
      </c>
      <c r="E743" s="158" t="s">
        <v>2845</v>
      </c>
      <c r="F743" s="169" t="s">
        <v>25</v>
      </c>
      <c r="G743" s="154" t="s">
        <v>26</v>
      </c>
      <c r="H743" s="155" t="s">
        <v>2846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>IF(B743="","",SUM(O743:Q743))</f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26:R747" si="13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4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3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3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5" hidden="1" x14ac:dyDescent="0.25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2897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2905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2784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3155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3156</v>
      </c>
      <c r="B4" s="220"/>
      <c r="D4" s="221" t="s">
        <v>3157</v>
      </c>
      <c r="E4" s="222"/>
      <c r="G4" s="44" t="s">
        <v>3158</v>
      </c>
    </row>
    <row r="5" spans="1:7" ht="54.95" customHeight="1" thickBot="1" x14ac:dyDescent="0.75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3160</v>
      </c>
      <c r="B8" s="216"/>
      <c r="D8" s="216" t="s">
        <v>3161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6" t="s">
        <v>3170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3221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3222</v>
      </c>
    </row>
    <row r="4" spans="1:8" ht="21.95" customHeight="1" x14ac:dyDescent="0.25">
      <c r="A4" s="224" t="s">
        <v>3223</v>
      </c>
      <c r="B4" s="225"/>
      <c r="D4" s="224" t="s">
        <v>3224</v>
      </c>
      <c r="E4" s="225"/>
      <c r="G4" s="224" t="s">
        <v>3225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3231</v>
      </c>
      <c r="B1" s="229"/>
      <c r="C1" s="229"/>
      <c r="D1" s="229"/>
      <c r="E1" s="229"/>
      <c r="F1" s="229"/>
    </row>
    <row r="2" spans="1:7" x14ac:dyDescent="0.25">
      <c r="A2" s="230" t="s">
        <v>3232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2D3A7BF04652843BCB50FE90745AA50" ma:contentTypeVersion="13" ma:contentTypeDescription="Crie um novo documento." ma:contentTypeScope="" ma:versionID="ad087e8962b5e5a2074baad69244948e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e8730f31d0596baa27087a1d3d2c2a8a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174865-29A1-4BDF-BBAA-53B74C879A12}"/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2026-10-07T18:08:52Z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