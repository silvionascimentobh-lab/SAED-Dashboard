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98" documentId="13_ncr:1_{6A2CC3E2-FAFB-4D8F-B284-5E8FB5045DFE}" xr6:coauthVersionLast="47" xr6:coauthVersionMax="47" xr10:uidLastSave="{D2108BB7-1A2B-430A-BF6B-94B5B6CEC126}"/>
  <bookViews>
    <workbookView xWindow="-108" yWindow="-108" windowWidth="23256" windowHeight="12456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l="1" a="1"/>
  <c r="S4" i="20" s="1" a="1"/>
  <c r="D64" i="23"/>
  <c r="F64" i="23"/>
  <c r="E64" i="23"/>
  <c r="C64" i="23"/>
  <c r="B64" i="23"/>
  <c r="T4" i="20" l="1" a="1"/>
  <c r="A2" i="20" s="1" a="1"/>
  <c r="A5" i="23" l="1" a="1"/>
  <c r="E105" i="23"/>
  <c r="F5" i="23" l="1"/>
  <c r="D5" i="23"/>
  <c r="G5" i="23"/>
  <c r="C5" i="23"/>
  <c r="D40" i="23"/>
  <c r="C54" i="23"/>
  <c r="D53" i="23"/>
  <c r="D44" i="23"/>
  <c r="D38" i="23"/>
  <c r="C43" i="23"/>
  <c r="D20" i="23"/>
  <c r="E58" i="23"/>
  <c r="C51" i="23"/>
  <c r="E5" i="23"/>
  <c r="C44" i="23"/>
  <c r="D29" i="23"/>
  <c r="F53" i="23"/>
  <c r="D61" i="23"/>
  <c r="E32" i="23"/>
  <c r="C57" i="23"/>
  <c r="F29" i="23"/>
  <c r="F45" i="23"/>
  <c r="C45" i="23"/>
  <c r="C63" i="23"/>
  <c r="C39" i="23"/>
  <c r="E9" i="23"/>
  <c r="D12" i="23"/>
  <c r="F58" i="23"/>
  <c r="F17" i="23"/>
  <c r="E40" i="23"/>
  <c r="B39" i="23"/>
  <c r="F24" i="23"/>
  <c r="C26" i="23"/>
  <c r="C47" i="23"/>
  <c r="C52" i="23"/>
  <c r="F7" i="23"/>
  <c r="B34" i="23"/>
  <c r="C37" i="23"/>
  <c r="B12" i="23"/>
  <c r="D13" i="23"/>
  <c r="B22" i="23"/>
  <c r="C16" i="23"/>
  <c r="F47" i="23"/>
  <c r="C15" i="23"/>
  <c r="C35" i="23"/>
  <c r="D27" i="23"/>
  <c r="B18" i="23"/>
  <c r="F20" i="23"/>
  <c r="B51" i="23"/>
  <c r="F27" i="23"/>
  <c r="D52" i="23"/>
  <c r="D18" i="23"/>
  <c r="E17" i="23"/>
  <c r="E55" i="23"/>
  <c r="B31" i="23"/>
  <c r="B24" i="23"/>
  <c r="D16" i="23"/>
  <c r="E15" i="23"/>
  <c r="F44" i="23"/>
  <c r="B29" i="23"/>
  <c r="E51" i="23"/>
  <c r="D32" i="23"/>
  <c r="D6" i="23"/>
  <c r="C7" i="23"/>
  <c r="D45" i="23"/>
  <c r="F63" i="23"/>
  <c r="E31" i="23"/>
  <c r="F8" i="23"/>
  <c r="D39" i="23"/>
  <c r="E24" i="23"/>
  <c r="C48" i="23"/>
  <c r="C12" i="23"/>
  <c r="C21" i="23"/>
  <c r="F41" i="23"/>
  <c r="F13" i="23"/>
  <c r="D56" i="23"/>
  <c r="D41" i="23"/>
  <c r="B20" i="23"/>
  <c r="F32" i="23"/>
  <c r="E48" i="23"/>
  <c r="E47" i="23"/>
  <c r="D7" i="23"/>
  <c r="C50" i="23"/>
  <c r="B44" i="23"/>
  <c r="B16" i="23"/>
  <c r="E44" i="23"/>
  <c r="E59" i="23"/>
  <c r="E25" i="23"/>
  <c r="D62" i="23"/>
  <c r="F12" i="23"/>
  <c r="F19" i="23"/>
  <c r="B62" i="23"/>
  <c r="B23" i="23"/>
  <c r="B15" i="23"/>
  <c r="D49" i="23"/>
  <c r="E28" i="23"/>
  <c r="B45" i="23"/>
  <c r="B32" i="23"/>
  <c r="D17" i="23"/>
  <c r="D43" i="23"/>
  <c r="F52" i="23"/>
  <c r="C31" i="23"/>
  <c r="E26" i="23"/>
  <c r="B6" i="23"/>
  <c r="B60" i="23"/>
  <c r="D34" i="23"/>
  <c r="C33" i="23"/>
  <c r="E50" i="23"/>
  <c r="C38" i="23"/>
  <c r="E34" i="23"/>
  <c r="E63" i="23"/>
  <c r="F34" i="23"/>
  <c r="D55" i="23"/>
  <c r="B26" i="23"/>
  <c r="B35" i="23"/>
  <c r="D59" i="23"/>
  <c r="E16" i="23"/>
  <c r="B63" i="23"/>
  <c r="D9" i="23"/>
  <c r="E35" i="23"/>
  <c r="D31" i="23"/>
  <c r="F55" i="23"/>
  <c r="F23" i="23"/>
  <c r="F51" i="23"/>
  <c r="B49" i="23"/>
  <c r="B54" i="23"/>
  <c r="F28" i="23"/>
  <c r="B17" i="23"/>
  <c r="C36" i="23"/>
  <c r="D11" i="23"/>
  <c r="D60" i="23"/>
  <c r="D46" i="23"/>
  <c r="B38" i="23"/>
  <c r="C55" i="23"/>
  <c r="B21" i="23"/>
  <c r="F31" i="23"/>
  <c r="F50" i="23"/>
  <c r="B56" i="23"/>
  <c r="F48" i="23"/>
  <c r="F49" i="23"/>
  <c r="C25" i="23"/>
  <c r="E21" i="23"/>
  <c r="D23" i="23"/>
  <c r="E49" i="23"/>
  <c r="B7" i="23"/>
  <c r="C29" i="23"/>
  <c r="E43" i="23"/>
  <c r="F59" i="23"/>
  <c r="B40" i="23"/>
  <c r="F56" i="23"/>
  <c r="F18" i="23"/>
  <c r="F16" i="23"/>
  <c r="C42" i="23"/>
  <c r="C59" i="23"/>
  <c r="D36" i="23"/>
  <c r="F35" i="23"/>
  <c r="F6" i="23"/>
  <c r="B19" i="23"/>
  <c r="D22" i="23"/>
  <c r="B59" i="23"/>
  <c r="D8" i="23"/>
  <c r="F30" i="23"/>
  <c r="C22" i="23"/>
  <c r="C27" i="23"/>
  <c r="C20" i="23"/>
  <c r="C53" i="23"/>
  <c r="F9" i="23"/>
  <c r="B10" i="23"/>
  <c r="E42" i="23"/>
  <c r="C9" i="23"/>
  <c r="B41" i="23"/>
  <c r="E8" i="23"/>
  <c r="D48" i="23"/>
  <c r="F40" i="23"/>
  <c r="E37" i="23"/>
  <c r="E12" i="23"/>
  <c r="C60" i="23"/>
  <c r="E45" i="23"/>
  <c r="D28" i="23"/>
  <c r="C11" i="23"/>
  <c r="D35" i="23"/>
  <c r="B48" i="23"/>
  <c r="B55" i="23"/>
  <c r="F60" i="23"/>
  <c r="B43" i="23"/>
  <c r="B5" i="23"/>
  <c r="F54" i="23"/>
  <c r="C30" i="23"/>
  <c r="D47" i="23"/>
  <c r="C56" i="23"/>
  <c r="B28" i="23"/>
  <c r="B25" i="23"/>
  <c r="E27" i="23"/>
  <c r="D57" i="23"/>
  <c r="F26" i="23"/>
  <c r="D42" i="23"/>
  <c r="E60" i="23"/>
  <c r="E36" i="23"/>
  <c r="E14" i="23"/>
  <c r="E52" i="23"/>
  <c r="B27" i="23"/>
  <c r="B50" i="23"/>
  <c r="F62" i="23"/>
  <c r="D51" i="23"/>
  <c r="D25" i="23"/>
  <c r="B61" i="23"/>
  <c r="E18" i="23"/>
  <c r="F33" i="23"/>
  <c r="B58" i="23"/>
  <c r="B33" i="23"/>
  <c r="E54" i="23"/>
  <c r="B53" i="23"/>
  <c r="C41" i="23"/>
  <c r="F22" i="23"/>
  <c r="F37" i="23"/>
  <c r="C8" i="23"/>
  <c r="B14" i="23"/>
  <c r="E22" i="23"/>
  <c r="F46" i="23"/>
  <c r="D14" i="23"/>
  <c r="D37" i="23"/>
  <c r="E41" i="23"/>
  <c r="F21" i="23"/>
  <c r="F14" i="23"/>
  <c r="E33" i="23"/>
  <c r="C40" i="23"/>
  <c r="C18" i="23"/>
  <c r="E30" i="23"/>
  <c r="F38" i="23"/>
  <c r="B46" i="23"/>
  <c r="B8" i="23"/>
  <c r="F25" i="23"/>
  <c r="B47" i="23"/>
  <c r="E20" i="23"/>
  <c r="C58" i="23"/>
  <c r="C62" i="23"/>
  <c r="C49" i="23"/>
  <c r="E10" i="23"/>
  <c r="F11" i="23"/>
  <c r="D15" i="23"/>
  <c r="E57" i="23"/>
  <c r="C24" i="23"/>
  <c r="B9" i="23"/>
  <c r="D24" i="23"/>
  <c r="E11" i="23"/>
  <c r="E6" i="23"/>
  <c r="D54" i="23"/>
  <c r="C13" i="23"/>
  <c r="F43" i="23"/>
  <c r="C61" i="23"/>
  <c r="E13" i="23"/>
  <c r="D26" i="23"/>
  <c r="C34" i="23"/>
  <c r="B37" i="23"/>
  <c r="B13" i="23"/>
  <c r="D21" i="23"/>
  <c r="E56" i="23"/>
  <c r="E23" i="23"/>
  <c r="D30" i="23"/>
  <c r="F36" i="23"/>
  <c r="D63" i="23"/>
  <c r="D10" i="23"/>
  <c r="C32" i="23"/>
  <c r="E19" i="23"/>
  <c r="C23" i="23"/>
  <c r="F57" i="23"/>
  <c r="C6" i="23"/>
  <c r="F61" i="23"/>
  <c r="B42" i="23"/>
  <c r="E38" i="23"/>
  <c r="D33" i="23"/>
  <c r="B57" i="23"/>
  <c r="B11" i="23"/>
  <c r="D58" i="23"/>
  <c r="C46" i="23"/>
  <c r="E61" i="23"/>
  <c r="F39" i="23"/>
  <c r="B52" i="23"/>
  <c r="C10" i="23"/>
  <c r="E7" i="23"/>
  <c r="D19" i="23"/>
  <c r="B36" i="23"/>
  <c r="B30" i="23"/>
  <c r="E29" i="23"/>
  <c r="C14" i="23"/>
  <c r="C17" i="23"/>
  <c r="E62" i="23"/>
  <c r="E46" i="23"/>
  <c r="F15" i="23"/>
  <c r="C28" i="23"/>
  <c r="C19" i="23"/>
  <c r="F10" i="23"/>
  <c r="D50" i="23"/>
  <c r="E39" i="23"/>
  <c r="F42" i="23"/>
  <c r="E53" i="23"/>
  <c r="F105" i="23" l="1"/>
  <c r="C105" i="23"/>
  <c r="B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<sst xmlns="http://schemas.openxmlformats.org/spreadsheetml/2006/main" count="7414" uniqueCount="3263">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</sst>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7" totalsRowShown="0" headerRowDxfId="54" dataDxfId="53" totalsRowDxfId="52" totalsRowBorderDxfId="51">
  <autoFilter ref="A1:U2007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50" totalsRowDxfId="49"/>
    <tableColumn id="2" xr3:uid="{19532738-24D5-4BD5-BE04-C19DCC5894A1}" name="Ano" dataDxfId="48" totalsRowDxfId="47"/>
    <tableColumn id="3" xr3:uid="{8DE0B36A-F0DC-47A1-A74E-F4BE63A4FB1D}" name="Status Evento" dataDxfId="46" totalsRowDxfId="45"/>
    <tableColumn id="4" xr3:uid="{C1159FBD-CCD0-4CA2-BB8C-598E3AB5DDD8}" name="Processo" dataDxfId="44" totalsRowDxfId="43"/>
    <tableColumn id="5" xr3:uid="{A32670A4-BE4F-480D-8DE9-8FF18024C829}" name="Curso" dataDxfId="42" totalsRowDxfId="41"/>
    <tableColumn id="8" xr3:uid="{905DEA0A-D099-47EA-972D-1012D71C7792}" name="Público-Alvo" dataDxfId="40" totalsRowDxfId="39"/>
    <tableColumn id="9" xr3:uid="{7DC0A0BE-8030-47CA-AF56-2C13C9FF7AE5}" name="Programa" dataDxfId="38" totalsRowDxfId="37"/>
    <tableColumn id="11" xr3:uid="{2B799ACD-69E4-46A5-9A4F-F7E3D7A47CE9}" name="Data TXT" dataDxfId="36" totalsRowDxfId="35"/>
    <tableColumn id="12" xr3:uid="{62016C67-3729-4C41-B72D-09D6616B7474}" name="Início" dataDxfId="34" totalsRowDxfId="33"/>
    <tableColumn id="13" xr3:uid="{E4F20518-0042-40C0-B590-B7616F2843A5}" name="Término" dataDxfId="32" totalsRowDxfId="31"/>
    <tableColumn id="14" xr3:uid="{4D6C4412-CFEE-4506-830E-F79FD008371B}" name="Modalidade" dataDxfId="30" totalsRowDxfId="29"/>
    <tableColumn id="15" xr3:uid="{12EC931A-E71B-4AEB-B20B-0F9EA63D0C71}" name="Valor instrutoria" dataDxfId="28" totalsRowDxfId="27" dataCellStyle="Moeda"/>
    <tableColumn id="17" xr3:uid="{8FCDFADA-4FA3-41E0-86FF-E623116BAFEB}" name="Nota Av. Reação" dataDxfId="26" totalsRowDxfId="25"/>
    <tableColumn id="19" xr3:uid="{316EB379-BB97-4F60-9566-576B25A26B0E}" name="Qtd Vagas" dataDxfId="24" totalsRowDxfId="23"/>
    <tableColumn id="20" xr3:uid="{59A9FB16-6726-411C-88B5-8165DD520DA3}" name="P. Servidores" dataDxfId="22" totalsRowDxfId="21"/>
    <tableColumn id="21" xr3:uid="{0246E091-ADCD-4F62-8F95-84B21E8A7BE1}" name="P. Jurisdicionados" dataDxfId="20" totalsRowDxfId="19"/>
    <tableColumn id="22" xr3:uid="{1B6DBD6D-C072-4600-81C1-69D6F4422D7D}" name="P. Sociedade" dataDxfId="18" totalsRowDxfId="17"/>
    <tableColumn id="23" xr3:uid="{109F7E4E-776C-4249-88BE-FEC3A375D7D9}" name="Total Part." dataDxfId="16" totalsRowDxfId="15"/>
    <tableColumn id="24" xr3:uid="{C67AA4C6-834C-4EBB-839B-EF0CDD50F649}" name="C.H." dataDxfId="14" totalsRowDxfId="13"/>
    <tableColumn id="26" xr3:uid="{973608F6-3E97-493C-AC61-980F73C13CD6}" name="Instrutor" dataDxfId="12" totalsRowDxfId="11"/>
    <tableColumn id="6" xr3:uid="{F31C00D3-B2F3-431E-B544-9F6C588B52B0}" name="Coluna1" dataDxfId="10" totalsRowDxfId="9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7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K1" zoomScaleNormal="100" workbookViewId="0">
      <pane ySplit="1" topLeftCell="A714" activePane="bottomLeft" state="frozen"/>
      <selection pane="bottomLeft" activeCell="T719" sqref="T719"/>
    </sheetView>
  </sheetViews>
  <sheetFormatPr defaultColWidth="9.109375" defaultRowHeight="22.5" customHeight="1" x14ac:dyDescent="0.3"/>
  <cols>
    <col min="1" max="1" width="11.5546875" style="3" customWidth="1"/>
    <col min="2" max="2" width="11.109375" style="3" customWidth="1"/>
    <col min="3" max="3" width="21.44140625" style="3" customWidth="1"/>
    <col min="4" max="4" width="22.109375" style="2" customWidth="1"/>
    <col min="5" max="5" width="75.88671875" style="2" customWidth="1"/>
    <col min="6" max="6" width="18.33203125" style="2" customWidth="1"/>
    <col min="7" max="7" width="46.88671875" style="3" customWidth="1"/>
    <col min="8" max="8" width="33.44140625" style="1" customWidth="1"/>
    <col min="9" max="9" width="10.6640625" style="1" customWidth="1"/>
    <col min="10" max="10" width="13" style="3" customWidth="1"/>
    <col min="11" max="11" width="18.109375" style="107" customWidth="1"/>
    <col min="12" max="12" width="16.33203125" style="2" customWidth="1"/>
    <col min="13" max="13" width="12.6640625" style="182" customWidth="1"/>
    <col min="14" max="14" width="12.44140625" style="4" customWidth="1"/>
    <col min="15" max="15" width="18.44140625" style="4" customWidth="1"/>
    <col min="16" max="16" width="12.44140625" style="4" customWidth="1"/>
    <col min="17" max="17" width="15.109375" style="4" customWidth="1"/>
    <col min="18" max="18" width="9.109375" style="2" customWidth="1"/>
    <col min="19" max="19" width="7" style="2" bestFit="1" customWidth="1"/>
    <col min="20" max="20" width="74.88671875" style="2" customWidth="1"/>
    <col min="21" max="21" width="9.109375" style="2"/>
    <col min="22" max="22" width="39.33203125" style="2" bestFit="1" customWidth="1"/>
    <col min="23" max="23" width="8.6640625" style="2" bestFit="1" customWidth="1"/>
    <col min="24" max="16384" width="9.109375" style="2"/>
  </cols>
  <sheetData>
    <row r="1" spans="1:23" ht="28.8" x14ac:dyDescent="0.3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" hidden="1" x14ac:dyDescent="0.3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" hidden="1" x14ac:dyDescent="0.3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" hidden="1" x14ac:dyDescent="0.3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1499</v>
      </c>
    </row>
    <row r="5" spans="1:23" ht="14.4" hidden="1" x14ac:dyDescent="0.3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4.4" hidden="1" x14ac:dyDescent="0.3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" hidden="1" x14ac:dyDescent="0.3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" hidden="1" x14ac:dyDescent="0.3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" hidden="1" x14ac:dyDescent="0.3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" hidden="1" x14ac:dyDescent="0.3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" hidden="1" x14ac:dyDescent="0.3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" hidden="1" x14ac:dyDescent="0.3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" hidden="1" x14ac:dyDescent="0.3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" hidden="1" x14ac:dyDescent="0.3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" hidden="1" x14ac:dyDescent="0.3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" hidden="1" x14ac:dyDescent="0.3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" hidden="1" x14ac:dyDescent="0.3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" hidden="1" x14ac:dyDescent="0.3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" hidden="1" x14ac:dyDescent="0.3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" hidden="1" x14ac:dyDescent="0.3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" hidden="1" x14ac:dyDescent="0.3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" hidden="1" x14ac:dyDescent="0.3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" hidden="1" x14ac:dyDescent="0.3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" hidden="1" x14ac:dyDescent="0.3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" hidden="1" x14ac:dyDescent="0.3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" hidden="1" x14ac:dyDescent="0.3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" hidden="1" x14ac:dyDescent="0.3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" hidden="1" x14ac:dyDescent="0.3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" hidden="1" x14ac:dyDescent="0.3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" hidden="1" x14ac:dyDescent="0.3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" hidden="1" x14ac:dyDescent="0.3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" hidden="1" x14ac:dyDescent="0.3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" hidden="1" x14ac:dyDescent="0.3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" hidden="1" x14ac:dyDescent="0.3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" hidden="1" x14ac:dyDescent="0.3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" hidden="1" x14ac:dyDescent="0.3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" hidden="1" x14ac:dyDescent="0.3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" hidden="1" x14ac:dyDescent="0.3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" hidden="1" x14ac:dyDescent="0.3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" hidden="1" x14ac:dyDescent="0.3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" hidden="1" x14ac:dyDescent="0.3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" hidden="1" x14ac:dyDescent="0.3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" hidden="1" x14ac:dyDescent="0.3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" hidden="1" x14ac:dyDescent="0.3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" hidden="1" x14ac:dyDescent="0.3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" hidden="1" x14ac:dyDescent="0.3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" hidden="1" x14ac:dyDescent="0.3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" hidden="1" x14ac:dyDescent="0.3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" hidden="1" x14ac:dyDescent="0.3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" hidden="1" x14ac:dyDescent="0.3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" hidden="1" x14ac:dyDescent="0.3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" hidden="1" x14ac:dyDescent="0.3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" hidden="1" x14ac:dyDescent="0.3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" hidden="1" x14ac:dyDescent="0.3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" hidden="1" x14ac:dyDescent="0.3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" hidden="1" x14ac:dyDescent="0.3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" hidden="1" x14ac:dyDescent="0.3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" hidden="1" x14ac:dyDescent="0.3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" hidden="1" x14ac:dyDescent="0.3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" hidden="1" x14ac:dyDescent="0.3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" hidden="1" x14ac:dyDescent="0.3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" hidden="1" x14ac:dyDescent="0.3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" hidden="1" x14ac:dyDescent="0.3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" hidden="1" x14ac:dyDescent="0.3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" hidden="1" x14ac:dyDescent="0.3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" hidden="1" x14ac:dyDescent="0.3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" hidden="1" x14ac:dyDescent="0.3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" hidden="1" x14ac:dyDescent="0.3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" hidden="1" x14ac:dyDescent="0.3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" hidden="1" x14ac:dyDescent="0.3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" hidden="1" x14ac:dyDescent="0.3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" hidden="1" x14ac:dyDescent="0.3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" hidden="1" x14ac:dyDescent="0.3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" hidden="1" x14ac:dyDescent="0.3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" hidden="1" x14ac:dyDescent="0.3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" hidden="1" x14ac:dyDescent="0.3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" hidden="1" x14ac:dyDescent="0.3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" hidden="1" x14ac:dyDescent="0.3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" hidden="1" x14ac:dyDescent="0.3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" hidden="1" x14ac:dyDescent="0.3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" hidden="1" x14ac:dyDescent="0.3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" hidden="1" x14ac:dyDescent="0.3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" hidden="1" x14ac:dyDescent="0.3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" hidden="1" x14ac:dyDescent="0.3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" hidden="1" x14ac:dyDescent="0.3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" hidden="1" x14ac:dyDescent="0.3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" hidden="1" x14ac:dyDescent="0.3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" hidden="1" x14ac:dyDescent="0.3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" hidden="1" x14ac:dyDescent="0.3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" hidden="1" x14ac:dyDescent="0.3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" hidden="1" x14ac:dyDescent="0.3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" hidden="1" x14ac:dyDescent="0.3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" hidden="1" x14ac:dyDescent="0.3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" hidden="1" x14ac:dyDescent="0.3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" hidden="1" x14ac:dyDescent="0.3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" hidden="1" x14ac:dyDescent="0.3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" hidden="1" x14ac:dyDescent="0.3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" hidden="1" x14ac:dyDescent="0.3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" hidden="1" x14ac:dyDescent="0.3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" hidden="1" x14ac:dyDescent="0.3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" hidden="1" x14ac:dyDescent="0.3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" hidden="1" x14ac:dyDescent="0.3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" hidden="1" x14ac:dyDescent="0.3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" hidden="1" x14ac:dyDescent="0.3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" hidden="1" x14ac:dyDescent="0.3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" hidden="1" x14ac:dyDescent="0.3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" hidden="1" x14ac:dyDescent="0.3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" hidden="1" x14ac:dyDescent="0.3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" hidden="1" x14ac:dyDescent="0.3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" hidden="1" x14ac:dyDescent="0.3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" hidden="1" x14ac:dyDescent="0.3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" hidden="1" x14ac:dyDescent="0.3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" hidden="1" x14ac:dyDescent="0.3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" hidden="1" x14ac:dyDescent="0.3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" hidden="1" x14ac:dyDescent="0.3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" hidden="1" x14ac:dyDescent="0.3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" hidden="1" x14ac:dyDescent="0.3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" hidden="1" x14ac:dyDescent="0.3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" hidden="1" x14ac:dyDescent="0.3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" hidden="1" x14ac:dyDescent="0.3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" hidden="1" x14ac:dyDescent="0.3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" hidden="1" x14ac:dyDescent="0.3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" hidden="1" x14ac:dyDescent="0.3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" hidden="1" x14ac:dyDescent="0.3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" hidden="1" x14ac:dyDescent="0.3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" hidden="1" x14ac:dyDescent="0.3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" hidden="1" x14ac:dyDescent="0.3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" hidden="1" x14ac:dyDescent="0.3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" hidden="1" x14ac:dyDescent="0.3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" hidden="1" x14ac:dyDescent="0.3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" hidden="1" x14ac:dyDescent="0.3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" hidden="1" x14ac:dyDescent="0.3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" hidden="1" x14ac:dyDescent="0.3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" hidden="1" x14ac:dyDescent="0.3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" hidden="1" x14ac:dyDescent="0.3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" hidden="1" x14ac:dyDescent="0.3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" hidden="1" x14ac:dyDescent="0.3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" hidden="1" x14ac:dyDescent="0.3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" hidden="1" x14ac:dyDescent="0.3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" hidden="1" x14ac:dyDescent="0.3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" hidden="1" x14ac:dyDescent="0.3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" hidden="1" x14ac:dyDescent="0.3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" hidden="1" x14ac:dyDescent="0.3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" hidden="1" x14ac:dyDescent="0.3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" hidden="1" x14ac:dyDescent="0.3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" hidden="1" x14ac:dyDescent="0.3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" hidden="1" x14ac:dyDescent="0.3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" hidden="1" x14ac:dyDescent="0.3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" hidden="1" x14ac:dyDescent="0.3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" hidden="1" x14ac:dyDescent="0.3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" hidden="1" x14ac:dyDescent="0.3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" hidden="1" x14ac:dyDescent="0.3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" hidden="1" x14ac:dyDescent="0.3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" hidden="1" x14ac:dyDescent="0.3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" hidden="1" x14ac:dyDescent="0.3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" hidden="1" x14ac:dyDescent="0.3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" hidden="1" x14ac:dyDescent="0.3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" hidden="1" x14ac:dyDescent="0.3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" hidden="1" x14ac:dyDescent="0.3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" hidden="1" x14ac:dyDescent="0.3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" hidden="1" x14ac:dyDescent="0.3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" hidden="1" x14ac:dyDescent="0.3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" hidden="1" x14ac:dyDescent="0.3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" hidden="1" x14ac:dyDescent="0.3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" hidden="1" x14ac:dyDescent="0.3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" hidden="1" x14ac:dyDescent="0.3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" hidden="1" x14ac:dyDescent="0.3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" hidden="1" x14ac:dyDescent="0.3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" hidden="1" x14ac:dyDescent="0.3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" hidden="1" x14ac:dyDescent="0.3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" hidden="1" x14ac:dyDescent="0.3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" hidden="1" x14ac:dyDescent="0.3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" hidden="1" x14ac:dyDescent="0.3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" hidden="1" x14ac:dyDescent="0.3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" hidden="1" x14ac:dyDescent="0.3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" hidden="1" x14ac:dyDescent="0.3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" hidden="1" x14ac:dyDescent="0.3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" hidden="1" x14ac:dyDescent="0.3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" hidden="1" x14ac:dyDescent="0.3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" hidden="1" x14ac:dyDescent="0.3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" hidden="1" x14ac:dyDescent="0.3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" hidden="1" x14ac:dyDescent="0.3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" hidden="1" x14ac:dyDescent="0.3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" hidden="1" x14ac:dyDescent="0.3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" hidden="1" x14ac:dyDescent="0.3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" hidden="1" x14ac:dyDescent="0.3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" hidden="1" x14ac:dyDescent="0.3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" hidden="1" x14ac:dyDescent="0.3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" hidden="1" x14ac:dyDescent="0.3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" hidden="1" x14ac:dyDescent="0.3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" hidden="1" x14ac:dyDescent="0.3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" hidden="1" x14ac:dyDescent="0.3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" hidden="1" x14ac:dyDescent="0.3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" hidden="1" x14ac:dyDescent="0.3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" hidden="1" x14ac:dyDescent="0.3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" hidden="1" x14ac:dyDescent="0.3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" hidden="1" x14ac:dyDescent="0.3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" hidden="1" x14ac:dyDescent="0.3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" hidden="1" x14ac:dyDescent="0.3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" hidden="1" x14ac:dyDescent="0.3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" hidden="1" x14ac:dyDescent="0.3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" hidden="1" x14ac:dyDescent="0.3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" hidden="1" x14ac:dyDescent="0.3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" hidden="1" x14ac:dyDescent="0.3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" hidden="1" x14ac:dyDescent="0.3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" hidden="1" x14ac:dyDescent="0.3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" hidden="1" x14ac:dyDescent="0.3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" hidden="1" x14ac:dyDescent="0.3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" hidden="1" x14ac:dyDescent="0.3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" hidden="1" x14ac:dyDescent="0.3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" hidden="1" x14ac:dyDescent="0.3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" hidden="1" x14ac:dyDescent="0.3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" hidden="1" x14ac:dyDescent="0.3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" hidden="1" x14ac:dyDescent="0.3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" hidden="1" x14ac:dyDescent="0.3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" hidden="1" x14ac:dyDescent="0.3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" hidden="1" x14ac:dyDescent="0.3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" hidden="1" x14ac:dyDescent="0.3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" hidden="1" x14ac:dyDescent="0.3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" hidden="1" x14ac:dyDescent="0.3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" hidden="1" x14ac:dyDescent="0.3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" hidden="1" x14ac:dyDescent="0.3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" hidden="1" x14ac:dyDescent="0.3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" hidden="1" x14ac:dyDescent="0.3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" hidden="1" x14ac:dyDescent="0.3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" hidden="1" x14ac:dyDescent="0.3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" hidden="1" x14ac:dyDescent="0.3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" hidden="1" x14ac:dyDescent="0.3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" hidden="1" x14ac:dyDescent="0.3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" hidden="1" x14ac:dyDescent="0.3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" hidden="1" x14ac:dyDescent="0.3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" hidden="1" x14ac:dyDescent="0.3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" hidden="1" x14ac:dyDescent="0.3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" hidden="1" x14ac:dyDescent="0.3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" hidden="1" x14ac:dyDescent="0.3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" hidden="1" x14ac:dyDescent="0.3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" hidden="1" x14ac:dyDescent="0.3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" hidden="1" x14ac:dyDescent="0.3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" hidden="1" x14ac:dyDescent="0.3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" hidden="1" x14ac:dyDescent="0.3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" hidden="1" x14ac:dyDescent="0.3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" hidden="1" x14ac:dyDescent="0.3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" hidden="1" x14ac:dyDescent="0.3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" hidden="1" x14ac:dyDescent="0.3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" hidden="1" x14ac:dyDescent="0.3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" hidden="1" x14ac:dyDescent="0.3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" hidden="1" x14ac:dyDescent="0.3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" hidden="1" x14ac:dyDescent="0.3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" hidden="1" x14ac:dyDescent="0.3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" hidden="1" x14ac:dyDescent="0.3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" hidden="1" x14ac:dyDescent="0.3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" hidden="1" x14ac:dyDescent="0.3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" hidden="1" x14ac:dyDescent="0.3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" hidden="1" x14ac:dyDescent="0.3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" hidden="1" x14ac:dyDescent="0.3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" hidden="1" x14ac:dyDescent="0.3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" hidden="1" x14ac:dyDescent="0.3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" hidden="1" x14ac:dyDescent="0.3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" hidden="1" x14ac:dyDescent="0.3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" hidden="1" x14ac:dyDescent="0.3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" hidden="1" x14ac:dyDescent="0.3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" hidden="1" x14ac:dyDescent="0.3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" hidden="1" x14ac:dyDescent="0.3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" hidden="1" x14ac:dyDescent="0.3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" hidden="1" x14ac:dyDescent="0.3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" hidden="1" x14ac:dyDescent="0.3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" hidden="1" x14ac:dyDescent="0.3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" hidden="1" x14ac:dyDescent="0.3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" hidden="1" x14ac:dyDescent="0.3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" hidden="1" x14ac:dyDescent="0.3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" hidden="1" x14ac:dyDescent="0.3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" hidden="1" x14ac:dyDescent="0.3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" hidden="1" x14ac:dyDescent="0.3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" hidden="1" x14ac:dyDescent="0.3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" hidden="1" x14ac:dyDescent="0.3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" hidden="1" x14ac:dyDescent="0.3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" hidden="1" x14ac:dyDescent="0.3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2" hidden="1" x14ac:dyDescent="0.3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" hidden="1" x14ac:dyDescent="0.3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" hidden="1" x14ac:dyDescent="0.3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" hidden="1" x14ac:dyDescent="0.3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" hidden="1" x14ac:dyDescent="0.3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" hidden="1" x14ac:dyDescent="0.3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" hidden="1" x14ac:dyDescent="0.3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" hidden="1" x14ac:dyDescent="0.3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" hidden="1" x14ac:dyDescent="0.3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" hidden="1" x14ac:dyDescent="0.3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" hidden="1" x14ac:dyDescent="0.3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" hidden="1" x14ac:dyDescent="0.3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" hidden="1" x14ac:dyDescent="0.3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" hidden="1" x14ac:dyDescent="0.3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" hidden="1" x14ac:dyDescent="0.3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" hidden="1" x14ac:dyDescent="0.3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" hidden="1" x14ac:dyDescent="0.3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" hidden="1" x14ac:dyDescent="0.3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" hidden="1" x14ac:dyDescent="0.3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" hidden="1" x14ac:dyDescent="0.3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" hidden="1" x14ac:dyDescent="0.3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" hidden="1" x14ac:dyDescent="0.3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" hidden="1" x14ac:dyDescent="0.3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" hidden="1" x14ac:dyDescent="0.3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" hidden="1" x14ac:dyDescent="0.3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" hidden="1" x14ac:dyDescent="0.3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" hidden="1" x14ac:dyDescent="0.3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" hidden="1" x14ac:dyDescent="0.3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" hidden="1" x14ac:dyDescent="0.3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" hidden="1" x14ac:dyDescent="0.3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" hidden="1" x14ac:dyDescent="0.3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" hidden="1" x14ac:dyDescent="0.3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" hidden="1" x14ac:dyDescent="0.3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" hidden="1" x14ac:dyDescent="0.3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2" hidden="1" x14ac:dyDescent="0.3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" hidden="1" x14ac:dyDescent="0.3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" hidden="1" x14ac:dyDescent="0.3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" hidden="1" x14ac:dyDescent="0.3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" hidden="1" x14ac:dyDescent="0.3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" hidden="1" x14ac:dyDescent="0.3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" hidden="1" x14ac:dyDescent="0.3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" hidden="1" x14ac:dyDescent="0.3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" hidden="1" x14ac:dyDescent="0.3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" hidden="1" x14ac:dyDescent="0.3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" hidden="1" x14ac:dyDescent="0.3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" hidden="1" x14ac:dyDescent="0.3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" hidden="1" x14ac:dyDescent="0.3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" hidden="1" x14ac:dyDescent="0.3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" hidden="1" x14ac:dyDescent="0.3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" hidden="1" x14ac:dyDescent="0.3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 x14ac:dyDescent="0.3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" hidden="1" x14ac:dyDescent="0.3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" hidden="1" x14ac:dyDescent="0.3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" hidden="1" x14ac:dyDescent="0.3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" hidden="1" x14ac:dyDescent="0.3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" hidden="1" x14ac:dyDescent="0.3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" hidden="1" x14ac:dyDescent="0.3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" hidden="1" x14ac:dyDescent="0.3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" hidden="1" x14ac:dyDescent="0.3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" hidden="1" x14ac:dyDescent="0.3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" hidden="1" x14ac:dyDescent="0.3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" hidden="1" x14ac:dyDescent="0.3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" hidden="1" x14ac:dyDescent="0.3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" hidden="1" x14ac:dyDescent="0.3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" hidden="1" x14ac:dyDescent="0.3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" hidden="1" x14ac:dyDescent="0.3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" hidden="1" x14ac:dyDescent="0.3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" hidden="1" x14ac:dyDescent="0.3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" hidden="1" x14ac:dyDescent="0.3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" hidden="1" x14ac:dyDescent="0.3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" hidden="1" x14ac:dyDescent="0.3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" hidden="1" x14ac:dyDescent="0.3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" hidden="1" x14ac:dyDescent="0.3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" hidden="1" x14ac:dyDescent="0.3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" hidden="1" x14ac:dyDescent="0.3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" hidden="1" x14ac:dyDescent="0.3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" hidden="1" x14ac:dyDescent="0.3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" hidden="1" x14ac:dyDescent="0.3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" hidden="1" x14ac:dyDescent="0.3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" hidden="1" x14ac:dyDescent="0.3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" hidden="1" x14ac:dyDescent="0.3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" hidden="1" x14ac:dyDescent="0.3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" hidden="1" x14ac:dyDescent="0.3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" hidden="1" x14ac:dyDescent="0.3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" hidden="1" x14ac:dyDescent="0.3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" hidden="1" x14ac:dyDescent="0.3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" hidden="1" x14ac:dyDescent="0.3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" hidden="1" x14ac:dyDescent="0.3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" hidden="1" x14ac:dyDescent="0.3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" hidden="1" x14ac:dyDescent="0.3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" hidden="1" x14ac:dyDescent="0.3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" hidden="1" x14ac:dyDescent="0.3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" hidden="1" x14ac:dyDescent="0.3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" hidden="1" x14ac:dyDescent="0.3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" hidden="1" x14ac:dyDescent="0.3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" hidden="1" x14ac:dyDescent="0.3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" hidden="1" x14ac:dyDescent="0.3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" hidden="1" x14ac:dyDescent="0.3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" hidden="1" x14ac:dyDescent="0.3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" hidden="1" x14ac:dyDescent="0.3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" hidden="1" x14ac:dyDescent="0.3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" hidden="1" x14ac:dyDescent="0.3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" hidden="1" x14ac:dyDescent="0.3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" hidden="1" x14ac:dyDescent="0.3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" hidden="1" x14ac:dyDescent="0.3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" hidden="1" x14ac:dyDescent="0.3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" hidden="1" x14ac:dyDescent="0.3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" hidden="1" x14ac:dyDescent="0.3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" hidden="1" x14ac:dyDescent="0.3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" hidden="1" x14ac:dyDescent="0.3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" hidden="1" x14ac:dyDescent="0.3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" hidden="1" x14ac:dyDescent="0.3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" hidden="1" x14ac:dyDescent="0.3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" hidden="1" x14ac:dyDescent="0.3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" hidden="1" x14ac:dyDescent="0.3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" hidden="1" x14ac:dyDescent="0.3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" hidden="1" x14ac:dyDescent="0.3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" hidden="1" x14ac:dyDescent="0.3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" hidden="1" x14ac:dyDescent="0.3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" hidden="1" x14ac:dyDescent="0.3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" hidden="1" x14ac:dyDescent="0.3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" hidden="1" x14ac:dyDescent="0.3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" hidden="1" x14ac:dyDescent="0.3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" hidden="1" x14ac:dyDescent="0.3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" hidden="1" x14ac:dyDescent="0.3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" hidden="1" x14ac:dyDescent="0.3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" hidden="1" x14ac:dyDescent="0.3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" hidden="1" x14ac:dyDescent="0.3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" hidden="1" x14ac:dyDescent="0.3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" hidden="1" x14ac:dyDescent="0.3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" hidden="1" x14ac:dyDescent="0.3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" hidden="1" x14ac:dyDescent="0.3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" hidden="1" x14ac:dyDescent="0.3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" hidden="1" x14ac:dyDescent="0.3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" hidden="1" x14ac:dyDescent="0.3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" hidden="1" x14ac:dyDescent="0.3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" hidden="1" x14ac:dyDescent="0.3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" hidden="1" x14ac:dyDescent="0.3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" hidden="1" x14ac:dyDescent="0.3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" hidden="1" x14ac:dyDescent="0.3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" hidden="1" x14ac:dyDescent="0.3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" hidden="1" x14ac:dyDescent="0.3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" hidden="1" x14ac:dyDescent="0.3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" hidden="1" x14ac:dyDescent="0.3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" hidden="1" x14ac:dyDescent="0.3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" hidden="1" x14ac:dyDescent="0.3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" hidden="1" x14ac:dyDescent="0.3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" hidden="1" x14ac:dyDescent="0.3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" hidden="1" x14ac:dyDescent="0.3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" hidden="1" x14ac:dyDescent="0.3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" hidden="1" x14ac:dyDescent="0.3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" hidden="1" x14ac:dyDescent="0.3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" hidden="1" x14ac:dyDescent="0.3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" hidden="1" x14ac:dyDescent="0.3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" hidden="1" x14ac:dyDescent="0.3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" hidden="1" x14ac:dyDescent="0.3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" hidden="1" x14ac:dyDescent="0.3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" hidden="1" x14ac:dyDescent="0.3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" hidden="1" x14ac:dyDescent="0.3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" hidden="1" x14ac:dyDescent="0.3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" hidden="1" x14ac:dyDescent="0.3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" hidden="1" x14ac:dyDescent="0.3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" hidden="1" x14ac:dyDescent="0.3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" hidden="1" x14ac:dyDescent="0.3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" hidden="1" x14ac:dyDescent="0.3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" hidden="1" x14ac:dyDescent="0.3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" hidden="1" x14ac:dyDescent="0.3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" hidden="1" x14ac:dyDescent="0.3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" hidden="1" x14ac:dyDescent="0.3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" hidden="1" x14ac:dyDescent="0.3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" hidden="1" x14ac:dyDescent="0.3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" hidden="1" x14ac:dyDescent="0.3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" hidden="1" x14ac:dyDescent="0.3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" hidden="1" x14ac:dyDescent="0.3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" hidden="1" x14ac:dyDescent="0.3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" hidden="1" x14ac:dyDescent="0.3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" hidden="1" x14ac:dyDescent="0.3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" hidden="1" x14ac:dyDescent="0.3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" hidden="1" x14ac:dyDescent="0.3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" hidden="1" x14ac:dyDescent="0.3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" hidden="1" x14ac:dyDescent="0.3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" hidden="1" x14ac:dyDescent="0.3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" hidden="1" x14ac:dyDescent="0.3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" hidden="1" x14ac:dyDescent="0.3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" hidden="1" x14ac:dyDescent="0.3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" hidden="1" x14ac:dyDescent="0.3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" hidden="1" x14ac:dyDescent="0.3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" hidden="1" x14ac:dyDescent="0.3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" hidden="1" x14ac:dyDescent="0.3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" hidden="1" x14ac:dyDescent="0.3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" hidden="1" x14ac:dyDescent="0.3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" hidden="1" x14ac:dyDescent="0.3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" hidden="1" x14ac:dyDescent="0.3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" hidden="1" x14ac:dyDescent="0.3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" hidden="1" x14ac:dyDescent="0.3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" hidden="1" x14ac:dyDescent="0.3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" hidden="1" x14ac:dyDescent="0.3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" hidden="1" x14ac:dyDescent="0.3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" hidden="1" x14ac:dyDescent="0.3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" hidden="1" x14ac:dyDescent="0.3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" hidden="1" x14ac:dyDescent="0.3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" hidden="1" x14ac:dyDescent="0.3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" hidden="1" x14ac:dyDescent="0.3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" hidden="1" x14ac:dyDescent="0.3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" hidden="1" x14ac:dyDescent="0.3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" hidden="1" x14ac:dyDescent="0.3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" hidden="1" x14ac:dyDescent="0.3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" hidden="1" x14ac:dyDescent="0.3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" hidden="1" x14ac:dyDescent="0.3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" hidden="1" x14ac:dyDescent="0.3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" hidden="1" x14ac:dyDescent="0.3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" hidden="1" x14ac:dyDescent="0.3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" hidden="1" x14ac:dyDescent="0.3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" hidden="1" x14ac:dyDescent="0.3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" hidden="1" x14ac:dyDescent="0.3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" hidden="1" x14ac:dyDescent="0.3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" hidden="1" x14ac:dyDescent="0.3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" hidden="1" x14ac:dyDescent="0.3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" hidden="1" x14ac:dyDescent="0.3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" hidden="1" x14ac:dyDescent="0.3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" hidden="1" x14ac:dyDescent="0.3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" hidden="1" x14ac:dyDescent="0.3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" hidden="1" x14ac:dyDescent="0.3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" hidden="1" x14ac:dyDescent="0.3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" hidden="1" x14ac:dyDescent="0.3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" hidden="1" x14ac:dyDescent="0.3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" hidden="1" x14ac:dyDescent="0.3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" hidden="1" x14ac:dyDescent="0.3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" hidden="1" x14ac:dyDescent="0.3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" hidden="1" x14ac:dyDescent="0.3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" hidden="1" x14ac:dyDescent="0.3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8" hidden="1" x14ac:dyDescent="0.3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" hidden="1" x14ac:dyDescent="0.3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8" hidden="1" x14ac:dyDescent="0.3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" hidden="1" x14ac:dyDescent="0.3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" hidden="1" x14ac:dyDescent="0.3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" hidden="1" x14ac:dyDescent="0.3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" hidden="1" x14ac:dyDescent="0.3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" hidden="1" x14ac:dyDescent="0.3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" hidden="1" x14ac:dyDescent="0.3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" hidden="1" x14ac:dyDescent="0.3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" hidden="1" x14ac:dyDescent="0.3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" hidden="1" x14ac:dyDescent="0.3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" hidden="1" x14ac:dyDescent="0.3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" hidden="1" x14ac:dyDescent="0.3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" hidden="1" x14ac:dyDescent="0.3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" hidden="1" x14ac:dyDescent="0.3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" hidden="1" x14ac:dyDescent="0.3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" hidden="1" x14ac:dyDescent="0.3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" hidden="1" x14ac:dyDescent="0.3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" hidden="1" x14ac:dyDescent="0.3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" hidden="1" x14ac:dyDescent="0.3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" hidden="1" x14ac:dyDescent="0.3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" hidden="1" x14ac:dyDescent="0.3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" hidden="1" x14ac:dyDescent="0.3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" hidden="1" x14ac:dyDescent="0.3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" hidden="1" x14ac:dyDescent="0.3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" hidden="1" x14ac:dyDescent="0.3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" hidden="1" x14ac:dyDescent="0.3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" hidden="1" x14ac:dyDescent="0.3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" hidden="1" x14ac:dyDescent="0.3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" hidden="1" x14ac:dyDescent="0.3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" hidden="1" x14ac:dyDescent="0.3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" hidden="1" x14ac:dyDescent="0.3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" hidden="1" x14ac:dyDescent="0.3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" hidden="1" x14ac:dyDescent="0.3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" hidden="1" x14ac:dyDescent="0.3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" hidden="1" x14ac:dyDescent="0.3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" hidden="1" x14ac:dyDescent="0.3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" hidden="1" x14ac:dyDescent="0.3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" hidden="1" x14ac:dyDescent="0.3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" hidden="1" x14ac:dyDescent="0.3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" hidden="1" x14ac:dyDescent="0.3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" hidden="1" x14ac:dyDescent="0.3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" hidden="1" x14ac:dyDescent="0.3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" hidden="1" x14ac:dyDescent="0.3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" hidden="1" x14ac:dyDescent="0.3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" hidden="1" x14ac:dyDescent="0.3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" hidden="1" x14ac:dyDescent="0.3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" hidden="1" x14ac:dyDescent="0.3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" hidden="1" x14ac:dyDescent="0.3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" hidden="1" x14ac:dyDescent="0.3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" hidden="1" x14ac:dyDescent="0.3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" hidden="1" x14ac:dyDescent="0.3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" hidden="1" x14ac:dyDescent="0.3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" hidden="1" x14ac:dyDescent="0.3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" hidden="1" x14ac:dyDescent="0.3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" hidden="1" x14ac:dyDescent="0.3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" hidden="1" x14ac:dyDescent="0.3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" hidden="1" x14ac:dyDescent="0.3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" hidden="1" x14ac:dyDescent="0.3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" hidden="1" x14ac:dyDescent="0.3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" hidden="1" x14ac:dyDescent="0.3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8" hidden="1" x14ac:dyDescent="0.3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8" hidden="1" x14ac:dyDescent="0.3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" hidden="1" x14ac:dyDescent="0.3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" hidden="1" x14ac:dyDescent="0.3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" hidden="1" x14ac:dyDescent="0.3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" hidden="1" x14ac:dyDescent="0.3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8" hidden="1" x14ac:dyDescent="0.3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8" hidden="1" x14ac:dyDescent="0.3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8" hidden="1" x14ac:dyDescent="0.3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" hidden="1" x14ac:dyDescent="0.3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" hidden="1" x14ac:dyDescent="0.3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" hidden="1" x14ac:dyDescent="0.3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" hidden="1" x14ac:dyDescent="0.3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" hidden="1" x14ac:dyDescent="0.3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" hidden="1" x14ac:dyDescent="0.3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" hidden="1" x14ac:dyDescent="0.3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" hidden="1" x14ac:dyDescent="0.3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" hidden="1" x14ac:dyDescent="0.3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" hidden="1" x14ac:dyDescent="0.3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" hidden="1" x14ac:dyDescent="0.3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" hidden="1" x14ac:dyDescent="0.3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" hidden="1" x14ac:dyDescent="0.3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" hidden="1" x14ac:dyDescent="0.3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" hidden="1" x14ac:dyDescent="0.3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" hidden="1" x14ac:dyDescent="0.3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" hidden="1" x14ac:dyDescent="0.3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" hidden="1" x14ac:dyDescent="0.3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" hidden="1" x14ac:dyDescent="0.3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" hidden="1" x14ac:dyDescent="0.3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" hidden="1" x14ac:dyDescent="0.3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" hidden="1" x14ac:dyDescent="0.3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" hidden="1" x14ac:dyDescent="0.3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8" hidden="1" x14ac:dyDescent="0.3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" hidden="1" x14ac:dyDescent="0.3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" hidden="1" x14ac:dyDescent="0.3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8" hidden="1" x14ac:dyDescent="0.3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8" hidden="1" x14ac:dyDescent="0.3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8" hidden="1" x14ac:dyDescent="0.3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" hidden="1" x14ac:dyDescent="0.3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8" hidden="1" x14ac:dyDescent="0.3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" hidden="1" x14ac:dyDescent="0.3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8" hidden="1" x14ac:dyDescent="0.3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" hidden="1" x14ac:dyDescent="0.3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" hidden="1" x14ac:dyDescent="0.3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" hidden="1" x14ac:dyDescent="0.3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8" hidden="1" x14ac:dyDescent="0.3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" hidden="1" x14ac:dyDescent="0.3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" hidden="1" x14ac:dyDescent="0.3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" hidden="1" x14ac:dyDescent="0.3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" hidden="1" x14ac:dyDescent="0.3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8" hidden="1" x14ac:dyDescent="0.3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" hidden="1" x14ac:dyDescent="0.3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" hidden="1" x14ac:dyDescent="0.3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8" hidden="1" x14ac:dyDescent="0.3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" hidden="1" x14ac:dyDescent="0.3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8" hidden="1" x14ac:dyDescent="0.3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" hidden="1" x14ac:dyDescent="0.3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8" hidden="1" x14ac:dyDescent="0.3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" hidden="1" x14ac:dyDescent="0.3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" hidden="1" x14ac:dyDescent="0.3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" hidden="1" x14ac:dyDescent="0.3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" hidden="1" x14ac:dyDescent="0.3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8" hidden="1" x14ac:dyDescent="0.3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" hidden="1" x14ac:dyDescent="0.3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8" hidden="1" x14ac:dyDescent="0.3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" hidden="1" x14ac:dyDescent="0.3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" hidden="1" x14ac:dyDescent="0.3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" hidden="1" x14ac:dyDescent="0.3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" hidden="1" x14ac:dyDescent="0.3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" hidden="1" x14ac:dyDescent="0.3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8" hidden="1" x14ac:dyDescent="0.3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" hidden="1" x14ac:dyDescent="0.3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" hidden="1" x14ac:dyDescent="0.3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8" hidden="1" x14ac:dyDescent="0.3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8" hidden="1" x14ac:dyDescent="0.3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8" hidden="1" x14ac:dyDescent="0.3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8" hidden="1" x14ac:dyDescent="0.3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" hidden="1" x14ac:dyDescent="0.3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" hidden="1" x14ac:dyDescent="0.3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8" hidden="1" x14ac:dyDescent="0.3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" hidden="1" x14ac:dyDescent="0.3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" hidden="1" x14ac:dyDescent="0.3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" hidden="1" x14ac:dyDescent="0.3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" hidden="1" x14ac:dyDescent="0.3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" hidden="1" x14ac:dyDescent="0.3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" hidden="1" x14ac:dyDescent="0.3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" x14ac:dyDescent="0.3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" x14ac:dyDescent="0.3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" x14ac:dyDescent="0.3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" x14ac:dyDescent="0.3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" x14ac:dyDescent="0.3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" x14ac:dyDescent="0.3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8" x14ac:dyDescent="0.3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" x14ac:dyDescent="0.3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" x14ac:dyDescent="0.3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" x14ac:dyDescent="0.3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" x14ac:dyDescent="0.3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" x14ac:dyDescent="0.3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" x14ac:dyDescent="0.3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8" x14ac:dyDescent="0.3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" x14ac:dyDescent="0.3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" x14ac:dyDescent="0.3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" x14ac:dyDescent="0.3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" x14ac:dyDescent="0.3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" x14ac:dyDescent="0.3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" x14ac:dyDescent="0.3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" x14ac:dyDescent="0.3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" x14ac:dyDescent="0.3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" x14ac:dyDescent="0.3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" hidden="1" x14ac:dyDescent="0.3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" x14ac:dyDescent="0.3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" hidden="1" x14ac:dyDescent="0.3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" x14ac:dyDescent="0.3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" x14ac:dyDescent="0.3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" x14ac:dyDescent="0.3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" x14ac:dyDescent="0.3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" x14ac:dyDescent="0.3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" x14ac:dyDescent="0.3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" x14ac:dyDescent="0.3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" x14ac:dyDescent="0.3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" x14ac:dyDescent="0.3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" x14ac:dyDescent="0.3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" x14ac:dyDescent="0.3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" hidden="1" x14ac:dyDescent="0.3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" x14ac:dyDescent="0.3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" x14ac:dyDescent="0.3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" x14ac:dyDescent="0.3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" hidden="1" x14ac:dyDescent="0.3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" x14ac:dyDescent="0.3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" x14ac:dyDescent="0.3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" x14ac:dyDescent="0.3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" x14ac:dyDescent="0.3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" x14ac:dyDescent="0.3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" x14ac:dyDescent="0.3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" x14ac:dyDescent="0.3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" x14ac:dyDescent="0.3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" x14ac:dyDescent="0.3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" x14ac:dyDescent="0.3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" x14ac:dyDescent="0.3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" x14ac:dyDescent="0.3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" x14ac:dyDescent="0.3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" x14ac:dyDescent="0.3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" x14ac:dyDescent="0.3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8" x14ac:dyDescent="0.3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8" x14ac:dyDescent="0.3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8" x14ac:dyDescent="0.3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8" x14ac:dyDescent="0.3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" x14ac:dyDescent="0.3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 t="s">
        <v>2945</v>
      </c>
      <c r="U718" s="210"/>
    </row>
    <row r="719" spans="1:21" ht="14.4" x14ac:dyDescent="0.3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8" x14ac:dyDescent="0.3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3.2" x14ac:dyDescent="0.3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3.2" x14ac:dyDescent="0.3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" x14ac:dyDescent="0.3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/>
      <c r="P723" s="157"/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" x14ac:dyDescent="0.3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" x14ac:dyDescent="0.3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80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" x14ac:dyDescent="0.3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/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9" si="15">IF(B726="","",SUM(O726:Q726))</f>
        <v>40</v>
      </c>
      <c r="S726" s="153">
        <v>5</v>
      </c>
      <c r="T726" s="154" t="s">
        <v>2980</v>
      </c>
      <c r="U726" s="210"/>
    </row>
    <row r="727" spans="1:21" ht="14.4" x14ac:dyDescent="0.3">
      <c r="A727" s="155" t="s">
        <v>2981</v>
      </c>
      <c r="B727" s="153">
        <v>2026</v>
      </c>
      <c r="C727" s="153" t="s">
        <v>2711</v>
      </c>
      <c r="D727" s="153" t="s">
        <v>2966</v>
      </c>
      <c r="E727" s="158" t="s">
        <v>2982</v>
      </c>
      <c r="F727" s="169" t="s">
        <v>89</v>
      </c>
      <c r="G727" s="154" t="s">
        <v>2718</v>
      </c>
      <c r="H727" s="155"/>
      <c r="I727" s="189"/>
      <c r="J727" s="189"/>
      <c r="K727" s="153"/>
      <c r="L727" s="159"/>
      <c r="M727" s="181"/>
      <c r="N727" s="157"/>
      <c r="O727" s="157"/>
      <c r="P727" s="157"/>
      <c r="Q727" s="157"/>
      <c r="R727" s="157">
        <f t="shared" si="15"/>
        <v>0</v>
      </c>
      <c r="S727" s="153"/>
      <c r="T727" s="154"/>
      <c r="U727" s="210"/>
    </row>
    <row r="728" spans="1:21" ht="14.4" x14ac:dyDescent="0.3">
      <c r="A728" s="155" t="s">
        <v>2983</v>
      </c>
      <c r="B728" s="153">
        <v>2026</v>
      </c>
      <c r="C728" s="153" t="s">
        <v>23</v>
      </c>
      <c r="D728" s="153" t="s">
        <v>2966</v>
      </c>
      <c r="E728" s="158" t="s">
        <v>2984</v>
      </c>
      <c r="F728" s="169" t="s">
        <v>89</v>
      </c>
      <c r="G728" s="154" t="s">
        <v>2718</v>
      </c>
      <c r="H728" s="155" t="s">
        <v>2985</v>
      </c>
      <c r="I728" s="189">
        <v>46267</v>
      </c>
      <c r="J728" s="189">
        <v>46267</v>
      </c>
      <c r="K728" s="153" t="s">
        <v>39</v>
      </c>
      <c r="L728" s="159"/>
      <c r="M728" s="181"/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" x14ac:dyDescent="0.3">
      <c r="A729" s="155" t="s">
        <v>2986</v>
      </c>
      <c r="B729" s="153">
        <v>2026</v>
      </c>
      <c r="C729" s="153" t="s">
        <v>2711</v>
      </c>
      <c r="D729" s="153" t="s">
        <v>2966</v>
      </c>
      <c r="E729" s="158" t="s">
        <v>2987</v>
      </c>
      <c r="F729" s="169" t="s">
        <v>89</v>
      </c>
      <c r="G729" s="154" t="s">
        <v>2718</v>
      </c>
      <c r="H729" s="155"/>
      <c r="I729" s="189"/>
      <c r="J729" s="189"/>
      <c r="K729" s="153"/>
      <c r="L729" s="159"/>
      <c r="M729" s="181"/>
      <c r="N729" s="157"/>
      <c r="O729" s="157"/>
      <c r="P729" s="157"/>
      <c r="Q729" s="157"/>
      <c r="R729" s="157">
        <f t="shared" si="15"/>
        <v>0</v>
      </c>
      <c r="S729" s="153"/>
      <c r="T729" s="154"/>
      <c r="U729" s="210"/>
    </row>
    <row r="730" spans="1:21" ht="14.4" x14ac:dyDescent="0.3">
      <c r="A730" s="155" t="s">
        <v>2988</v>
      </c>
      <c r="B730" s="153">
        <v>2026</v>
      </c>
      <c r="C730" s="153" t="s">
        <v>2711</v>
      </c>
      <c r="D730" s="153" t="s">
        <v>2966</v>
      </c>
      <c r="E730" s="199" t="s">
        <v>2989</v>
      </c>
      <c r="F730" s="169" t="s">
        <v>89</v>
      </c>
      <c r="G730" s="154" t="s">
        <v>2718</v>
      </c>
      <c r="H730" s="155"/>
      <c r="I730" s="189"/>
      <c r="J730" s="189"/>
      <c r="K730" s="153"/>
      <c r="L730" s="159"/>
      <c r="M730" s="181"/>
      <c r="N730" s="157"/>
      <c r="O730" s="157"/>
      <c r="P730" s="157"/>
      <c r="Q730" s="157"/>
      <c r="R730" s="157">
        <f t="shared" si="15"/>
        <v>0</v>
      </c>
      <c r="S730" s="153"/>
      <c r="T730" s="154"/>
      <c r="U730" s="210"/>
    </row>
    <row r="731" spans="1:21" ht="14.4" x14ac:dyDescent="0.3">
      <c r="A731" s="155" t="s">
        <v>2990</v>
      </c>
      <c r="B731" s="153">
        <v>2026</v>
      </c>
      <c r="C731" s="153" t="s">
        <v>2711</v>
      </c>
      <c r="D731" s="153" t="s">
        <v>2966</v>
      </c>
      <c r="E731" s="199" t="s">
        <v>2991</v>
      </c>
      <c r="F731" s="169" t="s">
        <v>89</v>
      </c>
      <c r="G731" s="154" t="s">
        <v>2718</v>
      </c>
      <c r="H731" s="155" t="s">
        <v>2992</v>
      </c>
      <c r="I731" s="189"/>
      <c r="J731" s="189"/>
      <c r="K731" s="153"/>
      <c r="L731" s="159"/>
      <c r="M731" s="181"/>
      <c r="N731" s="157"/>
      <c r="O731" s="157"/>
      <c r="P731" s="157"/>
      <c r="Q731" s="157"/>
      <c r="R731" s="157">
        <f t="shared" si="15"/>
        <v>0</v>
      </c>
      <c r="S731" s="153"/>
      <c r="T731" s="154"/>
      <c r="U731" s="210"/>
    </row>
    <row r="732" spans="1:21" ht="14.4" x14ac:dyDescent="0.3">
      <c r="A732" s="155" t="s">
        <v>2993</v>
      </c>
      <c r="B732" s="153">
        <v>2026</v>
      </c>
      <c r="C732" s="153" t="s">
        <v>2711</v>
      </c>
      <c r="D732" s="153" t="s">
        <v>2994</v>
      </c>
      <c r="E732" s="158" t="s">
        <v>2995</v>
      </c>
      <c r="F732" s="169" t="s">
        <v>25</v>
      </c>
      <c r="G732" s="154" t="s">
        <v>207</v>
      </c>
      <c r="H732" s="155"/>
      <c r="I732" s="189"/>
      <c r="J732" s="189"/>
      <c r="K732" s="153"/>
      <c r="L732" s="159"/>
      <c r="M732" s="181"/>
      <c r="N732" s="157"/>
      <c r="O732" s="157"/>
      <c r="P732" s="157"/>
      <c r="Q732" s="157"/>
      <c r="R732" s="157">
        <f t="shared" si="15"/>
        <v>0</v>
      </c>
      <c r="S732" s="153"/>
      <c r="T732" s="154"/>
      <c r="U732" s="210"/>
    </row>
    <row r="733" spans="1:21" ht="14.4" x14ac:dyDescent="0.3">
      <c r="A733" s="155" t="s">
        <v>2996</v>
      </c>
      <c r="B733" s="153">
        <v>2026</v>
      </c>
      <c r="C733" s="153" t="s">
        <v>2711</v>
      </c>
      <c r="D733" s="153"/>
      <c r="E733" s="199" t="s">
        <v>2997</v>
      </c>
      <c r="F733" s="169" t="s">
        <v>25</v>
      </c>
      <c r="G733" s="154" t="s">
        <v>2718</v>
      </c>
      <c r="H733" s="155" t="s">
        <v>2998</v>
      </c>
      <c r="I733" s="189">
        <v>46343</v>
      </c>
      <c r="J733" s="189">
        <v>46343</v>
      </c>
      <c r="K733" s="153" t="s">
        <v>39</v>
      </c>
      <c r="L733" s="159"/>
      <c r="M733" s="181"/>
      <c r="N733" s="157"/>
      <c r="O733" s="157"/>
      <c r="P733" s="157"/>
      <c r="Q733" s="157"/>
      <c r="R733" s="157">
        <f t="shared" si="15"/>
        <v>0</v>
      </c>
      <c r="S733" s="153"/>
      <c r="T733" s="154"/>
      <c r="U733" s="210"/>
    </row>
    <row r="734" spans="1:21" ht="14.4" x14ac:dyDescent="0.3">
      <c r="A734" s="155" t="s">
        <v>2999</v>
      </c>
      <c r="B734" s="153">
        <v>2026</v>
      </c>
      <c r="C734" s="153" t="s">
        <v>2711</v>
      </c>
      <c r="D734" s="153" t="s">
        <v>3000</v>
      </c>
      <c r="E734" s="158" t="s">
        <v>3001</v>
      </c>
      <c r="F734" s="169" t="s">
        <v>89</v>
      </c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4.4" x14ac:dyDescent="0.3">
      <c r="A735" s="153" t="str">
        <f ca="1">IF(E735="","",IF(B735="",YEAR(TODAY()),B735)&amp;"-"&amp;TEXT(COUNTIF($B$2:B735,IF(B735="",YEAR(TODAY()),B735))+COUNTIFS($E$2:E735,"&lt;&gt;",$B$2:B735,""),"000"))</f>
        <v>2026-079</v>
      </c>
      <c r="B735" s="153">
        <v>2026</v>
      </c>
      <c r="C735" s="153" t="s">
        <v>23</v>
      </c>
      <c r="D735" s="153" t="s">
        <v>3002</v>
      </c>
      <c r="E735" s="158" t="s">
        <v>3003</v>
      </c>
      <c r="F735" s="169" t="s">
        <v>25</v>
      </c>
      <c r="G735" s="154" t="s">
        <v>207</v>
      </c>
      <c r="H735" s="155" t="s">
        <v>3004</v>
      </c>
      <c r="I735" s="189">
        <v>46122</v>
      </c>
      <c r="J735" s="189">
        <v>46122</v>
      </c>
      <c r="K735" s="153" t="s">
        <v>39</v>
      </c>
      <c r="L735" s="159"/>
      <c r="M735" s="181"/>
      <c r="N735" s="157">
        <v>170</v>
      </c>
      <c r="O735" s="157"/>
      <c r="P735" s="157">
        <v>0</v>
      </c>
      <c r="Q735" s="157">
        <v>0</v>
      </c>
      <c r="R735" s="157">
        <f t="shared" si="15"/>
        <v>0</v>
      </c>
      <c r="S735" s="153">
        <v>2</v>
      </c>
      <c r="T735" s="154" t="s">
        <v>3005</v>
      </c>
      <c r="U735" s="210"/>
    </row>
    <row r="736" spans="1:21" ht="14.4" hidden="1" x14ac:dyDescent="0.3">
      <c r="A736" s="153" t="str">
        <f ca="1">IF(E736="","",IF(B736="",YEAR(TODAY()),B736)&amp;"-"&amp;TEXT(COUNTIF($B$2:B736,IF(B736="",YEAR(TODAY()),B736))+COUNTIFS($E$2:E736,"&lt;&gt;",$B$2:B736,""),"000"))</f>
        <v>2026-080</v>
      </c>
      <c r="B736" s="153">
        <v>2026</v>
      </c>
      <c r="C736" s="153" t="s">
        <v>2790</v>
      </c>
      <c r="D736" s="153" t="s">
        <v>3006</v>
      </c>
      <c r="E736" s="158" t="s">
        <v>3007</v>
      </c>
      <c r="F736" s="169"/>
      <c r="G736" s="154" t="s">
        <v>43</v>
      </c>
      <c r="H736" s="155"/>
      <c r="I736" s="189"/>
      <c r="J736" s="189"/>
      <c r="K736" s="153"/>
      <c r="L736" s="159"/>
      <c r="M736" s="181"/>
      <c r="N736" s="157"/>
      <c r="O736" s="157"/>
      <c r="P736" s="157"/>
      <c r="Q736" s="157"/>
      <c r="R736" s="157">
        <f t="shared" si="15"/>
        <v>0</v>
      </c>
      <c r="S736" s="153"/>
      <c r="T736" s="154"/>
      <c r="U736" s="210"/>
    </row>
    <row r="737" spans="1:21" ht="14.4" x14ac:dyDescent="0.3">
      <c r="A737" s="155" t="s">
        <v>3008</v>
      </c>
      <c r="B737" s="153">
        <v>2026</v>
      </c>
      <c r="C737" s="153" t="s">
        <v>23</v>
      </c>
      <c r="D737" s="153" t="s">
        <v>3009</v>
      </c>
      <c r="E737" s="158" t="s">
        <v>3010</v>
      </c>
      <c r="F737" s="169" t="s">
        <v>70</v>
      </c>
      <c r="G737" s="154" t="s">
        <v>80</v>
      </c>
      <c r="H737" s="155" t="s">
        <v>3011</v>
      </c>
      <c r="I737" s="189">
        <v>46267</v>
      </c>
      <c r="J737" s="189">
        <v>46269</v>
      </c>
      <c r="K737" s="153" t="s">
        <v>39</v>
      </c>
      <c r="L737" s="159">
        <v>4692.55</v>
      </c>
      <c r="M737" s="181">
        <v>4.67</v>
      </c>
      <c r="N737" s="157">
        <v>30</v>
      </c>
      <c r="O737" s="157">
        <v>0</v>
      </c>
      <c r="P737" s="157">
        <v>30</v>
      </c>
      <c r="Q737" s="157">
        <v>0</v>
      </c>
      <c r="R737" s="157">
        <f t="shared" si="15"/>
        <v>30</v>
      </c>
      <c r="S737" s="153">
        <v>8</v>
      </c>
      <c r="T737" s="154" t="s">
        <v>2714</v>
      </c>
      <c r="U737" s="210"/>
    </row>
    <row r="738" spans="1:21" ht="14.4" x14ac:dyDescent="0.3">
      <c r="A738" s="155" t="s">
        <v>3012</v>
      </c>
      <c r="B738" s="153">
        <v>2026</v>
      </c>
      <c r="C738" s="153" t="s">
        <v>23</v>
      </c>
      <c r="D738" s="153" t="s">
        <v>3013</v>
      </c>
      <c r="E738" s="158" t="s">
        <v>3014</v>
      </c>
      <c r="F738" s="169" t="s">
        <v>70</v>
      </c>
      <c r="G738" s="154" t="s">
        <v>2694</v>
      </c>
      <c r="H738" s="155" t="s">
        <v>3015</v>
      </c>
      <c r="I738" s="189">
        <v>46273</v>
      </c>
      <c r="J738" s="189">
        <v>46275</v>
      </c>
      <c r="K738" s="153" t="s">
        <v>39</v>
      </c>
      <c r="L738" s="159">
        <v>11246.83</v>
      </c>
      <c r="M738" s="181">
        <v>4.93</v>
      </c>
      <c r="N738" s="157">
        <v>30</v>
      </c>
      <c r="O738" s="157">
        <v>0</v>
      </c>
      <c r="P738" s="157">
        <v>21</v>
      </c>
      <c r="Q738" s="157">
        <v>0</v>
      </c>
      <c r="R738" s="157">
        <f t="shared" si="15"/>
        <v>21</v>
      </c>
      <c r="S738" s="153">
        <v>12</v>
      </c>
      <c r="T738" s="154" t="s">
        <v>3016</v>
      </c>
      <c r="U738" s="210"/>
    </row>
    <row r="739" spans="1:21" ht="14.4" x14ac:dyDescent="0.3">
      <c r="A739" s="155" t="s">
        <v>3017</v>
      </c>
      <c r="B739" s="153">
        <v>2026</v>
      </c>
      <c r="C739" s="153" t="s">
        <v>23</v>
      </c>
      <c r="D739" s="153" t="s">
        <v>3018</v>
      </c>
      <c r="E739" s="158" t="s">
        <v>3019</v>
      </c>
      <c r="F739" s="169" t="s">
        <v>25</v>
      </c>
      <c r="G739" s="154" t="s">
        <v>2700</v>
      </c>
      <c r="H739" s="155" t="s">
        <v>3020</v>
      </c>
      <c r="I739" s="189">
        <v>46266</v>
      </c>
      <c r="J739" s="189">
        <v>46267</v>
      </c>
      <c r="K739" s="153" t="s">
        <v>39</v>
      </c>
      <c r="L739" s="159">
        <v>5967.7</v>
      </c>
      <c r="M739" s="181">
        <v>4.41</v>
      </c>
      <c r="N739" s="157">
        <v>20</v>
      </c>
      <c r="O739" s="157">
        <v>20</v>
      </c>
      <c r="P739" s="157">
        <v>0</v>
      </c>
      <c r="Q739" s="157">
        <v>0</v>
      </c>
      <c r="R739" s="157">
        <f t="shared" si="15"/>
        <v>20</v>
      </c>
      <c r="S739" s="153">
        <v>9</v>
      </c>
      <c r="T739" s="154" t="s">
        <v>219</v>
      </c>
      <c r="U739" s="210"/>
    </row>
    <row r="740" spans="1:21" ht="14.4" x14ac:dyDescent="0.3">
      <c r="A740" s="155" t="s">
        <v>3021</v>
      </c>
      <c r="B740" s="153">
        <v>2026</v>
      </c>
      <c r="C740" s="153" t="s">
        <v>2711</v>
      </c>
      <c r="D740" s="153" t="s">
        <v>3022</v>
      </c>
      <c r="E740" s="158" t="s">
        <v>3023</v>
      </c>
      <c r="F740" s="169" t="s">
        <v>25</v>
      </c>
      <c r="G740" s="154" t="s">
        <v>2700</v>
      </c>
      <c r="H740" s="155" t="s">
        <v>3024</v>
      </c>
      <c r="I740" s="155" t="s">
        <v>3024</v>
      </c>
      <c r="J740" s="155" t="s">
        <v>3024</v>
      </c>
      <c r="K740" s="153" t="s">
        <v>39</v>
      </c>
      <c r="L740" s="159">
        <v>2652.31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4</v>
      </c>
      <c r="T740" s="154" t="s">
        <v>1910</v>
      </c>
      <c r="U740" s="210"/>
    </row>
    <row r="741" spans="1:21" ht="14.4" x14ac:dyDescent="0.3">
      <c r="A741" s="155" t="s">
        <v>3025</v>
      </c>
      <c r="B741" s="153">
        <v>2026</v>
      </c>
      <c r="C741" s="153" t="s">
        <v>23</v>
      </c>
      <c r="D741" s="153" t="s">
        <v>3026</v>
      </c>
      <c r="E741" s="158" t="s">
        <v>3027</v>
      </c>
      <c r="F741" s="169" t="s">
        <v>25</v>
      </c>
      <c r="G741" s="154" t="s">
        <v>2700</v>
      </c>
      <c r="H741" s="155" t="s">
        <v>3028</v>
      </c>
      <c r="I741" s="189">
        <v>46286</v>
      </c>
      <c r="J741" s="189">
        <v>46288</v>
      </c>
      <c r="K741" s="153" t="s">
        <v>39</v>
      </c>
      <c r="L741" s="159">
        <v>7038.8307599999998</v>
      </c>
      <c r="M741" s="181">
        <v>4.67</v>
      </c>
      <c r="N741" s="157">
        <v>20</v>
      </c>
      <c r="O741" s="157">
        <v>21</v>
      </c>
      <c r="P741" s="157">
        <v>0</v>
      </c>
      <c r="Q741" s="157">
        <v>0</v>
      </c>
      <c r="R741" s="157">
        <f t="shared" si="15"/>
        <v>21</v>
      </c>
      <c r="S741" s="153">
        <v>8</v>
      </c>
      <c r="T741" s="154" t="s">
        <v>2827</v>
      </c>
      <c r="U741" s="210"/>
    </row>
    <row r="742" spans="1:21" ht="14.4" x14ac:dyDescent="0.3">
      <c r="A742" s="155" t="s">
        <v>3029</v>
      </c>
      <c r="B742" s="153">
        <v>2026</v>
      </c>
      <c r="C742" s="153" t="s">
        <v>2711</v>
      </c>
      <c r="D742" s="153" t="s">
        <v>3026</v>
      </c>
      <c r="E742" s="158" t="s">
        <v>3030</v>
      </c>
      <c r="F742" s="169" t="s">
        <v>25</v>
      </c>
      <c r="G742" s="154" t="s">
        <v>2700</v>
      </c>
      <c r="H742" s="155" t="s">
        <v>3031</v>
      </c>
      <c r="I742" s="189">
        <v>46322</v>
      </c>
      <c r="J742" s="189">
        <v>46324</v>
      </c>
      <c r="K742" s="153" t="s">
        <v>39</v>
      </c>
      <c r="L742" s="159">
        <v>7038.8307599999998</v>
      </c>
      <c r="M742" s="181"/>
      <c r="N742" s="157">
        <v>20</v>
      </c>
      <c r="O742" s="157"/>
      <c r="P742" s="157"/>
      <c r="Q742" s="157"/>
      <c r="R742" s="157">
        <f t="shared" si="15"/>
        <v>0</v>
      </c>
      <c r="S742" s="153">
        <v>8</v>
      </c>
      <c r="T742" s="154" t="s">
        <v>2827</v>
      </c>
      <c r="U742" s="210"/>
    </row>
    <row r="743" spans="1:21" ht="14.4" x14ac:dyDescent="0.3">
      <c r="A743" s="155" t="s">
        <v>3032</v>
      </c>
      <c r="B743" s="153">
        <v>2026</v>
      </c>
      <c r="C743" s="153" t="s">
        <v>23</v>
      </c>
      <c r="D743" s="153" t="s">
        <v>3033</v>
      </c>
      <c r="E743" s="158" t="s">
        <v>3034</v>
      </c>
      <c r="F743" s="169" t="s">
        <v>25</v>
      </c>
      <c r="G743" s="154" t="s">
        <v>207</v>
      </c>
      <c r="H743" s="155" t="s">
        <v>3035</v>
      </c>
      <c r="I743" s="189">
        <v>46283</v>
      </c>
      <c r="J743" s="189">
        <v>46283</v>
      </c>
      <c r="K743" s="153" t="s">
        <v>39</v>
      </c>
      <c r="L743" s="159"/>
      <c r="M743" s="181"/>
      <c r="N743" s="157">
        <v>170</v>
      </c>
      <c r="O743" s="157"/>
      <c r="P743" s="157">
        <v>0</v>
      </c>
      <c r="Q743" s="157">
        <v>0</v>
      </c>
      <c r="R743" s="157">
        <f t="shared" si="15"/>
        <v>0</v>
      </c>
      <c r="S743" s="153">
        <v>2</v>
      </c>
      <c r="T743" s="154" t="s">
        <v>3005</v>
      </c>
      <c r="U743" s="210"/>
    </row>
    <row r="744" spans="1:21" ht="14.4" x14ac:dyDescent="0.3">
      <c r="A744" s="155" t="s">
        <v>3036</v>
      </c>
      <c r="B744" s="153">
        <v>2026</v>
      </c>
      <c r="C744" s="153" t="s">
        <v>2711</v>
      </c>
      <c r="D744" s="153" t="s">
        <v>3037</v>
      </c>
      <c r="E744" s="165" t="s">
        <v>3038</v>
      </c>
      <c r="F744" s="169" t="s">
        <v>25</v>
      </c>
      <c r="G744" s="154" t="s">
        <v>207</v>
      </c>
      <c r="H744" s="155" t="s">
        <v>3039</v>
      </c>
      <c r="I744" s="189">
        <v>46314</v>
      </c>
      <c r="J744" s="189">
        <v>46318</v>
      </c>
      <c r="K744" s="153" t="s">
        <v>28</v>
      </c>
      <c r="L744" s="159">
        <v>19900</v>
      </c>
      <c r="M744" s="181"/>
      <c r="N744" s="157"/>
      <c r="O744" s="157"/>
      <c r="P744" s="157"/>
      <c r="Q744" s="157"/>
      <c r="R744" s="157">
        <f t="shared" si="15"/>
        <v>0</v>
      </c>
      <c r="S744" s="153">
        <v>16</v>
      </c>
      <c r="T744" s="154" t="s">
        <v>804</v>
      </c>
      <c r="U744" s="210"/>
    </row>
    <row r="745" spans="1:21" ht="14.4" x14ac:dyDescent="0.3">
      <c r="A745" s="155" t="s">
        <v>3040</v>
      </c>
      <c r="B745" s="153">
        <v>2026</v>
      </c>
      <c r="C745" s="153" t="s">
        <v>2711</v>
      </c>
      <c r="D745" s="153" t="s">
        <v>3037</v>
      </c>
      <c r="E745" s="165" t="s">
        <v>3041</v>
      </c>
      <c r="F745" s="169" t="s">
        <v>25</v>
      </c>
      <c r="G745" s="154" t="s">
        <v>207</v>
      </c>
      <c r="H745" s="155" t="s">
        <v>3042</v>
      </c>
      <c r="I745" s="189">
        <v>46349</v>
      </c>
      <c r="J745" s="189">
        <v>46352</v>
      </c>
      <c r="K745" s="153" t="s">
        <v>28</v>
      </c>
      <c r="L745" s="159">
        <v>18900</v>
      </c>
      <c r="M745" s="181"/>
      <c r="N745" s="157"/>
      <c r="O745" s="157"/>
      <c r="P745" s="157"/>
      <c r="Q745" s="157"/>
      <c r="R745" s="157">
        <f t="shared" si="15"/>
        <v>0</v>
      </c>
      <c r="S745" s="153">
        <v>16</v>
      </c>
      <c r="T745" s="154" t="s">
        <v>804</v>
      </c>
      <c r="U745" s="210"/>
    </row>
    <row r="746" spans="1:21" ht="14.4" hidden="1" x14ac:dyDescent="0.3">
      <c r="A746" s="155" t="s">
        <v>3043</v>
      </c>
      <c r="B746" s="153">
        <v>2026</v>
      </c>
      <c r="C746" s="153" t="s">
        <v>2790</v>
      </c>
      <c r="D746" s="153" t="s">
        <v>3044</v>
      </c>
      <c r="E746" s="165" t="s">
        <v>3045</v>
      </c>
      <c r="F746" s="169" t="s">
        <v>25</v>
      </c>
      <c r="G746" s="154" t="s">
        <v>207</v>
      </c>
      <c r="H746" s="155" t="s">
        <v>3046</v>
      </c>
      <c r="I746" s="189">
        <v>46293</v>
      </c>
      <c r="J746" s="189">
        <v>46297</v>
      </c>
      <c r="K746" s="153" t="s">
        <v>39</v>
      </c>
      <c r="L746" s="159"/>
      <c r="M746" s="181"/>
      <c r="N746" s="157">
        <v>20</v>
      </c>
      <c r="O746" s="157"/>
      <c r="P746" s="157"/>
      <c r="Q746" s="157"/>
      <c r="R746" s="157">
        <f t="shared" si="15"/>
        <v>0</v>
      </c>
      <c r="S746" s="153">
        <v>20</v>
      </c>
      <c r="T746" s="154" t="s">
        <v>3047</v>
      </c>
      <c r="U746" s="210"/>
    </row>
    <row r="747" spans="1:21" ht="14.4" x14ac:dyDescent="0.3">
      <c r="A747" s="155" t="s">
        <v>3048</v>
      </c>
      <c r="B747" s="153">
        <v>2026</v>
      </c>
      <c r="C747" s="153" t="s">
        <v>23</v>
      </c>
      <c r="D747" s="153" t="s">
        <v>3049</v>
      </c>
      <c r="E747" s="165" t="s">
        <v>3050</v>
      </c>
      <c r="F747" s="169" t="s">
        <v>25</v>
      </c>
      <c r="G747" s="154" t="s">
        <v>207</v>
      </c>
      <c r="H747" s="155" t="s">
        <v>3051</v>
      </c>
      <c r="I747" s="189">
        <v>46282</v>
      </c>
      <c r="J747" s="189">
        <v>46282</v>
      </c>
      <c r="K747" s="153"/>
      <c r="L747" s="159"/>
      <c r="M747" s="181"/>
      <c r="N747" s="157">
        <v>80</v>
      </c>
      <c r="O747" s="157">
        <v>80</v>
      </c>
      <c r="P747" s="157"/>
      <c r="Q747" s="157"/>
      <c r="R747" s="157">
        <f t="shared" ref="R747" si="16">IF(B747="","",SUM(O747:Q747))</f>
        <v>80</v>
      </c>
      <c r="S747" s="153">
        <v>2</v>
      </c>
      <c r="T747" s="154"/>
      <c r="U747" s="210"/>
    </row>
    <row r="748" spans="1:21" ht="14.4" x14ac:dyDescent="0.3">
      <c r="A748" s="155" t="s">
        <v>3052</v>
      </c>
      <c r="B748" s="153">
        <v>2026</v>
      </c>
      <c r="C748" s="153" t="s">
        <v>23</v>
      </c>
      <c r="D748" s="153" t="s">
        <v>3053</v>
      </c>
      <c r="E748" s="158" t="s">
        <v>3054</v>
      </c>
      <c r="F748" s="169" t="s">
        <v>70</v>
      </c>
      <c r="G748" s="154" t="s">
        <v>80</v>
      </c>
      <c r="H748" s="155" t="s">
        <v>3055</v>
      </c>
      <c r="I748" s="189">
        <v>46293</v>
      </c>
      <c r="J748" s="189">
        <v>46295</v>
      </c>
      <c r="K748" s="153" t="s">
        <v>39</v>
      </c>
      <c r="L748" s="159">
        <v>5967.7</v>
      </c>
      <c r="M748" s="181">
        <v>4.7300000000000004</v>
      </c>
      <c r="N748" s="157">
        <v>80</v>
      </c>
      <c r="O748" s="157">
        <v>0</v>
      </c>
      <c r="P748" s="157">
        <v>67</v>
      </c>
      <c r="Q748" s="157">
        <v>0</v>
      </c>
      <c r="R748" s="157">
        <f t="shared" si="15"/>
        <v>67</v>
      </c>
      <c r="S748" s="153">
        <v>12</v>
      </c>
      <c r="T748" s="154" t="s">
        <v>2453</v>
      </c>
      <c r="U748" s="210"/>
    </row>
    <row r="749" spans="1:21" ht="28.8" hidden="1" x14ac:dyDescent="0.3">
      <c r="A749" s="155" t="s">
        <v>3056</v>
      </c>
      <c r="B749" s="153">
        <v>2026</v>
      </c>
      <c r="C749" s="153" t="s">
        <v>3057</v>
      </c>
      <c r="D749" s="153" t="s">
        <v>3058</v>
      </c>
      <c r="E749" s="165" t="s">
        <v>3059</v>
      </c>
      <c r="F749" s="169" t="s">
        <v>25</v>
      </c>
      <c r="G749" s="154" t="s">
        <v>26</v>
      </c>
      <c r="H749" s="155"/>
      <c r="I749" s="189"/>
      <c r="J749" s="189"/>
      <c r="K749" s="153" t="s">
        <v>39</v>
      </c>
      <c r="L749" s="159"/>
      <c r="M749" s="181"/>
      <c r="N749" s="157">
        <v>30</v>
      </c>
      <c r="O749" s="157"/>
      <c r="P749" s="157"/>
      <c r="Q749" s="157"/>
      <c r="R749" s="157">
        <f t="shared" si="15"/>
        <v>0</v>
      </c>
      <c r="S749" s="153">
        <v>12</v>
      </c>
      <c r="T749" s="154" t="s">
        <v>3060</v>
      </c>
      <c r="U749" s="210"/>
    </row>
    <row r="750" spans="1:21" ht="14.4" hidden="1" x14ac:dyDescent="0.3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" hidden="1" x14ac:dyDescent="0.3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" hidden="1" x14ac:dyDescent="0.3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" hidden="1" x14ac:dyDescent="0.3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" hidden="1" x14ac:dyDescent="0.3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" hidden="1" x14ac:dyDescent="0.3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" hidden="1" x14ac:dyDescent="0.3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" hidden="1" x14ac:dyDescent="0.3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" hidden="1" x14ac:dyDescent="0.3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" hidden="1" x14ac:dyDescent="0.3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" hidden="1" x14ac:dyDescent="0.3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" hidden="1" x14ac:dyDescent="0.3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" hidden="1" x14ac:dyDescent="0.3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" hidden="1" x14ac:dyDescent="0.3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" hidden="1" x14ac:dyDescent="0.3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" hidden="1" x14ac:dyDescent="0.3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" hidden="1" x14ac:dyDescent="0.3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" hidden="1" x14ac:dyDescent="0.3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" hidden="1" x14ac:dyDescent="0.3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" hidden="1" x14ac:dyDescent="0.3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" hidden="1" x14ac:dyDescent="0.3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" hidden="1" x14ac:dyDescent="0.3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" hidden="1" x14ac:dyDescent="0.3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" hidden="1" x14ac:dyDescent="0.3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" hidden="1" x14ac:dyDescent="0.3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" hidden="1" x14ac:dyDescent="0.3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" hidden="1" x14ac:dyDescent="0.3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" hidden="1" x14ac:dyDescent="0.3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" hidden="1" x14ac:dyDescent="0.3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" hidden="1" x14ac:dyDescent="0.3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" hidden="1" x14ac:dyDescent="0.3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" hidden="1" x14ac:dyDescent="0.3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" hidden="1" x14ac:dyDescent="0.3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" hidden="1" x14ac:dyDescent="0.3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" hidden="1" x14ac:dyDescent="0.3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" hidden="1" x14ac:dyDescent="0.3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" hidden="1" x14ac:dyDescent="0.3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" hidden="1" x14ac:dyDescent="0.3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" hidden="1" x14ac:dyDescent="0.3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" hidden="1" x14ac:dyDescent="0.3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" hidden="1" x14ac:dyDescent="0.3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" hidden="1" x14ac:dyDescent="0.3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" hidden="1" x14ac:dyDescent="0.3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" hidden="1" x14ac:dyDescent="0.3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" hidden="1" x14ac:dyDescent="0.3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" hidden="1" x14ac:dyDescent="0.3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" hidden="1" x14ac:dyDescent="0.3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" hidden="1" x14ac:dyDescent="0.3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" hidden="1" x14ac:dyDescent="0.3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" hidden="1" x14ac:dyDescent="0.3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" hidden="1" x14ac:dyDescent="0.3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" hidden="1" x14ac:dyDescent="0.3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" hidden="1" x14ac:dyDescent="0.3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" hidden="1" x14ac:dyDescent="0.3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" hidden="1" x14ac:dyDescent="0.3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" hidden="1" x14ac:dyDescent="0.3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" hidden="1" x14ac:dyDescent="0.3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" hidden="1" x14ac:dyDescent="0.3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" hidden="1" x14ac:dyDescent="0.3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" hidden="1" x14ac:dyDescent="0.3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" hidden="1" x14ac:dyDescent="0.3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" hidden="1" x14ac:dyDescent="0.3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" hidden="1" x14ac:dyDescent="0.3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" hidden="1" x14ac:dyDescent="0.3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" hidden="1" x14ac:dyDescent="0.3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" hidden="1" x14ac:dyDescent="0.3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" hidden="1" x14ac:dyDescent="0.3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" hidden="1" x14ac:dyDescent="0.3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" hidden="1" x14ac:dyDescent="0.3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" hidden="1" x14ac:dyDescent="0.3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" hidden="1" x14ac:dyDescent="0.3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" hidden="1" x14ac:dyDescent="0.3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" hidden="1" x14ac:dyDescent="0.3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" hidden="1" x14ac:dyDescent="0.3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" hidden="1" x14ac:dyDescent="0.3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" hidden="1" x14ac:dyDescent="0.3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" hidden="1" x14ac:dyDescent="0.3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" hidden="1" x14ac:dyDescent="0.3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" hidden="1" x14ac:dyDescent="0.3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" hidden="1" x14ac:dyDescent="0.3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" hidden="1" x14ac:dyDescent="0.3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" hidden="1" x14ac:dyDescent="0.3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" hidden="1" x14ac:dyDescent="0.3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" hidden="1" x14ac:dyDescent="0.3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" hidden="1" x14ac:dyDescent="0.3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" hidden="1" x14ac:dyDescent="0.3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" hidden="1" x14ac:dyDescent="0.3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" hidden="1" x14ac:dyDescent="0.3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" hidden="1" x14ac:dyDescent="0.3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" hidden="1" x14ac:dyDescent="0.3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" hidden="1" x14ac:dyDescent="0.3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" hidden="1" x14ac:dyDescent="0.3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" hidden="1" x14ac:dyDescent="0.3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" hidden="1" x14ac:dyDescent="0.3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" hidden="1" x14ac:dyDescent="0.3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" hidden="1" x14ac:dyDescent="0.3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" hidden="1" x14ac:dyDescent="0.3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" hidden="1" x14ac:dyDescent="0.3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" hidden="1" x14ac:dyDescent="0.3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" hidden="1" x14ac:dyDescent="0.3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" hidden="1" x14ac:dyDescent="0.3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" hidden="1" x14ac:dyDescent="0.3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" hidden="1" x14ac:dyDescent="0.3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" hidden="1" x14ac:dyDescent="0.3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" hidden="1" x14ac:dyDescent="0.3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" hidden="1" x14ac:dyDescent="0.3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" hidden="1" x14ac:dyDescent="0.3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" hidden="1" x14ac:dyDescent="0.3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" hidden="1" x14ac:dyDescent="0.3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" hidden="1" x14ac:dyDescent="0.3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" hidden="1" x14ac:dyDescent="0.3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" hidden="1" x14ac:dyDescent="0.3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" hidden="1" x14ac:dyDescent="0.3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" hidden="1" x14ac:dyDescent="0.3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" hidden="1" x14ac:dyDescent="0.3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" hidden="1" x14ac:dyDescent="0.3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" hidden="1" x14ac:dyDescent="0.3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" hidden="1" x14ac:dyDescent="0.3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" hidden="1" x14ac:dyDescent="0.3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" hidden="1" x14ac:dyDescent="0.3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" hidden="1" x14ac:dyDescent="0.3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" hidden="1" x14ac:dyDescent="0.3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" hidden="1" x14ac:dyDescent="0.3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" hidden="1" x14ac:dyDescent="0.3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" hidden="1" x14ac:dyDescent="0.3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" hidden="1" x14ac:dyDescent="0.3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" hidden="1" x14ac:dyDescent="0.3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" hidden="1" x14ac:dyDescent="0.3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" hidden="1" x14ac:dyDescent="0.3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" hidden="1" x14ac:dyDescent="0.3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" hidden="1" x14ac:dyDescent="0.3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" hidden="1" x14ac:dyDescent="0.3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" hidden="1" x14ac:dyDescent="0.3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" hidden="1" x14ac:dyDescent="0.3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" hidden="1" x14ac:dyDescent="0.3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" hidden="1" x14ac:dyDescent="0.3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" hidden="1" x14ac:dyDescent="0.3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" hidden="1" x14ac:dyDescent="0.3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" hidden="1" x14ac:dyDescent="0.3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" hidden="1" x14ac:dyDescent="0.3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" hidden="1" x14ac:dyDescent="0.3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" hidden="1" x14ac:dyDescent="0.3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" hidden="1" x14ac:dyDescent="0.3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" hidden="1" x14ac:dyDescent="0.3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" hidden="1" x14ac:dyDescent="0.3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" hidden="1" x14ac:dyDescent="0.3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" hidden="1" x14ac:dyDescent="0.3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" hidden="1" x14ac:dyDescent="0.3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" hidden="1" x14ac:dyDescent="0.3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" hidden="1" x14ac:dyDescent="0.3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" hidden="1" x14ac:dyDescent="0.3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" hidden="1" x14ac:dyDescent="0.3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" hidden="1" x14ac:dyDescent="0.3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" hidden="1" x14ac:dyDescent="0.3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" hidden="1" x14ac:dyDescent="0.3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" hidden="1" x14ac:dyDescent="0.3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" hidden="1" x14ac:dyDescent="0.3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" hidden="1" x14ac:dyDescent="0.3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" hidden="1" x14ac:dyDescent="0.3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" hidden="1" x14ac:dyDescent="0.3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" hidden="1" x14ac:dyDescent="0.3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" hidden="1" x14ac:dyDescent="0.3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" hidden="1" x14ac:dyDescent="0.3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" hidden="1" x14ac:dyDescent="0.3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" hidden="1" x14ac:dyDescent="0.3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" hidden="1" x14ac:dyDescent="0.3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" hidden="1" x14ac:dyDescent="0.3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" hidden="1" x14ac:dyDescent="0.3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" hidden="1" x14ac:dyDescent="0.3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" hidden="1" x14ac:dyDescent="0.3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" hidden="1" x14ac:dyDescent="0.3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" hidden="1" x14ac:dyDescent="0.3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" hidden="1" x14ac:dyDescent="0.3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" hidden="1" x14ac:dyDescent="0.3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" hidden="1" x14ac:dyDescent="0.3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" hidden="1" x14ac:dyDescent="0.3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" hidden="1" x14ac:dyDescent="0.3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" hidden="1" x14ac:dyDescent="0.3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" hidden="1" x14ac:dyDescent="0.3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" hidden="1" x14ac:dyDescent="0.3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" hidden="1" x14ac:dyDescent="0.3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" hidden="1" x14ac:dyDescent="0.3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" hidden="1" x14ac:dyDescent="0.3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" hidden="1" x14ac:dyDescent="0.3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" hidden="1" x14ac:dyDescent="0.3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" hidden="1" x14ac:dyDescent="0.3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" hidden="1" x14ac:dyDescent="0.3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" hidden="1" x14ac:dyDescent="0.3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" hidden="1" x14ac:dyDescent="0.3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" hidden="1" x14ac:dyDescent="0.3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" hidden="1" x14ac:dyDescent="0.3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" hidden="1" x14ac:dyDescent="0.3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" hidden="1" x14ac:dyDescent="0.3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" hidden="1" x14ac:dyDescent="0.3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" hidden="1" x14ac:dyDescent="0.3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" hidden="1" x14ac:dyDescent="0.3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" hidden="1" x14ac:dyDescent="0.3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" hidden="1" x14ac:dyDescent="0.3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" hidden="1" x14ac:dyDescent="0.3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" hidden="1" x14ac:dyDescent="0.3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" hidden="1" x14ac:dyDescent="0.3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" hidden="1" x14ac:dyDescent="0.3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" hidden="1" x14ac:dyDescent="0.3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" hidden="1" x14ac:dyDescent="0.3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" hidden="1" x14ac:dyDescent="0.3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" hidden="1" x14ac:dyDescent="0.3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" hidden="1" x14ac:dyDescent="0.3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" hidden="1" x14ac:dyDescent="0.3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" hidden="1" x14ac:dyDescent="0.3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" hidden="1" x14ac:dyDescent="0.3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" hidden="1" x14ac:dyDescent="0.3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" hidden="1" x14ac:dyDescent="0.3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" hidden="1" x14ac:dyDescent="0.3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" hidden="1" x14ac:dyDescent="0.3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" hidden="1" x14ac:dyDescent="0.3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" hidden="1" x14ac:dyDescent="0.3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" hidden="1" x14ac:dyDescent="0.3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" hidden="1" x14ac:dyDescent="0.3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" hidden="1" x14ac:dyDescent="0.3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" hidden="1" x14ac:dyDescent="0.3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" hidden="1" x14ac:dyDescent="0.3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" hidden="1" x14ac:dyDescent="0.3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" hidden="1" x14ac:dyDescent="0.3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" hidden="1" x14ac:dyDescent="0.3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" hidden="1" x14ac:dyDescent="0.3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" hidden="1" x14ac:dyDescent="0.3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" hidden="1" x14ac:dyDescent="0.3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" hidden="1" x14ac:dyDescent="0.3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" hidden="1" x14ac:dyDescent="0.3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" hidden="1" x14ac:dyDescent="0.3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" hidden="1" x14ac:dyDescent="0.3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" hidden="1" x14ac:dyDescent="0.3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" hidden="1" x14ac:dyDescent="0.3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" hidden="1" x14ac:dyDescent="0.3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" hidden="1" x14ac:dyDescent="0.3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" hidden="1" x14ac:dyDescent="0.3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" hidden="1" x14ac:dyDescent="0.3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" hidden="1" x14ac:dyDescent="0.3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" hidden="1" x14ac:dyDescent="0.3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" hidden="1" x14ac:dyDescent="0.3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" hidden="1" x14ac:dyDescent="0.3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" hidden="1" x14ac:dyDescent="0.3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" hidden="1" x14ac:dyDescent="0.3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" hidden="1" x14ac:dyDescent="0.3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" hidden="1" x14ac:dyDescent="0.3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" hidden="1" x14ac:dyDescent="0.3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" hidden="1" x14ac:dyDescent="0.3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" hidden="1" x14ac:dyDescent="0.3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" hidden="1" x14ac:dyDescent="0.3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" hidden="1" x14ac:dyDescent="0.3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" hidden="1" x14ac:dyDescent="0.3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" hidden="1" x14ac:dyDescent="0.3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" hidden="1" x14ac:dyDescent="0.3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" hidden="1" x14ac:dyDescent="0.3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" hidden="1" x14ac:dyDescent="0.3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" hidden="1" x14ac:dyDescent="0.3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" hidden="1" x14ac:dyDescent="0.3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" hidden="1" x14ac:dyDescent="0.3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" hidden="1" x14ac:dyDescent="0.3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" hidden="1" x14ac:dyDescent="0.3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" hidden="1" x14ac:dyDescent="0.3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" hidden="1" x14ac:dyDescent="0.3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" hidden="1" x14ac:dyDescent="0.3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" hidden="1" x14ac:dyDescent="0.3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" hidden="1" x14ac:dyDescent="0.3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" hidden="1" x14ac:dyDescent="0.3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" hidden="1" x14ac:dyDescent="0.3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" hidden="1" x14ac:dyDescent="0.3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" hidden="1" x14ac:dyDescent="0.3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" hidden="1" x14ac:dyDescent="0.3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" hidden="1" x14ac:dyDescent="0.3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" hidden="1" x14ac:dyDescent="0.3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" hidden="1" x14ac:dyDescent="0.3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" hidden="1" x14ac:dyDescent="0.3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" hidden="1" x14ac:dyDescent="0.3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" hidden="1" x14ac:dyDescent="0.3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" hidden="1" x14ac:dyDescent="0.3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" hidden="1" x14ac:dyDescent="0.3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" hidden="1" x14ac:dyDescent="0.3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" hidden="1" x14ac:dyDescent="0.3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" hidden="1" x14ac:dyDescent="0.3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" hidden="1" x14ac:dyDescent="0.3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" hidden="1" x14ac:dyDescent="0.3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" hidden="1" x14ac:dyDescent="0.3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" hidden="1" x14ac:dyDescent="0.3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" hidden="1" x14ac:dyDescent="0.3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" hidden="1" x14ac:dyDescent="0.3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" hidden="1" x14ac:dyDescent="0.3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" hidden="1" x14ac:dyDescent="0.3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" hidden="1" x14ac:dyDescent="0.3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" hidden="1" x14ac:dyDescent="0.3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" hidden="1" x14ac:dyDescent="0.3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" hidden="1" x14ac:dyDescent="0.3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" hidden="1" x14ac:dyDescent="0.3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" hidden="1" x14ac:dyDescent="0.3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" hidden="1" x14ac:dyDescent="0.3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" hidden="1" x14ac:dyDescent="0.3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" hidden="1" x14ac:dyDescent="0.3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" hidden="1" x14ac:dyDescent="0.3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" hidden="1" x14ac:dyDescent="0.3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" hidden="1" x14ac:dyDescent="0.3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" hidden="1" x14ac:dyDescent="0.3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" hidden="1" x14ac:dyDescent="0.3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" hidden="1" x14ac:dyDescent="0.3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" hidden="1" x14ac:dyDescent="0.3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" hidden="1" x14ac:dyDescent="0.3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" hidden="1" x14ac:dyDescent="0.3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" hidden="1" x14ac:dyDescent="0.3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" hidden="1" x14ac:dyDescent="0.3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" hidden="1" x14ac:dyDescent="0.3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" hidden="1" x14ac:dyDescent="0.3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" hidden="1" x14ac:dyDescent="0.3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" hidden="1" x14ac:dyDescent="0.3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" hidden="1" x14ac:dyDescent="0.3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" hidden="1" x14ac:dyDescent="0.3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" hidden="1" x14ac:dyDescent="0.3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" hidden="1" x14ac:dyDescent="0.3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" hidden="1" x14ac:dyDescent="0.3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" hidden="1" x14ac:dyDescent="0.3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" hidden="1" x14ac:dyDescent="0.3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" hidden="1" x14ac:dyDescent="0.3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" hidden="1" x14ac:dyDescent="0.3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" hidden="1" x14ac:dyDescent="0.3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" hidden="1" x14ac:dyDescent="0.3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" hidden="1" x14ac:dyDescent="0.3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" hidden="1" x14ac:dyDescent="0.3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" hidden="1" x14ac:dyDescent="0.3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" hidden="1" x14ac:dyDescent="0.3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" hidden="1" x14ac:dyDescent="0.3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" hidden="1" x14ac:dyDescent="0.3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" hidden="1" x14ac:dyDescent="0.3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" hidden="1" x14ac:dyDescent="0.3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" hidden="1" x14ac:dyDescent="0.3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" hidden="1" x14ac:dyDescent="0.3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" hidden="1" x14ac:dyDescent="0.3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" hidden="1" x14ac:dyDescent="0.3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" hidden="1" x14ac:dyDescent="0.3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" hidden="1" x14ac:dyDescent="0.3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" hidden="1" x14ac:dyDescent="0.3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" hidden="1" x14ac:dyDescent="0.3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" hidden="1" x14ac:dyDescent="0.3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" hidden="1" x14ac:dyDescent="0.3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" hidden="1" x14ac:dyDescent="0.3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" hidden="1" x14ac:dyDescent="0.3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" hidden="1" x14ac:dyDescent="0.3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" hidden="1" x14ac:dyDescent="0.3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" hidden="1" x14ac:dyDescent="0.3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" hidden="1" x14ac:dyDescent="0.3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" hidden="1" x14ac:dyDescent="0.3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" hidden="1" x14ac:dyDescent="0.3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" hidden="1" x14ac:dyDescent="0.3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" hidden="1" x14ac:dyDescent="0.3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" hidden="1" x14ac:dyDescent="0.3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" hidden="1" x14ac:dyDescent="0.3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" hidden="1" x14ac:dyDescent="0.3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" hidden="1" x14ac:dyDescent="0.3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" hidden="1" x14ac:dyDescent="0.3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" hidden="1" x14ac:dyDescent="0.3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" hidden="1" x14ac:dyDescent="0.3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" hidden="1" x14ac:dyDescent="0.3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" hidden="1" x14ac:dyDescent="0.3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" hidden="1" x14ac:dyDescent="0.3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" hidden="1" x14ac:dyDescent="0.3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" hidden="1" x14ac:dyDescent="0.3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" hidden="1" x14ac:dyDescent="0.3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" hidden="1" x14ac:dyDescent="0.3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" hidden="1" x14ac:dyDescent="0.3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" hidden="1" x14ac:dyDescent="0.3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" hidden="1" x14ac:dyDescent="0.3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" hidden="1" x14ac:dyDescent="0.3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" hidden="1" x14ac:dyDescent="0.3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" hidden="1" x14ac:dyDescent="0.3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" hidden="1" x14ac:dyDescent="0.3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" hidden="1" x14ac:dyDescent="0.3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" hidden="1" x14ac:dyDescent="0.3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" hidden="1" x14ac:dyDescent="0.3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" hidden="1" x14ac:dyDescent="0.3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" hidden="1" x14ac:dyDescent="0.3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" hidden="1" x14ac:dyDescent="0.3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" hidden="1" x14ac:dyDescent="0.3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" hidden="1" x14ac:dyDescent="0.3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" hidden="1" x14ac:dyDescent="0.3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" hidden="1" x14ac:dyDescent="0.3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" hidden="1" x14ac:dyDescent="0.3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" hidden="1" x14ac:dyDescent="0.3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" hidden="1" x14ac:dyDescent="0.3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" hidden="1" x14ac:dyDescent="0.3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" hidden="1" x14ac:dyDescent="0.3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" hidden="1" x14ac:dyDescent="0.3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" hidden="1" x14ac:dyDescent="0.3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" hidden="1" x14ac:dyDescent="0.3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" hidden="1" x14ac:dyDescent="0.3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" hidden="1" x14ac:dyDescent="0.3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" hidden="1" x14ac:dyDescent="0.3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" hidden="1" x14ac:dyDescent="0.3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" hidden="1" x14ac:dyDescent="0.3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" hidden="1" x14ac:dyDescent="0.3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" hidden="1" x14ac:dyDescent="0.3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" hidden="1" x14ac:dyDescent="0.3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" hidden="1" x14ac:dyDescent="0.3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" hidden="1" x14ac:dyDescent="0.3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" hidden="1" x14ac:dyDescent="0.3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" hidden="1" x14ac:dyDescent="0.3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" hidden="1" x14ac:dyDescent="0.3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" hidden="1" x14ac:dyDescent="0.3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" hidden="1" x14ac:dyDescent="0.3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" hidden="1" x14ac:dyDescent="0.3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" hidden="1" x14ac:dyDescent="0.3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" hidden="1" x14ac:dyDescent="0.3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" hidden="1" x14ac:dyDescent="0.3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" hidden="1" x14ac:dyDescent="0.3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" hidden="1" x14ac:dyDescent="0.3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" hidden="1" x14ac:dyDescent="0.3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" hidden="1" x14ac:dyDescent="0.3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" hidden="1" x14ac:dyDescent="0.3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" hidden="1" x14ac:dyDescent="0.3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" hidden="1" x14ac:dyDescent="0.3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" hidden="1" x14ac:dyDescent="0.3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" hidden="1" x14ac:dyDescent="0.3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" hidden="1" x14ac:dyDescent="0.3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" hidden="1" x14ac:dyDescent="0.3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" hidden="1" x14ac:dyDescent="0.3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" hidden="1" x14ac:dyDescent="0.3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" hidden="1" x14ac:dyDescent="0.3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" hidden="1" x14ac:dyDescent="0.3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" hidden="1" x14ac:dyDescent="0.3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" hidden="1" x14ac:dyDescent="0.3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" hidden="1" x14ac:dyDescent="0.3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" hidden="1" x14ac:dyDescent="0.3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" hidden="1" x14ac:dyDescent="0.3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" hidden="1" x14ac:dyDescent="0.3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" hidden="1" x14ac:dyDescent="0.3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" hidden="1" x14ac:dyDescent="0.3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" hidden="1" x14ac:dyDescent="0.3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" hidden="1" x14ac:dyDescent="0.3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" hidden="1" x14ac:dyDescent="0.3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" hidden="1" x14ac:dyDescent="0.3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" hidden="1" x14ac:dyDescent="0.3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" hidden="1" x14ac:dyDescent="0.3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" hidden="1" x14ac:dyDescent="0.3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" hidden="1" x14ac:dyDescent="0.3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" hidden="1" x14ac:dyDescent="0.3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" hidden="1" x14ac:dyDescent="0.3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" hidden="1" x14ac:dyDescent="0.3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" hidden="1" x14ac:dyDescent="0.3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" hidden="1" x14ac:dyDescent="0.3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" hidden="1" x14ac:dyDescent="0.3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" hidden="1" x14ac:dyDescent="0.3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" hidden="1" x14ac:dyDescent="0.3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" hidden="1" x14ac:dyDescent="0.3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" hidden="1" x14ac:dyDescent="0.3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" hidden="1" x14ac:dyDescent="0.3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" hidden="1" x14ac:dyDescent="0.3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" hidden="1" x14ac:dyDescent="0.3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" hidden="1" x14ac:dyDescent="0.3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" hidden="1" x14ac:dyDescent="0.3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" hidden="1" x14ac:dyDescent="0.3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" hidden="1" x14ac:dyDescent="0.3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" hidden="1" x14ac:dyDescent="0.3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" hidden="1" x14ac:dyDescent="0.3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" hidden="1" x14ac:dyDescent="0.3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" hidden="1" x14ac:dyDescent="0.3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" hidden="1" x14ac:dyDescent="0.3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" hidden="1" x14ac:dyDescent="0.3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" hidden="1" x14ac:dyDescent="0.3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" hidden="1" x14ac:dyDescent="0.3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" hidden="1" x14ac:dyDescent="0.3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" hidden="1" x14ac:dyDescent="0.3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" hidden="1" x14ac:dyDescent="0.3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" hidden="1" x14ac:dyDescent="0.3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" hidden="1" x14ac:dyDescent="0.3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" hidden="1" x14ac:dyDescent="0.3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" hidden="1" x14ac:dyDescent="0.3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" hidden="1" x14ac:dyDescent="0.3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" hidden="1" x14ac:dyDescent="0.3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" hidden="1" x14ac:dyDescent="0.3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" hidden="1" x14ac:dyDescent="0.3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" hidden="1" x14ac:dyDescent="0.3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" hidden="1" x14ac:dyDescent="0.3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" hidden="1" x14ac:dyDescent="0.3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" hidden="1" x14ac:dyDescent="0.3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" hidden="1" x14ac:dyDescent="0.3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" hidden="1" x14ac:dyDescent="0.3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" hidden="1" x14ac:dyDescent="0.3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" hidden="1" x14ac:dyDescent="0.3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" hidden="1" x14ac:dyDescent="0.3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" hidden="1" x14ac:dyDescent="0.3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" hidden="1" x14ac:dyDescent="0.3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" hidden="1" x14ac:dyDescent="0.3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" hidden="1" x14ac:dyDescent="0.3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" hidden="1" x14ac:dyDescent="0.3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" hidden="1" x14ac:dyDescent="0.3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" hidden="1" x14ac:dyDescent="0.3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" hidden="1" x14ac:dyDescent="0.3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" hidden="1" x14ac:dyDescent="0.3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" hidden="1" x14ac:dyDescent="0.3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" hidden="1" x14ac:dyDescent="0.3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" hidden="1" x14ac:dyDescent="0.3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" hidden="1" x14ac:dyDescent="0.3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" hidden="1" x14ac:dyDescent="0.3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" hidden="1" x14ac:dyDescent="0.3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" hidden="1" x14ac:dyDescent="0.3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" hidden="1" x14ac:dyDescent="0.3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" hidden="1" x14ac:dyDescent="0.3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" hidden="1" x14ac:dyDescent="0.3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" hidden="1" x14ac:dyDescent="0.3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" hidden="1" x14ac:dyDescent="0.3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" hidden="1" x14ac:dyDescent="0.3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" hidden="1" x14ac:dyDescent="0.3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" hidden="1" x14ac:dyDescent="0.3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" hidden="1" x14ac:dyDescent="0.3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" hidden="1" x14ac:dyDescent="0.3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" hidden="1" x14ac:dyDescent="0.3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" hidden="1" x14ac:dyDescent="0.3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" hidden="1" x14ac:dyDescent="0.3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" hidden="1" x14ac:dyDescent="0.3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" hidden="1" x14ac:dyDescent="0.3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" hidden="1" x14ac:dyDescent="0.3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" hidden="1" x14ac:dyDescent="0.3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" hidden="1" x14ac:dyDescent="0.3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" hidden="1" x14ac:dyDescent="0.3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" hidden="1" x14ac:dyDescent="0.3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" hidden="1" x14ac:dyDescent="0.3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" hidden="1" x14ac:dyDescent="0.3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" hidden="1" x14ac:dyDescent="0.3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" hidden="1" x14ac:dyDescent="0.3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" hidden="1" x14ac:dyDescent="0.3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" hidden="1" x14ac:dyDescent="0.3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" hidden="1" x14ac:dyDescent="0.3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" hidden="1" x14ac:dyDescent="0.3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" hidden="1" x14ac:dyDescent="0.3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" hidden="1" x14ac:dyDescent="0.3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" hidden="1" x14ac:dyDescent="0.3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" hidden="1" x14ac:dyDescent="0.3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" hidden="1" x14ac:dyDescent="0.3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" hidden="1" x14ac:dyDescent="0.3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" hidden="1" x14ac:dyDescent="0.3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" hidden="1" x14ac:dyDescent="0.3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" hidden="1" x14ac:dyDescent="0.3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" hidden="1" x14ac:dyDescent="0.3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" hidden="1" x14ac:dyDescent="0.3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" hidden="1" x14ac:dyDescent="0.3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" hidden="1" x14ac:dyDescent="0.3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" hidden="1" x14ac:dyDescent="0.3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" hidden="1" x14ac:dyDescent="0.3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" hidden="1" x14ac:dyDescent="0.3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" hidden="1" x14ac:dyDescent="0.3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" hidden="1" x14ac:dyDescent="0.3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" hidden="1" x14ac:dyDescent="0.3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" hidden="1" x14ac:dyDescent="0.3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" hidden="1" x14ac:dyDescent="0.3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" hidden="1" x14ac:dyDescent="0.3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" hidden="1" x14ac:dyDescent="0.3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" hidden="1" x14ac:dyDescent="0.3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" hidden="1" x14ac:dyDescent="0.3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" hidden="1" x14ac:dyDescent="0.3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" hidden="1" x14ac:dyDescent="0.3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" hidden="1" x14ac:dyDescent="0.3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" hidden="1" x14ac:dyDescent="0.3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" hidden="1" x14ac:dyDescent="0.3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" hidden="1" x14ac:dyDescent="0.3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" hidden="1" x14ac:dyDescent="0.3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" hidden="1" x14ac:dyDescent="0.3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" hidden="1" x14ac:dyDescent="0.3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" hidden="1" x14ac:dyDescent="0.3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" hidden="1" x14ac:dyDescent="0.3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" hidden="1" x14ac:dyDescent="0.3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" hidden="1" x14ac:dyDescent="0.3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" hidden="1" x14ac:dyDescent="0.3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" hidden="1" x14ac:dyDescent="0.3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" hidden="1" x14ac:dyDescent="0.3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" hidden="1" x14ac:dyDescent="0.3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" hidden="1" x14ac:dyDescent="0.3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" hidden="1" x14ac:dyDescent="0.3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" hidden="1" x14ac:dyDescent="0.3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" hidden="1" x14ac:dyDescent="0.3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" hidden="1" x14ac:dyDescent="0.3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" hidden="1" x14ac:dyDescent="0.3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" hidden="1" x14ac:dyDescent="0.3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" hidden="1" x14ac:dyDescent="0.3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" hidden="1" x14ac:dyDescent="0.3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" hidden="1" x14ac:dyDescent="0.3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" hidden="1" x14ac:dyDescent="0.3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" hidden="1" x14ac:dyDescent="0.3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" hidden="1" x14ac:dyDescent="0.3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" hidden="1" x14ac:dyDescent="0.3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" hidden="1" x14ac:dyDescent="0.3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" hidden="1" x14ac:dyDescent="0.3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" hidden="1" x14ac:dyDescent="0.3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" hidden="1" x14ac:dyDescent="0.3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" hidden="1" x14ac:dyDescent="0.3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" hidden="1" x14ac:dyDescent="0.3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" hidden="1" x14ac:dyDescent="0.3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" hidden="1" x14ac:dyDescent="0.3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" hidden="1" x14ac:dyDescent="0.3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" hidden="1" x14ac:dyDescent="0.3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" hidden="1" x14ac:dyDescent="0.3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" hidden="1" x14ac:dyDescent="0.3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" hidden="1" x14ac:dyDescent="0.3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" hidden="1" x14ac:dyDescent="0.3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" hidden="1" x14ac:dyDescent="0.3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" hidden="1" x14ac:dyDescent="0.3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" hidden="1" x14ac:dyDescent="0.3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" hidden="1" x14ac:dyDescent="0.3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" hidden="1" x14ac:dyDescent="0.3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" hidden="1" x14ac:dyDescent="0.3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" hidden="1" x14ac:dyDescent="0.3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" hidden="1" x14ac:dyDescent="0.3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" hidden="1" x14ac:dyDescent="0.3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" hidden="1" x14ac:dyDescent="0.3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" hidden="1" x14ac:dyDescent="0.3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" hidden="1" x14ac:dyDescent="0.3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" hidden="1" x14ac:dyDescent="0.3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" hidden="1" x14ac:dyDescent="0.3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" hidden="1" x14ac:dyDescent="0.3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" hidden="1" x14ac:dyDescent="0.3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" hidden="1" x14ac:dyDescent="0.3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" hidden="1" x14ac:dyDescent="0.3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" hidden="1" x14ac:dyDescent="0.3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" hidden="1" x14ac:dyDescent="0.3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" hidden="1" x14ac:dyDescent="0.3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" hidden="1" x14ac:dyDescent="0.3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" hidden="1" x14ac:dyDescent="0.3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" hidden="1" x14ac:dyDescent="0.3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" hidden="1" x14ac:dyDescent="0.3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" hidden="1" x14ac:dyDescent="0.3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" hidden="1" x14ac:dyDescent="0.3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" hidden="1" x14ac:dyDescent="0.3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" hidden="1" x14ac:dyDescent="0.3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" hidden="1" x14ac:dyDescent="0.3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" hidden="1" x14ac:dyDescent="0.3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" hidden="1" x14ac:dyDescent="0.3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" hidden="1" x14ac:dyDescent="0.3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" hidden="1" x14ac:dyDescent="0.3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" hidden="1" x14ac:dyDescent="0.3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" hidden="1" x14ac:dyDescent="0.3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" hidden="1" x14ac:dyDescent="0.3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" hidden="1" x14ac:dyDescent="0.3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" hidden="1" x14ac:dyDescent="0.3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" hidden="1" x14ac:dyDescent="0.3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" hidden="1" x14ac:dyDescent="0.3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" hidden="1" x14ac:dyDescent="0.3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" hidden="1" x14ac:dyDescent="0.3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" hidden="1" x14ac:dyDescent="0.3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" hidden="1" x14ac:dyDescent="0.3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" hidden="1" x14ac:dyDescent="0.3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" hidden="1" x14ac:dyDescent="0.3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" hidden="1" x14ac:dyDescent="0.3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" hidden="1" x14ac:dyDescent="0.3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" hidden="1" x14ac:dyDescent="0.3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" hidden="1" x14ac:dyDescent="0.3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" hidden="1" x14ac:dyDescent="0.3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" hidden="1" x14ac:dyDescent="0.3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" hidden="1" x14ac:dyDescent="0.3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" hidden="1" x14ac:dyDescent="0.3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" hidden="1" x14ac:dyDescent="0.3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" hidden="1" x14ac:dyDescent="0.3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" hidden="1" x14ac:dyDescent="0.3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" hidden="1" x14ac:dyDescent="0.3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" hidden="1" x14ac:dyDescent="0.3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" hidden="1" x14ac:dyDescent="0.3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" hidden="1" x14ac:dyDescent="0.3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" hidden="1" x14ac:dyDescent="0.3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" hidden="1" x14ac:dyDescent="0.3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" hidden="1" x14ac:dyDescent="0.3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" hidden="1" x14ac:dyDescent="0.3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" hidden="1" x14ac:dyDescent="0.3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" hidden="1" x14ac:dyDescent="0.3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" hidden="1" x14ac:dyDescent="0.3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" hidden="1" x14ac:dyDescent="0.3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" hidden="1" x14ac:dyDescent="0.3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" hidden="1" x14ac:dyDescent="0.3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" hidden="1" x14ac:dyDescent="0.3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" hidden="1" x14ac:dyDescent="0.3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" hidden="1" x14ac:dyDescent="0.3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" hidden="1" x14ac:dyDescent="0.3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" hidden="1" x14ac:dyDescent="0.3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" hidden="1" x14ac:dyDescent="0.3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" hidden="1" x14ac:dyDescent="0.3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" hidden="1" x14ac:dyDescent="0.3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" hidden="1" x14ac:dyDescent="0.3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" hidden="1" x14ac:dyDescent="0.3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" hidden="1" x14ac:dyDescent="0.3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" hidden="1" x14ac:dyDescent="0.3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" hidden="1" x14ac:dyDescent="0.3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" hidden="1" x14ac:dyDescent="0.3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" hidden="1" x14ac:dyDescent="0.3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" hidden="1" x14ac:dyDescent="0.3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" hidden="1" x14ac:dyDescent="0.3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" hidden="1" x14ac:dyDescent="0.3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" hidden="1" x14ac:dyDescent="0.3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" hidden="1" x14ac:dyDescent="0.3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" hidden="1" x14ac:dyDescent="0.3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" hidden="1" x14ac:dyDescent="0.3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" hidden="1" x14ac:dyDescent="0.3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" hidden="1" x14ac:dyDescent="0.3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" hidden="1" x14ac:dyDescent="0.3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" hidden="1" x14ac:dyDescent="0.3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" hidden="1" x14ac:dyDescent="0.3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" hidden="1" x14ac:dyDescent="0.3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" hidden="1" x14ac:dyDescent="0.3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" hidden="1" x14ac:dyDescent="0.3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" hidden="1" x14ac:dyDescent="0.3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" hidden="1" x14ac:dyDescent="0.3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" hidden="1" x14ac:dyDescent="0.3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" hidden="1" x14ac:dyDescent="0.3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" hidden="1" x14ac:dyDescent="0.3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" hidden="1" x14ac:dyDescent="0.3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" hidden="1" x14ac:dyDescent="0.3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" hidden="1" x14ac:dyDescent="0.3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" hidden="1" x14ac:dyDescent="0.3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" hidden="1" x14ac:dyDescent="0.3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" hidden="1" x14ac:dyDescent="0.3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" hidden="1" x14ac:dyDescent="0.3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" hidden="1" x14ac:dyDescent="0.3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" hidden="1" x14ac:dyDescent="0.3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" hidden="1" x14ac:dyDescent="0.3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" hidden="1" x14ac:dyDescent="0.3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" hidden="1" x14ac:dyDescent="0.3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" hidden="1" x14ac:dyDescent="0.3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" hidden="1" x14ac:dyDescent="0.3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" hidden="1" x14ac:dyDescent="0.3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" hidden="1" x14ac:dyDescent="0.3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" hidden="1" x14ac:dyDescent="0.3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" hidden="1" x14ac:dyDescent="0.3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" hidden="1" x14ac:dyDescent="0.3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" hidden="1" x14ac:dyDescent="0.3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" hidden="1" x14ac:dyDescent="0.3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" hidden="1" x14ac:dyDescent="0.3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" hidden="1" x14ac:dyDescent="0.3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" hidden="1" x14ac:dyDescent="0.3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" hidden="1" x14ac:dyDescent="0.3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" hidden="1" x14ac:dyDescent="0.3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" hidden="1" x14ac:dyDescent="0.3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" hidden="1" x14ac:dyDescent="0.3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" hidden="1" x14ac:dyDescent="0.3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" hidden="1" x14ac:dyDescent="0.3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" hidden="1" x14ac:dyDescent="0.3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" hidden="1" x14ac:dyDescent="0.3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" hidden="1" x14ac:dyDescent="0.3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" hidden="1" x14ac:dyDescent="0.3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" hidden="1" x14ac:dyDescent="0.3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" hidden="1" x14ac:dyDescent="0.3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" hidden="1" x14ac:dyDescent="0.3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" hidden="1" x14ac:dyDescent="0.3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" hidden="1" x14ac:dyDescent="0.3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" hidden="1" x14ac:dyDescent="0.3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" hidden="1" x14ac:dyDescent="0.3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" hidden="1" x14ac:dyDescent="0.3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" hidden="1" x14ac:dyDescent="0.3">
      <c r="A1499" s="153" t="str">
        <f ca="1">IF(E1499="","",IF(B1499="",YEAR(TODAY()),B1499)&amp;"-"&amp;TEXT(COUNTIF($B$2:B1499,IF(B1499="",YEAR(TODAY()),B1499))+COUNTIFS($E$2:E1499,"&lt;&gt;",$B$2:B1499,""),"000"))</f>
        <v/>
      </c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" hidden="1" x14ac:dyDescent="0.3">
      <c r="A1500" s="153" t="str">
        <f ca="1">IF(E1500="","",IF(B1500="",YEAR(TODAY()),B1500)&amp;"-"&amp;TEXT(COUNTIF($B$2:B1500,IF(B1500="",YEAR(TODAY()),B1500))+COUNTIFS($E$2:E1500,"&lt;&gt;",$B$2:B1500,""),"000"))</f>
        <v/>
      </c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" hidden="1" x14ac:dyDescent="0.3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" hidden="1" x14ac:dyDescent="0.3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" hidden="1" x14ac:dyDescent="0.3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" hidden="1" x14ac:dyDescent="0.3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" hidden="1" x14ac:dyDescent="0.3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" hidden="1" x14ac:dyDescent="0.3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" hidden="1" x14ac:dyDescent="0.3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" hidden="1" x14ac:dyDescent="0.3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" hidden="1" x14ac:dyDescent="0.3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" hidden="1" x14ac:dyDescent="0.3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" hidden="1" x14ac:dyDescent="0.3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" hidden="1" x14ac:dyDescent="0.3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" hidden="1" x14ac:dyDescent="0.3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" hidden="1" x14ac:dyDescent="0.3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" hidden="1" x14ac:dyDescent="0.3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" hidden="1" x14ac:dyDescent="0.3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" hidden="1" x14ac:dyDescent="0.3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" hidden="1" x14ac:dyDescent="0.3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" hidden="1" x14ac:dyDescent="0.3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" hidden="1" x14ac:dyDescent="0.3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" hidden="1" x14ac:dyDescent="0.3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" hidden="1" x14ac:dyDescent="0.3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" hidden="1" x14ac:dyDescent="0.3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" hidden="1" x14ac:dyDescent="0.3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" hidden="1" x14ac:dyDescent="0.3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" hidden="1" x14ac:dyDescent="0.3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" hidden="1" x14ac:dyDescent="0.3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" hidden="1" x14ac:dyDescent="0.3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" hidden="1" x14ac:dyDescent="0.3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" hidden="1" x14ac:dyDescent="0.3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" hidden="1" x14ac:dyDescent="0.3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" hidden="1" x14ac:dyDescent="0.3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" hidden="1" x14ac:dyDescent="0.3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" hidden="1" x14ac:dyDescent="0.3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" hidden="1" x14ac:dyDescent="0.3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" hidden="1" x14ac:dyDescent="0.3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" hidden="1" x14ac:dyDescent="0.3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" hidden="1" x14ac:dyDescent="0.3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" hidden="1" x14ac:dyDescent="0.3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" hidden="1" x14ac:dyDescent="0.3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" hidden="1" x14ac:dyDescent="0.3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" hidden="1" x14ac:dyDescent="0.3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" hidden="1" x14ac:dyDescent="0.3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" hidden="1" x14ac:dyDescent="0.3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" hidden="1" x14ac:dyDescent="0.3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" hidden="1" x14ac:dyDescent="0.3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" hidden="1" x14ac:dyDescent="0.3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" hidden="1" x14ac:dyDescent="0.3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" hidden="1" x14ac:dyDescent="0.3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" hidden="1" x14ac:dyDescent="0.3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" hidden="1" x14ac:dyDescent="0.3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" hidden="1" x14ac:dyDescent="0.3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" hidden="1" x14ac:dyDescent="0.3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" hidden="1" x14ac:dyDescent="0.3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" hidden="1" x14ac:dyDescent="0.3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" hidden="1" x14ac:dyDescent="0.3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" hidden="1" x14ac:dyDescent="0.3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" hidden="1" x14ac:dyDescent="0.3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" hidden="1" x14ac:dyDescent="0.3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" hidden="1" x14ac:dyDescent="0.3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" hidden="1" x14ac:dyDescent="0.3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" hidden="1" x14ac:dyDescent="0.3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" hidden="1" x14ac:dyDescent="0.3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" hidden="1" x14ac:dyDescent="0.3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" hidden="1" x14ac:dyDescent="0.3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" hidden="1" x14ac:dyDescent="0.3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" hidden="1" x14ac:dyDescent="0.3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" hidden="1" x14ac:dyDescent="0.3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" hidden="1" x14ac:dyDescent="0.3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" hidden="1" x14ac:dyDescent="0.3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" hidden="1" x14ac:dyDescent="0.3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" hidden="1" x14ac:dyDescent="0.3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" hidden="1" x14ac:dyDescent="0.3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" hidden="1" x14ac:dyDescent="0.3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" hidden="1" x14ac:dyDescent="0.3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" hidden="1" x14ac:dyDescent="0.3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" hidden="1" x14ac:dyDescent="0.3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" hidden="1" x14ac:dyDescent="0.3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" hidden="1" x14ac:dyDescent="0.3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" hidden="1" x14ac:dyDescent="0.3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" hidden="1" x14ac:dyDescent="0.3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" hidden="1" x14ac:dyDescent="0.3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" hidden="1" x14ac:dyDescent="0.3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" hidden="1" x14ac:dyDescent="0.3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" hidden="1" x14ac:dyDescent="0.3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" hidden="1" x14ac:dyDescent="0.3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" hidden="1" x14ac:dyDescent="0.3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" hidden="1" x14ac:dyDescent="0.3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" hidden="1" x14ac:dyDescent="0.3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" hidden="1" x14ac:dyDescent="0.3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" hidden="1" x14ac:dyDescent="0.3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" hidden="1" x14ac:dyDescent="0.3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" hidden="1" x14ac:dyDescent="0.3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" hidden="1" x14ac:dyDescent="0.3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" hidden="1" x14ac:dyDescent="0.3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" hidden="1" x14ac:dyDescent="0.3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" hidden="1" x14ac:dyDescent="0.3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" hidden="1" x14ac:dyDescent="0.3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" hidden="1" x14ac:dyDescent="0.3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" hidden="1" x14ac:dyDescent="0.3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" hidden="1" x14ac:dyDescent="0.3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" hidden="1" x14ac:dyDescent="0.3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" hidden="1" x14ac:dyDescent="0.3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" hidden="1" x14ac:dyDescent="0.3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" hidden="1" x14ac:dyDescent="0.3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" hidden="1" x14ac:dyDescent="0.3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" hidden="1" x14ac:dyDescent="0.3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" hidden="1" x14ac:dyDescent="0.3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" hidden="1" x14ac:dyDescent="0.3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" hidden="1" x14ac:dyDescent="0.3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" hidden="1" x14ac:dyDescent="0.3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" hidden="1" x14ac:dyDescent="0.3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" hidden="1" x14ac:dyDescent="0.3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" hidden="1" x14ac:dyDescent="0.3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" hidden="1" x14ac:dyDescent="0.3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" hidden="1" x14ac:dyDescent="0.3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" hidden="1" x14ac:dyDescent="0.3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" hidden="1" x14ac:dyDescent="0.3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" hidden="1" x14ac:dyDescent="0.3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" hidden="1" x14ac:dyDescent="0.3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" hidden="1" x14ac:dyDescent="0.3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" hidden="1" x14ac:dyDescent="0.3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" hidden="1" x14ac:dyDescent="0.3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" hidden="1" x14ac:dyDescent="0.3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" hidden="1" x14ac:dyDescent="0.3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" hidden="1" x14ac:dyDescent="0.3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" hidden="1" x14ac:dyDescent="0.3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" hidden="1" x14ac:dyDescent="0.3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" hidden="1" x14ac:dyDescent="0.3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" hidden="1" x14ac:dyDescent="0.3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" hidden="1" x14ac:dyDescent="0.3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" hidden="1" x14ac:dyDescent="0.3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" hidden="1" x14ac:dyDescent="0.3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" hidden="1" x14ac:dyDescent="0.3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" hidden="1" x14ac:dyDescent="0.3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" hidden="1" x14ac:dyDescent="0.3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" hidden="1" x14ac:dyDescent="0.3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" hidden="1" x14ac:dyDescent="0.3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" hidden="1" x14ac:dyDescent="0.3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" hidden="1" x14ac:dyDescent="0.3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" hidden="1" x14ac:dyDescent="0.3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" hidden="1" x14ac:dyDescent="0.3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" hidden="1" x14ac:dyDescent="0.3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" hidden="1" x14ac:dyDescent="0.3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" hidden="1" x14ac:dyDescent="0.3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" hidden="1" x14ac:dyDescent="0.3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" hidden="1" x14ac:dyDescent="0.3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" hidden="1" x14ac:dyDescent="0.3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" hidden="1" x14ac:dyDescent="0.3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" hidden="1" x14ac:dyDescent="0.3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" hidden="1" x14ac:dyDescent="0.3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" hidden="1" x14ac:dyDescent="0.3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" hidden="1" x14ac:dyDescent="0.3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" hidden="1" x14ac:dyDescent="0.3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" hidden="1" x14ac:dyDescent="0.3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" hidden="1" x14ac:dyDescent="0.3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" hidden="1" x14ac:dyDescent="0.3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" hidden="1" x14ac:dyDescent="0.3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" hidden="1" x14ac:dyDescent="0.3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" hidden="1" x14ac:dyDescent="0.3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" hidden="1" x14ac:dyDescent="0.3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" hidden="1" x14ac:dyDescent="0.3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" hidden="1" x14ac:dyDescent="0.3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" hidden="1" x14ac:dyDescent="0.3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" hidden="1" x14ac:dyDescent="0.3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" hidden="1" x14ac:dyDescent="0.3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" hidden="1" x14ac:dyDescent="0.3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" hidden="1" x14ac:dyDescent="0.3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" hidden="1" x14ac:dyDescent="0.3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" hidden="1" x14ac:dyDescent="0.3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" hidden="1" x14ac:dyDescent="0.3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" hidden="1" x14ac:dyDescent="0.3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" hidden="1" x14ac:dyDescent="0.3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" hidden="1" x14ac:dyDescent="0.3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" hidden="1" x14ac:dyDescent="0.3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" hidden="1" x14ac:dyDescent="0.3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" hidden="1" x14ac:dyDescent="0.3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" hidden="1" x14ac:dyDescent="0.3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" hidden="1" x14ac:dyDescent="0.3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" hidden="1" x14ac:dyDescent="0.3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" hidden="1" x14ac:dyDescent="0.3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" hidden="1" x14ac:dyDescent="0.3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" hidden="1" x14ac:dyDescent="0.3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" hidden="1" x14ac:dyDescent="0.3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" hidden="1" x14ac:dyDescent="0.3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" hidden="1" x14ac:dyDescent="0.3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" hidden="1" x14ac:dyDescent="0.3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" hidden="1" x14ac:dyDescent="0.3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" hidden="1" x14ac:dyDescent="0.3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" hidden="1" x14ac:dyDescent="0.3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" hidden="1" x14ac:dyDescent="0.3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" hidden="1" x14ac:dyDescent="0.3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" hidden="1" x14ac:dyDescent="0.3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" hidden="1" x14ac:dyDescent="0.3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" hidden="1" x14ac:dyDescent="0.3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" hidden="1" x14ac:dyDescent="0.3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" hidden="1" x14ac:dyDescent="0.3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" hidden="1" x14ac:dyDescent="0.3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" hidden="1" x14ac:dyDescent="0.3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" hidden="1" x14ac:dyDescent="0.3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" hidden="1" x14ac:dyDescent="0.3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" hidden="1" x14ac:dyDescent="0.3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" hidden="1" x14ac:dyDescent="0.3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" hidden="1" x14ac:dyDescent="0.3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" hidden="1" x14ac:dyDescent="0.3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" hidden="1" x14ac:dyDescent="0.3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" hidden="1" x14ac:dyDescent="0.3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" hidden="1" x14ac:dyDescent="0.3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" hidden="1" x14ac:dyDescent="0.3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" hidden="1" x14ac:dyDescent="0.3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" hidden="1" x14ac:dyDescent="0.3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" hidden="1" x14ac:dyDescent="0.3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" hidden="1" x14ac:dyDescent="0.3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" hidden="1" x14ac:dyDescent="0.3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" hidden="1" x14ac:dyDescent="0.3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" hidden="1" x14ac:dyDescent="0.3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" hidden="1" x14ac:dyDescent="0.3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" hidden="1" x14ac:dyDescent="0.3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" hidden="1" x14ac:dyDescent="0.3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" hidden="1" x14ac:dyDescent="0.3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" hidden="1" x14ac:dyDescent="0.3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" hidden="1" x14ac:dyDescent="0.3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" hidden="1" x14ac:dyDescent="0.3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" hidden="1" x14ac:dyDescent="0.3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" hidden="1" x14ac:dyDescent="0.3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" hidden="1" x14ac:dyDescent="0.3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" hidden="1" x14ac:dyDescent="0.3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" hidden="1" x14ac:dyDescent="0.3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" hidden="1" x14ac:dyDescent="0.3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" hidden="1" x14ac:dyDescent="0.3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" hidden="1" x14ac:dyDescent="0.3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" hidden="1" x14ac:dyDescent="0.3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" hidden="1" x14ac:dyDescent="0.3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" hidden="1" x14ac:dyDescent="0.3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" hidden="1" x14ac:dyDescent="0.3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" hidden="1" x14ac:dyDescent="0.3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" hidden="1" x14ac:dyDescent="0.3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" hidden="1" x14ac:dyDescent="0.3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" hidden="1" x14ac:dyDescent="0.3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" hidden="1" x14ac:dyDescent="0.3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" hidden="1" x14ac:dyDescent="0.3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" hidden="1" x14ac:dyDescent="0.3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" hidden="1" x14ac:dyDescent="0.3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" hidden="1" x14ac:dyDescent="0.3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" hidden="1" x14ac:dyDescent="0.3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" hidden="1" x14ac:dyDescent="0.3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" hidden="1" x14ac:dyDescent="0.3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" hidden="1" x14ac:dyDescent="0.3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" hidden="1" x14ac:dyDescent="0.3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" hidden="1" x14ac:dyDescent="0.3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" hidden="1" x14ac:dyDescent="0.3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" hidden="1" x14ac:dyDescent="0.3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" hidden="1" x14ac:dyDescent="0.3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" hidden="1" x14ac:dyDescent="0.3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" hidden="1" x14ac:dyDescent="0.3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" hidden="1" x14ac:dyDescent="0.3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" hidden="1" x14ac:dyDescent="0.3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" hidden="1" x14ac:dyDescent="0.3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" hidden="1" x14ac:dyDescent="0.3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" hidden="1" x14ac:dyDescent="0.3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" hidden="1" x14ac:dyDescent="0.3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" hidden="1" x14ac:dyDescent="0.3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" hidden="1" x14ac:dyDescent="0.3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" hidden="1" x14ac:dyDescent="0.3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" hidden="1" x14ac:dyDescent="0.3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" hidden="1" x14ac:dyDescent="0.3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" hidden="1" x14ac:dyDescent="0.3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" hidden="1" x14ac:dyDescent="0.3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" hidden="1" x14ac:dyDescent="0.3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" hidden="1" x14ac:dyDescent="0.3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" hidden="1" x14ac:dyDescent="0.3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" hidden="1" x14ac:dyDescent="0.3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" hidden="1" x14ac:dyDescent="0.3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" hidden="1" x14ac:dyDescent="0.3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" hidden="1" x14ac:dyDescent="0.3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" hidden="1" x14ac:dyDescent="0.3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" hidden="1" x14ac:dyDescent="0.3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" hidden="1" x14ac:dyDescent="0.3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" hidden="1" x14ac:dyDescent="0.3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" hidden="1" x14ac:dyDescent="0.3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" hidden="1" x14ac:dyDescent="0.3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" hidden="1" x14ac:dyDescent="0.3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" hidden="1" x14ac:dyDescent="0.3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" hidden="1" x14ac:dyDescent="0.3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" hidden="1" x14ac:dyDescent="0.3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" hidden="1" x14ac:dyDescent="0.3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" hidden="1" x14ac:dyDescent="0.3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" hidden="1" x14ac:dyDescent="0.3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" hidden="1" x14ac:dyDescent="0.3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" hidden="1" x14ac:dyDescent="0.3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" hidden="1" x14ac:dyDescent="0.3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" hidden="1" x14ac:dyDescent="0.3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" hidden="1" x14ac:dyDescent="0.3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" hidden="1" x14ac:dyDescent="0.3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" hidden="1" x14ac:dyDescent="0.3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" hidden="1" x14ac:dyDescent="0.3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" hidden="1" x14ac:dyDescent="0.3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" hidden="1" x14ac:dyDescent="0.3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" hidden="1" x14ac:dyDescent="0.3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" hidden="1" x14ac:dyDescent="0.3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" hidden="1" x14ac:dyDescent="0.3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" hidden="1" x14ac:dyDescent="0.3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" hidden="1" x14ac:dyDescent="0.3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" hidden="1" x14ac:dyDescent="0.3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" hidden="1" x14ac:dyDescent="0.3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" hidden="1" x14ac:dyDescent="0.3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" hidden="1" x14ac:dyDescent="0.3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" hidden="1" x14ac:dyDescent="0.3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" hidden="1" x14ac:dyDescent="0.3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" hidden="1" x14ac:dyDescent="0.3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" hidden="1" x14ac:dyDescent="0.3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" hidden="1" x14ac:dyDescent="0.3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" hidden="1" x14ac:dyDescent="0.3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" hidden="1" x14ac:dyDescent="0.3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" hidden="1" x14ac:dyDescent="0.3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" hidden="1" x14ac:dyDescent="0.3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" hidden="1" x14ac:dyDescent="0.3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" hidden="1" x14ac:dyDescent="0.3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" hidden="1" x14ac:dyDescent="0.3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" hidden="1" x14ac:dyDescent="0.3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" hidden="1" x14ac:dyDescent="0.3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" hidden="1" x14ac:dyDescent="0.3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" hidden="1" x14ac:dyDescent="0.3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" hidden="1" x14ac:dyDescent="0.3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" hidden="1" x14ac:dyDescent="0.3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" hidden="1" x14ac:dyDescent="0.3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" hidden="1" x14ac:dyDescent="0.3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" hidden="1" x14ac:dyDescent="0.3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" hidden="1" x14ac:dyDescent="0.3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" hidden="1" x14ac:dyDescent="0.3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" hidden="1" x14ac:dyDescent="0.3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" hidden="1" x14ac:dyDescent="0.3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" hidden="1" x14ac:dyDescent="0.3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" hidden="1" x14ac:dyDescent="0.3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" hidden="1" x14ac:dyDescent="0.3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" hidden="1" x14ac:dyDescent="0.3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" hidden="1" x14ac:dyDescent="0.3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" hidden="1" x14ac:dyDescent="0.3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" hidden="1" x14ac:dyDescent="0.3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" hidden="1" x14ac:dyDescent="0.3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" hidden="1" x14ac:dyDescent="0.3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" hidden="1" x14ac:dyDescent="0.3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" hidden="1" x14ac:dyDescent="0.3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" hidden="1" x14ac:dyDescent="0.3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" hidden="1" x14ac:dyDescent="0.3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" hidden="1" x14ac:dyDescent="0.3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" hidden="1" x14ac:dyDescent="0.3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" hidden="1" x14ac:dyDescent="0.3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" hidden="1" x14ac:dyDescent="0.3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" hidden="1" x14ac:dyDescent="0.3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" hidden="1" x14ac:dyDescent="0.3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" hidden="1" x14ac:dyDescent="0.3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" hidden="1" x14ac:dyDescent="0.3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" hidden="1" x14ac:dyDescent="0.3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" hidden="1" x14ac:dyDescent="0.3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" hidden="1" x14ac:dyDescent="0.3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" hidden="1" x14ac:dyDescent="0.3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" hidden="1" x14ac:dyDescent="0.3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" hidden="1" x14ac:dyDescent="0.3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" hidden="1" x14ac:dyDescent="0.3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" hidden="1" x14ac:dyDescent="0.3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" hidden="1" x14ac:dyDescent="0.3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" hidden="1" x14ac:dyDescent="0.3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" hidden="1" x14ac:dyDescent="0.3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" hidden="1" x14ac:dyDescent="0.3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" hidden="1" x14ac:dyDescent="0.3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" hidden="1" x14ac:dyDescent="0.3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" hidden="1" x14ac:dyDescent="0.3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" hidden="1" x14ac:dyDescent="0.3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" hidden="1" x14ac:dyDescent="0.3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" hidden="1" x14ac:dyDescent="0.3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" hidden="1" x14ac:dyDescent="0.3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" hidden="1" x14ac:dyDescent="0.3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" hidden="1" x14ac:dyDescent="0.3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" hidden="1" x14ac:dyDescent="0.3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" hidden="1" x14ac:dyDescent="0.3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" hidden="1" x14ac:dyDescent="0.3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" hidden="1" x14ac:dyDescent="0.3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" hidden="1" x14ac:dyDescent="0.3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" hidden="1" x14ac:dyDescent="0.3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" hidden="1" x14ac:dyDescent="0.3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" hidden="1" x14ac:dyDescent="0.3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" hidden="1" x14ac:dyDescent="0.3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" hidden="1" x14ac:dyDescent="0.3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" hidden="1" x14ac:dyDescent="0.3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" hidden="1" x14ac:dyDescent="0.3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" hidden="1" x14ac:dyDescent="0.3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" hidden="1" x14ac:dyDescent="0.3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" hidden="1" x14ac:dyDescent="0.3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" hidden="1" x14ac:dyDescent="0.3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" hidden="1" x14ac:dyDescent="0.3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" hidden="1" x14ac:dyDescent="0.3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" hidden="1" x14ac:dyDescent="0.3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" hidden="1" x14ac:dyDescent="0.3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" hidden="1" x14ac:dyDescent="0.3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" hidden="1" x14ac:dyDescent="0.3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" hidden="1" x14ac:dyDescent="0.3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" hidden="1" x14ac:dyDescent="0.3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" hidden="1" x14ac:dyDescent="0.3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" hidden="1" x14ac:dyDescent="0.3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" hidden="1" x14ac:dyDescent="0.3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" hidden="1" x14ac:dyDescent="0.3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" hidden="1" x14ac:dyDescent="0.3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" hidden="1" x14ac:dyDescent="0.3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" hidden="1" x14ac:dyDescent="0.3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" hidden="1" x14ac:dyDescent="0.3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" hidden="1" x14ac:dyDescent="0.3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" hidden="1" x14ac:dyDescent="0.3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" hidden="1" x14ac:dyDescent="0.3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" hidden="1" x14ac:dyDescent="0.3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" hidden="1" x14ac:dyDescent="0.3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" hidden="1" x14ac:dyDescent="0.3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" hidden="1" x14ac:dyDescent="0.3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" hidden="1" x14ac:dyDescent="0.3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" hidden="1" x14ac:dyDescent="0.3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" hidden="1" x14ac:dyDescent="0.3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" hidden="1" x14ac:dyDescent="0.3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" hidden="1" x14ac:dyDescent="0.3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" hidden="1" x14ac:dyDescent="0.3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" hidden="1" x14ac:dyDescent="0.3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" hidden="1" x14ac:dyDescent="0.3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" hidden="1" x14ac:dyDescent="0.3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" hidden="1" x14ac:dyDescent="0.3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" hidden="1" x14ac:dyDescent="0.3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" hidden="1" x14ac:dyDescent="0.3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" hidden="1" x14ac:dyDescent="0.3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" hidden="1" x14ac:dyDescent="0.3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" hidden="1" x14ac:dyDescent="0.3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" hidden="1" x14ac:dyDescent="0.3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" hidden="1" x14ac:dyDescent="0.3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" hidden="1" x14ac:dyDescent="0.3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" hidden="1" x14ac:dyDescent="0.3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" hidden="1" x14ac:dyDescent="0.3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" hidden="1" x14ac:dyDescent="0.3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" hidden="1" x14ac:dyDescent="0.3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" hidden="1" x14ac:dyDescent="0.3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" hidden="1" x14ac:dyDescent="0.3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" hidden="1" x14ac:dyDescent="0.3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" hidden="1" x14ac:dyDescent="0.3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" hidden="1" x14ac:dyDescent="0.3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" hidden="1" x14ac:dyDescent="0.3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" hidden="1" x14ac:dyDescent="0.3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" hidden="1" x14ac:dyDescent="0.3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" hidden="1" x14ac:dyDescent="0.3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" hidden="1" x14ac:dyDescent="0.3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" hidden="1" x14ac:dyDescent="0.3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" hidden="1" x14ac:dyDescent="0.3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" hidden="1" x14ac:dyDescent="0.3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" hidden="1" x14ac:dyDescent="0.3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" hidden="1" x14ac:dyDescent="0.3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" hidden="1" x14ac:dyDescent="0.3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" hidden="1" x14ac:dyDescent="0.3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" hidden="1" x14ac:dyDescent="0.3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" hidden="1" x14ac:dyDescent="0.3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" hidden="1" x14ac:dyDescent="0.3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" hidden="1" x14ac:dyDescent="0.3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" hidden="1" x14ac:dyDescent="0.3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" hidden="1" x14ac:dyDescent="0.3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" hidden="1" x14ac:dyDescent="0.3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" hidden="1" x14ac:dyDescent="0.3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" hidden="1" x14ac:dyDescent="0.3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" hidden="1" x14ac:dyDescent="0.3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" hidden="1" x14ac:dyDescent="0.3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" hidden="1" x14ac:dyDescent="0.3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" hidden="1" x14ac:dyDescent="0.3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" hidden="1" x14ac:dyDescent="0.3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" hidden="1" x14ac:dyDescent="0.3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" hidden="1" x14ac:dyDescent="0.3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" hidden="1" x14ac:dyDescent="0.3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" hidden="1" x14ac:dyDescent="0.3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" hidden="1" x14ac:dyDescent="0.3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" hidden="1" x14ac:dyDescent="0.3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" hidden="1" x14ac:dyDescent="0.3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" hidden="1" x14ac:dyDescent="0.3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" hidden="1" x14ac:dyDescent="0.3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" hidden="1" x14ac:dyDescent="0.3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" hidden="1" x14ac:dyDescent="0.3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" hidden="1" x14ac:dyDescent="0.3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" hidden="1" x14ac:dyDescent="0.3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" hidden="1" x14ac:dyDescent="0.3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" hidden="1" x14ac:dyDescent="0.3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" hidden="1" x14ac:dyDescent="0.3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" hidden="1" x14ac:dyDescent="0.3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" hidden="1" x14ac:dyDescent="0.3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" hidden="1" x14ac:dyDescent="0.3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" hidden="1" x14ac:dyDescent="0.3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" hidden="1" x14ac:dyDescent="0.3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" hidden="1" x14ac:dyDescent="0.3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" hidden="1" x14ac:dyDescent="0.3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" hidden="1" x14ac:dyDescent="0.3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" hidden="1" x14ac:dyDescent="0.3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" hidden="1" x14ac:dyDescent="0.3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" hidden="1" x14ac:dyDescent="0.3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" hidden="1" x14ac:dyDescent="0.3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" hidden="1" x14ac:dyDescent="0.3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" hidden="1" x14ac:dyDescent="0.3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" hidden="1" x14ac:dyDescent="0.3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" hidden="1" x14ac:dyDescent="0.3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" hidden="1" x14ac:dyDescent="0.3">
      <c r="A1999" s="155"/>
      <c r="B1999" s="153"/>
      <c r="C1999" s="153"/>
      <c r="D1999" s="153"/>
      <c r="E1999" s="158"/>
      <c r="F1999" s="169"/>
      <c r="G1999" s="154"/>
      <c r="H1999" s="155"/>
      <c r="I1999" s="189"/>
      <c r="J1999" s="189"/>
      <c r="K1999" s="153"/>
      <c r="L1999" s="159"/>
      <c r="M1999" s="181"/>
      <c r="N1999" s="157"/>
      <c r="O1999" s="157"/>
      <c r="P1999" s="157"/>
      <c r="Q1999" s="157"/>
      <c r="R1999" s="157"/>
      <c r="S1999" s="153"/>
      <c r="T1999" s="154"/>
      <c r="U1999" s="210"/>
    </row>
    <row r="2000" spans="1:21" ht="14.4" hidden="1" x14ac:dyDescent="0.3">
      <c r="A2000" s="155"/>
      <c r="B2000" s="153"/>
      <c r="C2000" s="153"/>
      <c r="D2000" s="153"/>
      <c r="E2000" s="158"/>
      <c r="F2000" s="169"/>
      <c r="G2000" s="154"/>
      <c r="H2000" s="155"/>
      <c r="I2000" s="189"/>
      <c r="J2000" s="189"/>
      <c r="K2000" s="153"/>
      <c r="L2000" s="159"/>
      <c r="M2000" s="181"/>
      <c r="N2000" s="157"/>
      <c r="O2000" s="157"/>
      <c r="P2000" s="157"/>
      <c r="Q2000" s="157"/>
      <c r="R2000" s="157"/>
      <c r="S2000" s="153"/>
      <c r="T2000" s="154"/>
      <c r="U2000" s="210"/>
    </row>
    <row r="2001" spans="1:21" ht="14.4" hidden="1" x14ac:dyDescent="0.3">
      <c r="A2001" s="164"/>
      <c r="B2001" s="193"/>
      <c r="C2001" s="193"/>
      <c r="D2001" s="193"/>
      <c r="E2001" s="199"/>
      <c r="F2001" s="201"/>
      <c r="G2001" s="194"/>
      <c r="H2001" s="164"/>
      <c r="I2001" s="195"/>
      <c r="J2001" s="195"/>
      <c r="K2001" s="193"/>
      <c r="L2001" s="196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14.4" hidden="1" x14ac:dyDescent="0.3">
      <c r="A2002" s="155"/>
      <c r="B2002" s="202"/>
      <c r="C2002" s="193"/>
      <c r="D2002" s="193"/>
      <c r="E2002" s="158"/>
      <c r="F2002" s="201"/>
      <c r="G2002" s="194"/>
      <c r="H2002" s="164"/>
      <c r="I2002" s="195"/>
      <c r="J2002" s="195"/>
      <c r="K2002" s="203"/>
      <c r="L2002" s="204"/>
      <c r="M2002" s="197"/>
      <c r="N2002" s="198"/>
      <c r="O2002" s="198"/>
      <c r="P2002" s="198"/>
      <c r="Q2002" s="198"/>
      <c r="R2002" s="198"/>
      <c r="S2002" s="193"/>
      <c r="T2002" s="194"/>
      <c r="U2002" s="210"/>
    </row>
    <row r="2003" spans="1:21" ht="14.4" hidden="1" x14ac:dyDescent="0.3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 x14ac:dyDescent="0.3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 x14ac:dyDescent="0.3">
      <c r="A2005" s="155"/>
      <c r="B2005" s="202"/>
      <c r="C2005" s="193"/>
      <c r="D2005" s="193"/>
      <c r="E2005" s="158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0"/>
    </row>
    <row r="2006" spans="1:21" ht="22.5" hidden="1" customHeight="1" x14ac:dyDescent="0.3">
      <c r="A2006" s="155"/>
      <c r="B2006" s="205"/>
      <c r="C2006" s="153"/>
      <c r="D2006" s="153"/>
      <c r="E2006" s="158"/>
      <c r="F2006" s="169"/>
      <c r="G2006" s="154"/>
      <c r="H2006" s="155"/>
      <c r="I2006" s="189"/>
      <c r="J2006" s="189"/>
      <c r="K2006" s="206"/>
      <c r="L2006" s="207"/>
      <c r="M2006" s="181"/>
      <c r="N2006" s="157"/>
      <c r="O2006" s="157"/>
      <c r="P2006" s="157"/>
      <c r="Q2006" s="157"/>
      <c r="R2006" s="157"/>
      <c r="S2006" s="153"/>
      <c r="T2006" s="154"/>
      <c r="U2006" s="210"/>
    </row>
    <row r="2007" spans="1:21" ht="22.5" hidden="1" customHeight="1" x14ac:dyDescent="0.3">
      <c r="A2007" s="198"/>
      <c r="B2007" s="202"/>
      <c r="C2007" s="193"/>
      <c r="D2007" s="193"/>
      <c r="E2007" s="199"/>
      <c r="F2007" s="201"/>
      <c r="G2007" s="194"/>
      <c r="H2007" s="164"/>
      <c r="I2007" s="195"/>
      <c r="J2007" s="195"/>
      <c r="K2007" s="203"/>
      <c r="L2007" s="204"/>
      <c r="M2007" s="197"/>
      <c r="N2007" s="198"/>
      <c r="O2007" s="198"/>
      <c r="P2007" s="198"/>
      <c r="Q2007" s="198"/>
      <c r="R2007" s="198"/>
      <c r="S2007" s="193"/>
      <c r="T2007" s="194"/>
      <c r="U2007" s="213"/>
    </row>
    <row r="2009" spans="1:21" ht="22.5" customHeight="1" x14ac:dyDescent="0.3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60" priority="3">
      <formula>TRIM(C2)="Realizado"</formula>
    </cfRule>
  </conditionalFormatting>
  <conditionalFormatting sqref="C2:C2007">
    <cfRule type="expression" dxfId="59" priority="4">
      <formula>TRIM(C2)="Cancelado"</formula>
    </cfRule>
  </conditionalFormatting>
  <conditionalFormatting sqref="C2:C2007">
    <cfRule type="expression" dxfId="58" priority="5">
      <formula>TRIM(C2)="Em andamento"</formula>
    </cfRule>
  </conditionalFormatting>
  <conditionalFormatting sqref="C2:C2007">
    <cfRule type="expression" dxfId="57" priority="6">
      <formula>TRIM(C2)="Adiado"</formula>
    </cfRule>
  </conditionalFormatting>
  <conditionalFormatting sqref="A2:A2007">
    <cfRule type="expression" dxfId="56" priority="7">
      <formula>AND($B2&lt;&gt;"",$A2="")</formula>
    </cfRule>
  </conditionalFormatting>
  <conditionalFormatting sqref="L2:M2007">
    <cfRule type="expression" dxfId="55" priority="8">
      <formula>L2=""</formula>
    </cfRule>
  </conditionalFormatting>
  <conditionalFormatting sqref="A2002:A2006 E2007 A714:S715 A2:T713 A716:T2001">
    <cfRule type="expression" dxfId="1" priority="9">
      <formula>MOD(ROW(),2)=0</formula>
    </cfRule>
  </conditionalFormatting>
  <conditionalFormatting sqref="A2002:A2006 E2007 A714:S715 A2:T713 A716:T2001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4.4" x14ac:dyDescent="0.3"/>
  <cols>
    <col min="1" max="1" width="7.5546875" customWidth="1"/>
    <col min="2" max="2" width="49.5546875" customWidth="1"/>
    <col min="3" max="3" width="22.88671875" customWidth="1"/>
    <col min="4" max="4" width="10.44140625" customWidth="1"/>
  </cols>
  <sheetData>
    <row r="1" spans="1:8" ht="18" x14ac:dyDescent="0.35">
      <c r="A1" s="104" t="s">
        <v>3061</v>
      </c>
      <c r="H1" s="167" t="s">
        <v>3062</v>
      </c>
    </row>
    <row r="2" spans="1:8" x14ac:dyDescent="0.3">
      <c r="H2" s="166" t="s">
        <v>3063</v>
      </c>
    </row>
    <row r="3" spans="1:8" x14ac:dyDescent="0.3">
      <c r="A3" t="s">
        <v>0</v>
      </c>
      <c r="B3" t="s">
        <v>19</v>
      </c>
      <c r="C3" t="s">
        <v>3064</v>
      </c>
      <c r="D3" t="s">
        <v>3065</v>
      </c>
      <c r="E3" t="s">
        <v>3066</v>
      </c>
      <c r="H3" s="166" t="s">
        <v>3067</v>
      </c>
    </row>
    <row r="4" spans="1:8" x14ac:dyDescent="0.3">
      <c r="A4">
        <v>1</v>
      </c>
      <c r="B4" t="s">
        <v>3068</v>
      </c>
      <c r="D4" t="s">
        <v>3069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3070</v>
      </c>
    </row>
    <row r="5" spans="1:8" x14ac:dyDescent="0.3">
      <c r="A5">
        <v>2</v>
      </c>
      <c r="B5" t="s">
        <v>2508</v>
      </c>
      <c r="D5" t="s">
        <v>3069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3071</v>
      </c>
    </row>
    <row r="6" spans="1:8" x14ac:dyDescent="0.3">
      <c r="A6">
        <v>3</v>
      </c>
      <c r="B6" t="s">
        <v>1031</v>
      </c>
      <c r="D6" t="s">
        <v>3069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3">
      <c r="A7">
        <v>4</v>
      </c>
      <c r="B7" t="s">
        <v>3072</v>
      </c>
      <c r="D7" t="s">
        <v>3069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3073</v>
      </c>
    </row>
    <row r="8" spans="1:8" x14ac:dyDescent="0.3">
      <c r="A8">
        <v>5</v>
      </c>
      <c r="B8" t="s">
        <v>3074</v>
      </c>
      <c r="D8" t="s">
        <v>3069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3">
      <c r="A9">
        <v>6</v>
      </c>
      <c r="B9" t="s">
        <v>2318</v>
      </c>
      <c r="D9" t="s">
        <v>3069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3">
      <c r="A10">
        <v>7</v>
      </c>
      <c r="B10" t="s">
        <v>2417</v>
      </c>
      <c r="D10" t="s">
        <v>3069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3">
      <c r="A11">
        <v>8</v>
      </c>
      <c r="B11" t="s">
        <v>2479</v>
      </c>
      <c r="D11" t="s">
        <v>3069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3">
      <c r="A12">
        <v>10</v>
      </c>
      <c r="B12" t="s">
        <v>2832</v>
      </c>
      <c r="D12" t="s">
        <v>3069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3">
      <c r="A13">
        <v>11</v>
      </c>
      <c r="B13" t="s">
        <v>2282</v>
      </c>
      <c r="D13" t="s">
        <v>3069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3">
      <c r="A14">
        <v>12</v>
      </c>
      <c r="B14" t="s">
        <v>2378</v>
      </c>
      <c r="D14" t="s">
        <v>3069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3">
      <c r="A15">
        <v>13</v>
      </c>
      <c r="B15" t="s">
        <v>2805</v>
      </c>
      <c r="D15" t="s">
        <v>3069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3">
      <c r="A16">
        <v>14</v>
      </c>
      <c r="B16" t="s">
        <v>1910</v>
      </c>
      <c r="D16" t="s">
        <v>3069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3">
      <c r="A17">
        <v>15</v>
      </c>
      <c r="B17" t="s">
        <v>579</v>
      </c>
      <c r="D17" t="s">
        <v>3069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3">
      <c r="A18">
        <v>16</v>
      </c>
      <c r="B18" t="s">
        <v>1959</v>
      </c>
      <c r="D18" t="s">
        <v>3069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3">
      <c r="A19">
        <v>17</v>
      </c>
      <c r="B19" t="s">
        <v>1793</v>
      </c>
      <c r="D19" t="s">
        <v>3069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3">
      <c r="A20">
        <v>18</v>
      </c>
      <c r="B20" t="s">
        <v>2123</v>
      </c>
      <c r="D20" t="s">
        <v>3069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3">
      <c r="A21">
        <v>19</v>
      </c>
      <c r="B21" t="s">
        <v>1351</v>
      </c>
      <c r="D21" t="s">
        <v>3069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3">
      <c r="A22">
        <v>20</v>
      </c>
      <c r="B22" t="s">
        <v>2263</v>
      </c>
      <c r="D22" t="s">
        <v>3069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3">
      <c r="A23">
        <v>21</v>
      </c>
      <c r="B23" t="s">
        <v>3075</v>
      </c>
      <c r="D23" t="s">
        <v>3069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3">
      <c r="A24">
        <v>22</v>
      </c>
      <c r="B24" t="s">
        <v>592</v>
      </c>
      <c r="D24" t="s">
        <v>3069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3">
      <c r="A25">
        <v>23</v>
      </c>
      <c r="B25" t="s">
        <v>3076</v>
      </c>
      <c r="D25" t="s">
        <v>3069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3">
      <c r="A26">
        <v>24</v>
      </c>
      <c r="B26" t="s">
        <v>3077</v>
      </c>
      <c r="D26" t="s">
        <v>3069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3">
      <c r="A27">
        <v>25</v>
      </c>
      <c r="B27" t="s">
        <v>480</v>
      </c>
      <c r="D27" t="s">
        <v>3069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3">
      <c r="A28">
        <v>26</v>
      </c>
      <c r="B28" t="s">
        <v>77</v>
      </c>
      <c r="D28" t="s">
        <v>3069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3">
      <c r="A29">
        <v>27</v>
      </c>
      <c r="B29" t="s">
        <v>3078</v>
      </c>
      <c r="D29" t="s">
        <v>3069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3">
      <c r="A30">
        <v>28</v>
      </c>
      <c r="B30" t="s">
        <v>2110</v>
      </c>
      <c r="D30" t="s">
        <v>3069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3">
      <c r="A31">
        <v>29</v>
      </c>
      <c r="B31" t="s">
        <v>2258</v>
      </c>
      <c r="D31" t="s">
        <v>3069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3">
      <c r="A32">
        <v>30</v>
      </c>
      <c r="B32" t="s">
        <v>2513</v>
      </c>
      <c r="D32" t="s">
        <v>3069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3">
      <c r="A33">
        <v>31</v>
      </c>
      <c r="B33" t="s">
        <v>3079</v>
      </c>
      <c r="D33" t="s">
        <v>3069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3">
      <c r="A34">
        <v>32</v>
      </c>
      <c r="B34" t="s">
        <v>3080</v>
      </c>
      <c r="D34" t="s">
        <v>3069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3">
      <c r="A35">
        <v>33</v>
      </c>
      <c r="B35" t="s">
        <v>1375</v>
      </c>
      <c r="D35" t="s">
        <v>3069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3">
      <c r="A36">
        <v>34</v>
      </c>
      <c r="B36" t="s">
        <v>1480</v>
      </c>
      <c r="D36" t="s">
        <v>3069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3">
      <c r="A37">
        <v>35</v>
      </c>
      <c r="B37" t="s">
        <v>557</v>
      </c>
      <c r="D37" t="s">
        <v>3069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3">
      <c r="A38">
        <v>36</v>
      </c>
      <c r="B38" t="s">
        <v>3081</v>
      </c>
      <c r="D38" t="s">
        <v>3069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3">
      <c r="A39">
        <v>38</v>
      </c>
      <c r="B39" t="s">
        <v>3082</v>
      </c>
      <c r="D39" t="s">
        <v>3069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3">
      <c r="A40">
        <v>39</v>
      </c>
      <c r="B40" t="s">
        <v>2583</v>
      </c>
      <c r="D40" t="s">
        <v>3069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3">
      <c r="A41">
        <v>40</v>
      </c>
      <c r="B41" t="s">
        <v>3083</v>
      </c>
      <c r="D41" t="s">
        <v>3069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3">
      <c r="A42">
        <v>41</v>
      </c>
      <c r="B42" t="s">
        <v>863</v>
      </c>
      <c r="D42" t="s">
        <v>3069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3">
      <c r="A43">
        <v>42</v>
      </c>
      <c r="B43" t="s">
        <v>718</v>
      </c>
      <c r="D43" t="s">
        <v>3069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3">
      <c r="A44">
        <v>43</v>
      </c>
      <c r="B44" t="s">
        <v>3084</v>
      </c>
      <c r="D44" t="s">
        <v>3069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3">
      <c r="A45">
        <v>44</v>
      </c>
      <c r="B45" t="s">
        <v>2162</v>
      </c>
      <c r="D45" t="s">
        <v>3069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3">
      <c r="A46">
        <v>45</v>
      </c>
      <c r="B46" t="s">
        <v>219</v>
      </c>
      <c r="D46" t="s">
        <v>3069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3">
      <c r="A47">
        <v>46</v>
      </c>
      <c r="B47" t="s">
        <v>974</v>
      </c>
      <c r="D47" t="s">
        <v>3069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3">
      <c r="A48">
        <v>47</v>
      </c>
      <c r="B48" t="s">
        <v>1408</v>
      </c>
      <c r="D48" t="s">
        <v>3069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3">
      <c r="A49">
        <v>48</v>
      </c>
      <c r="B49" t="s">
        <v>3085</v>
      </c>
      <c r="D49" t="s">
        <v>3069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3">
      <c r="A50">
        <v>49</v>
      </c>
      <c r="B50" t="s">
        <v>2720</v>
      </c>
      <c r="D50" t="s">
        <v>3069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3">
      <c r="A51">
        <v>50</v>
      </c>
      <c r="B51" t="s">
        <v>3086</v>
      </c>
      <c r="D51" t="s">
        <v>3069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3">
      <c r="A52">
        <v>51</v>
      </c>
      <c r="B52" t="s">
        <v>1063</v>
      </c>
      <c r="D52" t="s">
        <v>3069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3">
      <c r="A53">
        <v>52</v>
      </c>
      <c r="B53" t="s">
        <v>1760</v>
      </c>
      <c r="D53" t="s">
        <v>3069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3">
      <c r="A54">
        <v>53</v>
      </c>
      <c r="B54" t="s">
        <v>3087</v>
      </c>
      <c r="D54" t="s">
        <v>3069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3">
      <c r="A55">
        <v>54</v>
      </c>
      <c r="B55" t="s">
        <v>82</v>
      </c>
      <c r="D55" t="s">
        <v>3069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3">
      <c r="A56">
        <v>55</v>
      </c>
      <c r="B56" t="s">
        <v>1104</v>
      </c>
      <c r="D56" t="s">
        <v>3069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3">
      <c r="A57">
        <v>56</v>
      </c>
      <c r="B57" t="s">
        <v>2056</v>
      </c>
      <c r="D57" t="s">
        <v>3069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3">
      <c r="A58">
        <v>58</v>
      </c>
      <c r="B58" t="s">
        <v>3088</v>
      </c>
      <c r="D58" t="s">
        <v>3069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3">
      <c r="A59">
        <v>59</v>
      </c>
      <c r="B59" t="s">
        <v>2090</v>
      </c>
      <c r="D59" t="s">
        <v>3069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3">
      <c r="A60">
        <v>60</v>
      </c>
      <c r="B60" t="s">
        <v>2022</v>
      </c>
      <c r="D60" t="s">
        <v>3069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3">
      <c r="A61">
        <v>61</v>
      </c>
      <c r="B61" t="s">
        <v>3089</v>
      </c>
      <c r="D61" t="s">
        <v>3069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3">
      <c r="A62">
        <v>62</v>
      </c>
      <c r="B62" t="s">
        <v>3090</v>
      </c>
      <c r="D62" t="s">
        <v>3069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3">
      <c r="A63">
        <v>63</v>
      </c>
      <c r="B63" t="s">
        <v>3091</v>
      </c>
      <c r="D63" t="s">
        <v>3069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3">
      <c r="A64">
        <v>64</v>
      </c>
      <c r="B64" t="s">
        <v>3092</v>
      </c>
      <c r="D64" t="s">
        <v>3069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3">
      <c r="A65">
        <v>65</v>
      </c>
      <c r="B65" t="s">
        <v>2795</v>
      </c>
      <c r="D65" t="s">
        <v>3069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3">
      <c r="A66">
        <v>66</v>
      </c>
      <c r="B66" t="s">
        <v>2557</v>
      </c>
      <c r="D66" t="s">
        <v>3069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3">
      <c r="A67">
        <v>67</v>
      </c>
      <c r="B67" t="s">
        <v>3093</v>
      </c>
      <c r="D67" t="s">
        <v>3069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3">
      <c r="A68">
        <v>68</v>
      </c>
      <c r="B68" t="s">
        <v>3094</v>
      </c>
      <c r="D68" t="s">
        <v>3069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3">
      <c r="A69">
        <v>69</v>
      </c>
      <c r="B69" t="s">
        <v>2458</v>
      </c>
      <c r="D69" t="s">
        <v>3069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3">
      <c r="A70">
        <v>70</v>
      </c>
      <c r="B70" t="s">
        <v>3095</v>
      </c>
      <c r="D70" t="s">
        <v>3069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3">
      <c r="A71">
        <v>71</v>
      </c>
      <c r="B71" t="s">
        <v>2670</v>
      </c>
      <c r="D71" t="s">
        <v>3069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3">
      <c r="A72">
        <v>72</v>
      </c>
      <c r="B72" t="s">
        <v>2323</v>
      </c>
      <c r="D72" t="s">
        <v>3069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3">
      <c r="A73">
        <v>73</v>
      </c>
      <c r="B73" t="s">
        <v>2302</v>
      </c>
      <c r="D73" t="s">
        <v>3069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3">
      <c r="A74">
        <v>74</v>
      </c>
      <c r="B74" t="s">
        <v>3096</v>
      </c>
      <c r="D74" t="s">
        <v>3069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3">
      <c r="A75">
        <v>75</v>
      </c>
      <c r="B75" t="s">
        <v>116</v>
      </c>
      <c r="D75" t="s">
        <v>3069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3">
      <c r="A76">
        <v>76</v>
      </c>
      <c r="B76" t="s">
        <v>943</v>
      </c>
      <c r="D76" t="s">
        <v>3069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3">
      <c r="A77">
        <v>77</v>
      </c>
      <c r="B77" t="s">
        <v>804</v>
      </c>
      <c r="D77" t="s">
        <v>3069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3">
      <c r="A78">
        <v>78</v>
      </c>
      <c r="B78" t="s">
        <v>426</v>
      </c>
      <c r="D78" t="s">
        <v>3069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3">
      <c r="A79">
        <v>79</v>
      </c>
      <c r="B79" t="s">
        <v>3097</v>
      </c>
      <c r="D79" t="s">
        <v>3069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3">
      <c r="A80">
        <v>80</v>
      </c>
      <c r="B80" t="s">
        <v>3098</v>
      </c>
      <c r="D80" t="s">
        <v>3069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3">
      <c r="A81">
        <v>81</v>
      </c>
      <c r="B81" t="s">
        <v>3099</v>
      </c>
      <c r="D81" t="s">
        <v>3069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3">
      <c r="A82">
        <v>82</v>
      </c>
      <c r="B82" t="s">
        <v>3100</v>
      </c>
      <c r="D82" t="s">
        <v>3069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3">
      <c r="A83">
        <v>83</v>
      </c>
      <c r="B83" t="s">
        <v>2483</v>
      </c>
      <c r="D83" t="s">
        <v>3069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3">
      <c r="A84">
        <v>84</v>
      </c>
      <c r="B84" t="s">
        <v>3101</v>
      </c>
      <c r="D84" t="s">
        <v>3069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3">
      <c r="A85">
        <v>85</v>
      </c>
      <c r="B85" t="s">
        <v>2578</v>
      </c>
      <c r="D85" t="s">
        <v>3069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3">
      <c r="A86">
        <v>86</v>
      </c>
      <c r="B86" t="s">
        <v>3102</v>
      </c>
      <c r="D86" t="s">
        <v>3069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3">
      <c r="A87">
        <v>87</v>
      </c>
      <c r="B87" t="s">
        <v>3103</v>
      </c>
      <c r="D87" t="s">
        <v>3069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3">
      <c r="A88">
        <v>88</v>
      </c>
      <c r="B88" t="s">
        <v>3104</v>
      </c>
      <c r="D88" t="s">
        <v>3069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3">
      <c r="A89">
        <v>89</v>
      </c>
      <c r="B89" t="s">
        <v>3105</v>
      </c>
      <c r="D89" t="s">
        <v>3069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3">
      <c r="A90">
        <v>90</v>
      </c>
      <c r="B90" t="s">
        <v>3106</v>
      </c>
      <c r="D90" t="s">
        <v>3069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3">
      <c r="A91">
        <v>91</v>
      </c>
      <c r="B91" t="s">
        <v>3107</v>
      </c>
      <c r="D91" t="s">
        <v>3069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3">
      <c r="A92">
        <v>92</v>
      </c>
      <c r="B92" t="s">
        <v>3108</v>
      </c>
      <c r="D92" t="s">
        <v>3069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3">
      <c r="A93">
        <v>93</v>
      </c>
      <c r="B93" t="s">
        <v>3109</v>
      </c>
      <c r="D93" t="s">
        <v>3069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3">
      <c r="A94">
        <v>94</v>
      </c>
      <c r="B94" t="s">
        <v>3110</v>
      </c>
      <c r="D94" t="s">
        <v>3069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3">
      <c r="A95">
        <v>95</v>
      </c>
      <c r="B95" t="s">
        <v>2921</v>
      </c>
      <c r="D95" t="s">
        <v>3069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3">
      <c r="A96">
        <v>96</v>
      </c>
      <c r="B96" t="s">
        <v>3111</v>
      </c>
      <c r="D96" t="s">
        <v>3069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3">
      <c r="A97">
        <v>97</v>
      </c>
      <c r="B97" t="s">
        <v>2913</v>
      </c>
      <c r="D97" t="s">
        <v>3069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3">
      <c r="A98">
        <v>98</v>
      </c>
      <c r="B98" t="s">
        <v>3112</v>
      </c>
      <c r="D98" t="s">
        <v>3069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3">
      <c r="A99">
        <v>99</v>
      </c>
      <c r="B99" t="s">
        <v>3113</v>
      </c>
      <c r="D99" t="s">
        <v>3069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3">
      <c r="A100">
        <v>100</v>
      </c>
      <c r="B100" t="s">
        <v>3114</v>
      </c>
      <c r="D100" t="s">
        <v>3069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3">
      <c r="A101">
        <v>101</v>
      </c>
      <c r="B101" t="s">
        <v>3115</v>
      </c>
      <c r="D101" t="s">
        <v>3069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3">
      <c r="A102">
        <v>102</v>
      </c>
      <c r="B102" t="s">
        <v>2714</v>
      </c>
      <c r="D102" t="s">
        <v>3069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3">
      <c r="A103">
        <v>103</v>
      </c>
      <c r="B103" t="s">
        <v>3116</v>
      </c>
      <c r="D103" t="s">
        <v>3069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3">
      <c r="A104">
        <v>104</v>
      </c>
      <c r="B104" t="s">
        <v>3117</v>
      </c>
      <c r="D104" t="s">
        <v>3069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3">
      <c r="A105">
        <v>105</v>
      </c>
      <c r="B105" t="s">
        <v>3118</v>
      </c>
      <c r="D105" t="s">
        <v>3069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3">
      <c r="A106">
        <v>106</v>
      </c>
      <c r="B106" t="s">
        <v>2867</v>
      </c>
      <c r="D106" t="s">
        <v>3069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3">
      <c r="A107">
        <v>107</v>
      </c>
      <c r="B107" t="s">
        <v>2872</v>
      </c>
      <c r="D107" t="s">
        <v>3069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3">
      <c r="A108">
        <v>108</v>
      </c>
      <c r="B108" t="s">
        <v>3119</v>
      </c>
      <c r="D108" t="s">
        <v>3069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3">
      <c r="A109">
        <v>109</v>
      </c>
      <c r="B109" t="s">
        <v>3120</v>
      </c>
      <c r="D109" t="s">
        <v>3069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3">
      <c r="A110">
        <v>110</v>
      </c>
      <c r="B110" t="s">
        <v>3121</v>
      </c>
      <c r="D110" t="s">
        <v>3069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3">
      <c r="A111">
        <v>111</v>
      </c>
      <c r="B111" t="s">
        <v>3122</v>
      </c>
      <c r="D111" t="s">
        <v>3069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3">
      <c r="A112">
        <v>112</v>
      </c>
      <c r="B112" t="s">
        <v>3123</v>
      </c>
      <c r="D112" t="s">
        <v>3069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3">
      <c r="A113">
        <v>113</v>
      </c>
      <c r="B113" t="s">
        <v>3124</v>
      </c>
      <c r="D113" t="s">
        <v>3069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8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4.4" outlineLevelCol="1" x14ac:dyDescent="0.3"/>
  <cols>
    <col min="1" max="2" width="9.109375" customWidth="1"/>
    <col min="3" max="3" width="12.5546875" customWidth="1"/>
    <col min="4" max="4" width="54.44140625" customWidth="1"/>
    <col min="5" max="5" width="9.109375" customWidth="1"/>
    <col min="6" max="6" width="21.44140625" customWidth="1"/>
    <col min="7" max="11" width="9.109375" customWidth="1"/>
    <col min="12" max="20" width="9.109375" hidden="1" customWidth="1" outlineLevel="1"/>
    <col min="21" max="21" width="9.109375" customWidth="1" collapsed="1"/>
    <col min="22" max="22" width="9.109375" customWidth="1"/>
    <col min="23" max="23" width="1.6640625" hidden="1" customWidth="1"/>
    <col min="24" max="24" width="9.109375" customWidth="1"/>
    <col min="25" max="25" width="26" customWidth="1"/>
    <col min="26" max="31" width="9.109375" customWidth="1"/>
  </cols>
  <sheetData>
    <row r="1" spans="1:31" ht="15.6" x14ac:dyDescent="0.3">
      <c r="A1" s="18" t="s">
        <v>1</v>
      </c>
      <c r="B1" s="18" t="s">
        <v>3125</v>
      </c>
      <c r="C1" s="18" t="s">
        <v>3126</v>
      </c>
      <c r="D1" s="18" t="s">
        <v>4</v>
      </c>
      <c r="E1" s="18" t="s">
        <v>3127</v>
      </c>
      <c r="F1" s="18" t="s">
        <v>19</v>
      </c>
      <c r="G1" s="18" t="s">
        <v>3128</v>
      </c>
      <c r="H1" s="18" t="s">
        <v>3129</v>
      </c>
      <c r="I1" s="18" t="s">
        <v>3130</v>
      </c>
      <c r="J1" s="18" t="s">
        <v>3131</v>
      </c>
      <c r="L1" s="109" t="s">
        <v>3132</v>
      </c>
      <c r="M1" s="22">
        <v>2026</v>
      </c>
      <c r="U1" s="79" t="s">
        <v>3133</v>
      </c>
      <c r="V1" s="78"/>
      <c r="X1" s="77" t="s">
        <v>3134</v>
      </c>
      <c r="Y1" s="26"/>
      <c r="Z1" s="26"/>
      <c r="AA1" s="26"/>
      <c r="AC1" s="99" t="s">
        <v>3135</v>
      </c>
    </row>
    <row r="2" spans="1:31" x14ac:dyDescent="0.3">
      <c r="A2" s="20" cm="1">
        <f t="array" aca="1" ref="A2:J15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3136</v>
      </c>
      <c r="M2" s="105" t="s">
        <v>2929</v>
      </c>
      <c r="X2" s="111" t="s">
        <v>3125</v>
      </c>
      <c r="Y2" s="111" t="s">
        <v>19</v>
      </c>
      <c r="Z2" s="111" t="s">
        <v>3137</v>
      </c>
      <c r="AA2" s="111" t="s">
        <v>3138</v>
      </c>
      <c r="AC2" s="112" t="s">
        <v>1</v>
      </c>
      <c r="AD2" s="112" t="s">
        <v>3139</v>
      </c>
      <c r="AE2" s="112" t="s">
        <v>3140</v>
      </c>
    </row>
    <row r="3" spans="1:31" x14ac:dyDescent="0.3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3141</v>
      </c>
      <c r="M3" s="110" t="s">
        <v>3142</v>
      </c>
      <c r="N3" s="110" t="s">
        <v>3143</v>
      </c>
      <c r="O3" s="110" t="s">
        <v>3144</v>
      </c>
      <c r="P3" s="110" t="s">
        <v>3145</v>
      </c>
      <c r="Q3" s="110" t="s">
        <v>3146</v>
      </c>
      <c r="R3" s="110" t="s">
        <v>3147</v>
      </c>
      <c r="S3" s="110" t="s">
        <v>3148</v>
      </c>
      <c r="T3" s="110" t="s">
        <v>3149</v>
      </c>
      <c r="X3" t="s">
        <v>2836</v>
      </c>
      <c r="Y3" t="s">
        <v>3082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3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3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3150</v>
      </c>
      <c r="AE5" s="97">
        <v>16</v>
      </c>
    </row>
    <row r="6" spans="1:31" x14ac:dyDescent="0.3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3082</v>
      </c>
      <c r="Z6">
        <v>1</v>
      </c>
      <c r="AA6">
        <v>0</v>
      </c>
      <c r="AC6" s="96">
        <v>2026</v>
      </c>
      <c r="AD6" s="17" t="s">
        <v>3151</v>
      </c>
      <c r="AE6" s="97">
        <v>16</v>
      </c>
    </row>
    <row r="7" spans="1:31" x14ac:dyDescent="0.3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3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3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3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3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3076</v>
      </c>
      <c r="AA11">
        <v>1.2</v>
      </c>
      <c r="AC11" s="96">
        <v>2026</v>
      </c>
      <c r="AD11" s="17"/>
      <c r="AE11" s="97"/>
    </row>
    <row r="12" spans="1:31" x14ac:dyDescent="0.3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3094</v>
      </c>
      <c r="AA12">
        <v>1.2</v>
      </c>
      <c r="AC12" s="96">
        <v>2026</v>
      </c>
      <c r="AD12" s="17"/>
      <c r="AE12" s="97"/>
    </row>
    <row r="13" spans="1:31" x14ac:dyDescent="0.3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3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3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3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3076</v>
      </c>
      <c r="AA16">
        <v>1.2</v>
      </c>
      <c r="AC16" s="96">
        <v>2026</v>
      </c>
      <c r="AD16" s="17"/>
      <c r="AE16" s="97"/>
    </row>
    <row r="17" spans="1:31" x14ac:dyDescent="0.3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3094</v>
      </c>
      <c r="AA17">
        <v>1.2</v>
      </c>
      <c r="AC17" s="96">
        <v>2026</v>
      </c>
      <c r="AD17" s="17"/>
      <c r="AE17" s="97"/>
    </row>
    <row r="18" spans="1:31" x14ac:dyDescent="0.3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3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3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3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3076</v>
      </c>
      <c r="AA21">
        <v>1.2</v>
      </c>
      <c r="AC21" s="96">
        <v>2026</v>
      </c>
      <c r="AD21" s="17"/>
      <c r="AE21" s="97"/>
    </row>
    <row r="22" spans="1:31" x14ac:dyDescent="0.3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3094</v>
      </c>
      <c r="AA22">
        <v>1.2</v>
      </c>
      <c r="AC22" s="96">
        <v>2026</v>
      </c>
      <c r="AD22" s="17"/>
      <c r="AE22" s="97"/>
    </row>
    <row r="23" spans="1:31" x14ac:dyDescent="0.3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 x14ac:dyDescent="0.3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3082</v>
      </c>
      <c r="AA24">
        <v>0</v>
      </c>
      <c r="AC24" s="96">
        <v>2026</v>
      </c>
      <c r="AD24" s="17"/>
      <c r="AE24" s="97"/>
    </row>
    <row r="25" spans="1:31" x14ac:dyDescent="0.3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 x14ac:dyDescent="0.3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3082</v>
      </c>
      <c r="AA26">
        <v>0</v>
      </c>
      <c r="AC26" s="96">
        <v>2026</v>
      </c>
      <c r="AD26" s="17"/>
      <c r="AE26" s="97"/>
    </row>
    <row r="27" spans="1:31" x14ac:dyDescent="0.3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 x14ac:dyDescent="0.3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3117</v>
      </c>
      <c r="AA28">
        <v>1.2</v>
      </c>
      <c r="AC28" s="96">
        <v>2026</v>
      </c>
      <c r="AD28" s="17"/>
      <c r="AE28" s="97"/>
    </row>
    <row r="29" spans="1:31" x14ac:dyDescent="0.3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3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3113</v>
      </c>
      <c r="AA30">
        <v>1.2</v>
      </c>
      <c r="AC30" s="96">
        <v>2026</v>
      </c>
      <c r="AD30" s="17"/>
      <c r="AE30" s="97"/>
    </row>
    <row r="31" spans="1:31" x14ac:dyDescent="0.3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 x14ac:dyDescent="0.3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3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3095</v>
      </c>
      <c r="Z33">
        <v>4</v>
      </c>
      <c r="AA33">
        <v>0.6</v>
      </c>
      <c r="AC33" s="98"/>
      <c r="AD33" s="113" t="s">
        <v>3152</v>
      </c>
      <c r="AE33" s="114">
        <f>SUM(AE3:AE32)</f>
        <v>80</v>
      </c>
    </row>
    <row r="34" spans="1:31" x14ac:dyDescent="0.3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3096</v>
      </c>
      <c r="Z34">
        <v>4</v>
      </c>
      <c r="AA34">
        <v>0.6</v>
      </c>
    </row>
    <row r="35" spans="1:31" x14ac:dyDescent="0.3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3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3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 x14ac:dyDescent="0.3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 x14ac:dyDescent="0.3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 x14ac:dyDescent="0.3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 x14ac:dyDescent="0.3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 x14ac:dyDescent="0.3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3087</v>
      </c>
      <c r="Z42">
        <v>0</v>
      </c>
      <c r="AA42">
        <v>0</v>
      </c>
    </row>
    <row r="43" spans="1:31" x14ac:dyDescent="0.3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3104</v>
      </c>
      <c r="AA43">
        <v>1.2</v>
      </c>
    </row>
    <row r="44" spans="1:31" x14ac:dyDescent="0.3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 x14ac:dyDescent="0.3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3103</v>
      </c>
      <c r="Z45">
        <v>1</v>
      </c>
      <c r="AA45">
        <v>0.3</v>
      </c>
    </row>
    <row r="46" spans="1:31" x14ac:dyDescent="0.3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3115</v>
      </c>
      <c r="Z46">
        <v>1</v>
      </c>
      <c r="AA46">
        <v>0.3</v>
      </c>
    </row>
    <row r="47" spans="1:31" x14ac:dyDescent="0.3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3112</v>
      </c>
      <c r="Z47">
        <v>1</v>
      </c>
      <c r="AA47">
        <v>0.3</v>
      </c>
    </row>
    <row r="48" spans="1:31" x14ac:dyDescent="0.3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3114</v>
      </c>
      <c r="Z48">
        <v>0</v>
      </c>
      <c r="AA48">
        <v>0</v>
      </c>
    </row>
    <row r="49" spans="1:27" x14ac:dyDescent="0.3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3111</v>
      </c>
      <c r="Z49">
        <v>0</v>
      </c>
      <c r="AA49">
        <v>0</v>
      </c>
    </row>
    <row r="50" spans="1:27" x14ac:dyDescent="0.3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 t="str">
        <f ca="1"/>
        <v>Ana Cristina Borges Carvalho; Cinthia Thais de Carvalho Luz Thomazi; Fernanda Viana de Souza; Luiz Felipe Tenório de Lima Gondim; Karine Caroline de Oliveira</v>
      </c>
      <c r="R50">
        <f ca="1"/>
        <v>5</v>
      </c>
      <c r="S50">
        <f ca="1"/>
        <v>110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 x14ac:dyDescent="0.3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111</v>
      </c>
      <c r="T51">
        <f ca="1"/>
        <v>110</v>
      </c>
      <c r="X51" t="s">
        <v>2686</v>
      </c>
      <c r="Y51" t="s">
        <v>3153</v>
      </c>
      <c r="Z51">
        <v>1</v>
      </c>
      <c r="AA51">
        <v>0.3</v>
      </c>
    </row>
    <row r="52" spans="1:27" x14ac:dyDescent="0.3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3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3118</v>
      </c>
      <c r="Z53">
        <v>1</v>
      </c>
      <c r="AA53">
        <v>0.3</v>
      </c>
    </row>
    <row r="54" spans="1:27" x14ac:dyDescent="0.3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3116</v>
      </c>
      <c r="Z54">
        <v>0</v>
      </c>
      <c r="AA54">
        <v>0</v>
      </c>
    </row>
    <row r="55" spans="1:27" x14ac:dyDescent="0.3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2784</v>
      </c>
      <c r="Y55" t="s">
        <v>3103</v>
      </c>
      <c r="Z55">
        <v>0</v>
      </c>
      <c r="AA55">
        <v>0</v>
      </c>
    </row>
    <row r="56" spans="1:27" x14ac:dyDescent="0.3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2937</v>
      </c>
      <c r="Y56" t="s">
        <v>1031</v>
      </c>
      <c r="Z56">
        <v>0</v>
      </c>
      <c r="AA56">
        <v>0</v>
      </c>
    </row>
    <row r="57" spans="1:27" x14ac:dyDescent="0.3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3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3110</v>
      </c>
      <c r="Z58">
        <v>0</v>
      </c>
      <c r="AA58">
        <v>0</v>
      </c>
    </row>
    <row r="59" spans="1:27" x14ac:dyDescent="0.3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138</v>
      </c>
      <c r="T59">
        <f ca="1"/>
        <v>136</v>
      </c>
      <c r="X59" t="s">
        <v>2749</v>
      </c>
      <c r="Y59" t="s">
        <v>3109</v>
      </c>
      <c r="Z59">
        <v>8</v>
      </c>
      <c r="AA59">
        <v>2.4</v>
      </c>
    </row>
    <row r="60" spans="1:27" x14ac:dyDescent="0.3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139</v>
      </c>
      <c r="T60">
        <f ca="1"/>
        <v>138</v>
      </c>
      <c r="X60" t="s">
        <v>2749</v>
      </c>
      <c r="Y60" t="s">
        <v>3108</v>
      </c>
      <c r="Z60">
        <v>8</v>
      </c>
      <c r="AA60">
        <v>2.4</v>
      </c>
    </row>
    <row r="61" spans="1:27" x14ac:dyDescent="0.3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142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3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143</v>
      </c>
      <c r="T62">
        <f ca="1"/>
        <v>142</v>
      </c>
      <c r="X62" t="s">
        <v>2702</v>
      </c>
      <c r="Y62" t="s">
        <v>557</v>
      </c>
      <c r="Z62">
        <v>0</v>
      </c>
      <c r="AA62">
        <v>0</v>
      </c>
    </row>
    <row r="63" spans="1:27" x14ac:dyDescent="0.3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145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3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146</v>
      </c>
      <c r="T64">
        <f ca="1"/>
        <v>145</v>
      </c>
      <c r="X64" t="s">
        <v>2702</v>
      </c>
      <c r="Y64" t="s">
        <v>3100</v>
      </c>
      <c r="Z64">
        <v>0</v>
      </c>
      <c r="AA64">
        <v>0</v>
      </c>
    </row>
    <row r="65" spans="1:27" x14ac:dyDescent="0.3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147</v>
      </c>
      <c r="T65">
        <f ca="1"/>
        <v>146</v>
      </c>
      <c r="X65" t="s">
        <v>2710</v>
      </c>
      <c r="Y65" t="s">
        <v>2714</v>
      </c>
      <c r="Z65">
        <v>0</v>
      </c>
      <c r="AA65">
        <v>19.3</v>
      </c>
    </row>
    <row r="66" spans="1:27" x14ac:dyDescent="0.3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2710</v>
      </c>
      <c r="Y66" t="s">
        <v>1480</v>
      </c>
    </row>
    <row r="67" spans="1:27" x14ac:dyDescent="0.3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151</v>
      </c>
      <c r="T67">
        <f ca="1"/>
        <v>149</v>
      </c>
      <c r="X67" t="s">
        <v>2965</v>
      </c>
      <c r="Y67" t="s">
        <v>1375</v>
      </c>
      <c r="Z67">
        <v>3</v>
      </c>
      <c r="AA67">
        <v>0.9</v>
      </c>
    </row>
    <row r="68" spans="1:27" x14ac:dyDescent="0.3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154</v>
      </c>
      <c r="T68">
        <f ca="1"/>
        <v>151</v>
      </c>
      <c r="X68" t="s">
        <v>2965</v>
      </c>
      <c r="Y68" t="s">
        <v>3098</v>
      </c>
      <c r="Z68">
        <v>3</v>
      </c>
      <c r="AA68">
        <v>0.9</v>
      </c>
    </row>
    <row r="69" spans="1:27" x14ac:dyDescent="0.3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Realizado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156</v>
      </c>
      <c r="T69">
        <f ca="1"/>
        <v>154</v>
      </c>
      <c r="X69" t="s">
        <v>2789</v>
      </c>
      <c r="Y69" t="s">
        <v>2795</v>
      </c>
      <c r="Z69">
        <v>0</v>
      </c>
      <c r="AA69">
        <v>0</v>
      </c>
    </row>
    <row r="70" spans="1:27" x14ac:dyDescent="0.3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156</v>
      </c>
      <c r="X70" t="s">
        <v>2823</v>
      </c>
      <c r="Y70" s="17" t="s">
        <v>2832</v>
      </c>
      <c r="AA70">
        <v>2.4</v>
      </c>
    </row>
    <row r="71" spans="1:27" x14ac:dyDescent="0.3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7" t="s">
        <v>3082</v>
      </c>
      <c r="AA71">
        <v>0</v>
      </c>
    </row>
    <row r="72" spans="1:27" x14ac:dyDescent="0.3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 x14ac:dyDescent="0.3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3087</v>
      </c>
      <c r="Z73">
        <v>0</v>
      </c>
      <c r="AA73">
        <v>0</v>
      </c>
    </row>
    <row r="74" spans="1:27" x14ac:dyDescent="0.3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3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 x14ac:dyDescent="0.3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 x14ac:dyDescent="0.3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3101</v>
      </c>
      <c r="AA77">
        <v>1.2</v>
      </c>
    </row>
    <row r="78" spans="1:27" x14ac:dyDescent="0.3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3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3105</v>
      </c>
      <c r="AA79">
        <v>1.2</v>
      </c>
    </row>
    <row r="80" spans="1:27" x14ac:dyDescent="0.3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3102</v>
      </c>
      <c r="AA80">
        <v>1.2</v>
      </c>
    </row>
    <row r="81" spans="1:27" x14ac:dyDescent="0.3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3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3106</v>
      </c>
      <c r="AA82">
        <v>1.2</v>
      </c>
    </row>
    <row r="83" spans="1:27" x14ac:dyDescent="0.3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3088</v>
      </c>
      <c r="AA83">
        <v>1.2</v>
      </c>
    </row>
    <row r="84" spans="1:27" x14ac:dyDescent="0.3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3088</v>
      </c>
      <c r="AA84">
        <v>1.2</v>
      </c>
    </row>
    <row r="85" spans="1:27" x14ac:dyDescent="0.3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3088</v>
      </c>
      <c r="AA85">
        <v>1.2</v>
      </c>
    </row>
    <row r="86" spans="1:27" x14ac:dyDescent="0.3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3154</v>
      </c>
      <c r="Y86" t="s">
        <v>718</v>
      </c>
      <c r="Z86">
        <v>0</v>
      </c>
      <c r="AA86">
        <v>0</v>
      </c>
    </row>
    <row r="87" spans="1:27" x14ac:dyDescent="0.3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3154</v>
      </c>
      <c r="Y87" t="s">
        <v>3100</v>
      </c>
      <c r="Z87">
        <v>0</v>
      </c>
      <c r="AA87">
        <v>0</v>
      </c>
    </row>
    <row r="88" spans="1:27" x14ac:dyDescent="0.3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3154</v>
      </c>
      <c r="Y88" t="s">
        <v>1351</v>
      </c>
      <c r="Z88">
        <v>0</v>
      </c>
      <c r="AA88">
        <v>0</v>
      </c>
    </row>
    <row r="89" spans="1:27" x14ac:dyDescent="0.3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3052</v>
      </c>
      <c r="Y89" t="s">
        <v>3087</v>
      </c>
      <c r="Z89">
        <v>0</v>
      </c>
      <c r="AA89">
        <v>0</v>
      </c>
    </row>
    <row r="90" spans="1:27" x14ac:dyDescent="0.3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3056</v>
      </c>
      <c r="Y90" t="s">
        <v>3121</v>
      </c>
      <c r="Z90">
        <v>0</v>
      </c>
      <c r="AA90">
        <v>0</v>
      </c>
    </row>
    <row r="91" spans="1:27" x14ac:dyDescent="0.3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3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3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3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3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3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3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3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3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3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3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3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3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3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3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3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3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Ana Cristina Borges Carvalho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3">
      <c r="A108">
        <f ca="1"/>
        <v>2026</v>
      </c>
      <c r="B108" t="str">
        <f ca="1"/>
        <v>2026-061</v>
      </c>
      <c r="C108" t="str">
        <f ca="1"/>
        <v>A realizar</v>
      </c>
      <c r="D108" t="str">
        <f ca="1"/>
        <v>TCendo o Futuro 7 - CEF 02 da Estrutural</v>
      </c>
      <c r="E108">
        <f ca="1"/>
        <v>4</v>
      </c>
      <c r="F108" t="str">
        <f ca="1"/>
        <v>Cinthia Thais de Carvalho Luz Thomazi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3">
      <c r="A109">
        <f ca="1"/>
        <v>2026</v>
      </c>
      <c r="B109" t="str">
        <f ca="1"/>
        <v>2026-061</v>
      </c>
      <c r="C109" t="str">
        <f ca="1"/>
        <v>A realizar</v>
      </c>
      <c r="D109" t="str">
        <f ca="1"/>
        <v>TCendo o Futuro 7 - CEF 02 da Estrutural</v>
      </c>
      <c r="E109">
        <f ca="1"/>
        <v>4</v>
      </c>
      <c r="F109" t="str">
        <f ca="1"/>
        <v>Fernanda Viana de Souza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3">
      <c r="A110">
        <f ca="1"/>
        <v>2026</v>
      </c>
      <c r="B110" t="str">
        <f ca="1"/>
        <v>2026-061</v>
      </c>
      <c r="C110" t="str">
        <f ca="1"/>
        <v>A realizar</v>
      </c>
      <c r="D110" t="str">
        <f ca="1"/>
        <v>TCendo o Futuro 7 - CEF 02 da Estrutural</v>
      </c>
      <c r="E110">
        <f ca="1"/>
        <v>4</v>
      </c>
      <c r="F110" t="str">
        <f ca="1"/>
        <v>Luiz Felipe Tenório de Lima Gondim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3">
      <c r="A111">
        <f ca="1"/>
        <v>2026</v>
      </c>
      <c r="B111" t="str">
        <f ca="1"/>
        <v>2026-061</v>
      </c>
      <c r="C111" t="str">
        <f ca="1"/>
        <v>A realizar</v>
      </c>
      <c r="D111" t="str">
        <f ca="1"/>
        <v>TCendo o Futuro 7 - CEF 02 da Estrutural</v>
      </c>
      <c r="E111">
        <f ca="1"/>
        <v>4</v>
      </c>
      <c r="F111" t="str">
        <f ca="1"/>
        <v>Karine Caroline de Oliveira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3">
      <c r="A112">
        <f ca="1"/>
        <v>2026</v>
      </c>
      <c r="B112" t="str">
        <f ca="1"/>
        <v>2026-062</v>
      </c>
      <c r="C112" t="str">
        <f ca="1"/>
        <v>A realizar</v>
      </c>
      <c r="D112" t="str">
        <f ca="1"/>
        <v>TCendo o Futuro 8 - EC 16 da Ceilândia</v>
      </c>
      <c r="E112">
        <f ca="1"/>
        <v>4</v>
      </c>
      <c r="F112" t="str">
        <f ca="1"/>
        <v>0</v>
      </c>
      <c r="G112">
        <f ca="1"/>
        <v>1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3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3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3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3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3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3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3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3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3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3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3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3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3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3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3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3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3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3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3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3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3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3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3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3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3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3">
      <c r="A138">
        <f ca="1"/>
        <v>2026</v>
      </c>
      <c r="B138" t="str">
        <f ca="1"/>
        <v>2026-072</v>
      </c>
      <c r="C138" t="str">
        <f ca="1"/>
        <v>Realizado</v>
      </c>
      <c r="D138" t="str">
        <f ca="1"/>
        <v>UniTCDF: Gestão Pública e Responsabilidade Fiscal (CEUB)</v>
      </c>
      <c r="E138">
        <f ca="1"/>
        <v>3</v>
      </c>
      <c r="F138" t="str">
        <f ca="1"/>
        <v>Fernanda Viana de Souza</v>
      </c>
      <c r="G138">
        <f ca="1"/>
        <v>2</v>
      </c>
      <c r="H138">
        <f ca="1"/>
        <v>3</v>
      </c>
      <c r="I138">
        <f ca="1"/>
        <v>0.89999999999999991</v>
      </c>
      <c r="J138">
        <f ca="1"/>
        <v>3.9</v>
      </c>
      <c r="R138" t="str">
        <f ca="1"/>
        <v/>
      </c>
      <c r="S138" t="str">
        <f ca="1"/>
        <v/>
      </c>
    </row>
    <row r="139" spans="1:19" x14ac:dyDescent="0.3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Túllio Herbeth Teixeira Moraes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3">
      <c r="A140">
        <f ca="1"/>
        <v>2026</v>
      </c>
      <c r="B140" t="str">
        <f ca="1"/>
        <v>2026-077</v>
      </c>
      <c r="C140" t="str">
        <f ca="1"/>
        <v>A realizar</v>
      </c>
      <c r="D140" t="str">
        <f ca="1"/>
        <v>Exibição de filme: Consciência Negra</v>
      </c>
      <c r="E140">
        <f ca="1"/>
        <v>0</v>
      </c>
      <c r="F140" t="str">
        <f ca="1"/>
        <v>0</v>
      </c>
      <c r="G140">
        <f ca="1"/>
        <v>1</v>
      </c>
      <c r="H140">
        <f ca="1"/>
        <v>0</v>
      </c>
      <c r="I140">
        <f ca="1"/>
        <v>0</v>
      </c>
      <c r="J140">
        <f ca="1"/>
        <v>0</v>
      </c>
      <c r="R140" t="str">
        <f ca="1"/>
        <v/>
      </c>
      <c r="S140" t="str">
        <f ca="1"/>
        <v/>
      </c>
    </row>
    <row r="141" spans="1:19" x14ac:dyDescent="0.3">
      <c r="A141">
        <f ca="1"/>
        <v>2026</v>
      </c>
      <c r="B141" t="str">
        <f ca="1"/>
        <v>2026-079</v>
      </c>
      <c r="C141" t="str">
        <f ca="1"/>
        <v>Realizado</v>
      </c>
      <c r="D141" t="str">
        <f ca="1"/>
        <v>Café e Tertúlia: Gincana dos Neurotransmissores</v>
      </c>
      <c r="E141">
        <f ca="1"/>
        <v>2</v>
      </c>
      <c r="F141" t="str">
        <f ca="1"/>
        <v>Isac Mendes Caixeta de Pamplona Araújo</v>
      </c>
      <c r="G141">
        <f ca="1"/>
        <v>3</v>
      </c>
      <c r="H141">
        <f ca="1"/>
        <v>0</v>
      </c>
      <c r="I141">
        <f ca="1"/>
        <v>0</v>
      </c>
      <c r="J141">
        <f ca="1"/>
        <v>0</v>
      </c>
      <c r="R141" t="str">
        <f ca="1"/>
        <v/>
      </c>
      <c r="S141" t="str">
        <f ca="1"/>
        <v/>
      </c>
    </row>
    <row r="142" spans="1:19" x14ac:dyDescent="0.3">
      <c r="A142">
        <f ca="1"/>
        <v>2026</v>
      </c>
      <c r="B142" t="str">
        <f ca="1"/>
        <v>2026-079</v>
      </c>
      <c r="C142" t="str">
        <f ca="1"/>
        <v>Realizado</v>
      </c>
      <c r="D142" t="str">
        <f ca="1"/>
        <v>Café e Tertúlia: Gincana dos Neurotransmissores</v>
      </c>
      <c r="E142">
        <f ca="1"/>
        <v>2</v>
      </c>
      <c r="F142" t="str">
        <f ca="1"/>
        <v>Valéria Feitoza</v>
      </c>
      <c r="G142">
        <f ca="1"/>
        <v>3</v>
      </c>
      <c r="H142">
        <f ca="1"/>
        <v>0</v>
      </c>
      <c r="I142">
        <f ca="1"/>
        <v>0</v>
      </c>
      <c r="J142">
        <f ca="1"/>
        <v>0</v>
      </c>
      <c r="R142" t="str">
        <f ca="1"/>
        <v/>
      </c>
      <c r="S142" t="str">
        <f ca="1"/>
        <v/>
      </c>
    </row>
    <row r="143" spans="1:19" x14ac:dyDescent="0.3">
      <c r="A143">
        <f ca="1"/>
        <v>2026</v>
      </c>
      <c r="B143" t="str">
        <f ca="1"/>
        <v>2026-079</v>
      </c>
      <c r="C143" t="str">
        <f ca="1"/>
        <v>Realizado</v>
      </c>
      <c r="D143" t="str">
        <f ca="1"/>
        <v>Café e Tertúlia: Gincana dos Neurotransmissores</v>
      </c>
      <c r="E143">
        <f ca="1"/>
        <v>2</v>
      </c>
      <c r="F143" t="str">
        <f ca="1"/>
        <v>Cinthia Thais de Carvalho Luz Thomazi</v>
      </c>
      <c r="G143">
        <f ca="1"/>
        <v>3</v>
      </c>
      <c r="H143">
        <f ca="1"/>
        <v>0</v>
      </c>
      <c r="I143">
        <f ca="1"/>
        <v>0</v>
      </c>
      <c r="J143">
        <f ca="1"/>
        <v>0</v>
      </c>
      <c r="R143" t="str">
        <f ca="1"/>
        <v/>
      </c>
      <c r="S143" t="str">
        <f ca="1"/>
        <v/>
      </c>
    </row>
    <row r="144" spans="1:19" x14ac:dyDescent="0.3">
      <c r="A144">
        <f ca="1"/>
        <v>2026</v>
      </c>
      <c r="B144" t="str">
        <f ca="1"/>
        <v>2026-081</v>
      </c>
      <c r="C144" t="str">
        <f ca="1"/>
        <v>Realizado</v>
      </c>
      <c r="D144" t="str">
        <f ca="1"/>
        <v>Contratações de TIC com base na jurisprudência do TCDF - SGDI</v>
      </c>
      <c r="E144">
        <f ca="1"/>
        <v>8</v>
      </c>
      <c r="F144" t="str">
        <f ca="1"/>
        <v>Felipe da Costa Malaquias</v>
      </c>
      <c r="G144">
        <f ca="1"/>
        <v>1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3">
      <c r="A145">
        <f ca="1"/>
        <v>2026</v>
      </c>
      <c r="B145" t="str">
        <f ca="1"/>
        <v>2026-082</v>
      </c>
      <c r="C145" t="str">
        <f ca="1"/>
        <v>Realizado</v>
      </c>
      <c r="D145" t="str">
        <f ca="1"/>
        <v>Curso de formação para gestores e fiscais de contrato nas unidades hospitalares – Turma 4</v>
      </c>
      <c r="E145">
        <f ca="1"/>
        <v>12</v>
      </c>
      <c r="F145" t="str">
        <f ca="1"/>
        <v>Luciana Alvim</v>
      </c>
      <c r="G145">
        <f ca="1"/>
        <v>2</v>
      </c>
      <c r="H145">
        <f ca="1"/>
        <v>12</v>
      </c>
      <c r="I145">
        <f ca="1"/>
        <v>3.5999999999999996</v>
      </c>
      <c r="J145">
        <f ca="1"/>
        <v>15.6</v>
      </c>
      <c r="R145" t="str">
        <f ca="1"/>
        <v/>
      </c>
      <c r="S145" t="str">
        <f ca="1"/>
        <v/>
      </c>
    </row>
    <row r="146" spans="1:19" x14ac:dyDescent="0.3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Tarsila Firmino Ely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3">
      <c r="A147">
        <f ca="1"/>
        <v>2026</v>
      </c>
      <c r="B147" t="str">
        <f ca="1"/>
        <v>2026-083</v>
      </c>
      <c r="C147" t="str">
        <f ca="1"/>
        <v>Realizado</v>
      </c>
      <c r="D147" t="str">
        <f ca="1"/>
        <v>Oficina básica de Power Automate</v>
      </c>
      <c r="E147">
        <f ca="1"/>
        <v>9</v>
      </c>
      <c r="F147" t="str">
        <f ca="1"/>
        <v>Josdeyvi Magalhães Russi</v>
      </c>
      <c r="G147">
        <f ca="1"/>
        <v>1</v>
      </c>
      <c r="H147">
        <f ca="1"/>
        <v>9</v>
      </c>
      <c r="I147">
        <f ca="1"/>
        <v>2.6999999999999997</v>
      </c>
      <c r="J147">
        <f ca="1"/>
        <v>11.7</v>
      </c>
      <c r="R147" t="str">
        <f ca="1"/>
        <v/>
      </c>
      <c r="S147" t="str">
        <f ca="1"/>
        <v/>
      </c>
    </row>
    <row r="148" spans="1:19" x14ac:dyDescent="0.3">
      <c r="A148">
        <f ca="1"/>
        <v>2026</v>
      </c>
      <c r="B148" t="str">
        <f ca="1"/>
        <v>2026-084</v>
      </c>
      <c r="C148" t="str">
        <f ca="1"/>
        <v>A realizar</v>
      </c>
      <c r="D148" t="str">
        <f ca="1"/>
        <v>Oficina EmentAI: o seu assistente de IA na elaboração de ementas jurisprudenciais</v>
      </c>
      <c r="E148">
        <f ca="1"/>
        <v>4</v>
      </c>
      <c r="F148" t="str">
        <f ca="1"/>
        <v>Caio Filipe</v>
      </c>
      <c r="G148">
        <f ca="1"/>
        <v>1</v>
      </c>
      <c r="H148">
        <f ca="1"/>
        <v>4</v>
      </c>
      <c r="I148">
        <f ca="1"/>
        <v>1.2</v>
      </c>
      <c r="J148">
        <f ca="1"/>
        <v>5.2</v>
      </c>
      <c r="R148" t="str">
        <f ca="1"/>
        <v/>
      </c>
      <c r="S148" t="str">
        <f ca="1"/>
        <v/>
      </c>
    </row>
    <row r="149" spans="1:19" x14ac:dyDescent="0.3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3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3">
      <c r="A151">
        <f ca="1"/>
        <v>2026</v>
      </c>
      <c r="B151" t="str">
        <f ca="1"/>
        <v>2026-086</v>
      </c>
      <c r="C151" t="str">
        <f ca="1"/>
        <v>A realizar</v>
      </c>
      <c r="D151" t="str">
        <f ca="1"/>
        <v>Introdução à Engenharia de Prompt – T6</v>
      </c>
      <c r="E151">
        <f ca="1"/>
        <v>8</v>
      </c>
      <c r="F151" t="str">
        <f ca="1"/>
        <v>Arthur Wú</v>
      </c>
      <c r="G151">
        <f ca="1"/>
        <v>2</v>
      </c>
      <c r="H151">
        <f ca="1"/>
        <v>8</v>
      </c>
      <c r="I151">
        <f ca="1"/>
        <v>2.4</v>
      </c>
      <c r="J151">
        <f ca="1"/>
        <v>10.4</v>
      </c>
      <c r="R151" t="str">
        <f ca="1"/>
        <v/>
      </c>
      <c r="S151" t="str">
        <f ca="1"/>
        <v/>
      </c>
    </row>
    <row r="152" spans="1:19" x14ac:dyDescent="0.3">
      <c r="A152">
        <f ca="1"/>
        <v>2026</v>
      </c>
      <c r="B152" t="str">
        <f ca="1"/>
        <v>2026-086</v>
      </c>
      <c r="C152" t="str">
        <f ca="1"/>
        <v>A realizar</v>
      </c>
      <c r="D152" t="str">
        <f ca="1"/>
        <v>Introdução à Engenharia de Prompt – T6</v>
      </c>
      <c r="E152">
        <f ca="1"/>
        <v>8</v>
      </c>
      <c r="F152" t="str">
        <f ca="1"/>
        <v>Gustavo Takahashi</v>
      </c>
      <c r="G152">
        <f ca="1"/>
        <v>2</v>
      </c>
      <c r="H152">
        <f ca="1"/>
        <v>8</v>
      </c>
      <c r="I152">
        <f ca="1"/>
        <v>2.4</v>
      </c>
      <c r="J152">
        <f ca="1"/>
        <v>10.4</v>
      </c>
      <c r="R152" t="str">
        <f ca="1"/>
        <v/>
      </c>
      <c r="S152" t="str">
        <f ca="1"/>
        <v/>
      </c>
    </row>
    <row r="153" spans="1:19" x14ac:dyDescent="0.3">
      <c r="A153">
        <f ca="1"/>
        <v>2026</v>
      </c>
      <c r="B153" t="str">
        <f ca="1"/>
        <v>2026-087</v>
      </c>
      <c r="C153" t="str">
        <f ca="1"/>
        <v>Realizado</v>
      </c>
      <c r="D153" t="str">
        <f ca="1"/>
        <v>Café e Tertúlia - Show de Talentos</v>
      </c>
      <c r="E153">
        <f ca="1"/>
        <v>2</v>
      </c>
      <c r="F153" t="str">
        <f ca="1"/>
        <v>Isac Mendes Caixeta de Pamplona Araújo</v>
      </c>
      <c r="G153">
        <f ca="1"/>
        <v>3</v>
      </c>
      <c r="H153">
        <f ca="1"/>
        <v>2</v>
      </c>
      <c r="I153">
        <f ca="1"/>
        <v>0.6</v>
      </c>
      <c r="J153">
        <f ca="1"/>
        <v>2.6</v>
      </c>
      <c r="R153" t="str">
        <f ca="1"/>
        <v/>
      </c>
      <c r="S153" t="str">
        <f ca="1"/>
        <v/>
      </c>
    </row>
    <row r="154" spans="1:19" x14ac:dyDescent="0.3">
      <c r="A154">
        <f ca="1"/>
        <v>2026</v>
      </c>
      <c r="B154" t="str">
        <f ca="1"/>
        <v>2026-087</v>
      </c>
      <c r="C154" t="str">
        <f ca="1"/>
        <v>Realizado</v>
      </c>
      <c r="D154" t="str">
        <f ca="1"/>
        <v>Café e Tertúlia - Show de Talentos</v>
      </c>
      <c r="E154">
        <f ca="1"/>
        <v>2</v>
      </c>
      <c r="F154" t="str">
        <f ca="1"/>
        <v>Valéria Feitoza</v>
      </c>
      <c r="G154">
        <f ca="1"/>
        <v>3</v>
      </c>
      <c r="H154">
        <f ca="1"/>
        <v>2</v>
      </c>
      <c r="I154">
        <f ca="1"/>
        <v>0.6</v>
      </c>
      <c r="J154">
        <f ca="1"/>
        <v>2.6</v>
      </c>
      <c r="R154" t="str">
        <f ca="1"/>
        <v/>
      </c>
      <c r="S154" t="str">
        <f ca="1"/>
        <v/>
      </c>
    </row>
    <row r="155" spans="1:19" x14ac:dyDescent="0.3">
      <c r="A155">
        <f ca="1"/>
        <v>2026</v>
      </c>
      <c r="B155" t="str">
        <f ca="1"/>
        <v>2026-087</v>
      </c>
      <c r="C155" t="str">
        <f ca="1"/>
        <v>Realizado</v>
      </c>
      <c r="D155" t="str">
        <f ca="1"/>
        <v>Café e Tertúlia - Show de Talentos</v>
      </c>
      <c r="E155">
        <f ca="1"/>
        <v>2</v>
      </c>
      <c r="F155" t="str">
        <f ca="1"/>
        <v>Cinthia Thais de Carvalho Luz Thomazi</v>
      </c>
      <c r="G155">
        <f ca="1"/>
        <v>3</v>
      </c>
      <c r="H155">
        <f ca="1"/>
        <v>2</v>
      </c>
      <c r="I155">
        <f ca="1"/>
        <v>0.6</v>
      </c>
      <c r="J155">
        <f ca="1"/>
        <v>2.6</v>
      </c>
      <c r="R155" t="str">
        <f ca="1"/>
        <v/>
      </c>
      <c r="S155" t="str">
        <f ca="1"/>
        <v/>
      </c>
    </row>
    <row r="156" spans="1:19" x14ac:dyDescent="0.3">
      <c r="A156">
        <f ca="1"/>
        <v>2026</v>
      </c>
      <c r="B156" t="str">
        <f ca="1"/>
        <v>2026-092</v>
      </c>
      <c r="C156" t="str">
        <f ca="1"/>
        <v>Realizado</v>
      </c>
      <c r="D156" t="str">
        <f ca="1"/>
        <v>MROSC para servidores do GDF</v>
      </c>
      <c r="E156">
        <f ca="1"/>
        <v>12</v>
      </c>
      <c r="F156" t="str">
        <f ca="1"/>
        <v>Indio Artiaga do Brasil Rabelo</v>
      </c>
      <c r="G156">
        <f ca="1"/>
        <v>2</v>
      </c>
      <c r="H156">
        <f ca="1"/>
        <v>12</v>
      </c>
      <c r="I156">
        <f ca="1"/>
        <v>3.5999999999999996</v>
      </c>
      <c r="J156">
        <f ca="1"/>
        <v>15.6</v>
      </c>
      <c r="R156" t="str">
        <f ca="1"/>
        <v/>
      </c>
      <c r="S156" t="str">
        <f ca="1"/>
        <v/>
      </c>
    </row>
    <row r="157" spans="1:19" x14ac:dyDescent="0.3">
      <c r="A157">
        <f ca="1"/>
        <v>2026</v>
      </c>
      <c r="B157" t="str">
        <f ca="1"/>
        <v>2026-092</v>
      </c>
      <c r="C157" t="str">
        <f ca="1"/>
        <v>Realizado</v>
      </c>
      <c r="D157" t="str">
        <f ca="1"/>
        <v>MROSC para servidores do GDF</v>
      </c>
      <c r="E157">
        <f ca="1"/>
        <v>12</v>
      </c>
      <c r="F157" t="str">
        <f ca="1"/>
        <v>Leonardo de Melo</v>
      </c>
      <c r="G157">
        <f ca="1"/>
        <v>2</v>
      </c>
      <c r="H157">
        <f ca="1"/>
        <v>0</v>
      </c>
      <c r="I157">
        <f ca="1"/>
        <v>0</v>
      </c>
      <c r="J157">
        <f ca="1"/>
        <v>0</v>
      </c>
      <c r="R157" t="str">
        <f ca="1"/>
        <v/>
      </c>
      <c r="S157" t="str">
        <f ca="1"/>
        <v/>
      </c>
    </row>
    <row r="158" spans="1:19" x14ac:dyDescent="0.3">
      <c r="R158" t="str">
        <f ca="1"/>
        <v/>
      </c>
      <c r="S158" t="str">
        <f ca="1"/>
        <v/>
      </c>
    </row>
    <row r="159" spans="1:19" x14ac:dyDescent="0.3">
      <c r="R159" t="str">
        <f ca="1"/>
        <v/>
      </c>
      <c r="S159" t="str">
        <f ca="1"/>
        <v/>
      </c>
    </row>
    <row r="160" spans="1:19" x14ac:dyDescent="0.3">
      <c r="R160" t="str">
        <f ca="1"/>
        <v/>
      </c>
      <c r="S160" t="str">
        <f ca="1"/>
        <v/>
      </c>
    </row>
    <row r="161" spans="18:19" x14ac:dyDescent="0.3">
      <c r="R161" t="str">
        <f ca="1"/>
        <v/>
      </c>
      <c r="S161" t="str">
        <f ca="1"/>
        <v/>
      </c>
    </row>
    <row r="162" spans="18:19" x14ac:dyDescent="0.3">
      <c r="R162" t="str">
        <f ca="1"/>
        <v/>
      </c>
      <c r="S162" t="str">
        <f ca="1"/>
        <v/>
      </c>
    </row>
    <row r="163" spans="18:19" x14ac:dyDescent="0.3">
      <c r="R163" t="str">
        <f ca="1"/>
        <v/>
      </c>
      <c r="S163" t="str">
        <f ca="1"/>
        <v/>
      </c>
    </row>
    <row r="164" spans="18:19" x14ac:dyDescent="0.3">
      <c r="R164" t="str">
        <f ca="1"/>
        <v/>
      </c>
      <c r="S164" t="str">
        <f ca="1"/>
        <v/>
      </c>
    </row>
    <row r="165" spans="18:19" x14ac:dyDescent="0.3">
      <c r="R165" t="str">
        <f ca="1"/>
        <v/>
      </c>
      <c r="S165" t="str">
        <f ca="1"/>
        <v/>
      </c>
    </row>
    <row r="166" spans="18:19" x14ac:dyDescent="0.3">
      <c r="R166" t="str">
        <f ca="1"/>
        <v/>
      </c>
      <c r="S166" t="str">
        <f ca="1"/>
        <v/>
      </c>
    </row>
    <row r="167" spans="18:19" x14ac:dyDescent="0.3">
      <c r="R167" t="str">
        <f ca="1"/>
        <v/>
      </c>
      <c r="S167" t="str">
        <f ca="1"/>
        <v/>
      </c>
    </row>
    <row r="168" spans="18:19" x14ac:dyDescent="0.3">
      <c r="R168" t="str">
        <f ca="1"/>
        <v/>
      </c>
      <c r="S168" t="str">
        <f ca="1"/>
        <v/>
      </c>
    </row>
    <row r="169" spans="18:19" x14ac:dyDescent="0.3">
      <c r="R169" t="str">
        <f ca="1"/>
        <v/>
      </c>
      <c r="S169" t="str">
        <f ca="1"/>
        <v/>
      </c>
    </row>
    <row r="170" spans="18:19" x14ac:dyDescent="0.3">
      <c r="R170" t="str">
        <f ca="1"/>
        <v/>
      </c>
      <c r="S170" t="str">
        <f ca="1"/>
        <v/>
      </c>
    </row>
    <row r="171" spans="18:19" x14ac:dyDescent="0.3">
      <c r="R171" t="str">
        <f ca="1"/>
        <v/>
      </c>
      <c r="S171" t="str">
        <f ca="1"/>
        <v/>
      </c>
    </row>
    <row r="172" spans="18:19" x14ac:dyDescent="0.3">
      <c r="R172" t="str">
        <f ca="1"/>
        <v/>
      </c>
      <c r="S172" t="str">
        <f ca="1"/>
        <v/>
      </c>
    </row>
    <row r="173" spans="18:19" x14ac:dyDescent="0.3">
      <c r="R173" t="str">
        <f ca="1"/>
        <v/>
      </c>
      <c r="S173" t="str">
        <f ca="1"/>
        <v/>
      </c>
    </row>
    <row r="174" spans="18:19" x14ac:dyDescent="0.3">
      <c r="R174" t="str">
        <f ca="1"/>
        <v/>
      </c>
      <c r="S174" t="str">
        <f ca="1"/>
        <v/>
      </c>
    </row>
    <row r="175" spans="18:19" x14ac:dyDescent="0.3">
      <c r="R175" t="str">
        <f ca="1"/>
        <v/>
      </c>
      <c r="S175" t="str">
        <f ca="1"/>
        <v/>
      </c>
    </row>
    <row r="176" spans="18:19" x14ac:dyDescent="0.3">
      <c r="R176" t="str">
        <f ca="1"/>
        <v/>
      </c>
      <c r="S176" t="str">
        <f ca="1"/>
        <v/>
      </c>
    </row>
    <row r="177" spans="18:19" x14ac:dyDescent="0.3">
      <c r="R177" t="str">
        <f ca="1"/>
        <v/>
      </c>
      <c r="S177" t="str">
        <f ca="1"/>
        <v/>
      </c>
    </row>
    <row r="178" spans="18:19" x14ac:dyDescent="0.3">
      <c r="R178" t="str">
        <f ca="1"/>
        <v/>
      </c>
      <c r="S178" t="str">
        <f ca="1"/>
        <v/>
      </c>
    </row>
    <row r="179" spans="18:19" x14ac:dyDescent="0.3">
      <c r="R179" t="str">
        <f ca="1"/>
        <v/>
      </c>
      <c r="S179" t="str">
        <f ca="1"/>
        <v/>
      </c>
    </row>
    <row r="180" spans="18:19" x14ac:dyDescent="0.3">
      <c r="R180" t="str">
        <f ca="1"/>
        <v/>
      </c>
      <c r="S180" t="str">
        <f ca="1"/>
        <v/>
      </c>
    </row>
    <row r="181" spans="18:19" x14ac:dyDescent="0.3">
      <c r="R181" t="str">
        <f ca="1"/>
        <v/>
      </c>
      <c r="S181" t="str">
        <f ca="1"/>
        <v/>
      </c>
    </row>
    <row r="182" spans="18:19" x14ac:dyDescent="0.3">
      <c r="R182" t="str">
        <f ca="1"/>
        <v/>
      </c>
      <c r="S182" t="str">
        <f ca="1"/>
        <v/>
      </c>
    </row>
    <row r="183" spans="18:19" x14ac:dyDescent="0.3">
      <c r="R183" t="str">
        <f ca="1"/>
        <v/>
      </c>
      <c r="S183" t="str">
        <f ca="1"/>
        <v/>
      </c>
    </row>
    <row r="184" spans="18:19" x14ac:dyDescent="0.3">
      <c r="R184" t="str">
        <f ca="1"/>
        <v/>
      </c>
      <c r="S184" t="str">
        <f ca="1"/>
        <v/>
      </c>
    </row>
    <row r="185" spans="18:19" x14ac:dyDescent="0.3">
      <c r="R185" t="str">
        <f ca="1"/>
        <v/>
      </c>
      <c r="S185" t="str">
        <f ca="1"/>
        <v/>
      </c>
    </row>
    <row r="186" spans="18:19" x14ac:dyDescent="0.3">
      <c r="R186" t="str">
        <f ca="1"/>
        <v/>
      </c>
      <c r="S186" t="str">
        <f ca="1"/>
        <v/>
      </c>
    </row>
    <row r="187" spans="18:19" x14ac:dyDescent="0.3">
      <c r="R187" t="str">
        <f ca="1"/>
        <v/>
      </c>
      <c r="S187" t="str">
        <f ca="1"/>
        <v/>
      </c>
    </row>
    <row r="188" spans="18:19" x14ac:dyDescent="0.3">
      <c r="R188" t="str">
        <f ca="1"/>
        <v/>
      </c>
      <c r="S188" t="str">
        <f ca="1"/>
        <v/>
      </c>
    </row>
    <row r="189" spans="18:19" x14ac:dyDescent="0.3">
      <c r="R189" t="str">
        <f ca="1"/>
        <v/>
      </c>
      <c r="S189" t="str">
        <f ca="1"/>
        <v/>
      </c>
    </row>
    <row r="190" spans="18:19" x14ac:dyDescent="0.3">
      <c r="R190" t="str">
        <f ca="1"/>
        <v/>
      </c>
      <c r="S190" t="str">
        <f ca="1"/>
        <v/>
      </c>
    </row>
    <row r="191" spans="18:19" x14ac:dyDescent="0.3">
      <c r="R191" t="str">
        <f ca="1"/>
        <v/>
      </c>
      <c r="S191" t="str">
        <f ca="1"/>
        <v/>
      </c>
    </row>
    <row r="192" spans="18:19" x14ac:dyDescent="0.3">
      <c r="R192" t="str">
        <f ca="1"/>
        <v/>
      </c>
      <c r="S192" t="str">
        <f ca="1"/>
        <v/>
      </c>
    </row>
    <row r="193" spans="18:19" x14ac:dyDescent="0.3">
      <c r="R193" t="str">
        <f ca="1"/>
        <v/>
      </c>
      <c r="S193" t="str">
        <f ca="1"/>
        <v/>
      </c>
    </row>
    <row r="194" spans="18:19" x14ac:dyDescent="0.3">
      <c r="R194" t="str">
        <f ca="1"/>
        <v/>
      </c>
      <c r="S194" t="str">
        <f ca="1"/>
        <v/>
      </c>
    </row>
    <row r="195" spans="18:19" x14ac:dyDescent="0.3">
      <c r="R195" t="str">
        <f ca="1"/>
        <v/>
      </c>
      <c r="S195" t="str">
        <f ca="1"/>
        <v/>
      </c>
    </row>
    <row r="196" spans="18:19" x14ac:dyDescent="0.3">
      <c r="R196" t="str">
        <f ca="1"/>
        <v/>
      </c>
      <c r="S196" t="str">
        <f ca="1"/>
        <v/>
      </c>
    </row>
    <row r="197" spans="18:19" x14ac:dyDescent="0.3">
      <c r="R197" t="str">
        <f ca="1"/>
        <v/>
      </c>
      <c r="S197" t="str">
        <f ca="1"/>
        <v/>
      </c>
    </row>
    <row r="198" spans="18:19" x14ac:dyDescent="0.3">
      <c r="R198" t="str">
        <f ca="1"/>
        <v/>
      </c>
      <c r="S198" t="str">
        <f ca="1"/>
        <v/>
      </c>
    </row>
    <row r="199" spans="18:19" x14ac:dyDescent="0.3">
      <c r="R199" t="str">
        <f ca="1"/>
        <v/>
      </c>
      <c r="S199" t="str">
        <f ca="1"/>
        <v/>
      </c>
    </row>
    <row r="200" spans="18:19" x14ac:dyDescent="0.3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4.4" x14ac:dyDescent="0.3"/>
  <cols>
    <col min="1" max="1" width="41.88671875" customWidth="1"/>
    <col min="2" max="2" width="22.88671875" customWidth="1"/>
    <col min="3" max="3" width="7.5546875" customWidth="1"/>
    <col min="4" max="4" width="41.88671875" customWidth="1"/>
    <col min="5" max="5" width="22.88671875" customWidth="1"/>
    <col min="6" max="6" width="7.5546875" customWidth="1"/>
    <col min="7" max="7" width="41.88671875" customWidth="1"/>
  </cols>
  <sheetData>
    <row r="1" spans="1:7" ht="50.1" customHeight="1" x14ac:dyDescent="0.45">
      <c r="A1" s="218" t="s">
        <v>3155</v>
      </c>
      <c r="B1" s="218"/>
      <c r="C1" s="218"/>
      <c r="D1" s="218"/>
      <c r="E1" s="218"/>
      <c r="F1" s="218"/>
      <c r="G1" s="218"/>
    </row>
    <row r="2" spans="1:7" ht="9.9" customHeight="1" x14ac:dyDescent="0.3">
      <c r="A2" s="26"/>
      <c r="B2" s="26"/>
      <c r="C2" s="26"/>
      <c r="D2" s="26"/>
      <c r="E2" s="26"/>
      <c r="F2" s="26"/>
      <c r="G2" s="26"/>
    </row>
    <row r="3" spans="1:7" ht="15" thickBot="1" x14ac:dyDescent="0.35"/>
    <row r="4" spans="1:7" ht="24.9" customHeight="1" x14ac:dyDescent="0.3">
      <c r="A4" s="219" t="s">
        <v>3156</v>
      </c>
      <c r="B4" s="220"/>
      <c r="D4" s="221" t="s">
        <v>3157</v>
      </c>
      <c r="E4" s="222"/>
      <c r="G4" s="44" t="s">
        <v>3158</v>
      </c>
    </row>
    <row r="5" spans="1:7" ht="54.9" customHeight="1" thickBot="1" x14ac:dyDescent="0.9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3">
      <c r="A6" s="26"/>
      <c r="B6" s="26"/>
      <c r="C6" s="26"/>
      <c r="D6" s="26"/>
      <c r="E6" s="26"/>
      <c r="F6" s="26"/>
      <c r="G6" s="26"/>
    </row>
    <row r="8" spans="1:7" ht="17.399999999999999" x14ac:dyDescent="0.35">
      <c r="A8" s="216" t="s">
        <v>3160</v>
      </c>
      <c r="B8" s="216"/>
      <c r="D8" s="216" t="s">
        <v>3161</v>
      </c>
      <c r="E8" s="216"/>
    </row>
    <row r="9" spans="1:7" ht="5.0999999999999996" customHeight="1" x14ac:dyDescent="0.3">
      <c r="A9" s="217"/>
      <c r="B9" s="217"/>
      <c r="D9" s="217"/>
      <c r="E9" s="217"/>
    </row>
    <row r="10" spans="1:7" ht="24.9" customHeight="1" x14ac:dyDescent="0.3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" customHeight="1" x14ac:dyDescent="0.35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" customHeight="1" x14ac:dyDescent="0.35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" customHeight="1" x14ac:dyDescent="0.35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" customHeight="1" x14ac:dyDescent="0.35">
      <c r="A14" s="32" t="s">
        <v>3168</v>
      </c>
      <c r="B14" s="33">
        <f>SUM(B11:B13)</f>
        <v>67</v>
      </c>
      <c r="D14" s="32" t="s">
        <v>3169</v>
      </c>
      <c r="E14" s="33">
        <f>SUM(E11:E13)</f>
        <v>3539</v>
      </c>
    </row>
    <row r="30" spans="1:5" ht="17.399999999999999" x14ac:dyDescent="0.35">
      <c r="A30" s="216" t="s">
        <v>3170</v>
      </c>
      <c r="B30" s="216"/>
      <c r="C30" s="216"/>
      <c r="D30" s="216"/>
      <c r="E30" s="216"/>
    </row>
    <row r="31" spans="1:5" ht="5.0999999999999996" customHeight="1" x14ac:dyDescent="0.3">
      <c r="A31" s="217"/>
      <c r="B31" s="217"/>
      <c r="C31" s="217"/>
      <c r="D31" s="217"/>
      <c r="E31" s="217"/>
    </row>
    <row r="32" spans="1:5" ht="24.9" customHeight="1" x14ac:dyDescent="0.3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3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3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3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3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3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3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3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3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3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3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3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3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3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09375" defaultRowHeight="18" customHeight="1" x14ac:dyDescent="0.3"/>
  <cols>
    <col min="1" max="1" width="15.88671875" style="11" bestFit="1" customWidth="1"/>
    <col min="2" max="2" width="22" style="11" bestFit="1" customWidth="1"/>
    <col min="3" max="3" width="73.44140625" style="11" bestFit="1" customWidth="1"/>
    <col min="4" max="4" width="76.88671875" style="11" bestFit="1" customWidth="1"/>
    <col min="5" max="5" width="255.6640625" style="11" bestFit="1" customWidth="1"/>
    <col min="6" max="16384" width="9.109375" style="11"/>
  </cols>
  <sheetData>
    <row r="1" spans="1:5" ht="18" customHeight="1" x14ac:dyDescent="0.3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3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3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3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3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3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3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3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3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3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3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09375" defaultRowHeight="21" customHeight="1" x14ac:dyDescent="0.3"/>
  <cols>
    <col min="1" max="1" width="23" style="11" customWidth="1"/>
    <col min="2" max="2" width="20.33203125" style="11" customWidth="1"/>
    <col min="3" max="3" width="11" style="11" customWidth="1"/>
    <col min="4" max="4" width="20.88671875" style="11" customWidth="1"/>
    <col min="5" max="16384" width="9.109375" style="11"/>
  </cols>
  <sheetData>
    <row r="1" spans="1:4" ht="21" customHeight="1" x14ac:dyDescent="0.3">
      <c r="A1" s="14" t="s">
        <v>3203</v>
      </c>
      <c r="B1" s="5" t="s">
        <v>10</v>
      </c>
      <c r="C1" s="14" t="s">
        <v>3204</v>
      </c>
      <c r="D1" s="14" t="s">
        <v>3126</v>
      </c>
    </row>
    <row r="2" spans="1:4" ht="21" customHeight="1" x14ac:dyDescent="0.3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 x14ac:dyDescent="0.3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3">
      <c r="A4" s="13" t="s">
        <v>89</v>
      </c>
      <c r="B4" s="102" t="s">
        <v>228</v>
      </c>
      <c r="D4" s="11" t="s">
        <v>3057</v>
      </c>
    </row>
    <row r="5" spans="1:4" ht="21" customHeight="1" x14ac:dyDescent="0.3">
      <c r="A5" s="11" t="s">
        <v>233</v>
      </c>
      <c r="D5" s="11" t="s">
        <v>23</v>
      </c>
    </row>
    <row r="6" spans="1:4" ht="21" customHeight="1" x14ac:dyDescent="0.3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09375" defaultRowHeight="18" customHeight="1" x14ac:dyDescent="0.3"/>
  <cols>
    <col min="1" max="1" width="15.88671875" style="11" bestFit="1" customWidth="1"/>
    <col min="2" max="2" width="22" style="11" bestFit="1" customWidth="1"/>
    <col min="3" max="3" width="73.44140625" style="11" bestFit="1" customWidth="1"/>
    <col min="4" max="4" width="76.88671875" style="11" bestFit="1" customWidth="1"/>
    <col min="5" max="5" width="255.6640625" style="11" bestFit="1" customWidth="1"/>
    <col min="6" max="16384" width="9.109375" style="11"/>
  </cols>
  <sheetData>
    <row r="1" spans="1:5" ht="18" customHeight="1" x14ac:dyDescent="0.3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3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3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3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3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3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3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3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3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 x14ac:dyDescent="0.3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3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3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4.4" x14ac:dyDescent="0.3"/>
  <cols>
    <col min="1" max="1" width="10.44140625" customWidth="1"/>
    <col min="2" max="2" width="10.6640625" bestFit="1" customWidth="1"/>
    <col min="3" max="3" width="8.5546875" customWidth="1"/>
    <col min="4" max="4" width="66.6640625" customWidth="1"/>
    <col min="5" max="5" width="24.6640625" customWidth="1"/>
    <col min="6" max="6" width="14.33203125" customWidth="1"/>
    <col min="7" max="7" width="22.88671875" customWidth="1"/>
    <col min="8" max="8" width="16.109375" customWidth="1"/>
    <col min="9" max="9" width="8.5546875" customWidth="1"/>
  </cols>
  <sheetData>
    <row r="1" spans="1:8" ht="35.1" customHeight="1" x14ac:dyDescent="0.4">
      <c r="A1" s="223" t="s">
        <v>3221</v>
      </c>
      <c r="B1" s="223"/>
      <c r="C1" s="223"/>
      <c r="D1" s="223"/>
      <c r="E1" s="223"/>
      <c r="F1" s="223"/>
      <c r="G1" s="223"/>
      <c r="H1" s="223"/>
    </row>
    <row r="2" spans="1:8" x14ac:dyDescent="0.3">
      <c r="A2" s="48" t="s">
        <v>3222</v>
      </c>
    </row>
    <row r="4" spans="1:8" ht="21.9" customHeight="1" x14ac:dyDescent="0.3">
      <c r="A4" s="224" t="s">
        <v>3223</v>
      </c>
      <c r="B4" s="225"/>
      <c r="D4" s="224" t="s">
        <v>3224</v>
      </c>
      <c r="E4" s="225"/>
      <c r="G4" s="224" t="s">
        <v>3225</v>
      </c>
      <c r="H4" s="225"/>
    </row>
    <row r="5" spans="1:8" ht="35.1" customHeight="1" x14ac:dyDescent="0.3">
      <c r="A5" s="228">
        <f>COUNTIF('Ações InCompany'!E:E,"*maratona*")</f>
        <v>13</v>
      </c>
      <c r="B5" s="227"/>
      <c r="D5" s="226">
        <f>SUM(H8:H100)</f>
        <v>1762</v>
      </c>
      <c r="E5" s="227"/>
      <c r="G5" s="226">
        <f>IFERROR(ROUND(D5/A5,0),"-")</f>
        <v>136</v>
      </c>
      <c r="H5" s="227"/>
    </row>
    <row r="6" spans="1:8" ht="9.9" customHeight="1" x14ac:dyDescent="0.3"/>
    <row r="7" spans="1:8" ht="24.9" customHeight="1" thickBot="1" x14ac:dyDescent="0.35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3126</v>
      </c>
      <c r="G7" s="61" t="s">
        <v>5</v>
      </c>
      <c r="H7" s="61" t="s">
        <v>3230</v>
      </c>
    </row>
    <row r="8" spans="1:8" ht="20.100000000000001" customHeight="1" x14ac:dyDescent="0.3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3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3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3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3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3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3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3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3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3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3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3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3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6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4.4" x14ac:dyDescent="0.3"/>
  <cols>
    <col min="1" max="1" width="57.109375" customWidth="1"/>
    <col min="2" max="6" width="22.88671875" customWidth="1"/>
  </cols>
  <sheetData>
    <row r="1" spans="1:7" ht="18" x14ac:dyDescent="0.35">
      <c r="A1" s="229" t="s">
        <v>3231</v>
      </c>
      <c r="B1" s="229"/>
      <c r="C1" s="229"/>
      <c r="D1" s="229"/>
      <c r="E1" s="229"/>
      <c r="F1" s="229"/>
    </row>
    <row r="2" spans="1:7" x14ac:dyDescent="0.3">
      <c r="A2" s="230" t="s">
        <v>3232</v>
      </c>
      <c r="B2" s="230"/>
      <c r="C2" s="230"/>
      <c r="D2" s="230"/>
      <c r="E2" s="230"/>
      <c r="F2" s="230"/>
    </row>
    <row r="4" spans="1:7" x14ac:dyDescent="0.3">
      <c r="A4" s="24" t="s">
        <v>19</v>
      </c>
      <c r="B4" s="24" t="s">
        <v>3129</v>
      </c>
      <c r="C4" s="24" t="s">
        <v>3130</v>
      </c>
      <c r="D4" s="24" t="s">
        <v>3233</v>
      </c>
      <c r="E4" s="24" t="s">
        <v>3131</v>
      </c>
      <c r="F4" s="24" t="s">
        <v>3234</v>
      </c>
    </row>
    <row r="5" spans="1:7" x14ac:dyDescent="0.3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4</v>
      </c>
      <c r="C5" s="25">
        <f ca="1">IF($A5="","",SUMIFS('GECC 2026'!I$2:I$200,'GECC 2026'!F$2:F$200,$A5))</f>
        <v>1.2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5.2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3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3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3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3">
      <c r="A9" t="str">
        <f ca="1"/>
        <v>Ana Cristina Borges Carvalho</v>
      </c>
      <c r="B9" s="25">
        <f ca="1">IF($A9="","",SUMIFS('GECC 2026'!H$2:H$200,'GECC 2026'!F$2:F$200,$A9))</f>
        <v>12</v>
      </c>
      <c r="C9" s="25">
        <f ca="1">IF($A9="","",SUMIFS('GECC 2026'!I$2:I$200,'GECC 2026'!F$2:F$200,$A9))</f>
        <v>3.5999999999999996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15.600000000000001</v>
      </c>
      <c r="F9" s="23">
        <f ca="1">IF($A9="","",COUNTIFS('GECC 2026'!F$2:F$200,$A9))</f>
        <v>3</v>
      </c>
    </row>
    <row r="10" spans="1:7" x14ac:dyDescent="0.3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3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3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3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3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3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3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3">
      <c r="A17" t="str">
        <f ca="1"/>
        <v>Cinthia Thais de Carvalho Luz Thomazi</v>
      </c>
      <c r="B17" s="25">
        <f ca="1">IF($A17="","",SUMIFS('GECC 2026'!H$2:H$200,'GECC 2026'!F$2:F$200,$A17))</f>
        <v>51</v>
      </c>
      <c r="C17" s="25">
        <f ca="1">IF($A17="","",SUMIFS('GECC 2026'!I$2:I$200,'GECC 2026'!F$2:F$200,$A17))</f>
        <v>11.699999999999998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62.700000000000017</v>
      </c>
      <c r="F17" s="23">
        <f ca="1">IF($A17="","",COUNTIFS('GECC 2026'!F$2:F$200,$A17))</f>
        <v>12</v>
      </c>
    </row>
    <row r="18" spans="1:6" x14ac:dyDescent="0.3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3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3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3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3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3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3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3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3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3">
      <c r="A27" t="str">
        <f ca="1"/>
        <v>Fernanda Viana de Souza</v>
      </c>
      <c r="B27" s="25">
        <f ca="1">IF($A27="","",SUMIFS('GECC 2026'!H$2:H$200,'GECC 2026'!F$2:F$200,$A27))</f>
        <v>41</v>
      </c>
      <c r="C27" s="25">
        <f ca="1">IF($A27="","",SUMIFS('GECC 2026'!I$2:I$200,'GECC 2026'!F$2:F$200,$A27))</f>
        <v>12.3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53.3</v>
      </c>
      <c r="F27" s="23">
        <f ca="1">IF($A27="","",COUNTIFS('GECC 2026'!F$2:F$200,$A27))</f>
        <v>11</v>
      </c>
    </row>
    <row r="28" spans="1:6" x14ac:dyDescent="0.3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3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3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3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3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3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3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3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3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3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3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3">
      <c r="A39" t="str">
        <f ca="1"/>
        <v>Karine Caroline de Oliveira</v>
      </c>
      <c r="B39" s="25">
        <f ca="1">IF($A39="","",SUMIFS('GECC 2026'!H$2:H$200,'GECC 2026'!F$2:F$200,$A39))</f>
        <v>16</v>
      </c>
      <c r="C39" s="25">
        <f ca="1">IF($A39="","",SUMIFS('GECC 2026'!I$2:I$200,'GECC 2026'!F$2:F$200,$A39))</f>
        <v>4.8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20.8</v>
      </c>
      <c r="F39" s="23">
        <f ca="1">IF($A39="","",COUNTIFS('GECC 2026'!F$2:F$200,$A39))</f>
        <v>4</v>
      </c>
    </row>
    <row r="40" spans="1:6" x14ac:dyDescent="0.3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3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3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3">
      <c r="A43" t="str">
        <f ca="1"/>
        <v>Luiz Felipe Tenório de Lima Gondim</v>
      </c>
      <c r="B43" s="25">
        <f ca="1">IF($A43="","",SUMIFS('GECC 2026'!H$2:H$200,'GECC 2026'!F$2:F$200,$A43))</f>
        <v>32</v>
      </c>
      <c r="C43" s="25">
        <f ca="1">IF($A43="","",SUMIFS('GECC 2026'!I$2:I$200,'GECC 2026'!F$2:F$200,$A43))</f>
        <v>9.6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41.6</v>
      </c>
      <c r="F43" s="23">
        <f ca="1">IF($A43="","",COUNTIFS('GECC 2026'!F$2:F$200,$A43))</f>
        <v>8</v>
      </c>
    </row>
    <row r="44" spans="1:6" x14ac:dyDescent="0.3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3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 x14ac:dyDescent="0.3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3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3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 x14ac:dyDescent="0.3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 x14ac:dyDescent="0.3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 x14ac:dyDescent="0.3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3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 x14ac:dyDescent="0.3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 x14ac:dyDescent="0.3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 x14ac:dyDescent="0.3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 x14ac:dyDescent="0.3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 x14ac:dyDescent="0.3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 x14ac:dyDescent="0.3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 x14ac:dyDescent="0.3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3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 x14ac:dyDescent="0.3">
      <c r="A61" t="str">
        <f ca="1"/>
        <v>Valéria Feitoza</v>
      </c>
      <c r="B61" s="25">
        <f ca="1">IF($A61="","",SUMIFS('GECC 2026'!H$2:H$200,'GECC 2026'!F$2:F$200,$A61))</f>
        <v>2</v>
      </c>
      <c r="C61" s="25">
        <f ca="1">IF($A61="","",SUMIFS('GECC 2026'!I$2:I$200,'GECC 2026'!F$2:F$200,$A61))</f>
        <v>0.6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2.6</v>
      </c>
      <c r="F61" s="23">
        <f ca="1">IF($A61="","",COUNTIFS('GECC 2026'!F$2:F$200,$A61))</f>
        <v>3</v>
      </c>
    </row>
    <row r="62" spans="1:6" x14ac:dyDescent="0.3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 x14ac:dyDescent="0.3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 x14ac:dyDescent="0.3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3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3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3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3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3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3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3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3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3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3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3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3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3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3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3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3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3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3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3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3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3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3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3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3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3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3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3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3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3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3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3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3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3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3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3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3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3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3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3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3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3">
      <c r="A105" s="93" t="s">
        <v>3169</v>
      </c>
      <c r="B105" s="94">
        <f ca="1">SUM(B5:B100)</f>
        <v>888</v>
      </c>
      <c r="C105" s="94">
        <f ca="1">SUM(C5:C100)</f>
        <v>394.73999999999995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12.44140625" bestFit="1" customWidth="1"/>
    <col min="2" max="2" width="8.109375" bestFit="1" customWidth="1"/>
    <col min="3" max="3" width="18.6640625" bestFit="1" customWidth="1"/>
    <col min="4" max="4" width="8.6640625" bestFit="1" customWidth="1"/>
    <col min="5" max="5" width="12.33203125" bestFit="1" customWidth="1"/>
    <col min="6" max="6" width="22.6640625" bestFit="1" customWidth="1"/>
    <col min="7" max="7" width="11.88671875" bestFit="1" customWidth="1"/>
    <col min="8" max="8" width="24.5546875" bestFit="1" customWidth="1"/>
    <col min="9" max="9" width="21.5546875" bestFit="1" customWidth="1"/>
    <col min="10" max="10" width="11.5546875" bestFit="1" customWidth="1"/>
    <col min="11" max="11" width="30.33203125" bestFit="1" customWidth="1"/>
    <col min="12" max="12" width="19.88671875" bestFit="1" customWidth="1"/>
    <col min="14" max="14" width="45.88671875" bestFit="1" customWidth="1"/>
    <col min="15" max="15" width="6.109375" bestFit="1" customWidth="1"/>
    <col min="16" max="16" width="17.88671875" bestFit="1" customWidth="1"/>
    <col min="17" max="17" width="24.5546875" bestFit="1" customWidth="1"/>
    <col min="18" max="18" width="14.88671875" bestFit="1" customWidth="1"/>
    <col min="19" max="19" width="7.33203125" bestFit="1" customWidth="1"/>
  </cols>
  <sheetData>
    <row r="1" spans="1:19" x14ac:dyDescent="0.3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3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3125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3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3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3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3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3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3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3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3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3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3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3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3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3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3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3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3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3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3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3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3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3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3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3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3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3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3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3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3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3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3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3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3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3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3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3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3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3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3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3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3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3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3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3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3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3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3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3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3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3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3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3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3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3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3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3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3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3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3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3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3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3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3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3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5" priority="1">
      <formula>$J2="CORRIGIR"</formula>
    </cfRule>
  </conditionalFormatting>
  <conditionalFormatting sqref="A2:L65">
    <cfRule type="expression" dxfId="4" priority="2">
      <formula>$J2="REVISAR"</formula>
    </cfRule>
  </conditionalFormatting>
  <conditionalFormatting sqref="A2:L65">
    <cfRule type="expression" dxfId="3" priority="3">
      <formula>$J2="OK"</formula>
    </cfRule>
  </conditionalFormatting>
  <conditionalFormatting sqref="I2:I65">
    <cfRule type="containsText" dxfId="2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purl.org/dc/dcmitype/"/>
    <ds:schemaRef ds:uri="http://schemas.microsoft.com/office/2006/documentManagement/types"/>
    <ds:schemaRef ds:uri="fe686eaa-0658-4f15-b230-9e46c4d089fd"/>
    <ds:schemaRef ds:uri="http://purl.org/dc/elements/1.1/"/>
    <ds:schemaRef ds:uri="http://schemas.microsoft.com/office/infopath/2007/PartnerControls"/>
    <ds:schemaRef ds:uri="91ce1707-6d34-452b-b217-9734c03e6729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2026-10-06T20:41:59Z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