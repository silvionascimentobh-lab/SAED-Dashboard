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76" documentId="13_ncr:1_{6A2CC3E2-FAFB-4D8F-B284-5E8FB5045DFE}" xr6:coauthVersionLast="47" xr6:coauthVersionMax="47" xr10:uidLastSave="{76CA8011-0D8C-4552-9749-60F537A822EA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E105" i="23" l="1"/>
  <c r="A2" i="20"/>
  <c r="F6" i="23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A5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<sst xmlns="http://schemas.openxmlformats.org/spreadsheetml/2006/main" count="7241" uniqueCount="3185">
  <si>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</si>
  <si>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</si>
  <si>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</si>
  <si>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</si>
  <si>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</si>
  <si>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</si>
  <si>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</si>
  <si>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</si>
  <si>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</si>
  <si>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</si>
  <si>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</si>
  <si>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</si>
  <si>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</si>
  <si>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</si>
  <si>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</si>
  <si>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</si>
  <si>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</si>
  <si>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</si>
  <si>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</si>
  <si>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</si>
  <si>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</si>
  <si>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</si>
  <si>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</si>
  <si>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</si>
  <si>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</si>
  <si>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</si>
  <si>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</si>
  <si>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</si>
  <si>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</si>
  <si>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</si>
  <si>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</si>
  <si>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</si>
  <si>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</si>
  <si>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</si>
  <si>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</si>
  <si>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</si>
  <si>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</si>
  <si>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</si>
  <si>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</si>
  <si>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</si>
  <si>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</si>
  <si>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</si>
  <si>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</si>
  <si>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</si>
  <si>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</si>
  <si>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</si>
  <si>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</si>
  <si>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</si>
  <si>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</si>
  <si>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</si>
  <si>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</si>
  <si>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</si>
  <si>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</si>
  <si>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</si>
  <si>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</si>
  <si>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</si>
  <si>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</si>
  <si>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</si>
  <si>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</si>
  <si>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</si>
  <si>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</si>
  <si>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</si>
  <si>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</si>
  <si>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</si>
  <si>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</si>
  <si>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</si>
  <si>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</si>
  <si>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</si>
  <si>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</si>
  <si>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</si>
  <si>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</si>
  <si>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</si>
  <si>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</si>
  <si>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</si>
  <si>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</si>
  <si>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</si>
  <si>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</si>
  <si>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</si>
  <si>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</si>
  <si>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</si>
  <si>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</si>
  <si>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</si>
  <si>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</si>
  <si>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</si>
  <si>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</si>
  <si>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</si>
  <si>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</si>
  <si>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</si>
  <si>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</si>
  <si>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</si>
  <si>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</si>
  <si>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</si>
  <si>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</si>
  <si>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</si>
  <si>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</si>
  <si>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</si>
  <si>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</si>
  <si>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</si>
  <si>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</si>
  <si>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</si>
  <si>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</si>
  <si>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</si>
  <si>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</si>
  <si>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</si>
  <si>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</si>
  <si>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</si>
  <si>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</si>
  <si>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</si>
  <si>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</si>
  <si>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</si>
  <si>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</si>
  <si>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</si>
  <si>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</si>
  <si>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</si>
  <si>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</si>
  <si>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</si>
  <si>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</si>
  <si>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</si>
  <si>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</si>
  <si>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</si>
  <si>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</si>
  <si>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</si>
  <si>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</si>
  <si>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</si>
  <si>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</si>
  <si>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</si>
  <si>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</si>
  <si>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</si>
  <si>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</si>
  <si>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</si>
  <si>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</si>
  <si>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</si>
  <si>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</si>
  <si>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</si>
  <si>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</si>
  <si>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</si>
  <si>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</si>
  <si>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</si>
  <si>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</si>
  <si>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</si>
  <si>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</si>
  <si>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</si>
  <si>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</si>
  <si>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</si>
  <si>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</si>
  <si>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</si>
  <si>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</si>
  <si>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</si>
  <si>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</si>
  <si>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</si>
  <si>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</si>
  <si>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</si>
  <si>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</si>
  <si>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</si>
  <si>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</si>
  <si>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</si>
  <si>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</si>
  <si>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</si>
  <si>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</si>
  <si>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</si>
  <si>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</si>
  <si>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</si>
  <si>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</si>
  <si>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</si>
  <si>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</si>
  <si>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</si>
  <si>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</si>
  <si>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</si>
  <si>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</si>
  <si>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</si>
  <si>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</si>
  <si>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</si>
  <si>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</si>
  <si>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</si>
  <si>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</si>
  <si>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</si>
  <si>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</si>
  <si>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</si>
  <si>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</si>
  <si>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</si>
  <si>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</si>
  <si>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</si>
  <si>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</si>
  <si>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</si>
  <si>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</si>
  <si>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</si>
  <si>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</si>
  <si>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</si>
  <si>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</si>
  <si>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</si>
  <si>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</si>
  <si>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</si>
  <si>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</si>
  <si>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</si>
  <si>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</si>
  <si>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</si>
  <si>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</si>
  <si>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</si>
  <si>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</si>
  <si>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</si>
  <si>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</si>
  <si>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</si>
  <si>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</si>
  <si>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</si>
  <si>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</si>
  <si>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</si>
  <si>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</si>
  <si>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</si>
  <si>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</si>
  <si>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</si>
  <si>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</si>
  <si>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</si>
  <si>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</si>
  <si>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</si>
  <si>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</si>
  <si>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</si>
  <si>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</si>
  <si>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</si>
  <si>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</si>
  <si>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</si>
  <si>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</si>
  <si>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</si>
  <si>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</si>
  <si>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</si>
  <si>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</si>
  <si>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</si>
  <si>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</si>
  <si>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</si>
  <si>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</si>
  <si>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</si>
  <si>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</si>
  <si>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</si>
  <si>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</si>
  <si>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</si>
  <si>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</si>
  <si>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</si>
  <si>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</si>
  <si>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</si>
  <si>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</si>
  <si>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</si>
  <si>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</si>
  <si>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</si>
  <si>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</si>
  <si>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</si>
  <si>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</si>
  <si>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</si>
  <si>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</si>
  <si>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</si>
  <si>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</si>
  <si>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</si>
  <si>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</si>
  <si>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</si>
  <si>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</si>
  <si>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</si>
  <si>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</si>
  <si>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</si>
  <si>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</si>
  <si>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</si>
  <si>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</si>
  <si>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</si>
  <si>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</si>
  <si>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</si>
  <si>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</si>
  <si>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</si>
  <si>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</si>
  <si>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</si>
  <si>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</si>
  <si>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</si>
  <si>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</si>
  <si>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</si>
  <si>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</si>
  <si>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</si>
  <si>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</si>
  <si>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</si>
  <si>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</si>
  <si>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</si>
  <si>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</si>
  <si>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</si>
  <si>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</si>
  <si>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</si>
  <si>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</si>
  <si>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</si>
  <si>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</si>
  <si>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</si>
  <si>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</si>
  <si>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</si>
  <si>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</si>
  <si>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</si>
  <si>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</si>
  <si>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</si>
  <si>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</si>
  <si>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</si>
  <si>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</si>
  <si>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</si>
  <si>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</si>
  <si>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</si>
  <si>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</si>
  <si>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</si>
  <si>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</si>
  <si>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</si>
  <si>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</si>
  <si>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</si>
  <si>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</si>
  <si>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</si>
  <si>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</si>
  <si>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</si>
  <si>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</si>
  <si>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</si>
  <si>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</si>
  <si>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</si>
  <si>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</si>
  <si>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</si>
  <si>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</si>
  <si>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</si>
  <si>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</si>
  <si>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</si>
  <si>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</si>
  <si>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</si>
  <si>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</si>
  <si>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</si>
  <si>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</si>
  <si>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</si>
  <si>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</si>
  <si>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</si>
  <si>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</si>
  <si>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</si>
  <si>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</si>
  <si>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</si>
  <si>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</si>
  <si>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</si>
  <si>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</si>
  <si>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</si>
  <si>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</si>
  <si>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</si>
  <si>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</si>
  <si>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</si>
  <si>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</si>
  <si>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</si>
  <si>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</si>
  <si>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</si>
  <si>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</si>
  <si>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</si>
  <si>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</si>
  <si>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</si>
  <si>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</si>
  <si>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</si>
  <si>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</si>
  <si>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</si>
  <si>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</si>
  <si>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</si>
  <si>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</si>
  <si>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</si>
  <si>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</si>
  <si>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</si>
  <si>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</si>
  <si>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</si>
  <si>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</si>
  <si>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</si>
  <si>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</si>
  <si>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</si>
  <si>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</si>
  <si>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</si>
  <si>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</si>
  <si>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</si>
  <si>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</si>
  <si>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</si>
  <si>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</si>
  <si>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</si>
  <si>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</si>
  <si>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</si>
  <si>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</si>
  <si>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</si>
  <si>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</si>
  <si>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</si>
  <si>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</si>
  <si>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</si>
  <si>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</si>
  <si>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</si>
  <si>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</si>
  <si>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</si>
  <si>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</si>
  <si>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</si>
  <si>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</si>
  <si>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</si>
  <si>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</si>
  <si>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</si>
  <si>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</si>
  <si>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</si>
  <si>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</si>
  <si>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</si>
  <si>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</si>
  <si>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</si>
  <si>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</si>
  <si>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</si>
  <si>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</si>
  <si>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</si>
  <si>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</si>
  <si>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</si>
  <si>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</si>
  <si>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</si>
  <si>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</si>
  <si>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</si>
  <si>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</si>
  <si>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</si>
  <si>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</si>
  <si>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</si>
  <si>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</si>
  <si>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</si>
  <si>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</si>
  <si>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</si>
  <si>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</si>
  <si>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</si>
  <si>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</si>
  <si>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</si>
  <si>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</si>
  <si>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</si>
  <si>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</si>
  <si>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</si>
  <si>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</si>
  <si>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</si>
  <si>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</si>
  <si>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</si>
  <si>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</si>
  <si>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</si>
  <si>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</si>
  <si>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</si>
  <si>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</si>
  <si>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</si>
  <si>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</si>
  <si>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</si>
  <si>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</si>
  <si>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</si>
  <si>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</si>
  <si>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</si>
  <si>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</si>
  <si>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</si>
  <si>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</si>
  <si>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</si>
  <si>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</si>
  <si>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</si>
  <si>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</si>
  <si>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</si>
  <si>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</si>
  <si>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</si>
  <si>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</si>
  <si>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</si>
  <si>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</si>
  <si>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</si>
  <si>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</si>
  <si>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</si>
  <si>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</si>
  <si>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</si>
  <si>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</si>
  <si>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</si>
  <si>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</si>
  <si>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</si>
  <si>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</si>
  <si>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</si>
  <si>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</si>
  <si>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</si>
  <si>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</si>
  <si>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</si>
  <si>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</si>
  <si>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</si>
  <si>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</si>
  <si>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</si>
  <si>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</si>
  <si>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</si>
  <si>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</si>
  <si>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</si>
  <si>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</si>
  <si>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</si>
  <si>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</si>
  <si>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</si>
  <si>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</si>
  <si>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</si>
  <si>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</si>
  <si>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</si>
  <si>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</si>
  <si>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</si>
  <si>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</si>
  <si>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</si>
  <si>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</si>
  <si>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</si>
  <si>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</si>
  <si>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</si>
  <si>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</si>
  <si>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</si>
  <si>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</si>
  <si>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</si>
  <si>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</si>
  <si>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</si>
  <si>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</si>
  <si>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</si>
  <si>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</si>
  <si>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</si>
  <si>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</si>
  <si>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</si>
  <si>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</si>
  <si>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</si>
  <si>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</si>
  <si>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</si>
  <si>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</si>
  <si>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</si>
  <si>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</si>
  <si>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</si>
  <si>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</si>
  <si>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</si>
  <si>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</si>
  <si>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</si>
  <si>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</si>
  <si>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</si>
  <si>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</si>
  <si>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</si>
  <si>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</si>
  <si>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</si>
  <si>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</si>
  <si>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</si>
  <si>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</si>
  <si>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</si>
  <si>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</si>
  <si>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</si>
  <si>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</si>
  <si>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</si>
  <si>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</si>
  <si>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</si>
  <si>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</si>
  <si>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</si>
  <si>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</si>
  <si>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</si>
  <si>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</si>
  <si>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</si>
  <si>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</si>
  <si>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</si>
  <si>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</si>
  <si>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</si>
  <si>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</si>
  <si>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</si>
  <si>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</si>
  <si>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</si>
  <si>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</si>
  <si>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</si>
  <si>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</si>
  <si>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</si>
  <si>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</si>
  <si>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</si>
  <si>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</si>
  <si>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</si>
  <si>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</si>
  <si>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</si>
  <si>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</si>
  <si>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</si>
  <si>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</si>
  <si>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</si>
  <si>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</si>
  <si>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</si>
  <si>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</si>
  <si>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</si>
  <si>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</si>
  <si>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</si>
  <si>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</si>
  <si>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</si>
  <si>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</si>
  <si>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</si>
  <si>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</si>
  <si>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</si>
  <si>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</si>
  <si>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</si>
  <si>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</si>
  <si>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</si>
  <si>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</si>
  <si>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</si>
  <si>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</si>
  <si>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</si>
  <si>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</si>
  <si>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</si>
  <si>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</si>
  <si>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</si>
  <si>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</si>
  <si>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</si>
  <si>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</si>
  <si>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</si>
  <si>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</si>
  <si>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</si>
  <si>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</si>
  <si>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</si>
  <si>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</si>
  <si>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</si>
  <si>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</si>
  <si>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</si>
  <si>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</si>
  <si>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</si>
  <si>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</si>
  <si>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</si>
  <si>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</si>
  <si>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</si>
  <si>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</si>
  <si>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</si>
  <si>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</si>
  <si>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</si>
  <si>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</si>
  <si>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</si>
  <si>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</si>
  <si>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</si>
  <si>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</si>
  <si>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</si>
  <si>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</si>
  <si>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</si>
  <si>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</si>
  <si>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</si>
  <si>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</si>
  <si>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</si>
  <si>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</si>
  <si>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</si>
  <si>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</si>
  <si>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</si>
  <si>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</si>
  <si>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</si>
  <si>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</si>
  <si>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</si>
  <si>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</si>
  <si>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</si>
  <si>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</si>
  <si>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</si>
  <si>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</si>
  <si>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</si>
  <si>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</si>
  <si>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</si>
  <si>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</si>
  <si>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</si>
  <si>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</si>
  <si>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</si>
  <si>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</si>
  <si>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</si>
  <si>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</si>
  <si>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</si>
  <si>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</si>
  <si>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</si>
  <si>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</si>
  <si>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</si>
  <si>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</si>
  <si>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</si>
  <si>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</si>
  <si>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</si>
  <si>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</si>
  <si>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</si>
  <si>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</si>
  <si>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</si>
  <si>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</si>
  <si>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</si>
  <si>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</si>
  <si>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</si>
  <si>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</si>
  <si>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</si>
  <si>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</si>
  <si>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</si>
  <si>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</si>
  <si>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</si>
  <si>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</si>
  <si>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</si>
  <si>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</si>
  <si>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</si>
  <si>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</si>
  <si>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</si>
  <si>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</si>
  <si>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</si>
  <si>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</si>
  <si>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</si>
  <si>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</si>
  <si>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</si>
  <si>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</si>
  <si>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</si>
  <si>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</si>
  <si>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</si>
  <si>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</si>
  <si>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</si>
  <si>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</si>
  <si>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</si>
  <si>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</si>
  <si>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</si>
  <si>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</si>
  <si>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</si>
  <si>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</si>
  <si>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</si>
  <si>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</si>
  <si>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</si>
  <si>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</si>
  <si>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</si>
  <si>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</si>
  <si>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</si>
  <si>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</si>
  <si>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</si>
  <si>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</si>
  <si>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</si>
  <si>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</si>
  <si>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</si>
  <si>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</si>
  <si>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</si>
  <si>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</si>
  <si>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</si>
  <si>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</si>
  <si>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</si>
  <si>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</si>
  <si>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</si>
  <si>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</si>
  <si>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</si>
  <si>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</si>
  <si>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</si>
  <si>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</si>
  <si>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</si>
  <si>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</si>
  <si>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</si>
  <si>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</si>
  <si>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</si>
  <si>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</si>
  <si>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</si>
  <si>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</si>
  <si>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</si>
  <si>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</si>
  <si>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</si>
  <si>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</si>
  <si>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</si>
  <si>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</si>
  <si>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</si>
  <si>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</si>
  <si>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</si>
  <si>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</si>
  <si>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</si>
  <si>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</si>
  <si>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</si>
  <si>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</si>
  <si>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</si>
  <si>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</si>
  <si>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</si>
  <si>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</si>
  <si>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</si>
  <si>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</si>
  <si>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</si>
  <si>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</si>
  <si>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</si>
  <si>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</si>
  <si>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</si>
  <si>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</si>
  <si>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</si>
  <si>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</si>
  <si>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</si>
  <si>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</si>
  <si>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</si>
  <si>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</si>
  <si>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</si>
  <si>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</si>
  <si>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</si>
  <si>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</si>
  <si>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</si>
  <si>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</si>
  <si>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</si>
  <si>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</si>
  <si>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</si>
  <si>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</si>
  <si>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</si>
  <si>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</si>
  <si>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</si>
  <si>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</si>
  <si>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</si>
  <si>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</si>
  <si>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</si>
  <si>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</si>
  <si>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</si>
  <si>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</si>
  <si>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</si>
  <si>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</si>
  <si>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</si>
  <si>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</si>
  <si>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</si>
  <si>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</si>
  <si>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</si>
  <si>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</si>
  <si>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</si>
  <si>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</si>
  <si>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</si>
  <si>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</si>
  <si>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</si>
  <si>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</si>
  <si>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</si>
  <si>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</si>
  <si>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</si>
  <si>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</si>
  <si>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</si>
  <si>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</si>
  <si>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</si>
  <si>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</si>
  <si>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</si>
  <si>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</si>
  <si>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</si>
  <si>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</si>
  <si>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</si>
  <si>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</si>
  <si>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</si>
  <si>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</si>
  <si>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</si>
  <si>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</si>
  <si>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</si>
  <si>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</si>
  <si>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</si>
  <si>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</si>
  <si>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</si>
  <si>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</si>
  <si>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</si>
  <si>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</si>
  <si>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</si>
  <si>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</si>
  <si>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</si>
  <si>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</si>
  <si>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</si>
  <si>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</si>
  <si>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</si>
  <si>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</si>
  <si>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</si>
  <si>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</si>
  <si>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</si>
  <si>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</si>
  <si>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</si>
  <si>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</si>
  <si>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</si>
  <si>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</si>
  <si>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</si>
  <si>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</si>
  <si>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</si>
  <si>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</si>
  <si>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</si>
  <si>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</si>
  <si>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</si>
  <si>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</si>
  <si>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</si>
  <si>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</si>
  <si>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</si>
  <si>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</si>
  <si>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</si>
  <si>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</si>
  <si>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</si>
  <si>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</si>
  <si>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</si>
  <si>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</si>
  <si>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</si>
  <si>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</si>
  <si>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</si>
  <si>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</si>
  <si>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</si>
  <si>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</si>
  <si>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</si>
  <si>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</si>
  <si>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</si>
  <si>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</si>
  <si>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</si>
  <si>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</si>
  <si>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</si>
  <si>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</si>
  <si>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</si>
  <si>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</si>
  <si>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</si>
  <si>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</si>
  <si>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</si>
  <si>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</si>
  <si>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</si>
  <si>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</si>
  <si>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</si>
  <si>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</si>
  <si>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</si>
  <si>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</si>
  <si>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</si>
  <si>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</si>
  <si>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</si>
  <si>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</si>
  <si>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</si>
  <si>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</si>
  <si>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</si>
  <si>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</si>
  <si>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</si>
  <si>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</si>
  <si>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</si>
  <si>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</si>
  <si>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</si>
  <si>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</si>
  <si>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</si>
  <si>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</si>
  <si>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</si>
  <si>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</si>
  <si>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</si>
  <si>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</si>
  <si>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</si>
  <si>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</si>
  <si>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</si>
  <si>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</si>
  <si>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</si>
  <si>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</si>
  <si>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</si>
  <si>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</si>
  <si>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</si>
  <si>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</si>
  <si>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</si>
  <si>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</si>
  <si>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</si>
  <si>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</si>
  <si>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</si>
  <si>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</si>
  <si>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</si>
  <si>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</si>
  <si>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</si>
  <si>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</si>
  <si>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</si>
  <si>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</si>
  <si>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</si>
  <si>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</si>
  <si>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</si>
  <si>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</si>
  <si>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</si>
  <si>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</si>
  <si>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</si>
  <si>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</si>
  <si>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</si>
  <si>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</si>
  <si>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</si>
  <si>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</si>
  <si>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</si>
  <si>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</si>
  <si>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</si>
  <si>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</si>
  <si>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</si>
  <si>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</si>
  <si>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</si>
  <si>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</si>
  <si>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</si>
  <si>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</si>
  <si>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</si>
  <si>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</si>
  <si>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</si>
  <si>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</si>
  <si>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</si>
  <si>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</si>
  <si>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</si>
  <si>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</si>
  <si>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</si>
  <si>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</si>
  <si>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</si>
  <si>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</si>
  <si>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</si>
  <si>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</si>
  <si>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</si>
  <si>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</si>
  <si>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</si>
  <si>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</si>
  <si>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</si>
  <si>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</si>
  <si>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</si>
  <si>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</si>
  <si>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</si>
  <si>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</si>
  <si>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</si>
  <si>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</si>
  <si>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</si>
  <si>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</si>
  <si>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</si>
  <si>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</si>
  <si>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</si>
  <si>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</si>
  <si>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</si>
  <si>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</si>
  <si>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</si>
  <si>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</si>
  <si>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</si>
  <si>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</si>
  <si>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</si>
  <si>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</si>
  <si>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</si>
  <si>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</si>
  <si>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</si>
  <si>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</si>
  <si>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</si>
  <si>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</si>
  <si>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</si>
  <si>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</si>
  <si>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</si>
  <si>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</si>
  <si>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</si>
  <si>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</si>
  <si>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</si>
  <si>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</si>
  <si>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</si>
  <si>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</si>
  <si>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</si>
  <si>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</si>
  <si>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</si>
  <si>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</si>
  <si>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</si>
  <si>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</si>
  <si>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</si>
  <si>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</si>
  <si>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</si>
  <si>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</si>
  <si>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</si>
  <si>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</si>
  <si>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</si>
  <si>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</si>
  <si>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</si>
  <si>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</si>
  <si>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</si>
  <si>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</si>
  <si>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</si>
  <si>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</si>
  <si>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</si>
  <si>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</si>
  <si>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</si>
  <si>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</si>
  <si>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</si>
  <si>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</si>
  <si>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</si>
  <si>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</si>
  <si>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</si>
  <si>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</si>
  <si>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</si>
  <si>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</si>
  <si>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</si>
  <si>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</si>
  <si>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</si>
  <si>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</si>
  <si>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</si>
  <si>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</si>
  <si>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</si>
  <si>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</si>
  <si>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</si>
  <si>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</si>
  <si>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</si>
  <si>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</si>
  <si>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</si>
  <si>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</si>
  <si>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</si>
  <si>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</si>
  <si>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</si>
  <si>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</si>
  <si>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</si>
  <si>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</si>
  <si>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</si>
  <si>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</si>
  <si>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</si>
  <si>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</si>
  <si>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</si>
  <si>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</si>
  <si>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</si>
  <si>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</si>
  <si>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</si>
  <si>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</si>
  <si>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</si>
  <si>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</si>
  <si>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</si>
  <si>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</si>
  <si>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</si>
  <si>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</si>
  <si>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</si>
  <si>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</si>
  <si>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</si>
  <si>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</si>
  <si>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</si>
  <si>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</si>
  <si>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</si>
  <si>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</si>
  <si>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</si>
  <si>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</si>
  <si>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</si>
  <si>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</si>
  <si>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</si>
  <si>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</si>
  <si>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</si>
  <si>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</si>
  <si>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</si>
  <si>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</si>
  <si>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</si>
  <si>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</si>
  <si>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</si>
  <si>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</si>
  <si>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</si>
  <si>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</si>
  <si>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</si>
  <si>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</si>
  <si>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</si>
  <si>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</si>
  <si>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</si>
  <si>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</si>
  <si>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</si>
  <si>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</si>
  <si>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</si>
  <si>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</si>
  <si>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</si>
  <si>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</si>
  <si>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</si>
  <si>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</si>
  <si>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</si>
  <si>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</si>
  <si>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</si>
  <si>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</si>
  <si>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</si>
  <si>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</si>
  <si>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</si>
  <si>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</si>
  <si>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</si>
  <si>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</si>
  <si>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</si>
  <si>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</si>
  <si>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</si>
  <si>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</si>
  <si>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</si>
  <si>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</si>
  <si>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</si>
  <si>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</si>
  <si>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</si>
  <si>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</si>
  <si>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</si>
  <si>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</si>
  <si>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</si>
  <si>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</si>
  <si>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</si>
  <si>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</si>
  <si>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</si>
  <si>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</si>
  <si>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</si>
  <si>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</si>
  <si>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</si>
  <si>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</si>
  <si>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</si>
  <si>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</si>
  <si>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</si>
  <si>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</si>
  <si>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</si>
  <si>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</si>
  <si>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</si>
  <si>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</si>
  <si>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</si>
  <si>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</si>
  <si>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</si>
  <si>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</si>
  <si>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</si>
  <si>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</si>
  <si>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</si>
  <si>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</si>
  <si>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</si>
  <si>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</si>
  <si>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</si>
  <si>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</si>
  <si>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</si>
  <si>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</si>
  <si>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</si>
  <si>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</si>
  <si>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</si>
  <si>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</si>
  <si>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</si>
  <si>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</si>
  <si>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</si>
  <si>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</si>
  <si>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</si>
  <si>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</si>
  <si>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</si>
  <si>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</si>
  <si>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</si>
  <si>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</si>
  <si>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</si>
  <si>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</si>
  <si>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</si>
  <si>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</si>
  <si>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</si>
  <si>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</si>
  <si>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</si>
  <si>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</si>
  <si>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</si>
  <si>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</si>
  <si>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</si>
  <si>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</si>
  <si>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</si>
  <si>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</si>
  <si>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</si>
  <si>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</si>
  <si>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</si>
  <si>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</si>
  <si>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</si>
  <si>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</si>
  <si>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</si>
  <si>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</si>
  <si>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</si>
  <si>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</si>
  <si>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</si>
  <si>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</si>
  <si>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</si>
  <si>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</si>
  <si>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</si>
  <si>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</si>
  <si>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</si>
  <si>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</si>
  <si>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</si>
  <si>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</si>
  <si>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</si>
  <si>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</si>
  <si>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</si>
  <si>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</si>
  <si>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</si>
  <si>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</si>
  <si>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</si>
  <si>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</si>
  <si>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</si>
  <si>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</si>
  <si>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</si>
  <si>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</si>
  <si>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</si>
  <si>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</si>
  <si>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</si>
  <si>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</si>
  <si>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</si>
  <si>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</si>
  <si>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</si>
  <si>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</si>
  <si>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</si>
  <si>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</si>
  <si>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</si>
  <si>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</si>
  <si>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</si>
  <si>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</si>
  <si>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</si>
  <si>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</si>
  <si>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</si>
  <si>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</si>
  <si>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</si>
  <si>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</si>
  <si>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</si>
  <si>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</si>
  <si>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</si>
  <si>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</si>
  <si>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</si>
  <si>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</si>
  <si>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</si>
  <si>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</si>
  <si>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</si>
  <si>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</si>
  <si>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</si>
  <si>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</si>
  <si>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</si>
  <si>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</si>
  <si>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</si>
  <si>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</si>
  <si>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</si>
  <si>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</si>
  <si>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</si>
  <si>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</si>
  <si>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</si>
  <si>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</si>
  <si>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</si>
  <si>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</si>
  <si>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</si>
  <si>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</si>
  <si>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</si>
  <si>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</si>
  <si>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</si>
  <si>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</si>
  <si>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</si>
  <si>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</si>
  <si>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</si>
  <si>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</si>
  <si>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</si>
  <si>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</si>
  <si>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</si>
  <si>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</si>
  <si>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</si>
  <si>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</si>
  <si>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</si>
  <si>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</si>
  <si>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</si>
  <si>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</si>
  <si>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</si>
  <si>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</si>
  <si>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</si>
  <si>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</si>
  <si>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</si>
  <si>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</si>
  <si>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</si>
  <si>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</si>
  <si>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</si>
  <si>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</si>
  <si>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</si>
  <si>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</si>
  <si>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</si>
  <si>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</si>
  <si>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</si>
  <si>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</si>
  <si>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</si>
  <si>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</si>
  <si>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</si>
  <si>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</si>
  <si>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</si>
  <si>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</si>
  <si>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</si>
  <si>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</si>
  <si>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</si>
  <si>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</si>
  <si>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</si>
  <si>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</si>
  <si>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</si>
  <si>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</si>
  <si>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</si>
  <si>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</si>
  <si>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</si>
  <si>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</si>
  <si>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</si>
  <si>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</si>
  <si>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</si>
  <si>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</si>
  <si>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</si>
  <si>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</si>
  <si>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</si>
  <si>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</si>
  <si>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</si>
  <si>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</si>
  <si>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</si>
  <si>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</si>
  <si>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</si>
  <si>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</si>
  <si>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</si>
  <si>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</si>
  <si>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</si>
  <si>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</si>
  <si>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</si>
  <si>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</si>
  <si>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</si>
  <si>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</si>
  <si>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</si>
  <si>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</si>
  <si>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</si>
  <si>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</si>
  <si>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</si>
  <si>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</si>
  <si>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</si>
  <si>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</si>
  <si>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</si>
  <si>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</si>
  <si>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</si>
  <si>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</si>
  <si>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</si>
  <si>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</si>
  <si>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</si>
  <si>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</si>
  <si>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</si>
  <si>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</si>
  <si>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</si>
  <si>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</si>
  <si>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</si>
  <si>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</si>
  <si>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</si>
  <si>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</si>
  <si>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</si>
  <si>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</si>
  <si>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</si>
  <si>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</si>
  <si>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</si>
  <si>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</si>
  <si>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</si>
  <si>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</si>
  <si>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</si>
  <si>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</si>
  <si>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</si>
  <si>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</si>
  <si>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</si>
  <si>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</si>
  <si>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</si>
  <si>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</si>
  <si>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</si>
  <si>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</si>
  <si>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</si>
  <si>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</si>
  <si>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</si>
  <si>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</si>
  <si>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</si>
  <si>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</si>
  <si>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</si>
  <si>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</si>
  <si>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</si>
  <si>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</si>
  <si>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</si>
  <si>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</si>
  <si>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</si>
  <si>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</si>
  <si>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</si>
  <si>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</si>
  <si>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</si>
  <si>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</si>
  <si>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</si>
  <si>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</si>
  <si>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</si>
  <si>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</si>
  <si>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</si>
  <si>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</si>
  <si>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</si>
  <si>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</si>
  <si>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</si>
  <si>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</si>
  <si>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</si>
  <si>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</si>
  <si>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</si>
  <si>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</si>
  <si>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</si>
  <si>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</si>
  <si>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</si>
  <si>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</si>
  <si>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</si>
  <si>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</si>
  <si>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</si>
  <si>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</si>
  <si>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</si>
  <si>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</si>
  <si>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</si>
  <si>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</si>
  <si>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</si>
  <si>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</si>
  <si>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</si>
  <si>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</si>
  <si>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</si>
  <si>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</si>
  <si>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</si>
  <si>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</si>
  <si>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</si>
  <si>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</si>
  <si>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</si>
  <si>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</si>
  <si>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</si>
  <si>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</si>
  <si>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</si>
  <si>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</si>
  <si>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</si>
  <si>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</si>
  <si>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</si>
  <si>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</si>
  <si>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</si>
  <si>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</si>
  <si>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</si>
  <si>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</si>
  <si>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</si>
  <si>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</si>
  <si>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</si>
  <si>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</si>
  <si>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</si>
  <si>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</si>
  <si>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</si>
  <si>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</si>
  <si>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</si>
  <si>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</si>
  <si>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</si>
  <si>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</si>
  <si>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</si>
  <si>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</si>
  <si>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</si>
  <si>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</si>
  <si>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</si>
  <si>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</si>
  <si>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</si>
  <si>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</si>
  <si>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</si>
  <si>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</si>
  <si>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</si>
  <si>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</si>
  <si>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</si>
  <si>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</si>
  <si>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</si>
  <si>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</si>
  <si>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</si>
  <si>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</si>
  <si>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</si>
  <si>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</si>
  <si>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</si>
  <si>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</si>
  <si>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</si>
  <si>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</si>
  <si>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</si>
  <si>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</si>
  <si>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</si>
  <si>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</si>
  <si>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</si>
  <si>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</si>
  <si>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</si>
  <si>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</si>
  <si>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</si>
  <si>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</si>
  <si>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</si>
  <si>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</si>
  <si>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</si>
  <si>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</si>
  <si>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</si>
  <si>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</si>
  <si>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</si>
  <si>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</si>
  <si>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</si>
  <si>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</si>
  <si>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</si>
  <si>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</si>
  <si>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</si>
  <si>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</si>
  <si>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</si>
  <si>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</si>
  <si>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</si>
  <si>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</si>
  <si>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</si>
  <si>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</si>
  <si>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</si>
  <si>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</si>
  <si>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</si>
  <si>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</si>
  <si>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</si>
  <si>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</si>
  <si>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</si>
  <si>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</si>
  <si>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</si>
  <si>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</si>
  <si>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</si>
  <si>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</si>
  <si>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</si>
  <si>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</si>
  <si>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</si>
  <si>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</si>
  <si>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</si>
  <si>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</si>
  <si>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</si>
  <si>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</si>
  <si>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</si>
  <si>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</si>
  <si>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</si>
  <si>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</si>
  <si>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</si>
  <si>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</si>
  <si>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</si>
  <si>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</si>
  <si>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</si>
  <si>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</si>
  <si>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</si>
  <si>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</si>
  <si>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</si>
  <si>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</si>
  <si>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</si>
  <si>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</si>
  <si>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</si>
  <si>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</si>
  <si>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</si>
  <si>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</si>
  <si>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</si>
  <si>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</si>
  <si>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</si>
  <si>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</si>
  <si>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</si>
  <si>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</si>
  <si>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</si>
  <si>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</si>
  <si>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</si>
  <si>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</si>
  <si>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</si>
  <si>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</si>
  <si>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</si>
  <si>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</si>
  <si>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</si>
  <si>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</si>
  <si>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</si>
  <si>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</si>
  <si>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</si>
  <si>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</si>
  <si>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</si>
  <si>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</si>
  <si>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</si>
  <si>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</si>
  <si>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</si>
  <si>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</si>
  <si>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</si>
  <si>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</si>
  <si>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</si>
  <si>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</si>
  <si>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</si>
  <si>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</si>
  <si>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</si>
  <si>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</si>
  <si>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</si>
  <si>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</si>
  <si>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</si>
  <si>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</si>
  <si>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</si>
  <si>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</si>
  <si>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</si>
  <si>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</si>
  <si>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</si>
  <si>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</si>
  <si>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</si>
  <si>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</si>
  <si>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</si>
  <si>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</si>
  <si>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</si>
  <si>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</si>
  <si>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</si>
  <si>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</si>
  <si>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</si>
  <si>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</si>
  <si>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</si>
  <si>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</si>
  <si>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</si>
  <si>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</si>
  <si>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</si>
  <si>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</si>
  <si>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</si>
  <si>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</si>
  <si>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</si>
  <si>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</si>
  <si>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</si>
  <si>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</si>
  <si>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</si>
  <si>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</si>
  <si>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</si>
  <si>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</si>
  <si>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</si>
  <si>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</si>
  <si>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</si>
  <si>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</si>
  <si>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</si>
  <si>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</si>
  <si>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</si>
  <si>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</si>
  <si>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</si>
  <si>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</si>
  <si>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</si>
  <si>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</si>
  <si>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</si>
  <si>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</si>
  <si>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</si>
  <si>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</si>
  <si>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</si>
  <si>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</si>
  <si>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</si>
  <si>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</si>
  <si>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</si>
  <si>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</si>
  <si>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</si>
  <si>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</si>
  <si>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</si>
  <si>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</si>
  <si>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</si>
  <si>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</si>
  <si>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</si>
  <si>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</si>
  <si>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</si>
  <si>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</si>
  <si>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</si>
  <si>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</si>
  <si>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</si>
  <si>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</si>
  <si>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</si>
  <si>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</si>
  <si>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</si>
  <si>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</si>
  <si>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</si>
  <si>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</si>
  <si>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</si>
  <si>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</si>
  <si>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</si>
  <si>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</si>
  <si>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</si>
  <si>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</si>
  <si>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</si>
  <si>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</si>
  <si>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</si>
  <si>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</si>
  <si>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</si>
  <si>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</si>
  <si>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</si>
  <si>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</si>
  <si>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</si>
  <si>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</si>
  <si>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</si>
  <si>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</si>
  <si>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</si>
  <si>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</si>
  <si>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</si>
  <si>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</si>
  <si>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</si>
  <si>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</si>
  <si>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</si>
  <si>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</si>
  <si>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</si>
  <si>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</si>
  <si>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</si>
  <si>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</si>
  <si>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</si>
  <si>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</si>
  <si>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</si>
  <si>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</si>
  <si>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</si>
  <si>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</si>
  <si>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</si>
  <si>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</si>
  <si>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</si>
  <si>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</si>
  <si>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</si>
  <si>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</si>
  <si>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</si>
  <si>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</si>
  <si>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</si>
  <si>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</si>
  <si>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</si>
  <si>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</si>
  <si>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</si>
  <si>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</si>
  <si>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</si>
  <si>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</si>
  <si>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</si>
  <si>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</si>
  <si>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</si>
  <si>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</si>
  <si>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</si>
  <si>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</si>
  <si>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</si>
  <si>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</si>
  <si>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</si>
  <si>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</si>
  <si>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</si>
  <si>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</si>
  <si>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</si>
  <si>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</si>
  <si>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</si>
  <si>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</si>
  <si>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</si>
  <si>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</si>
  <si>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</si>
  <si>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</si>
  <si>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</si>
  <si>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</si>
  <si>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</si>
  <si>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</si>
  <si>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</si>
  <si>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</si>
  <si>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</si>
  <si>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</si>
  <si>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</si>
  <si>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</si>
  <si>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</si>
  <si>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</si>
  <si>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</si>
  <si>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</si>
  <si>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</si>
  <si>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</si>
  <si>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</si>
  <si>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</si>
  <si>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</si>
  <si>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</si>
  <si>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</si>
  <si>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</si>
  <si>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</si>
  <si>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</si>
  <si>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</si>
  <si>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</si>
  <si>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</si>
  <si>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</si>
  <si>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</si>
  <si>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</si>
  <si>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</si>
  <si>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</si>
  <si>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</si>
  <si>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</si>
  <si>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</si>
  <si>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</si>
  <si>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</si>
  <si>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</si>
  <si>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</si>
  <si>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</si>
  <si>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</si>
  <si>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</si>
  <si>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</si>
  <si>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</si>
  <si>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</si>
  <si>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</si>
  <si>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</si>
  <si>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</si>
  <si>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</si>
  <si>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</si>
  <si>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</si>
  <si>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</si>
  <si>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</si>
  <si>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</si>
  <si>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</si>
  <si>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</si>
  <si>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</si>
  <si>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</si>
  <si>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</si>
  <si>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</si>
  <si>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</si>
  <si>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</si>
  <si>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</si>
  <si>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</si>
  <si>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</si>
  <si>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</si>
  <si>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</si>
  <si>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</si>
  <si>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</si>
  <si>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</si>
  <si>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</si>
  <si>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</si>
  <si>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</si>
  <si>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</si>
  <si>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</si>
  <si>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</si>
  <si>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</si>
  <si>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</si>
  <si>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</si>
  <si>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</si>
  <si>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</si>
  <si>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</si>
  <si>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</si>
  <si>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</si>
  <si>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</si>
  <si>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</si>
  <si>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</si>
  <si>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</si>
  <si>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</si>
  <si>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</si>
  <si>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</si>
  <si>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</si>
  <si>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</si>
  <si>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</si>
  <si>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</si>
  <si>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</si>
  <si>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</si>
  <si>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</si>
  <si>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</si>
  <si>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</si>
  <si>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</si>
  <si>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</si>
  <si>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</si>
  <si>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</si>
  <si>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</si>
  <si>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</si>
  <si>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</si>
  <si>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</si>
  <si>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</si>
  <si>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</si>
  <si>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</si>
  <si>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</si>
  <si>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</si>
  <si>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</si>
  <si>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</si>
  <si>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</si>
  <si>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</si>
  <si>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</si>
  <si>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</si>
  <si>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</si>
  <si>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</si>
  <si>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</si>
  <si>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</si>
  <si>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</si>
  <si>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</si>
  <si>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</si>
  <si>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</si>
  <si>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</si>
  <si>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</si>
  <si>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</si>
  <si>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</si>
  <si>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</si>
  <si>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</si>
  <si>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</si>
  <si>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</si>
  <si>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</si>
  <si>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</si>
  <si>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</si>
  <si>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</si>
  <si>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</si>
  <si>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</si>
  <si>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</si>
  <si>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</si>
  <si>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</si>
  <si>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</si>
  <si>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</si>
  <si>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</si>
  <si>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</si>
  <si>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</si>
  <si>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</si>
  <si>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</si>
  <si>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</si>
  <si>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</si>
  <si>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</si>
  <si>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</si>
  <si>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</si>
  <si>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</si>
  <si>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</si>
  <si>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</si>
  <si>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</si>
  <si>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</si>
  <si>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</si>
  <si>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</si>
  <si>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</si>
  <si>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</si>
  <si>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</si>
  <si>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</si>
  <si>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</si>
  <si>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</si>
  <si>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</si>
  <si>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</si>
  <si>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</si>
  <si>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</si>
  <si>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</si>
  <si>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</si>
  <si>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</si>
  <si>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</si>
  <si>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</si>
  <si>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</si>
  <si>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</si>
  <si>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</si>
  <si>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</si>
  <si>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</si>
  <si>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</si>
  <si>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</si>
  <si>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</si>
  <si>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</si>
  <si>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</si>
  <si>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</si>
  <si>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</si>
  <si>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</si>
  <si>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</si>
  <si>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</si>
  <si>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</si>
  <si>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</si>
  <si>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</si>
  <si>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</si>
  <si>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</si>
  <si>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</si>
  <si>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</si>
  <si>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</si>
  <si>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</si>
  <si>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</si>
  <si>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</si>
  <si>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</si>
  <si>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</si>
  <si>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</si>
  <si>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</si>
  <si>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</si>
  <si>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</si>
  <si>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</si>
  <si>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</si>
  <si>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</si>
  <si>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</si>
  <si>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</si>
  <si>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</si>
  <si>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</si>
  <si>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</si>
  <si>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</si>
  <si>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</si>
  <si>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</si>
  <si>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</si>
  <si>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</si>
  <si>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</si>
  <si>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</si>
  <si>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</si>
  <si>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</si>
  <si>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</si>
  <si>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</si>
  <si>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</si>
  <si>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</si>
  <si>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</si>
  <si>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</si>
  <si>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</si>
  <si>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</si>
  <si>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</si>
  <si>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</si>
  <si>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</si>
  <si>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</si>
  <si>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</si>
  <si>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</si>
  <si>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</si>
  <si>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</si>
  <si>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</si>
  <si>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</si>
  <si>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</si>
  <si>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</si>
  <si>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</si>
  <si>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</si>
  <si>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</si>
  <si>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</si>
  <si>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</si>
  <si>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</si>
  <si>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</si>
  <si>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</si>
  <si>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</si>
  <si>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</si>
  <si>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</si>
  <si>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</si>
  <si>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</si>
  <si>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</si>
  <si>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</si>
  <si>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</si>
  <si>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</si>
  <si>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</si>
  <si>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</si>
  <si>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</si>
  <si>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</si>
  <si>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</si>
  <si>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</si>
  <si>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</si>
  <si>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</si>
  <si>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</si>
  <si>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</si>
  <si>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</si>
  <si>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</si>
  <si>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</si>
  <si>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</si>
  <si>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</si>
  <si>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</si>
  <si>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</si>
  <si>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</si>
  <si>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</si>
  <si>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</si>
  <si>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</si>
  <si>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</si>
  <si>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</si>
  <si>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</si>
  <si>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</si>
  <si>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</si>
  <si>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</si>
  <si>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</si>
  <si>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</si>
  <si>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</si>
  <si>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</si>
  <si>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</si>
  <si>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</si>
  <si>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</si>
  <si>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</si>
  <si>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</si>
  <si>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</si>
  <si>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</si>
  <si>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</si>
  <si>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</si>
  <si>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</si>
  <si>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</si>
  <si>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</si>
  <si>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</si>
  <si>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</si>
  <si>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</si>
  <si>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</si>
  <si>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</si>
  <si>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</si>
  <si>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</si>
  <si>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</si>
  <si>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</si>
  <si>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</si>
  <si>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</si>
  <si>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</si>
  <si>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</si>
  <si>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</si>
  <si>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</si>
  <si>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</si>
  <si>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</si>
  <si>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</si>
  <si>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</si>
  <si>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</si>
  <si>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</si>
  <si>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</si>
  <si>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</si>
  <si>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</si>
  <si>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</si>
  <si>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</si>
  <si>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</si>
  <si>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</si>
  <si>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</si>
  <si>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</si>
  <si>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</si>
  <si>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</si>
  <si>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</si>
  <si>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</si>
  <si>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</si>
  <si>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</si>
  <si>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</si>
  <si>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</si>
  <si>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</si>
  <si>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</si>
  <si>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</si>
  <si>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</si>
  <si>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</si>
  <si>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</si>
  <si>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</si>
  <si>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</si>
  <si>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</si>
  <si>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</si>
  <si>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</si>
  <si>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</si>
  <si>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</si>
  <si>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</si>
  <si>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</si>
  <si>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</si>
  <si>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</si>
  <si>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</si>
  <si>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</si>
  <si>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</si>
  <si>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</si>
  <si>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</si>
  <si>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</si>
  <si>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</si>
  <si>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</si>
  <si>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</si>
  <si>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</si>
  <si>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</si>
  <si>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</si>
  <si>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</si>
  <si>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</si>
  <si>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</si>
  <si>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</si>
  <si>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</si>
  <si>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</si>
  <si>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</si>
  <si>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</si>
  <si>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</si>
  <si>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</si>
  <si>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</si>
  <si>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</si>
  <si>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</si>
  <si>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</si>
  <si>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</si>
  <si>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</si>
  <si>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</si>
  <si>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</si>
  <si>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</si>
  <si>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</si>
  <si>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</si>
  <si>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</si>
  <si>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</si>
  <si>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</si>
  <si>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</si>
  <si>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</si>
  <si>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</si>
  <si>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</si>
  <si>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</si>
  <si>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</si>
  <si>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</si>
  <si>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</si>
  <si>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</si>
  <si>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</si>
  <si>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</si>
  <si>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</si>
  <si>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</si>
  <si>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</si>
  <si>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</si>
  <si>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</si>
  <si>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</si>
  <si>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</si>
  <si>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</si>
  <si>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</si>
  <si>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</si>
  <si>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</si>
  <si>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</si>
  <si>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</si>
  <si>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</si>
  <si>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</si>
  <si>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</si>
  <si>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</si>
  <si>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</si>
  <si>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</si>
  <si>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</si>
  <si>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</si>
  <si>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</si>
  <si>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</si>
  <si>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</si>
  <si>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</si>
  <si>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</si>
  <si>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</si>
  <si>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</si>
  <si>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</si>
  <si>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</si>
  <si>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</si>
  <si>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</si>
  <si>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</si>
  <si>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</si>
  <si>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</si>
  <si>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</si>
  <si>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</si>
  <si>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</si>
  <si>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</si>
  <si>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</si>
  <si>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</si>
  <si>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</si>
  <si>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</si>
  <si>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</si>
  <si>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</si>
  <si>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</si>
  <si>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</si>
  <si>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</si>
  <si>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</si>
  <si>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</si>
  <si>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</si>
  <si>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</si>
  <si>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</si>
  <si>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</si>
  <si>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</si>
  <si>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</si>
  <si>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</si>
  <si>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</si>
  <si>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</si>
  <si>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</si>
  <si>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</si>
  <si>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</si>
  <si>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</si>
  <si>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</si>
  <si>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</si>
  <si>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</si>
  <si>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</si>
  <si>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</si>
  <si>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</si>
  <si>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</si>
  <si>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</si>
  <si>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</si>
  <si>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</si>
  <si>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</si>
  <si>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</si>
  <si>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</si>
  <si>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</si>
  <si>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</si>
  <si>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</si>
  <si>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</si>
  <si>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</si>
  <si>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</si>
  <si>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</si>
  <si>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</si>
  <si>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</si>
  <si>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</si>
  <si>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</si>
  <si>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</si>
  <si>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</si>
  <si>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</si>
  <si>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</si>
  <si>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</si>
  <si>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</si>
  <si>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</si>
  <si>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</si>
  <si>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</si>
  <si>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</si>
  <si>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</si>
  <si>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</si>
  <si>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</si>
  <si>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</si>
  <si>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</si>
  <si>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</si>
  <si>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</si>
  <si>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</si>
  <si>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</si>
  <si>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</si>
  <si>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</si>
  <si>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</si>
  <si>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</si>
  <si>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</si>
  <si>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</si>
  <si>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</si>
  <si>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</si>
  <si>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</si>
  <si>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</si>
  <si>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</si>
  <si>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</si>
  <si>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</si>
  <si>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</si>
  <si>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</si>
  <si>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</si>
  <si>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</si>
  <si>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</si>
  <si>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</si>
  <si>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</si>
  <si>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</si>
  <si>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</si>
  <si>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</si>
  <si>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</si>
  <si>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</si>
  <si>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</si>
  <si>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</si>
  <si>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</si>
  <si>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</si>
  <si>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</si>
  <si>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</si>
  <si>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</si>
  <si>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</si>
  <si>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</si>
  <si>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</si>
  <si>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</si>
  <si>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</si>
  <si>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</si>
  <si>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</si>
  <si>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</si>
  <si>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</si>
  <si>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</si>
  <si>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</si>
  <si>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</si>
  <si>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</si>
  <si>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</si>
  <si>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</si>
  <si>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</si>
  <si>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</si>
  <si>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</si>
  <si>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</si>
  <si>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</si>
  <si>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</si>
  <si>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</si>
  <si>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</si>
  <si>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</si>
  <si>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</si>
  <si>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</si>
  <si>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</si>
  <si>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</si>
  <si>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</si>
  <si>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</si>
  <si>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</si>
  <si>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</si>
  <si>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</si>
  <si>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</si>
  <si>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</si>
  <si>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</si>
  <si>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</si>
  <si>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</si>
  <si>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</si>
  <si>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</si>
  <si>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</si>
  <si>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</si>
  <si>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</si>
  <si>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</si>
  <si>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</si>
  <si>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</si>
  <si>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</si>
  <si>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</si>
  <si>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</si>
  <si>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</si>
  <si>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</si>
  <si>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</si>
  <si>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</si>
  <si>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</si>
  <si>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</si>
  <si>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</si>
  <si>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</si>
  <si>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</si>
  <si>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</si>
  <si>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</si>
  <si>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</si>
  <si>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</si>
  <si>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</si>
  <si>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</si>
  <si>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</si>
  <si>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</si>
  <si>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</si>
  <si>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</si>
  <si>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</si>
  <si>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</si>
  <si>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</si>
  <si>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</si>
  <si>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</si>
  <si>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</si>
  <si>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</si>
  <si>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</si>
  <si>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</si>
  <si>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</si>
  <si>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</si>
  <si>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</si>
  <si>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</si>
  <si>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</si>
  <si>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</si>
  <si>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</si>
  <si>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</si>
  <si>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</si>
  <si>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</si>
  <si>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</si>
  <si>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</si>
  <si>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</si>
  <si>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</si>
  <si>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</si>
  <si>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</si>
  <si>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</si>
  <si>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</si>
  <si>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</si>
  <si>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</si>
  <si>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</si>
  <si>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</si>
  <si>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</si>
  <si>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</si>
  <si>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</si>
  <si>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</si>
  <si>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</si>
  <si>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</si>
  <si>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</si>
  <si>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</si>
  <si>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</si>
  <si>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</si>
  <si>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</si>
  <si>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</si>
  <si>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</si>
  <si>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</si>
  <si>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</si>
  <si>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</si>
  <si>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</si>
  <si>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</si>
  <si>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</si>
  <si>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</si>
  <si>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</si>
  <si>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</si>
  <si>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</si>
  <si>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</si>
  <si>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</si>
  <si>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</si>
  <si>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</si>
  <si>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</si>
  <si>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</si>
  <si>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</si>
  <si>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</si>
  <si>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</si>
  <si>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</si>
  <si>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</si>
  <si>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</si>
  <si>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</si>
  <si>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</si>
  <si>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</si>
  <si>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</si>
  <si>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</si>
  <si>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</si>
  <si>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</si>
  <si>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</si>
  <si>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</si>
  <si>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</si>
  <si>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</si>
  <si>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</si>
  <si>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</si>
  <si>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</si>
  <si>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</si>
  <si>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</si>
  <si>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</si>
  <si>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</si>
  <si>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</si>
  <si>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</si>
  <si>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</si>
  <si>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</si>
  <si>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</si>
  <si>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</si>
  <si>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</si>
  <si>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</si>
  <si>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</si>
  <si>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</si>
  <si>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</si>
  <si>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</si>
  <si>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</si>
  <si>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</si>
  <si>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</si>
  <si>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</si>
  <si>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</si>
  <si>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</si>
  <si>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</si>
  <si>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</si>
  <si>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</si>
  <si>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</si>
  <si>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</si>
  <si>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</si>
  <si>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</si>
  <si>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</si>
  <si>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</si>
  <si>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</si>
  <si>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</si>
  <si>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</si>
  <si>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</si>
  <si>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</si>
  <si>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</si>
  <si>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</si>
  <si>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</si>
  <si>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</si>
  <si>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</si>
  <si>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</si>
  <si>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</si>
  <si>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</si>
  <si>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</si>
  <si>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</si>
  <si>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</si>
  <si>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</si>
  <si>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</si>
  <si>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</si>
  <si>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</si>
  <si>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</si>
  <si>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</si>
  <si>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</si>
  <si>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</si>
  <si>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</si>
  <si>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</si>
  <si>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</si>
  <si>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</si>
  <si>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</si>
  <si>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</si>
  <si>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</si>
  <si>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</si>
  <si>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</si>
  <si>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</si>
  <si>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</si>
  <si>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</si>
  <si>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</si>
  <si>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</si>
  <si>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</si>
  <si>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</si>
  <si>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</si>
  <si>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</si>
  <si>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</si>
  <si>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</si>
  <si>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</si>
  <si>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</si>
  <si>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</si>
  <si>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</si>
  <si>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</si>
  <si>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</si>
  <si>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</si>
  <si>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</si>
  <si>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</si>
  <si>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</si>
  <si>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</si>
  <si>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</si>
  <si>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</si>
  <si>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</si>
  <si>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</si>
  <si>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</si>
  <si>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</si>
  <si>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</si>
  <si>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</si>
  <si>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</si>
  <si>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</si>
  <si>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</si>
  <si>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</si>
  <si>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</si>
  <si>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</si>
  <si>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</si>
  <si>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</si>
  <si>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</si>
  <si>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</si>
  <si>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</si>
  <si>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</si>
  <si>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</si>
  <si>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</si>
  <si>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</si>
  <si>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</si>
  <si>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</si>
  <si>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</si>
  <si>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</si>
  <si>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</si>
  <si>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</si>
  <si>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</si>
  <si>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</si>
  <si>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</si>
  <si>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</si>
  <si>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</si>
  <si>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</si>
  <si>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</si>
  <si>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</si>
  <si>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</si>
  <si>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</si>
  <si>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</si>
  <si>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</si>
  <si>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</si>
  <si>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</si>
  <si>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</si>
  <si>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</si>
  <si>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</si>
  <si>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</si>
  <si>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</si>
  <si>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</si>
  <si>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</si>
  <si>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</si>
  <si>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</si>
  <si>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</si>
  <si>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</si>
  <si>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</si>
  <si>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</si>
  <si>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</si>
  <si>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</si>
  <si>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</si>
  <si>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</si>
  <si>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</si>
  <si>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</si>
  <si>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</si>
  <si>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</si>
  <si>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</si>
  <si>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</si>
  <si>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</si>
  <si>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</si>
  <si>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</si>
  <si>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</si>
  <si>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</si>
  <si>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</si>
  <si>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</si>
  <si>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</si>
  <si>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</si>
  <si>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</si>
  <si>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</si>
  <si>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</si>
  <si>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</si>
  <si>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</si>
  <si>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</si>
  <si>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</si>
  <si>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</si>
  <si>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</si>
  <si>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</si>
  <si>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</si>
  <si>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</si>
  <si>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</si>
  <si>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</si>
  <si>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</si>
  <si>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</si>
  <si>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</si>
  <si>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</si>
  <si>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</si>
  <si>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</si>
  <si>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</si>
  <si>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</si>
  <si>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</si>
  <si>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</si>
  <si>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</si>
  <si>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</si>
  <si>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</si>
  <si>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</si>
  <si>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</si>
  <si>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</si>
  <si>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</si>
  <si>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</si>
  <si>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</si>
  <si>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</si>
  <si>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</si>
  <si>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</si>
  <si>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</si>
  <si>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</si>
  <si>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</si>
  <si>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</si>
  <si>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</si>
  <si>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</si>
  <si>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</si>
  <si>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</si>
  <si>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</si>
  <si>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</si>
  <si>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</si>
  <si>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</si>
  <si>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</si>
  <si>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</si>
  <si>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</si>
  <si>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</si>
  <si>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</si>
  <si>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</si>
  <si>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</si>
  <si>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</si>
  <si>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</si>
  <si>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</si>
  <si>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</si>
  <si>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</si>
  <si>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</si>
  <si>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</si>
  <si>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</si>
  <si>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</si>
  <si>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</si>
  <si>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</si>
  <si>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</si>
  <si>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</si>
  <si>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</si>
  <si>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</si>
  <si>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</si>
  <si>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</si>
  <si>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</si>
  <si>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</si>
  <si>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</si>
  <si>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</si>
  <si>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</si>
  <si>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</si>
  <si>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</si>
  <si>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</si>
  <si>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</si>
  <si>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</si>
  <si>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</si>
  <si>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</si>
  <si>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</si>
  <si>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</si>
  <si>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</si>
  <si>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</si>
  <si>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</si>
  <si>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</si>
  <si>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</si>
  <si>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</si>
  <si>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</si>
  <si>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</si>
  <si>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</si>
  <si>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</si>
  <si>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</si>
  <si>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</si>
  <si>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</si>
  <si>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</si>
  <si>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</si>
  <si>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</si>
  <si>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A realizar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</si>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</sst>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6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 blank="1">
        <filter val="2026"/>
      </filters>
    </filterColumn>
  </autoFilter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90" activePane="bottomLeft" state="frozen"/>
      <selection pane="bottomLeft" activeCell="E738" sqref="E738"/>
    </sheetView>
  </sheetViews>
  <sheetFormatPr defaultColWidth="9.140625" defaultRowHeight="22.5" customHeight="1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hidden="1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2687</v>
      </c>
      <c r="D657" s="183" t="s">
        <v>2688</v>
      </c>
      <c r="E657" s="184" t="s">
        <v>2689</v>
      </c>
      <c r="F657" s="185" t="s">
        <v>69</v>
      </c>
      <c r="G657" s="186" t="s">
        <v>79</v>
      </c>
      <c r="H657" s="191" t="s">
        <v>2690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2691</v>
      </c>
    </row>
    <row r="658" spans="1:20" ht="15">
      <c r="A658" s="191" t="s">
        <v>2692</v>
      </c>
      <c r="B658" s="127">
        <v>2026</v>
      </c>
      <c r="C658" s="127" t="s">
        <v>22</v>
      </c>
      <c r="D658" s="173" t="s">
        <v>2693</v>
      </c>
      <c r="E658" s="162" t="s">
        <v>2694</v>
      </c>
      <c r="F658" s="129" t="s">
        <v>69</v>
      </c>
      <c r="G658" s="174" t="s">
        <v>2695</v>
      </c>
      <c r="H658" s="175" t="s">
        <v>2696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>
      <c r="A659" s="137" t="s">
        <v>2697</v>
      </c>
      <c r="B659" s="127">
        <v>2026</v>
      </c>
      <c r="C659" s="183" t="s">
        <v>2687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>
      <c r="A660" s="191" t="s">
        <v>2702</v>
      </c>
      <c r="B660" s="127">
        <v>2026</v>
      </c>
      <c r="C660" s="183" t="s">
        <v>2687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2687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>
      <c r="A663" s="191" t="s">
        <v>2716</v>
      </c>
      <c r="B663" s="127">
        <v>2026</v>
      </c>
      <c r="C663" s="164" t="s">
        <v>2687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>
      <c r="A668" s="191" t="s">
        <v>2738</v>
      </c>
      <c r="B668" s="127">
        <v>2026</v>
      </c>
      <c r="C668" s="216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2695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2695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>
      <c r="A671" s="191" t="s">
        <v>2750</v>
      </c>
      <c r="B671" s="127">
        <v>2026</v>
      </c>
      <c r="C671" s="183" t="s">
        <v>2687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2695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2695</v>
      </c>
      <c r="H675" s="218" t="s">
        <v>2773</v>
      </c>
      <c r="I675" s="220">
        <v>46120</v>
      </c>
      <c r="J675" s="220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>
      <c r="A677" s="137" t="s">
        <v>2778</v>
      </c>
      <c r="B677" s="127">
        <v>2026</v>
      </c>
      <c r="C677" s="193" t="s">
        <v>2687</v>
      </c>
      <c r="D677" s="193" t="s">
        <v>2779</v>
      </c>
      <c r="E677" s="184" t="s">
        <v>2780</v>
      </c>
      <c r="F677" s="185" t="s">
        <v>69</v>
      </c>
      <c r="G677" s="194" t="s">
        <v>2695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>
      <c r="A678" s="191" t="s">
        <v>2781</v>
      </c>
      <c r="B678" s="127">
        <v>2026</v>
      </c>
      <c r="C678" s="193" t="s">
        <v>2687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>
      <c r="A679" s="191" t="s">
        <v>2785</v>
      </c>
      <c r="B679" s="127">
        <v>2026</v>
      </c>
      <c r="C679" s="193" t="s">
        <v>2687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9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2695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7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>
      <c r="A693" s="191" t="s">
        <v>2844</v>
      </c>
      <c r="B693" s="152">
        <v>2026</v>
      </c>
      <c r="C693" s="183" t="s">
        <v>2687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2847</v>
      </c>
      <c r="B694" s="152">
        <v>2026</v>
      </c>
      <c r="C694" s="127" t="s">
        <v>2687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2851</v>
      </c>
      <c r="B695" s="152">
        <v>2026</v>
      </c>
      <c r="C695" s="183" t="s">
        <v>2687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>
      <c r="A702" s="191" t="s">
        <v>2881</v>
      </c>
      <c r="B702" s="152">
        <v>2026</v>
      </c>
      <c r="C702" s="183" t="s">
        <v>2687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>
      <c r="A703" s="191" t="s">
        <v>2885</v>
      </c>
      <c r="B703" s="152">
        <v>2026</v>
      </c>
      <c r="C703" s="183" t="s">
        <v>2687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>
      <c r="A704" s="191" t="s">
        <v>2889</v>
      </c>
      <c r="B704" s="152">
        <v>2026</v>
      </c>
      <c r="C704" s="183" t="s">
        <v>2687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>
      <c r="A705" s="191" t="s">
        <v>2894</v>
      </c>
      <c r="B705" s="152">
        <v>2026</v>
      </c>
      <c r="C705" s="183" t="s">
        <v>2687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>
      <c r="A706" s="191" t="s">
        <v>2898</v>
      </c>
      <c r="B706" s="152">
        <v>2026</v>
      </c>
      <c r="C706" s="183" t="s">
        <v>2687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>
      <c r="A707" s="191" t="s">
        <v>2902</v>
      </c>
      <c r="B707" s="152">
        <v>2026</v>
      </c>
      <c r="C707" s="183" t="s">
        <v>2687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>
      <c r="A708" s="191" t="s">
        <v>2906</v>
      </c>
      <c r="B708" s="152">
        <v>2026</v>
      </c>
      <c r="C708" s="183" t="s">
        <v>2687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>
      <c r="A709" s="191" t="s">
        <v>2910</v>
      </c>
      <c r="B709" s="152">
        <v>2026</v>
      </c>
      <c r="C709" s="183" t="s">
        <v>2687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2919</v>
      </c>
      <c r="B711" s="152">
        <v>2026</v>
      </c>
      <c r="C711" s="183" t="s">
        <v>2687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>
      <c r="A714" s="191" t="s">
        <v>2930</v>
      </c>
      <c r="B714" s="152">
        <v>2026</v>
      </c>
      <c r="C714" s="183" t="s">
        <v>2687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>
      <c r="A715" s="191" t="s">
        <v>2934</v>
      </c>
      <c r="B715" s="152">
        <v>2026</v>
      </c>
      <c r="C715" s="183" t="s">
        <v>2687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>
      <c r="A716" s="191" t="s">
        <v>2936</v>
      </c>
      <c r="B716" s="152">
        <v>2026</v>
      </c>
      <c r="C716" s="183" t="s">
        <v>2687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2938</v>
      </c>
      <c r="B717" s="152">
        <v>2026</v>
      </c>
      <c r="C717" s="183" t="s">
        <v>2687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2940</v>
      </c>
      <c r="B718" s="152">
        <v>2026</v>
      </c>
      <c r="C718" s="183" t="s">
        <v>2687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2942</v>
      </c>
      <c r="B719" s="152">
        <v>2026</v>
      </c>
      <c r="C719" s="183" t="s">
        <v>2687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1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1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2967</v>
      </c>
      <c r="B726" s="183">
        <v>2026</v>
      </c>
      <c r="C726" s="183" t="s">
        <v>2687</v>
      </c>
      <c r="D726" s="212"/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2969</v>
      </c>
      <c r="B727" s="183">
        <v>2026</v>
      </c>
      <c r="C727" s="183" t="s">
        <v>2687</v>
      </c>
      <c r="D727" s="183"/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2971</v>
      </c>
      <c r="B728" s="183">
        <v>2026</v>
      </c>
      <c r="C728" s="183" t="s">
        <v>2687</v>
      </c>
      <c r="D728" s="183"/>
      <c r="E728" s="180" t="s">
        <v>2972</v>
      </c>
      <c r="F728" s="185"/>
      <c r="G728" s="186" t="s">
        <v>2719</v>
      </c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ht="15">
      <c r="A729" s="191" t="s">
        <v>2973</v>
      </c>
      <c r="B729" s="183">
        <v>2026</v>
      </c>
      <c r="C729" s="183" t="s">
        <v>2687</v>
      </c>
      <c r="D729" s="183"/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2975</v>
      </c>
      <c r="B730" s="183">
        <v>2026</v>
      </c>
      <c r="C730" s="183" t="s">
        <v>2687</v>
      </c>
      <c r="D730" s="183"/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2977</v>
      </c>
      <c r="B731" s="183">
        <v>2026</v>
      </c>
      <c r="C731" s="183" t="s">
        <v>2687</v>
      </c>
      <c r="D731" s="183"/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2979</v>
      </c>
      <c r="B732" s="183">
        <v>2026</v>
      </c>
      <c r="C732" s="183" t="s">
        <v>2687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2981</v>
      </c>
      <c r="B733" s="183">
        <v>2026</v>
      </c>
      <c r="C733" s="183" t="s">
        <v>2687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2983</v>
      </c>
      <c r="B734" s="183">
        <v>2026</v>
      </c>
      <c r="C734" s="183" t="s">
        <v>2687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2687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4"/>
      <c r="C2002" s="193"/>
      <c r="D2002" s="193"/>
      <c r="E2002" s="184"/>
      <c r="F2002" s="211"/>
      <c r="G2002" s="194"/>
      <c r="H2002" s="195"/>
      <c r="I2002" s="196"/>
      <c r="J2002" s="196"/>
      <c r="K2002" s="225"/>
      <c r="L2002" s="226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4"/>
      <c r="C2003" s="193"/>
      <c r="D2003" s="193"/>
      <c r="E2003" s="184"/>
      <c r="F2003" s="211"/>
      <c r="G2003" s="194"/>
      <c r="H2003" s="195"/>
      <c r="I2003" s="196"/>
      <c r="J2003" s="196"/>
      <c r="K2003" s="225"/>
      <c r="L2003" s="226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1"/>
      <c r="C2004" s="183"/>
      <c r="D2004" s="183"/>
      <c r="E2004" s="184"/>
      <c r="F2004" s="185"/>
      <c r="G2004" s="186"/>
      <c r="H2004" s="191"/>
      <c r="I2004" s="192"/>
      <c r="J2004" s="192"/>
      <c r="K2004" s="222"/>
      <c r="L2004" s="223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4"/>
      <c r="C2005" s="193"/>
      <c r="D2005" s="193"/>
      <c r="E2005" s="184"/>
      <c r="F2005" s="211"/>
      <c r="G2005" s="194"/>
      <c r="H2005" s="195"/>
      <c r="I2005" s="196"/>
      <c r="J2005" s="196"/>
      <c r="K2005" s="225"/>
      <c r="L2005" s="226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1"/>
      <c r="C2006" s="183"/>
      <c r="D2006" s="183"/>
      <c r="E2006" s="184"/>
      <c r="F2006" s="185"/>
      <c r="G2006" s="186"/>
      <c r="H2006" s="191"/>
      <c r="I2006" s="192"/>
      <c r="J2006" s="192"/>
      <c r="K2006" s="222"/>
      <c r="L2006" s="223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4"/>
      <c r="C2007" s="193"/>
      <c r="D2007" s="193"/>
      <c r="E2007" s="203"/>
      <c r="F2007" s="211"/>
      <c r="G2007" s="194"/>
      <c r="H2007" s="195"/>
      <c r="I2007" s="196"/>
      <c r="J2007" s="196"/>
      <c r="K2007" s="225"/>
      <c r="L2007" s="226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727:C727 E727:T727 A2002:A2006 E2007 A2:T726 A728:T2001">
    <cfRule type="expression" dxfId="52" priority="9">
      <formula>MOD(ROW(),2)=0</formula>
    </cfRule>
  </conditionalFormatting>
  <conditionalFormatting sqref="A727:C727 E727:T727 A2002:A2006 E2007 A2:T726 A728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2990</v>
      </c>
      <c r="H1" s="214" t="s">
        <v>2991</v>
      </c>
    </row>
    <row r="2" spans="1:8">
      <c r="H2" s="213" t="s">
        <v>2992</v>
      </c>
    </row>
    <row r="3" spans="1:8">
      <c r="A3" t="s">
        <v>0</v>
      </c>
      <c r="B3" t="s">
        <v>19</v>
      </c>
      <c r="C3" t="s">
        <v>2993</v>
      </c>
      <c r="D3" t="s">
        <v>2994</v>
      </c>
      <c r="E3" t="s">
        <v>2995</v>
      </c>
      <c r="H3" s="213" t="s">
        <v>2996</v>
      </c>
    </row>
    <row r="4" spans="1:8">
      <c r="A4">
        <v>1</v>
      </c>
      <c r="B4" t="s">
        <v>2997</v>
      </c>
      <c r="D4" t="s">
        <v>2998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2999</v>
      </c>
    </row>
    <row r="5" spans="1:8">
      <c r="A5">
        <v>2</v>
      </c>
      <c r="B5" t="s">
        <v>2507</v>
      </c>
      <c r="D5" t="s">
        <v>2998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3000</v>
      </c>
    </row>
    <row r="6" spans="1:8">
      <c r="A6">
        <v>3</v>
      </c>
      <c r="B6" t="s">
        <v>1030</v>
      </c>
      <c r="D6" t="s">
        <v>2998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>
      <c r="A7">
        <v>4</v>
      </c>
      <c r="B7" t="s">
        <v>3001</v>
      </c>
      <c r="D7" t="s">
        <v>2998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3002</v>
      </c>
    </row>
    <row r="8" spans="1:8">
      <c r="A8">
        <v>5</v>
      </c>
      <c r="B8" t="s">
        <v>3003</v>
      </c>
      <c r="D8" t="s">
        <v>2998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2998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2998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2998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2833</v>
      </c>
      <c r="D12" t="s">
        <v>2998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2998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2998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2806</v>
      </c>
      <c r="D15" t="s">
        <v>2998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2998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2998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2998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2998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2998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2998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2998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3004</v>
      </c>
      <c r="D23" t="s">
        <v>2998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2998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3005</v>
      </c>
      <c r="D25" t="s">
        <v>2998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3006</v>
      </c>
      <c r="D26" t="s">
        <v>2998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2998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2998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3007</v>
      </c>
      <c r="D29" t="s">
        <v>2998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2998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2998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2998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3008</v>
      </c>
      <c r="D33" t="s">
        <v>2998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3009</v>
      </c>
      <c r="D34" t="s">
        <v>2998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2998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2998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2998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3010</v>
      </c>
      <c r="D38" t="s">
        <v>2998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37</v>
      </c>
      <c r="B39" t="s">
        <v>2154</v>
      </c>
      <c r="D39" t="s">
        <v>2998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38</v>
      </c>
      <c r="B40" t="s">
        <v>3011</v>
      </c>
      <c r="D40" t="s">
        <v>2998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39</v>
      </c>
      <c r="B41" t="s">
        <v>2583</v>
      </c>
      <c r="D41" t="s">
        <v>2998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40</v>
      </c>
      <c r="B42" t="s">
        <v>3012</v>
      </c>
      <c r="D42" t="s">
        <v>2998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41</v>
      </c>
      <c r="B43" t="s">
        <v>862</v>
      </c>
      <c r="D43" t="s">
        <v>2998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42</v>
      </c>
      <c r="B44" t="s">
        <v>717</v>
      </c>
      <c r="D44" t="s">
        <v>2998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43</v>
      </c>
      <c r="B45" t="s">
        <v>3013</v>
      </c>
      <c r="D45" t="s">
        <v>2998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44</v>
      </c>
      <c r="B46" t="s">
        <v>2161</v>
      </c>
      <c r="D46" t="s">
        <v>2998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45</v>
      </c>
      <c r="B47" t="s">
        <v>218</v>
      </c>
      <c r="D47" t="s">
        <v>2998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46</v>
      </c>
      <c r="B48" t="s">
        <v>973</v>
      </c>
      <c r="D48" t="s">
        <v>2998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47</v>
      </c>
      <c r="B49" t="s">
        <v>1407</v>
      </c>
      <c r="D49" t="s">
        <v>2998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48</v>
      </c>
      <c r="B50" t="s">
        <v>3014</v>
      </c>
      <c r="D50" t="s">
        <v>2998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49</v>
      </c>
      <c r="B51" t="s">
        <v>2721</v>
      </c>
      <c r="D51" t="s">
        <v>2998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50</v>
      </c>
      <c r="B52" t="s">
        <v>3015</v>
      </c>
      <c r="D52" t="s">
        <v>2998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51</v>
      </c>
      <c r="B53" t="s">
        <v>1062</v>
      </c>
      <c r="D53" t="s">
        <v>2998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52</v>
      </c>
      <c r="B54" t="s">
        <v>1759</v>
      </c>
      <c r="D54" t="s">
        <v>2998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53</v>
      </c>
      <c r="B55" t="s">
        <v>3016</v>
      </c>
      <c r="D55" t="s">
        <v>2998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54</v>
      </c>
      <c r="B56" t="s">
        <v>81</v>
      </c>
      <c r="D56" t="s">
        <v>2998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55</v>
      </c>
      <c r="B57" t="s">
        <v>1103</v>
      </c>
      <c r="D57" t="s">
        <v>2998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56</v>
      </c>
      <c r="B58" t="s">
        <v>2055</v>
      </c>
      <c r="D58" t="s">
        <v>2998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57</v>
      </c>
      <c r="B59" t="s">
        <v>3017</v>
      </c>
      <c r="D59" t="s">
        <v>2998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58</v>
      </c>
      <c r="B60" t="s">
        <v>1880</v>
      </c>
      <c r="D60" t="s">
        <v>2998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59</v>
      </c>
      <c r="B61" t="s">
        <v>2089</v>
      </c>
      <c r="D61" t="s">
        <v>2998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60</v>
      </c>
      <c r="B62" t="s">
        <v>2021</v>
      </c>
      <c r="D62" t="s">
        <v>2998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61</v>
      </c>
      <c r="B63" t="s">
        <v>3018</v>
      </c>
      <c r="D63" t="s">
        <v>2998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62</v>
      </c>
      <c r="B64" t="s">
        <v>3019</v>
      </c>
      <c r="D64" t="s">
        <v>2998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63</v>
      </c>
      <c r="B65" t="s">
        <v>3020</v>
      </c>
      <c r="D65" t="s">
        <v>2998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64</v>
      </c>
      <c r="B66" t="s">
        <v>3021</v>
      </c>
      <c r="D66" t="s">
        <v>2998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65</v>
      </c>
      <c r="B67" t="s">
        <v>2796</v>
      </c>
      <c r="D67" t="s">
        <v>2998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66</v>
      </c>
      <c r="B68" t="s">
        <v>2556</v>
      </c>
      <c r="D68" t="s">
        <v>2998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67</v>
      </c>
      <c r="B69" t="s">
        <v>3022</v>
      </c>
      <c r="D69" t="s">
        <v>2998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68</v>
      </c>
      <c r="B70" t="s">
        <v>3023</v>
      </c>
      <c r="D70" t="s">
        <v>2998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69</v>
      </c>
      <c r="B71" t="s">
        <v>2457</v>
      </c>
      <c r="D71" t="s">
        <v>2998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70</v>
      </c>
      <c r="B72" t="s">
        <v>3024</v>
      </c>
      <c r="D72" t="s">
        <v>2998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71</v>
      </c>
      <c r="B73" t="s">
        <v>2670</v>
      </c>
      <c r="D73" t="s">
        <v>2998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72</v>
      </c>
      <c r="B74" t="s">
        <v>2322</v>
      </c>
      <c r="D74" t="s">
        <v>2998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73</v>
      </c>
      <c r="B75" t="s">
        <v>2301</v>
      </c>
      <c r="D75" t="s">
        <v>2998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74</v>
      </c>
      <c r="B76" t="s">
        <v>3025</v>
      </c>
      <c r="D76" t="s">
        <v>2998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75</v>
      </c>
      <c r="B77" t="s">
        <v>115</v>
      </c>
      <c r="D77" t="s">
        <v>2998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76</v>
      </c>
      <c r="B78" t="s">
        <v>942</v>
      </c>
      <c r="D78" t="s">
        <v>2998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77</v>
      </c>
      <c r="B79" t="s">
        <v>803</v>
      </c>
      <c r="D79" t="s">
        <v>2998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78</v>
      </c>
      <c r="B80" t="s">
        <v>425</v>
      </c>
      <c r="D80" t="s">
        <v>2998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79</v>
      </c>
      <c r="B81" t="s">
        <v>3026</v>
      </c>
      <c r="D81" t="s">
        <v>2998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80</v>
      </c>
      <c r="B82" t="s">
        <v>3027</v>
      </c>
      <c r="D82" t="s">
        <v>2998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81</v>
      </c>
      <c r="B83" t="s">
        <v>3028</v>
      </c>
      <c r="D83" t="s">
        <v>2998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82</v>
      </c>
      <c r="B84" t="s">
        <v>3029</v>
      </c>
      <c r="D84" t="s">
        <v>2998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83</v>
      </c>
      <c r="B85" t="s">
        <v>2482</v>
      </c>
      <c r="D85" t="s">
        <v>2998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84</v>
      </c>
      <c r="B86" t="s">
        <v>3030</v>
      </c>
      <c r="D86" t="s">
        <v>2998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85</v>
      </c>
      <c r="B87" t="s">
        <v>2578</v>
      </c>
      <c r="D87" t="s">
        <v>2998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86</v>
      </c>
      <c r="B88" t="s">
        <v>3031</v>
      </c>
      <c r="D88" t="s">
        <v>2998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87</v>
      </c>
      <c r="B89" t="s">
        <v>3032</v>
      </c>
      <c r="D89" t="s">
        <v>2998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88</v>
      </c>
      <c r="B90" t="s">
        <v>3033</v>
      </c>
      <c r="D90" t="s">
        <v>2998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89</v>
      </c>
      <c r="B91" t="s">
        <v>3034</v>
      </c>
      <c r="D91" t="s">
        <v>2998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90</v>
      </c>
      <c r="B92" t="s">
        <v>3035</v>
      </c>
      <c r="D92" t="s">
        <v>2998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91</v>
      </c>
      <c r="B93" t="s">
        <v>3036</v>
      </c>
      <c r="D93" t="s">
        <v>2998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92</v>
      </c>
      <c r="B94" t="s">
        <v>3037</v>
      </c>
      <c r="D94" t="s">
        <v>2998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93</v>
      </c>
      <c r="B95" t="s">
        <v>3038</v>
      </c>
      <c r="D95" t="s">
        <v>2998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94</v>
      </c>
      <c r="B96" t="s">
        <v>3039</v>
      </c>
      <c r="D96" t="s">
        <v>2998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95</v>
      </c>
      <c r="B97" t="s">
        <v>2922</v>
      </c>
      <c r="D97" t="s">
        <v>2998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96</v>
      </c>
      <c r="B98" t="s">
        <v>3040</v>
      </c>
      <c r="D98" t="s">
        <v>2998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97</v>
      </c>
      <c r="B99" t="s">
        <v>2914</v>
      </c>
      <c r="D99" t="s">
        <v>2998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98</v>
      </c>
      <c r="B100" t="s">
        <v>3041</v>
      </c>
      <c r="D100" t="s">
        <v>2998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99</v>
      </c>
      <c r="B101" t="s">
        <v>3042</v>
      </c>
      <c r="D101" t="s">
        <v>2998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100</v>
      </c>
      <c r="B102" t="s">
        <v>3043</v>
      </c>
      <c r="D102" t="s">
        <v>2998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101</v>
      </c>
      <c r="B103" t="s">
        <v>3044</v>
      </c>
      <c r="D103" t="s">
        <v>2998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102</v>
      </c>
      <c r="B104" t="s">
        <v>2893</v>
      </c>
      <c r="D104" t="s">
        <v>2998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103</v>
      </c>
      <c r="B105" t="s">
        <v>3045</v>
      </c>
      <c r="D105" t="s">
        <v>2998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104</v>
      </c>
      <c r="B106" t="s">
        <v>3046</v>
      </c>
      <c r="D106" t="s">
        <v>2998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105</v>
      </c>
      <c r="B107" t="s">
        <v>3047</v>
      </c>
      <c r="D107" t="s">
        <v>2998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106</v>
      </c>
      <c r="B108" t="s">
        <v>2867</v>
      </c>
      <c r="D108" t="s">
        <v>2998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107</v>
      </c>
      <c r="B109" t="s">
        <v>2872</v>
      </c>
      <c r="D109" t="s">
        <v>2998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3048</v>
      </c>
      <c r="C1" s="19" t="s">
        <v>3049</v>
      </c>
      <c r="D1" s="19" t="s">
        <v>4</v>
      </c>
      <c r="E1" s="19" t="s">
        <v>3050</v>
      </c>
      <c r="F1" s="19" t="s">
        <v>19</v>
      </c>
      <c r="G1" s="19" t="s">
        <v>3051</v>
      </c>
      <c r="H1" s="19" t="s">
        <v>3052</v>
      </c>
      <c r="I1" s="19" t="s">
        <v>3053</v>
      </c>
      <c r="J1" s="19" t="s">
        <v>3054</v>
      </c>
      <c r="L1" s="112" t="s">
        <v>3055</v>
      </c>
      <c r="M1" s="23">
        <v>2026</v>
      </c>
      <c r="U1" s="80" t="s">
        <v>3056</v>
      </c>
      <c r="V1" s="79"/>
      <c r="X1" s="78" t="s">
        <v>3057</v>
      </c>
      <c r="Y1" s="27"/>
      <c r="Z1" s="27"/>
      <c r="AA1" s="27"/>
      <c r="AC1" s="100" t="s">
        <v>3058</v>
      </c>
    </row>
    <row r="2" spans="1:31">
      <c r="A2" s="21" cm="1">
        <f t="array" aca="1" ref="A2:J11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A realizar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3059</v>
      </c>
      <c r="M2" s="107" t="s">
        <v>2930</v>
      </c>
      <c r="X2" s="114" t="s">
        <v>3048</v>
      </c>
      <c r="Y2" s="114" t="s">
        <v>19</v>
      </c>
      <c r="Z2" s="114" t="s">
        <v>3060</v>
      </c>
      <c r="AA2" s="114" t="s">
        <v>3061</v>
      </c>
      <c r="AC2" s="115" t="s">
        <v>1</v>
      </c>
      <c r="AD2" s="115" t="s">
        <v>3062</v>
      </c>
      <c r="AE2" s="115" t="s">
        <v>3063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A realizar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3064</v>
      </c>
      <c r="M3" s="113" t="s">
        <v>3065</v>
      </c>
      <c r="N3" s="113" t="s">
        <v>3066</v>
      </c>
      <c r="O3" s="113" t="s">
        <v>3067</v>
      </c>
      <c r="P3" s="113" t="s">
        <v>3068</v>
      </c>
      <c r="Q3" s="113" t="s">
        <v>3069</v>
      </c>
      <c r="R3" s="113" t="s">
        <v>3070</v>
      </c>
      <c r="S3" s="113" t="s">
        <v>3071</v>
      </c>
      <c r="T3" s="113" t="s">
        <v>3072</v>
      </c>
      <c r="X3" t="s">
        <v>2837</v>
      </c>
      <c r="Y3" t="s">
        <v>3011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A realizar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8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A realizar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59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A realizar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3073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A realizar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3011</v>
      </c>
      <c r="Z6">
        <v>1</v>
      </c>
      <c r="AA6">
        <v>0</v>
      </c>
      <c r="AC6" s="97">
        <v>2026</v>
      </c>
      <c r="AD6" s="18" t="s">
        <v>3074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A realizar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A realizar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A realizar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A realizar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A realizar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3005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3023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3005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3023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3005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3023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3011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3011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3046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3042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3024</v>
      </c>
      <c r="Z33">
        <v>4</v>
      </c>
      <c r="AA33">
        <v>0.6</v>
      </c>
      <c r="AC33" s="99"/>
      <c r="AD33" s="116" t="s">
        <v>3075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3025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A realizar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A realizar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A realizar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3016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3033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3032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3044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3041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3043</v>
      </c>
      <c r="Z48">
        <v>1</v>
      </c>
      <c r="AA48">
        <v>0.3</v>
      </c>
    </row>
    <row r="49" spans="1:27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3040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3076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3047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3045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3032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2026-079</v>
      </c>
      <c r="N58" t="str">
        <f ca="1"/>
        <v>Realizado</v>
      </c>
      <c r="O58" t="str">
        <f ca="1"/>
        <v>Café e Tertúlia: Gincana dos Neurotransmissores</v>
      </c>
      <c r="P58">
        <f ca="1"/>
        <v>2</v>
      </c>
      <c r="Q58" t="str">
        <f ca="1"/>
        <v>Isac Mendes Caixeta de Pamplona Araújo; Valéria Feitoza; Cinthia Thais de Carvalho Luz Thomazi</v>
      </c>
      <c r="R58">
        <f ca="1"/>
        <v>3</v>
      </c>
      <c r="S58">
        <f ca="1"/>
        <v>115</v>
      </c>
      <c r="T58">
        <f ca="1"/>
        <v>112</v>
      </c>
      <c r="X58" t="s">
        <v>2750</v>
      </c>
      <c r="Y58" s="110" t="s">
        <v>3039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R59" t="str">
        <f ca="1"/>
        <v/>
      </c>
      <c r="S59" t="str">
        <f ca="1"/>
        <v/>
      </c>
      <c r="T59">
        <f ca="1"/>
        <v>115</v>
      </c>
      <c r="X59" t="s">
        <v>2750</v>
      </c>
      <c r="Y59" t="s">
        <v>3038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X60" t="s">
        <v>2750</v>
      </c>
      <c r="Y60" t="s">
        <v>3037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3029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3027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3011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3016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2026-046</v>
      </c>
      <c r="C76" t="str">
        <f ca="1"/>
        <v>A realizar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3030</v>
      </c>
      <c r="AA77">
        <v>1.2</v>
      </c>
    </row>
    <row r="78" spans="1:27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A realizar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3034</v>
      </c>
      <c r="AA79">
        <v>1.2</v>
      </c>
    </row>
    <row r="80" spans="1:27">
      <c r="A80">
        <f ca="1"/>
        <v>2026</v>
      </c>
      <c r="B80" t="str">
        <f ca="1"/>
        <v>2026-047</v>
      </c>
      <c r="C80" t="str">
        <f ca="1"/>
        <v>A realizar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3031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3035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A realizar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2026-048</v>
      </c>
      <c r="C84" t="str">
        <f ca="1"/>
        <v>A realizar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2026-079</v>
      </c>
      <c r="C114" t="str">
        <f ca="1"/>
        <v>Realizado</v>
      </c>
      <c r="D114" t="str">
        <f ca="1"/>
        <v>Café e Tertúlia: Gincana dos Neurotransmissores</v>
      </c>
      <c r="E114">
        <f ca="1"/>
        <v>2</v>
      </c>
      <c r="F114" t="str">
        <f ca="1"/>
        <v>Isac Mendes Caixeta de Pamplona Araújo</v>
      </c>
      <c r="G114">
        <f ca="1"/>
        <v>3</v>
      </c>
      <c r="H114">
        <f ca="1"/>
        <v>2</v>
      </c>
      <c r="I114">
        <f ca="1"/>
        <v>0.6</v>
      </c>
      <c r="J114">
        <f ca="1"/>
        <v>2.6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Valéria Feitoza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Cinthia Thais de Carvalho Luz Thomazi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R117" t="str">
        <f ca="1"/>
        <v/>
      </c>
      <c r="S117" t="str">
        <f ca="1"/>
        <v/>
      </c>
    </row>
    <row r="118" spans="1:19">
      <c r="R118" t="str">
        <f ca="1"/>
        <v/>
      </c>
      <c r="S118" t="str">
        <f ca="1"/>
        <v/>
      </c>
    </row>
    <row r="119" spans="1:19">
      <c r="R119" t="str">
        <f ca="1"/>
        <v/>
      </c>
      <c r="S119" t="str">
        <f ca="1"/>
        <v/>
      </c>
    </row>
    <row r="120" spans="1:19">
      <c r="R120" t="str">
        <f ca="1"/>
        <v/>
      </c>
      <c r="S120" t="str">
        <f ca="1"/>
        <v/>
      </c>
    </row>
    <row r="121" spans="1:19">
      <c r="R121" t="str">
        <f ca="1"/>
        <v/>
      </c>
      <c r="S121" t="str">
        <f ca="1"/>
        <v/>
      </c>
    </row>
    <row r="122" spans="1:19">
      <c r="R122" t="str">
        <f ca="1"/>
        <v/>
      </c>
      <c r="S122" t="str">
        <f ca="1"/>
        <v/>
      </c>
    </row>
    <row r="123" spans="1:19">
      <c r="R123" t="str">
        <f ca="1"/>
        <v/>
      </c>
      <c r="S123" t="str">
        <f ca="1"/>
        <v/>
      </c>
    </row>
    <row r="124" spans="1:19">
      <c r="R124" t="str">
        <f ca="1"/>
        <v/>
      </c>
      <c r="S124" t="str">
        <f ca="1"/>
        <v/>
      </c>
    </row>
    <row r="125" spans="1:19">
      <c r="R125" t="str">
        <f ca="1"/>
        <v/>
      </c>
      <c r="S125" t="str">
        <f ca="1"/>
        <v/>
      </c>
    </row>
    <row r="126" spans="1:19"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8" t="s">
        <v>3077</v>
      </c>
      <c r="B1" s="228"/>
      <c r="C1" s="228"/>
      <c r="D1" s="228"/>
      <c r="E1" s="228"/>
      <c r="F1" s="228"/>
      <c r="G1" s="228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29" t="s">
        <v>3078</v>
      </c>
      <c r="B4" s="230"/>
      <c r="D4" s="231" t="s">
        <v>3079</v>
      </c>
      <c r="E4" s="232"/>
      <c r="G4" s="45" t="s">
        <v>3080</v>
      </c>
    </row>
    <row r="5" spans="1:7" ht="54.95" customHeight="1" thickBot="1">
      <c r="A5" s="35">
        <f>COUNTIF('Ações InCompany'!B:B,2026)</f>
        <v>80</v>
      </c>
      <c r="B5" s="36" t="s">
        <v>3081</v>
      </c>
      <c r="D5" s="43">
        <f>COUNTIFS('Ações InCompany'!B:B,2026,'Ações InCompany'!C:C,"Realizado")</f>
        <v>40</v>
      </c>
      <c r="E5" s="44" t="s">
        <v>3081</v>
      </c>
      <c r="G5" s="46">
        <f>COUNTIFS('Ações InCompany'!B:B,2026,'Ações InCompany'!C:C,"A realizar")</f>
        <v>37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7" t="s">
        <v>3082</v>
      </c>
      <c r="B8" s="227"/>
      <c r="D8" s="227" t="s">
        <v>3083</v>
      </c>
      <c r="E8" s="227"/>
    </row>
    <row r="9" spans="1:7" ht="5.0999999999999996" customHeight="1">
      <c r="A9" s="239"/>
      <c r="B9" s="239"/>
      <c r="D9" s="239"/>
      <c r="E9" s="239"/>
    </row>
    <row r="10" spans="1:7" ht="24.95" customHeight="1">
      <c r="A10" s="28" t="s">
        <v>5</v>
      </c>
      <c r="B10" s="28" t="s">
        <v>3084</v>
      </c>
      <c r="D10" s="28" t="s">
        <v>3085</v>
      </c>
      <c r="E10" s="28" t="s">
        <v>3086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3087</v>
      </c>
      <c r="E11" s="30">
        <f>SUMIFS('Ações InCompany'!O:O,'Ações InCompany'!B:B,2026,'Ações InCompany'!C:C,"Realizado")</f>
        <v>550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3088</v>
      </c>
      <c r="E12" s="32">
        <f>SUMIFS('Ações InCompany'!P:P,'Ações InCompany'!B:B,2026,'Ações InCompany'!C:C,"Realizado")</f>
        <v>808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3089</v>
      </c>
      <c r="E13" s="30">
        <f>SUMIFS('Ações InCompany'!Q:Q,'Ações InCompany'!B:B,2026,'Ações InCompany'!C:C,"Realizado")</f>
        <v>490</v>
      </c>
    </row>
    <row r="14" spans="1:7" ht="27.95" customHeight="1">
      <c r="A14" s="33" t="s">
        <v>3090</v>
      </c>
      <c r="B14" s="34">
        <f>SUM(B11:B13)</f>
        <v>38</v>
      </c>
      <c r="D14" s="33" t="s">
        <v>3091</v>
      </c>
      <c r="E14" s="34">
        <f>SUM(E11:E13)</f>
        <v>1848</v>
      </c>
    </row>
    <row r="30" spans="1:5" ht="17.25">
      <c r="A30" s="227" t="s">
        <v>3092</v>
      </c>
      <c r="B30" s="227"/>
      <c r="C30" s="227"/>
      <c r="D30" s="227"/>
      <c r="E30" s="227"/>
    </row>
    <row r="31" spans="1:5" ht="5.0999999999999996" customHeight="1">
      <c r="A31" s="239"/>
      <c r="B31" s="239"/>
      <c r="C31" s="239"/>
      <c r="D31" s="239"/>
      <c r="E31" s="239"/>
    </row>
    <row r="32" spans="1:5" ht="24.95" customHeight="1">
      <c r="A32" s="28" t="s">
        <v>6</v>
      </c>
      <c r="B32" s="28" t="s">
        <v>3093</v>
      </c>
      <c r="C32" s="28" t="s">
        <v>3094</v>
      </c>
      <c r="D32" s="28" t="s">
        <v>3095</v>
      </c>
      <c r="E32" s="28" t="s">
        <v>3096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>
      <c r="A41" s="74" t="s">
        <v>2695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>
      <c r="A42" s="75" t="s">
        <v>3097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>
      <c r="A44" s="67" t="s">
        <v>3098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3090</v>
      </c>
      <c r="B45" s="41">
        <f>SUM(B33:B44)</f>
        <v>40</v>
      </c>
      <c r="C45" s="41">
        <f>SUM(C33:C44)</f>
        <v>37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3099</v>
      </c>
      <c r="B1" s="12" t="s">
        <v>3100</v>
      </c>
      <c r="C1" s="13" t="s">
        <v>3101</v>
      </c>
      <c r="D1" s="13" t="s">
        <v>3102</v>
      </c>
      <c r="E1" s="13" t="s">
        <v>3103</v>
      </c>
    </row>
    <row r="2" spans="1:5" ht="18" customHeight="1">
      <c r="A2" s="12" t="s">
        <v>3104</v>
      </c>
      <c r="B2" s="12" t="s">
        <v>3105</v>
      </c>
      <c r="C2" s="12" t="s">
        <v>1736</v>
      </c>
      <c r="D2" s="12" t="s">
        <v>3106</v>
      </c>
      <c r="E2" s="12" t="s">
        <v>3107</v>
      </c>
    </row>
    <row r="3" spans="1:5" ht="18" customHeight="1">
      <c r="A3" s="12" t="s">
        <v>3104</v>
      </c>
      <c r="B3" s="12" t="s">
        <v>3105</v>
      </c>
      <c r="C3" s="14" t="s">
        <v>25</v>
      </c>
      <c r="D3" s="12" t="s">
        <v>3108</v>
      </c>
      <c r="E3" s="12" t="s">
        <v>3109</v>
      </c>
    </row>
    <row r="4" spans="1:5" ht="18" customHeight="1">
      <c r="A4" s="12" t="s">
        <v>3104</v>
      </c>
      <c r="B4" s="12" t="s">
        <v>3105</v>
      </c>
      <c r="C4" s="12" t="s">
        <v>75</v>
      </c>
      <c r="D4" s="12" t="s">
        <v>3106</v>
      </c>
      <c r="E4" s="12" t="s">
        <v>3110</v>
      </c>
    </row>
    <row r="5" spans="1:5" ht="18" customHeight="1">
      <c r="A5" s="12" t="s">
        <v>3104</v>
      </c>
      <c r="B5" s="12" t="s">
        <v>3105</v>
      </c>
      <c r="C5" s="12" t="s">
        <v>79</v>
      </c>
      <c r="D5" s="12" t="s">
        <v>3111</v>
      </c>
      <c r="E5" s="12" t="s">
        <v>3112</v>
      </c>
    </row>
    <row r="6" spans="1:5" ht="18" customHeight="1">
      <c r="A6" s="12" t="s">
        <v>3104</v>
      </c>
      <c r="B6" s="12" t="s">
        <v>3105</v>
      </c>
      <c r="C6" s="12" t="s">
        <v>2719</v>
      </c>
      <c r="D6" s="12" t="s">
        <v>3113</v>
      </c>
      <c r="E6" s="12" t="s">
        <v>3114</v>
      </c>
    </row>
    <row r="7" spans="1:5" ht="18" customHeight="1">
      <c r="A7" s="12" t="s">
        <v>3104</v>
      </c>
      <c r="B7" s="12" t="s">
        <v>3115</v>
      </c>
      <c r="C7" s="12" t="s">
        <v>36</v>
      </c>
      <c r="D7" s="12" t="s">
        <v>3116</v>
      </c>
      <c r="E7" s="12" t="s">
        <v>3117</v>
      </c>
    </row>
    <row r="8" spans="1:5" ht="18" customHeight="1">
      <c r="A8" s="12" t="s">
        <v>3104</v>
      </c>
      <c r="B8" s="12" t="s">
        <v>3115</v>
      </c>
      <c r="C8" s="12" t="s">
        <v>42</v>
      </c>
      <c r="D8" s="12" t="s">
        <v>3118</v>
      </c>
      <c r="E8" s="12" t="s">
        <v>3119</v>
      </c>
    </row>
    <row r="9" spans="1:5" ht="18" customHeight="1">
      <c r="A9" s="12" t="s">
        <v>3104</v>
      </c>
      <c r="B9" s="12" t="s">
        <v>3120</v>
      </c>
      <c r="C9" s="12" t="s">
        <v>464</v>
      </c>
      <c r="D9" s="12" t="s">
        <v>3121</v>
      </c>
      <c r="E9" s="12" t="s">
        <v>3122</v>
      </c>
    </row>
    <row r="10" spans="1:5" ht="18" customHeight="1">
      <c r="A10" s="12" t="s">
        <v>3104</v>
      </c>
      <c r="B10" s="12" t="s">
        <v>3120</v>
      </c>
      <c r="C10" s="12" t="s">
        <v>206</v>
      </c>
      <c r="D10" s="12" t="s">
        <v>24</v>
      </c>
      <c r="E10" s="12" t="s">
        <v>3123</v>
      </c>
    </row>
    <row r="11" spans="1:5" ht="18" customHeight="1">
      <c r="A11" s="12" t="s">
        <v>3104</v>
      </c>
      <c r="B11" s="12" t="s">
        <v>3120</v>
      </c>
      <c r="C11" s="12" t="s">
        <v>371</v>
      </c>
      <c r="D11" s="12" t="s">
        <v>24</v>
      </c>
      <c r="E11" s="12" t="s">
        <v>3124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3125</v>
      </c>
      <c r="B1" s="5" t="s">
        <v>10</v>
      </c>
      <c r="C1" s="15" t="s">
        <v>3126</v>
      </c>
      <c r="D1" s="15" t="s">
        <v>3049</v>
      </c>
    </row>
    <row r="2" spans="1:4" ht="21" customHeight="1">
      <c r="A2" s="103" t="s">
        <v>24</v>
      </c>
      <c r="B2" s="103" t="s">
        <v>38</v>
      </c>
      <c r="C2" s="12" t="s">
        <v>3127</v>
      </c>
      <c r="D2" s="12" t="s">
        <v>2687</v>
      </c>
    </row>
    <row r="3" spans="1:4" ht="21" customHeight="1">
      <c r="A3" s="12" t="s">
        <v>69</v>
      </c>
      <c r="B3" s="103" t="s">
        <v>27</v>
      </c>
      <c r="C3" s="12" t="s">
        <v>3128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2791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3129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3099</v>
      </c>
      <c r="B1" s="12" t="s">
        <v>3100</v>
      </c>
      <c r="C1" s="13" t="s">
        <v>3101</v>
      </c>
      <c r="D1" s="13" t="s">
        <v>3102</v>
      </c>
      <c r="E1" s="13" t="s">
        <v>3103</v>
      </c>
    </row>
    <row r="2" spans="1:5" ht="18" customHeight="1">
      <c r="A2" s="12" t="s">
        <v>3130</v>
      </c>
      <c r="B2" s="12" t="s">
        <v>3105</v>
      </c>
      <c r="C2" s="14" t="s">
        <v>25</v>
      </c>
      <c r="D2" s="12" t="s">
        <v>3106</v>
      </c>
      <c r="E2" s="17" t="s">
        <v>3131</v>
      </c>
    </row>
    <row r="3" spans="1:5" ht="18" customHeight="1">
      <c r="A3" s="12" t="s">
        <v>3130</v>
      </c>
      <c r="B3" s="12" t="s">
        <v>3105</v>
      </c>
      <c r="C3" s="12" t="s">
        <v>75</v>
      </c>
      <c r="D3" s="12" t="s">
        <v>3108</v>
      </c>
      <c r="E3" s="12" t="s">
        <v>3132</v>
      </c>
    </row>
    <row r="4" spans="1:5" ht="18" customHeight="1">
      <c r="A4" s="12" t="s">
        <v>3130</v>
      </c>
      <c r="B4" s="12" t="s">
        <v>3105</v>
      </c>
      <c r="C4" s="12" t="s">
        <v>79</v>
      </c>
      <c r="D4" s="12" t="s">
        <v>3111</v>
      </c>
      <c r="E4" s="12" t="s">
        <v>3133</v>
      </c>
    </row>
    <row r="5" spans="1:5" ht="27.75" customHeight="1">
      <c r="A5" s="12" t="s">
        <v>3130</v>
      </c>
      <c r="B5" s="12" t="s">
        <v>3105</v>
      </c>
      <c r="C5" s="12" t="s">
        <v>2695</v>
      </c>
      <c r="D5" s="17" t="s">
        <v>3134</v>
      </c>
      <c r="E5" s="12" t="s">
        <v>3135</v>
      </c>
    </row>
    <row r="6" spans="1:5" ht="18" customHeight="1">
      <c r="A6" s="12" t="s">
        <v>3130</v>
      </c>
      <c r="B6" s="12" t="s">
        <v>3105</v>
      </c>
      <c r="C6" s="12" t="s">
        <v>2719</v>
      </c>
      <c r="D6" s="12" t="s">
        <v>3113</v>
      </c>
      <c r="E6" s="12" t="s">
        <v>3114</v>
      </c>
    </row>
    <row r="7" spans="1:5" ht="18" customHeight="1">
      <c r="A7" s="12" t="s">
        <v>3130</v>
      </c>
      <c r="B7" s="12" t="s">
        <v>3115</v>
      </c>
      <c r="C7" s="12" t="s">
        <v>2700</v>
      </c>
      <c r="D7" s="12" t="s">
        <v>3136</v>
      </c>
      <c r="E7" s="12" t="s">
        <v>3137</v>
      </c>
    </row>
    <row r="8" spans="1:5" ht="18" customHeight="1">
      <c r="A8" s="12" t="s">
        <v>3130</v>
      </c>
      <c r="B8" s="12" t="s">
        <v>3115</v>
      </c>
      <c r="C8" s="12" t="s">
        <v>42</v>
      </c>
      <c r="D8" s="12" t="s">
        <v>3118</v>
      </c>
      <c r="E8" s="12" t="s">
        <v>3119</v>
      </c>
    </row>
    <row r="9" spans="1:5" ht="18" customHeight="1">
      <c r="A9" s="12" t="s">
        <v>3130</v>
      </c>
      <c r="B9" s="12" t="s">
        <v>3115</v>
      </c>
      <c r="C9" s="12" t="s">
        <v>2794</v>
      </c>
      <c r="D9" s="12" t="s">
        <v>3138</v>
      </c>
      <c r="E9" s="17" t="s">
        <v>3139</v>
      </c>
    </row>
    <row r="10" spans="1:5" ht="18" customHeight="1">
      <c r="A10" s="12" t="s">
        <v>3130</v>
      </c>
      <c r="B10" s="12" t="s">
        <v>3140</v>
      </c>
      <c r="C10" s="12" t="s">
        <v>3097</v>
      </c>
      <c r="D10" s="12" t="s">
        <v>3141</v>
      </c>
      <c r="E10" s="17" t="s">
        <v>3142</v>
      </c>
    </row>
    <row r="11" spans="1:5" ht="18" customHeight="1">
      <c r="A11" s="12" t="s">
        <v>3130</v>
      </c>
      <c r="B11" s="12" t="s">
        <v>3140</v>
      </c>
      <c r="C11" s="12" t="s">
        <v>206</v>
      </c>
      <c r="D11" s="12" t="s">
        <v>24</v>
      </c>
      <c r="E11" s="12" t="s">
        <v>3123</v>
      </c>
    </row>
    <row r="12" spans="1:5" ht="18" customHeight="1">
      <c r="A12" s="12" t="s">
        <v>3130</v>
      </c>
      <c r="B12" s="12" t="s">
        <v>3140</v>
      </c>
      <c r="C12" s="12" t="s">
        <v>371</v>
      </c>
      <c r="D12" s="12" t="s">
        <v>24</v>
      </c>
      <c r="E12" s="12" t="s">
        <v>3124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3" t="s">
        <v>3143</v>
      </c>
      <c r="B1" s="233"/>
      <c r="C1" s="233"/>
      <c r="D1" s="233"/>
      <c r="E1" s="233"/>
      <c r="F1" s="233"/>
      <c r="G1" s="233"/>
      <c r="H1" s="233"/>
    </row>
    <row r="2" spans="1:8">
      <c r="A2" s="49" t="s">
        <v>3144</v>
      </c>
    </row>
    <row r="4" spans="1:8" ht="21.95" customHeight="1">
      <c r="A4" s="234" t="s">
        <v>3145</v>
      </c>
      <c r="B4" s="235"/>
      <c r="D4" s="234" t="s">
        <v>3146</v>
      </c>
      <c r="E4" s="235"/>
      <c r="G4" s="234" t="s">
        <v>3147</v>
      </c>
      <c r="H4" s="235"/>
    </row>
    <row r="5" spans="1:8" ht="35.1" customHeight="1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/>
    <row r="7" spans="1:8" ht="24.95" customHeight="1" thickBot="1">
      <c r="A7" s="62" t="s">
        <v>3148</v>
      </c>
      <c r="B7" s="62" t="s">
        <v>3149</v>
      </c>
      <c r="C7" s="62" t="s">
        <v>1</v>
      </c>
      <c r="D7" s="62" t="s">
        <v>3150</v>
      </c>
      <c r="E7" s="62" t="s">
        <v>3151</v>
      </c>
      <c r="F7" s="62" t="s">
        <v>3049</v>
      </c>
      <c r="G7" s="62" t="s">
        <v>5</v>
      </c>
      <c r="H7" s="62" t="s">
        <v>3152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0" t="s">
        <v>3153</v>
      </c>
      <c r="B1" s="240"/>
      <c r="C1" s="240"/>
      <c r="D1" s="240"/>
      <c r="E1" s="240"/>
      <c r="F1" s="240"/>
    </row>
    <row r="2" spans="1:7">
      <c r="A2" s="241" t="s">
        <v>3154</v>
      </c>
      <c r="B2" s="241"/>
      <c r="C2" s="241"/>
      <c r="D2" s="241"/>
      <c r="E2" s="241"/>
      <c r="F2" s="241"/>
    </row>
    <row r="4" spans="1:7">
      <c r="A4" s="25" t="s">
        <v>19</v>
      </c>
      <c r="B4" s="25" t="s">
        <v>3052</v>
      </c>
      <c r="C4" s="25" t="s">
        <v>3053</v>
      </c>
      <c r="D4" s="25" t="s">
        <v>3155</v>
      </c>
      <c r="E4" s="25" t="s">
        <v>3054</v>
      </c>
      <c r="F4" s="25" t="s">
        <v>3156</v>
      </c>
    </row>
    <row r="5" spans="1:7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>
      <c r="A24" t="str">
        <f ca="1"/>
        <v>Fernanda Viana de Souza</v>
      </c>
      <c r="B24" s="26">
        <f ca="1">IF($A24="","",SUMIFS('GECC 2026'!H$2:H$200,'GECC 2026'!F$2:F$200,$A24))</f>
        <v>18</v>
      </c>
      <c r="C24" s="26">
        <f ca="1">IF($A24="","",SUMIFS('GECC 2026'!I$2:I$200,'GECC 2026'!F$2:F$200,$A24))</f>
        <v>5.4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23.4</v>
      </c>
      <c r="F24" s="24">
        <f ca="1">IF($A24="","",COUNTIFS('GECC 2026'!F$2:F$200,$A24))</f>
        <v>5</v>
      </c>
    </row>
    <row r="25" spans="1:6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>
      <c r="A53" t="str">
        <f ca="1"/>
        <v>Túllio Herbeth Teixeira Moraes</v>
      </c>
      <c r="B53" s="26">
        <f ca="1">IF($A53="","",SUMIFS('GECC 2026'!H$2:H$200,'GECC 2026'!F$2:F$200,$A53))</f>
        <v>6</v>
      </c>
      <c r="C53" s="26">
        <f ca="1">IF($A53="","",SUMIFS('GECC 2026'!I$2:I$200,'GECC 2026'!F$2:F$200,$A53))</f>
        <v>1.7999999999999998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7.8</v>
      </c>
      <c r="F53" s="24">
        <f ca="1">IF($A53="","",COUNTIFS('GECC 2026'!F$2:F$200,$A53))</f>
        <v>2</v>
      </c>
    </row>
    <row r="54" spans="1:6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3091</v>
      </c>
      <c r="B105" s="95">
        <f ca="1">SUM(B5:B100)</f>
        <v>691</v>
      </c>
      <c r="C105" s="95">
        <f ca="1">SUM(C5:C100)</f>
        <v>378.14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3157</v>
      </c>
      <c r="B1" s="123" t="s">
        <v>3158</v>
      </c>
      <c r="C1" s="123" t="s">
        <v>3159</v>
      </c>
      <c r="D1" s="123" t="s">
        <v>3160</v>
      </c>
      <c r="E1" s="123" t="s">
        <v>3161</v>
      </c>
      <c r="F1" s="123" t="s">
        <v>3162</v>
      </c>
      <c r="G1" s="123" t="s">
        <v>10</v>
      </c>
      <c r="H1" s="123" t="s">
        <v>3163</v>
      </c>
      <c r="I1" s="123" t="s">
        <v>3164</v>
      </c>
      <c r="J1" s="123" t="s">
        <v>3165</v>
      </c>
      <c r="K1" s="123" t="s">
        <v>3166</v>
      </c>
      <c r="L1" s="123" t="s">
        <v>3167</v>
      </c>
      <c r="N1" s="124" t="s">
        <v>3168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3169</v>
      </c>
      <c r="L2" t="str">
        <f>IF(K2="","",IFERROR(INDEX(Tabela2[Curso],MATCH(K2,Tabela2[ID],0)),""))</f>
        <v/>
      </c>
      <c r="N2" s="123" t="s">
        <v>3048</v>
      </c>
      <c r="O2" s="123" t="s">
        <v>4</v>
      </c>
      <c r="P2" s="123" t="s">
        <v>3170</v>
      </c>
      <c r="Q2" s="123" t="s">
        <v>3171</v>
      </c>
      <c r="R2" s="123" t="s">
        <v>3172</v>
      </c>
      <c r="S2" s="123" t="s">
        <v>3173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3169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3169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3169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3169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3169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3169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3169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3169</v>
      </c>
      <c r="L10" t="str">
        <f>IF(K10="","",IFERROR(INDEX(Tabela2[Curso],MATCH(K10,Tabela2[ID],0)),""))</f>
        <v/>
      </c>
      <c r="N10" s="122" t="s">
        <v>3174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3169</v>
      </c>
      <c r="L11" t="str">
        <f>IF(K11="","",IFERROR(INDEX(Tabela2[Curso],MATCH(K11,Tabela2[ID],0)),""))</f>
        <v/>
      </c>
      <c r="N11" s="125" t="s">
        <v>3175</v>
      </c>
      <c r="O11" s="125" t="s">
        <v>3176</v>
      </c>
      <c r="P11" s="125" t="s">
        <v>3177</v>
      </c>
      <c r="Q11" s="125" t="s">
        <v>3160</v>
      </c>
      <c r="R11" s="125" t="s">
        <v>3161</v>
      </c>
      <c r="S11" s="125" t="s">
        <v>3178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3169</v>
      </c>
      <c r="L12" t="str">
        <f>IF(K12="","",IFERROR(INDEX(Tabela2[Curso],MATCH(K12,Tabela2[ID],0)),""))</f>
        <v/>
      </c>
      <c r="N12" t="s">
        <v>3179</v>
      </c>
      <c r="O12" t="s">
        <v>2755</v>
      </c>
      <c r="P12" t="s">
        <v>3180</v>
      </c>
      <c r="Q12">
        <v>0</v>
      </c>
      <c r="R12">
        <v>0</v>
      </c>
      <c r="S12" t="s">
        <v>3181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3169</v>
      </c>
      <c r="L13" t="str">
        <f>IF(K13="","",IFERROR(INDEX(Tabela2[Curso],MATCH(K13,Tabela2[ID],0)),""))</f>
        <v/>
      </c>
      <c r="N13" t="s">
        <v>3182</v>
      </c>
      <c r="O13" t="s">
        <v>2686</v>
      </c>
      <c r="P13" t="s">
        <v>3183</v>
      </c>
      <c r="Q13">
        <v>0</v>
      </c>
      <c r="R13">
        <v>0</v>
      </c>
      <c r="S13" t="s">
        <v>3184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3169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3169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3169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3169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3169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3169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3169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3169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3169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3169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3169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3169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3169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3169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3169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3169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3169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3169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3169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3169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3169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3169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3169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3169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3169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3169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3169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3169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3169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3169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3169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3169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3169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3169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3169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3169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3169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3169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3169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3169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3169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3169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3169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3169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3169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3169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3169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3169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3169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3169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3169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3169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0C07A846-7927-4130-BFB7-172DFD21A058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2026-08-05T18:05:08Z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