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94" documentId="8_{454372C2-A99E-4E47-A759-72B38925853E}" xr6:coauthVersionLast="47" xr6:coauthVersionMax="47" xr10:uidLastSave="{C7D9F121-20C9-4CCA-AA23-7EE72B56BE6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F27" i="29" s="1"/>
  <c r="C27" i="29"/>
  <c r="D27" i="29"/>
  <c r="E27" i="29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H25" i="29" s="1"/>
  <c r="C25" i="29"/>
  <c r="D25" i="29"/>
  <c r="E25" i="29"/>
  <c r="F25" i="29"/>
  <c r="G25" i="29"/>
  <c r="L24" i="29"/>
  <c r="A24" i="29"/>
  <c r="B24" i="29"/>
  <c r="F24" i="29" s="1"/>
  <c r="C24" i="29"/>
  <c r="D24" i="29"/>
  <c r="E24" i="29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H24" i="29" l="1"/>
  <c r="I24" i="29" s="1"/>
  <c r="G24" i="29"/>
  <c r="H27" i="29"/>
  <c r="I27" i="29" s="1"/>
  <c r="G27" i="29"/>
  <c r="I17" i="29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<sst xmlns="http://schemas.openxmlformats.org/spreadsheetml/2006/main" count="7146" uniqueCount="3167">
  <si>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</si>
  <si>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</si>
  <si>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</si>
  <si>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</si>
  <si>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</si>
  <si>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</si>
  <si>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</si>
  <si>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</si>
  <si>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</si>
  <si>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</si>
  <si>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</si>
  <si>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</si>
  <si>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</si>
  <si>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</si>
  <si>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</si>
  <si>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</si>
  <si>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</si>
  <si>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</si>
  <si>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</si>
  <si>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</si>
  <si>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</si>
  <si>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</si>
  <si>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</si>
  <si>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</si>
  <si>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</si>
  <si>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</si>
  <si>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</si>
  <si>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</si>
  <si>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</si>
  <si>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</si>
  <si>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</si>
  <si>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</si>
  <si>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</si>
  <si>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</si>
  <si>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</si>
  <si>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</si>
  <si>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</si>
  <si>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</si>
  <si>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</si>
  <si>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</si>
  <si>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</si>
  <si>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</si>
  <si>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</si>
  <si>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</si>
  <si>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</si>
  <si>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</si>
  <si>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</si>
  <si>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</si>
  <si>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</si>
  <si>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</si>
  <si>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</si>
  <si>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</si>
  <si>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</si>
  <si>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</si>
  <si>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</si>
  <si>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</si>
  <si>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</si>
  <si>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</si>
  <si>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</si>
  <si>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</si>
  <si>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</si>
  <si>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</si>
  <si>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</si>
  <si>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</si>
  <si>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</si>
  <si>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</si>
  <si>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</si>
  <si>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</si>
  <si>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</si>
  <si>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</si>
  <si>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</si>
  <si>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</si>
  <si>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</si>
  <si>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</si>
  <si>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</si>
  <si>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</si>
  <si>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</si>
  <si>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</si>
  <si>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</si>
  <si>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</si>
  <si>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</si>
  <si>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</si>
  <si>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</si>
  <si>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</si>
  <si>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</si>
  <si>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</si>
  <si>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</si>
  <si>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</si>
  <si>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</si>
  <si>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</si>
  <si>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</si>
  <si>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</si>
  <si>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</si>
  <si>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</si>
  <si>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</si>
  <si>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</si>
  <si>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</si>
  <si>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</si>
  <si>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</si>
  <si>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</si>
  <si>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</si>
  <si>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</si>
  <si>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</si>
  <si>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</si>
  <si>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</si>
  <si>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</si>
  <si>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</si>
  <si>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</si>
  <si>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</si>
  <si>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</si>
  <si>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</si>
  <si>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</si>
  <si>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</si>
  <si>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</si>
  <si>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</si>
  <si>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</si>
  <si>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</si>
  <si>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</si>
  <si>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</si>
  <si>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</si>
  <si>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</si>
  <si>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</si>
  <si>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</si>
  <si>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</si>
  <si>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</si>
  <si>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</si>
  <si>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</si>
  <si>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</si>
  <si>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</si>
  <si>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</si>
  <si>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</si>
  <si>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</si>
  <si>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</si>
  <si>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</si>
  <si>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</si>
  <si>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</si>
  <si>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</si>
  <si>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</si>
  <si>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</si>
  <si>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</si>
  <si>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</si>
  <si>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</si>
  <si>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</si>
  <si>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</si>
  <si>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</si>
  <si>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</si>
  <si>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</si>
  <si>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</si>
  <si>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</si>
  <si>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</si>
  <si>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</si>
  <si>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</si>
  <si>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</si>
  <si>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</si>
  <si>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</si>
  <si>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</si>
  <si>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</si>
  <si>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</si>
  <si>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</si>
  <si>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</si>
  <si>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</si>
  <si>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</si>
  <si>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</si>
  <si>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</si>
  <si>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</si>
  <si>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</si>
  <si>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</si>
  <si>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</si>
  <si>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</si>
  <si>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</si>
  <si>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</si>
  <si>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</si>
  <si>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</si>
  <si>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</si>
  <si>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</si>
  <si>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</si>
  <si>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</si>
  <si>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</si>
  <si>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</si>
  <si>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</si>
  <si>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</si>
  <si>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</si>
  <si>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</si>
  <si>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</si>
  <si>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</si>
  <si>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</si>
  <si>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</si>
  <si>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</si>
  <si>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</si>
  <si>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</si>
  <si>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</si>
  <si>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</si>
  <si>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</si>
  <si>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</si>
  <si>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</si>
  <si>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</si>
  <si>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</si>
  <si>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</si>
  <si>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</si>
  <si>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</si>
  <si>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</si>
  <si>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</si>
  <si>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</si>
  <si>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</si>
  <si>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</si>
  <si>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</si>
  <si>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</si>
  <si>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</si>
  <si>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</si>
  <si>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</si>
  <si>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</si>
  <si>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</si>
  <si>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</si>
  <si>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</si>
  <si>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</si>
  <si>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</si>
  <si>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</si>
  <si>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</si>
  <si>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</si>
  <si>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</si>
  <si>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</si>
  <si>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</si>
  <si>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</si>
  <si>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</si>
  <si>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</si>
  <si>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</si>
  <si>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</si>
  <si>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</si>
  <si>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</si>
  <si>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</si>
  <si>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</si>
  <si>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</si>
  <si>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</si>
  <si>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</si>
  <si>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</si>
  <si>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</si>
  <si>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</si>
  <si>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</si>
  <si>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</si>
  <si>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</si>
  <si>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</si>
  <si>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</si>
  <si>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</si>
  <si>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</si>
  <si>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</si>
  <si>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</si>
  <si>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</si>
  <si>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</si>
  <si>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</si>
  <si>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</si>
  <si>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</si>
  <si>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</si>
  <si>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</si>
  <si>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</si>
  <si>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</si>
  <si>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</si>
  <si>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</si>
  <si>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</si>
  <si>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</si>
  <si>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</si>
  <si>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</si>
  <si>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</si>
  <si>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</si>
  <si>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</si>
  <si>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</si>
  <si>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</si>
  <si>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</si>
  <si>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</si>
  <si>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</si>
  <si>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</si>
  <si>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</si>
  <si>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</si>
  <si>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</si>
  <si>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</si>
  <si>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</si>
  <si>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</si>
  <si>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</si>
  <si>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</si>
  <si>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</si>
  <si>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</si>
  <si>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</si>
  <si>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</si>
  <si>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</si>
  <si>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</si>
  <si>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</si>
  <si>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</si>
  <si>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</si>
  <si>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</si>
  <si>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</si>
  <si>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</si>
  <si>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</si>
  <si>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</si>
  <si>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</si>
  <si>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</si>
  <si>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</si>
  <si>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</si>
  <si>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</si>
  <si>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</si>
  <si>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</si>
  <si>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</si>
  <si>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</si>
  <si>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</si>
  <si>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</si>
  <si>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</si>
  <si>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</si>
  <si>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</si>
  <si>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</si>
  <si>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</si>
  <si>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</si>
  <si>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</si>
  <si>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</si>
  <si>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</si>
  <si>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</si>
  <si>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</si>
  <si>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</si>
  <si>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</si>
  <si>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</si>
  <si>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</si>
  <si>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</si>
  <si>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</si>
  <si>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</si>
  <si>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</si>
  <si>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</si>
  <si>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</si>
  <si>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</si>
  <si>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</si>
  <si>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</si>
  <si>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</si>
  <si>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</si>
  <si>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</si>
  <si>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</si>
  <si>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</si>
  <si>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</si>
  <si>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</si>
  <si>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</si>
  <si>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</si>
  <si>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</si>
  <si>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</si>
  <si>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</si>
  <si>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</si>
  <si>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</si>
  <si>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</si>
  <si>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</si>
  <si>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</si>
  <si>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</si>
  <si>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</si>
  <si>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</si>
  <si>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</si>
  <si>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</si>
  <si>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</si>
  <si>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</si>
  <si>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</si>
  <si>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</si>
  <si>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</si>
  <si>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</si>
  <si>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</si>
  <si>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</si>
  <si>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</si>
  <si>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</si>
  <si>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</si>
  <si>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</si>
  <si>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</si>
  <si>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</si>
  <si>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</si>
  <si>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</si>
  <si>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</si>
  <si>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</si>
  <si>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</si>
  <si>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</si>
  <si>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</si>
  <si>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</si>
  <si>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</si>
  <si>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</si>
  <si>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</si>
  <si>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</si>
  <si>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</si>
  <si>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</si>
  <si>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</si>
  <si>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</si>
  <si>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</si>
  <si>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</si>
  <si>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</si>
  <si>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</si>
  <si>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</si>
  <si>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</si>
  <si>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</si>
  <si>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</si>
  <si>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</si>
  <si>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</si>
  <si>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</si>
  <si>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</si>
  <si>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</si>
  <si>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</si>
  <si>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</si>
  <si>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</si>
  <si>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</si>
  <si>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</si>
  <si>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</si>
  <si>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</si>
  <si>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</si>
  <si>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</si>
  <si>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</si>
  <si>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</si>
  <si>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</si>
  <si>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</si>
  <si>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</si>
  <si>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</si>
  <si>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</si>
  <si>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</si>
  <si>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</si>
  <si>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</si>
  <si>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</si>
  <si>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</si>
  <si>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</si>
  <si>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</si>
  <si>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</si>
  <si>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</si>
  <si>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</si>
  <si>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</si>
  <si>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</si>
  <si>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</si>
  <si>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</si>
  <si>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</si>
  <si>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</si>
  <si>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</si>
  <si>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</si>
  <si>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</si>
  <si>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</si>
  <si>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</si>
  <si>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</si>
  <si>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</si>
  <si>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</si>
  <si>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</si>
  <si>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</si>
  <si>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</si>
  <si>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</si>
  <si>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</si>
  <si>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</si>
  <si>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</si>
  <si>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</si>
  <si>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</si>
  <si>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</si>
  <si>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</si>
  <si>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</si>
  <si>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</si>
  <si>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</si>
  <si>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</si>
  <si>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</si>
  <si>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</si>
  <si>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</si>
  <si>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</si>
  <si>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</si>
  <si>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</si>
  <si>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</si>
  <si>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</si>
  <si>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</si>
  <si>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</si>
  <si>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</si>
  <si>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</si>
  <si>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</si>
  <si>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</si>
  <si>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</si>
  <si>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</si>
  <si>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</si>
  <si>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</si>
  <si>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</si>
  <si>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</si>
  <si>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</si>
  <si>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</si>
  <si>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</si>
  <si>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</si>
  <si>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</si>
  <si>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</si>
  <si>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</si>
  <si>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</si>
  <si>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</si>
  <si>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</si>
  <si>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</si>
  <si>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</si>
  <si>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</si>
  <si>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</si>
  <si>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</si>
  <si>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</si>
  <si>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</si>
  <si>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</si>
  <si>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</si>
  <si>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</si>
  <si>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</si>
  <si>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</si>
  <si>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</si>
  <si>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</si>
  <si>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</si>
  <si>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</si>
  <si>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</si>
  <si>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</si>
  <si>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</si>
  <si>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</si>
  <si>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</si>
  <si>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</si>
  <si>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</si>
  <si>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</si>
  <si>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</si>
  <si>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</si>
  <si>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</si>
  <si>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</si>
  <si>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</si>
  <si>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</si>
  <si>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</si>
  <si>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</si>
  <si>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</si>
  <si>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</si>
  <si>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</si>
  <si>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</si>
  <si>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</si>
  <si>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</si>
  <si>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</si>
  <si>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</si>
  <si>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</si>
  <si>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</si>
  <si>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</si>
  <si>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</si>
  <si>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</si>
  <si>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</si>
  <si>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</si>
  <si>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</si>
  <si>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</si>
  <si>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</si>
  <si>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</si>
  <si>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</si>
  <si>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</si>
  <si>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</si>
  <si>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</si>
  <si>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</si>
  <si>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</si>
  <si>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</si>
  <si>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</si>
  <si>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</si>
  <si>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</si>
  <si>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</si>
  <si>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</si>
  <si>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</si>
  <si>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</si>
  <si>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</si>
  <si>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</si>
  <si>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</si>
  <si>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</si>
  <si>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</si>
  <si>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</si>
  <si>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</si>
  <si>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</si>
  <si>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</si>
  <si>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</si>
  <si>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</si>
  <si>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</si>
  <si>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</si>
  <si>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</si>
  <si>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</si>
  <si>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</si>
  <si>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</si>
  <si>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</si>
  <si>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</si>
  <si>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</si>
  <si>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</si>
  <si>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</si>
  <si>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</si>
  <si>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</si>
  <si>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</si>
  <si>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</si>
  <si>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</si>
  <si>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</si>
  <si>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</si>
  <si>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</si>
  <si>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</si>
  <si>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</si>
  <si>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</si>
  <si>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</si>
  <si>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</si>
  <si>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</si>
  <si>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</si>
  <si>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</si>
  <si>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</si>
  <si>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</si>
  <si>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</si>
  <si>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</si>
  <si>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</si>
  <si>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</si>
  <si>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</si>
  <si>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</si>
  <si>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</si>
  <si>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</si>
  <si>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</si>
  <si>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</si>
  <si>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</si>
  <si>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</si>
  <si>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</si>
  <si>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</si>
  <si>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</si>
  <si>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</si>
  <si>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</si>
  <si>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</si>
  <si>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</si>
  <si>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</si>
  <si>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</si>
  <si>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</si>
  <si>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</si>
  <si>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</si>
  <si>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</si>
  <si>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</si>
  <si>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</si>
  <si>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</si>
  <si>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</si>
  <si>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</si>
  <si>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</si>
  <si>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</si>
  <si>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</si>
  <si>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</si>
  <si>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</si>
  <si>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</si>
  <si>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</si>
  <si>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</si>
  <si>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</si>
  <si>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</si>
  <si>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</si>
  <si>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</si>
  <si>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</si>
  <si>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</si>
  <si>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</si>
  <si>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</si>
  <si>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</si>
  <si>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</si>
  <si>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</si>
  <si>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</si>
  <si>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</si>
  <si>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</si>
  <si>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</si>
  <si>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</si>
  <si>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</si>
  <si>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</si>
  <si>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</si>
  <si>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</si>
  <si>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</si>
  <si>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</si>
  <si>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</si>
  <si>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</si>
  <si>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</si>
  <si>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</si>
  <si>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</si>
  <si>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</si>
  <si>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</si>
  <si>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</si>
  <si>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</si>
  <si>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</si>
  <si>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</si>
  <si>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</si>
  <si>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</si>
  <si>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</si>
  <si>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</si>
  <si>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</si>
  <si>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</si>
  <si>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</si>
  <si>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</si>
  <si>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</si>
  <si>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</si>
  <si>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</si>
  <si>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</si>
  <si>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</si>
  <si>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</si>
  <si>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</si>
  <si>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</si>
  <si>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</si>
  <si>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</si>
  <si>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</si>
  <si>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</si>
  <si>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</si>
  <si>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</si>
  <si>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</si>
  <si>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</si>
  <si>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</si>
  <si>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</si>
  <si>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</si>
  <si>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</si>
  <si>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</si>
  <si>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</si>
  <si>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</si>
  <si>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</si>
  <si>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</si>
  <si>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</si>
  <si>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</si>
  <si>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</si>
  <si>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</si>
  <si>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</si>
  <si>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</si>
  <si>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</si>
  <si>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</si>
  <si>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</si>
  <si>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</si>
  <si>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</si>
  <si>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</si>
  <si>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</si>
  <si>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</si>
  <si>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</si>
  <si>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</si>
  <si>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</si>
  <si>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</si>
  <si>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</si>
  <si>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</si>
  <si>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</si>
  <si>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</si>
  <si>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</si>
  <si>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</si>
  <si>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</si>
  <si>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</si>
  <si>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</si>
  <si>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</si>
  <si>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</si>
  <si>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</si>
  <si>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</si>
  <si>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</si>
  <si>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</si>
  <si>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</si>
  <si>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</si>
  <si>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</si>
  <si>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</si>
  <si>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</si>
  <si>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</si>
  <si>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</si>
  <si>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</si>
  <si>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</si>
  <si>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</si>
  <si>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</si>
  <si>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</si>
  <si>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</si>
  <si>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</si>
  <si>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</si>
  <si>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</si>
  <si>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</si>
  <si>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</si>
  <si>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</si>
  <si>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</si>
  <si>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</si>
  <si>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</si>
  <si>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</si>
  <si>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</si>
  <si>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</si>
  <si>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</si>
  <si>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</si>
  <si>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</si>
  <si>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</si>
  <si>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</si>
  <si>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</si>
  <si>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</si>
  <si>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</si>
  <si>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</si>
  <si>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</si>
  <si>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</si>
  <si>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</si>
  <si>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</si>
  <si>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</si>
  <si>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</si>
  <si>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</si>
  <si>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</si>
  <si>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</si>
  <si>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</si>
  <si>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</si>
  <si>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</si>
  <si>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</si>
  <si>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</si>
  <si>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</si>
  <si>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</si>
  <si>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</si>
  <si>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</si>
  <si>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</si>
  <si>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</si>
  <si>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</si>
  <si>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</si>
  <si>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</si>
  <si>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</si>
  <si>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</si>
  <si>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</si>
  <si>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</si>
  <si>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</si>
  <si>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</si>
  <si>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</si>
  <si>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</si>
  <si>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</si>
  <si>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</si>
  <si>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</si>
  <si>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</si>
  <si>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</si>
  <si>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</si>
  <si>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</si>
  <si>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</si>
  <si>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</si>
  <si>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</si>
  <si>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</si>
  <si>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</si>
  <si>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</si>
  <si>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</si>
  <si>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</si>
  <si>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</si>
  <si>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</si>
  <si>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</si>
  <si>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</si>
  <si>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</si>
  <si>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</si>
  <si>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</si>
  <si>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</si>
  <si>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</si>
  <si>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</si>
  <si>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</si>
  <si>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</si>
  <si>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</si>
  <si>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</si>
  <si>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</si>
  <si>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</si>
  <si>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</si>
  <si>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</si>
  <si>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</si>
  <si>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</si>
  <si>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</si>
  <si>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</si>
  <si>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</si>
  <si>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</si>
  <si>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</si>
  <si>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</si>
  <si>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</si>
  <si>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</si>
  <si>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</si>
  <si>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</si>
  <si>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</si>
  <si>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</si>
  <si>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</si>
  <si>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</si>
  <si>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</si>
  <si>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</si>
  <si>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</si>
  <si>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</si>
  <si>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</si>
  <si>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</si>
  <si>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</si>
  <si>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</si>
  <si>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</si>
  <si>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</si>
  <si>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</si>
  <si>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</si>
  <si>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</si>
  <si>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</si>
  <si>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</si>
  <si>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</si>
  <si>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</si>
  <si>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</si>
  <si>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</si>
  <si>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</si>
  <si>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</si>
  <si>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</si>
  <si>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</si>
  <si>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</si>
  <si>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</si>
  <si>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</si>
  <si>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</si>
  <si>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</si>
  <si>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</si>
  <si>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</si>
  <si>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</si>
  <si>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</si>
  <si>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</si>
  <si>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</si>
  <si>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</si>
  <si>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</si>
  <si>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</si>
  <si>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</si>
  <si>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</si>
  <si>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</si>
  <si>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</si>
  <si>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</si>
  <si>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</si>
  <si>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</si>
  <si>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</si>
  <si>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</si>
  <si>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</si>
  <si>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</si>
  <si>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</si>
  <si>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</si>
  <si>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</si>
  <si>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</si>
  <si>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</si>
  <si>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</si>
  <si>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</si>
  <si>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</si>
  <si>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</si>
  <si>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</si>
  <si>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</si>
  <si>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</si>
  <si>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</si>
  <si>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</si>
  <si>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</si>
  <si>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</si>
  <si>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</si>
  <si>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</si>
  <si>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</si>
  <si>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</si>
  <si>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</si>
  <si>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</si>
  <si>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</si>
  <si>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</si>
  <si>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</si>
  <si>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</si>
  <si>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</si>
  <si>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</si>
  <si>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</si>
  <si>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</si>
  <si>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</si>
  <si>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</si>
  <si>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</si>
  <si>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</si>
  <si>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</si>
  <si>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</si>
  <si>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</si>
  <si>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</si>
  <si>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</si>
  <si>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</si>
  <si>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</si>
  <si>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</si>
  <si>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</si>
  <si>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</si>
  <si>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</si>
  <si>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</si>
  <si>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</si>
  <si>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</si>
  <si>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</si>
  <si>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</si>
  <si>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</si>
  <si>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</si>
  <si>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</si>
  <si>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</si>
  <si>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</si>
  <si>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</si>
  <si>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</si>
  <si>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</si>
  <si>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</si>
  <si>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</si>
  <si>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</si>
  <si>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</si>
  <si>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</si>
  <si>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</si>
  <si>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</si>
  <si>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</si>
  <si>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</si>
  <si>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</si>
  <si>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</si>
  <si>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</si>
  <si>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</si>
  <si>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</si>
  <si>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</si>
  <si>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</si>
  <si>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</si>
  <si>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</si>
  <si>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</si>
  <si>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</si>
  <si>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</si>
  <si>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</si>
  <si>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</si>
  <si>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</si>
  <si>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</si>
  <si>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</si>
  <si>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</si>
  <si>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</si>
  <si>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</si>
  <si>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</si>
  <si>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</si>
  <si>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</si>
  <si>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</si>
  <si>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</si>
  <si>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</si>
  <si>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</si>
  <si>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</si>
  <si>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</si>
  <si>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</si>
  <si>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</si>
  <si>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</si>
  <si>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</si>
  <si>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</si>
  <si>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</si>
  <si>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</si>
  <si>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</si>
  <si>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</si>
  <si>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</si>
  <si>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</si>
  <si>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</si>
  <si>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</si>
  <si>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</si>
  <si>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</si>
  <si>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</si>
  <si>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</si>
  <si>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</si>
  <si>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</si>
  <si>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</si>
  <si>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</si>
  <si>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</si>
  <si>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</si>
  <si>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</si>
  <si>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</si>
  <si>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</si>
  <si>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</si>
  <si>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</si>
  <si>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</si>
  <si>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</si>
  <si>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</si>
  <si>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</si>
  <si>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</si>
  <si>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</si>
  <si>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</si>
  <si>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</si>
  <si>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</si>
  <si>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</si>
  <si>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</si>
  <si>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</si>
  <si>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</si>
  <si>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</si>
  <si>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</si>
  <si>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</si>
  <si>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</si>
  <si>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</si>
  <si>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</si>
  <si>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</si>
  <si>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</si>
  <si>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</si>
  <si>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</si>
  <si>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</si>
  <si>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</si>
  <si>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</si>
  <si>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</si>
  <si>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</si>
  <si>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</si>
  <si>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</si>
  <si>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</si>
  <si>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</si>
  <si>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</si>
  <si>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</si>
  <si>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</si>
  <si>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</si>
  <si>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</si>
  <si>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</si>
  <si>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</si>
  <si>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</si>
  <si>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</si>
  <si>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</si>
  <si>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</si>
  <si>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</si>
  <si>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</si>
  <si>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</si>
  <si>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</si>
  <si>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</si>
  <si>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</si>
  <si>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</si>
  <si>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</si>
  <si>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</si>
  <si>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</si>
  <si>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</si>
  <si>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</si>
  <si>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</si>
  <si>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</si>
  <si>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</si>
  <si>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</si>
  <si>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</si>
  <si>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</si>
  <si>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</si>
  <si>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</si>
  <si>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</si>
  <si>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</si>
  <si>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</si>
  <si>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</si>
  <si>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</si>
  <si>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</si>
  <si>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</si>
  <si>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</si>
  <si>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</si>
  <si>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</si>
  <si>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</si>
  <si>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</si>
  <si>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</si>
  <si>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</si>
  <si>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</si>
  <si>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</si>
  <si>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</si>
  <si>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</si>
  <si>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</si>
  <si>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</si>
  <si>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</si>
  <si>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</si>
  <si>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</si>
  <si>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</si>
  <si>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</si>
  <si>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</si>
  <si>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</si>
  <si>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</si>
  <si>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</si>
  <si>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</si>
  <si>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</si>
  <si>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</si>
  <si>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</si>
  <si>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</si>
  <si>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</si>
  <si>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</si>
  <si>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</si>
  <si>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</si>
  <si>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</si>
  <si>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</si>
  <si>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</si>
  <si>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</si>
  <si>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</si>
  <si>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</si>
  <si>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</si>
  <si>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</si>
  <si>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</si>
  <si>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</si>
  <si>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</si>
  <si>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</si>
  <si>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</si>
  <si>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</si>
  <si>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</si>
  <si>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</si>
  <si>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</si>
  <si>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</si>
  <si>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</si>
  <si>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</si>
  <si>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</si>
  <si>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</si>
  <si>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</si>
  <si>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</si>
  <si>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</si>
  <si>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</si>
  <si>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</si>
  <si>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</si>
  <si>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</si>
  <si>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</si>
  <si>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</si>
  <si>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</si>
  <si>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</si>
  <si>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</si>
  <si>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</si>
  <si>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</si>
  <si>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</si>
  <si>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</si>
  <si>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</si>
  <si>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</si>
  <si>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</si>
  <si>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</si>
  <si>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</si>
  <si>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</si>
  <si>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</si>
  <si>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</si>
  <si>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</si>
  <si>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</si>
  <si>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</si>
  <si>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</si>
  <si>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</si>
  <si>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</si>
  <si>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</si>
  <si>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</si>
  <si>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</si>
  <si>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</si>
  <si>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</si>
  <si>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</si>
  <si>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</si>
  <si>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</si>
  <si>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</si>
  <si>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</si>
  <si>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</si>
  <si>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</si>
  <si>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</si>
  <si>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</si>
  <si>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</si>
  <si>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</si>
  <si>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</si>
  <si>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</si>
  <si>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</si>
  <si>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</si>
  <si>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</si>
  <si>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</si>
  <si>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</si>
  <si>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</si>
  <si>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</si>
  <si>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</si>
  <si>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</si>
  <si>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</si>
  <si>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</si>
  <si>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</si>
  <si>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</si>
  <si>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</si>
  <si>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</si>
  <si>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</si>
  <si>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</si>
  <si>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</si>
  <si>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</si>
  <si>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</si>
  <si>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</si>
  <si>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</si>
  <si>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</si>
  <si>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</si>
  <si>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</si>
  <si>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</si>
  <si>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</si>
  <si>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</si>
  <si>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</si>
  <si>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</si>
  <si>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</si>
  <si>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</si>
  <si>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</si>
  <si>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</si>
  <si>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</si>
  <si>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</si>
  <si>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</si>
  <si>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</si>
  <si>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</si>
  <si>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</si>
  <si>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</si>
  <si>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</si>
  <si>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</si>
  <si>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</si>
  <si>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</si>
  <si>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</si>
  <si>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</si>
  <si>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</si>
  <si>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</si>
  <si>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</si>
  <si>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</si>
  <si>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</si>
  <si>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</si>
  <si>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</si>
  <si>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</si>
  <si>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</si>
  <si>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</si>
  <si>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</si>
  <si>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</si>
  <si>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</si>
  <si>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</si>
  <si>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</si>
  <si>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</si>
  <si>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</si>
  <si>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</si>
  <si>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</si>
  <si>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</si>
  <si>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</si>
  <si>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</si>
  <si>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</si>
  <si>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</si>
  <si>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</si>
  <si>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</si>
  <si>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</si>
  <si>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</si>
  <si>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</si>
  <si>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</si>
  <si>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</si>
  <si>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</si>
  <si>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</si>
  <si>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</si>
  <si>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</si>
  <si>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</si>
  <si>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</si>
  <si>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</si>
  <si>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</si>
  <si>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</si>
  <si>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</si>
  <si>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</si>
  <si>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</si>
  <si>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</si>
  <si>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</si>
  <si>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</si>
  <si>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</si>
  <si>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</si>
  <si>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</si>
  <si>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</si>
  <si>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</si>
  <si>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</si>
  <si>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</si>
  <si>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</si>
  <si>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</si>
  <si>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</si>
  <si>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</si>
  <si>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</si>
  <si>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</si>
  <si>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</si>
  <si>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</si>
  <si>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</si>
  <si>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</si>
  <si>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</si>
  <si>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</si>
  <si>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</si>
  <si>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</si>
  <si>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</si>
  <si>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</si>
  <si>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</si>
  <si>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</si>
  <si>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</si>
  <si>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</si>
  <si>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</si>
  <si>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</si>
  <si>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</si>
  <si>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</si>
  <si>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</si>
  <si>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</si>
  <si>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</si>
  <si>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</si>
  <si>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</si>
  <si>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</si>
  <si>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</si>
  <si>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</si>
  <si>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</si>
  <si>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</si>
  <si>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</si>
  <si>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</si>
  <si>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</si>
  <si>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</si>
  <si>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</si>
  <si>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</si>
  <si>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</si>
  <si>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</si>
  <si>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</si>
  <si>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</si>
  <si>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</si>
  <si>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</si>
  <si>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</si>
  <si>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</si>
  <si>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</si>
  <si>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</si>
  <si>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</si>
  <si>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</si>
  <si>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</si>
  <si>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</si>
  <si>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</si>
  <si>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</si>
  <si>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</si>
  <si>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</si>
  <si>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</si>
  <si>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</si>
  <si>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</si>
  <si>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</si>
  <si>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</si>
  <si>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</si>
  <si>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</si>
  <si>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</si>
  <si>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</si>
  <si>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</si>
  <si>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</si>
  <si>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</si>
  <si>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</si>
  <si>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</si>
  <si>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</si>
  <si>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</si>
  <si>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</si>
  <si>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</si>
  <si>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</si>
  <si>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</si>
  <si>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</si>
  <si>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</si>
  <si>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</si>
  <si>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</si>
  <si>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</si>
  <si>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</si>
  <si>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</si>
  <si>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</si>
  <si>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</si>
  <si>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</si>
  <si>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</si>
  <si>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</si>
  <si>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</si>
  <si>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</si>
  <si>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</si>
  <si>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</si>
  <si>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</si>
  <si>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</si>
  <si>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</si>
  <si>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</si>
  <si>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</si>
  <si>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</si>
  <si>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</si>
  <si>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</si>
  <si>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</si>
  <si>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</si>
  <si>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</si>
  <si>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</si>
  <si>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</si>
  <si>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</si>
  <si>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</si>
  <si>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</si>
  <si>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</si>
  <si>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</si>
  <si>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</si>
  <si>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</si>
  <si>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</si>
  <si>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</si>
  <si>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</si>
  <si>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</si>
  <si>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</si>
  <si>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</si>
  <si>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</si>
  <si>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</si>
  <si>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</si>
  <si>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</si>
  <si>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</si>
  <si>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</si>
  <si>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</si>
  <si>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</si>
  <si>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</si>
  <si>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</si>
  <si>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</si>
  <si>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</si>
  <si>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</si>
  <si>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</si>
  <si>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</si>
  <si>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</si>
  <si>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</si>
  <si>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</si>
  <si>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</si>
  <si>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</si>
  <si>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</si>
  <si>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</si>
  <si>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</si>
  <si>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</si>
  <si>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</si>
  <si>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</si>
  <si>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</si>
  <si>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</si>
  <si>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</si>
  <si>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</si>
  <si>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</si>
  <si>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</si>
  <si>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</si>
  <si>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</si>
  <si>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</si>
  <si>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</si>
  <si>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</si>
  <si>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</si>
  <si>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</si>
  <si>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</si>
  <si>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</si>
  <si>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</si>
  <si>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</si>
  <si>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</si>
  <si>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</si>
  <si>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</si>
  <si>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</si>
  <si>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</si>
  <si>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</si>
  <si>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</si>
  <si>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</si>
  <si>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</si>
  <si>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</si>
  <si>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</si>
  <si>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</si>
  <si>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</si>
  <si>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</si>
  <si>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</si>
  <si>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</si>
  <si>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</si>
  <si>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</si>
  <si>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</si>
  <si>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</si>
  <si>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</si>
  <si>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</si>
  <si>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</si>
  <si>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</si>
  <si>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</si>
  <si>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</si>
  <si>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</si>
  <si>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</si>
  <si>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</si>
  <si>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</si>
  <si>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</si>
  <si>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</si>
  <si>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</si>
  <si>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</si>
  <si>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</si>
  <si>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</si>
  <si>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</si>
  <si>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</si>
  <si>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</si>
  <si>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</si>
  <si>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</si>
  <si>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</si>
  <si>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</si>
  <si>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</si>
  <si>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</si>
  <si>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</si>
  <si>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</si>
  <si>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</si>
  <si>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</si>
  <si>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</si>
  <si>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</si>
  <si>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</si>
  <si>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</si>
  <si>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</si>
  <si>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</si>
  <si>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</si>
  <si>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</si>
  <si>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</si>
  <si>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</si>
  <si>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</si>
  <si>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</si>
  <si>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</si>
  <si>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</si>
  <si>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</si>
  <si>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</si>
  <si>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</si>
  <si>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</si>
  <si>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</si>
  <si>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</si>
  <si>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</si>
  <si>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</si>
  <si>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</si>
  <si>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</si>
  <si>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</si>
  <si>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</si>
  <si>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</si>
  <si>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</si>
  <si>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</si>
  <si>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</si>
  <si>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</si>
  <si>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</si>
  <si>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</si>
  <si>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</si>
  <si>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</si>
  <si>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</si>
  <si>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</si>
  <si>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</si>
  <si>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</si>
  <si>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</si>
  <si>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</si>
  <si>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</si>
  <si>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</si>
  <si>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</si>
  <si>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</si>
  <si>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</si>
  <si>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</si>
  <si>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</si>
  <si>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</si>
  <si>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</si>
  <si>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</si>
  <si>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</si>
  <si>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</si>
  <si>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</si>
  <si>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</si>
  <si>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</si>
  <si>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</si>
  <si>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</si>
  <si>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</si>
  <si>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</si>
  <si>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</si>
  <si>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</si>
  <si>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</si>
  <si>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</si>
  <si>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</si>
  <si>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</si>
  <si>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</si>
  <si>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</si>
  <si>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</si>
  <si>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</si>
  <si>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</si>
  <si>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</si>
  <si>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</si>
  <si>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</si>
  <si>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</si>
  <si>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</si>
  <si>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</si>
  <si>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</si>
  <si>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</si>
  <si>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</si>
  <si>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</si>
  <si>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</si>
  <si>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</si>
  <si>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</si>
  <si>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</si>
  <si>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</si>
  <si>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</si>
  <si>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</si>
  <si>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</si>
  <si>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</si>
  <si>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</si>
  <si>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</si>
  <si>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</si>
  <si>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</si>
  <si>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</si>
  <si>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</si>
  <si>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</si>
  <si>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</si>
  <si>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</si>
  <si>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</si>
  <si>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</si>
  <si>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</si>
  <si>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</si>
  <si>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</si>
  <si>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</si>
  <si>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</si>
  <si>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</si>
  <si>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</si>
  <si>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</si>
  <si>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</si>
  <si>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</si>
  <si>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</si>
  <si>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</si>
  <si>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</si>
  <si>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</si>
  <si>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</si>
  <si>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</si>
  <si>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</si>
  <si>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</si>
  <si>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</si>
  <si>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</si>
  <si>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</si>
  <si>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</si>
  <si>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</si>
  <si>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</si>
  <si>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</si>
  <si>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</si>
  <si>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</si>
  <si>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</si>
  <si>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</si>
  <si>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</si>
  <si>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</si>
  <si>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</si>
  <si>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</si>
  <si>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</si>
  <si>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</si>
  <si>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</si>
  <si>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</si>
  <si>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</si>
  <si>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</si>
  <si>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</si>
  <si>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</si>
  <si>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</si>
  <si>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</si>
  <si>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</si>
  <si>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</si>
  <si>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</si>
  <si>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</si>
  <si>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</si>
  <si>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</si>
  <si>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</si>
  <si>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</si>
  <si>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</si>
  <si>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</si>
  <si>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</si>
  <si>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</si>
  <si>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</si>
  <si>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</si>
  <si>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</si>
  <si>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</si>
  <si>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</si>
  <si>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</si>
  <si>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</si>
  <si>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</si>
  <si>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</si>
  <si>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</si>
  <si>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</si>
  <si>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</si>
  <si>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</si>
  <si>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</si>
  <si>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</si>
  <si>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</si>
  <si>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</si>
  <si>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</si>
  <si>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</si>
  <si>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</si>
  <si>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</si>
  <si>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</si>
  <si>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</si>
  <si>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</si>
  <si>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</si>
  <si>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</si>
  <si>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</si>
  <si>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</si>
  <si>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</si>
  <si>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</si>
  <si>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</si>
  <si>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</si>
  <si>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</si>
  <si>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</si>
  <si>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</si>
  <si>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</si>
  <si>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</si>
  <si>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</si>
  <si>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</si>
  <si>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</si>
  <si>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</si>
  <si>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</si>
  <si>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</si>
  <si>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</si>
  <si>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</si>
  <si>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</si>
  <si>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</si>
  <si>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</si>
  <si>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</si>
  <si>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</si>
  <si>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</si>
  <si>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</si>
  <si>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</si>
  <si>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</si>
  <si>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</si>
  <si>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</si>
  <si>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</si>
  <si>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</si>
  <si>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</si>
  <si>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</si>
  <si>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</si>
  <si>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</si>
  <si>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</si>
  <si>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</si>
  <si>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</si>
  <si>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</si>
  <si>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</si>
  <si>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</si>
  <si>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</si>
  <si>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</si>
  <si>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</si>
  <si>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</si>
  <si>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</si>
  <si>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</si>
  <si>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</si>
  <si>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</si>
  <si>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</si>
  <si>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</si>
  <si>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</si>
  <si>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</si>
  <si>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</si>
  <si>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</si>
  <si>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</si>
  <si>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</si>
  <si>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</si>
  <si>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</si>
  <si>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</si>
  <si>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</si>
  <si>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</si>
  <si>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</si>
  <si>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</si>
  <si>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</si>
  <si>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</si>
  <si>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</si>
  <si>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</si>
  <si>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</si>
  <si>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</si>
  <si>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</si>
  <si>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</si>
  <si>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</si>
  <si>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</si>
  <si>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</si>
  <si>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</si>
  <si>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</si>
  <si>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</si>
  <si>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</si>
  <si>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</si>
  <si>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</si>
  <si>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</si>
  <si>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</si>
  <si>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</si>
  <si>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</si>
  <si>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</si>
  <si>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</si>
  <si>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</si>
  <si>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</si>
  <si>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</si>
  <si>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</si>
  <si>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</si>
  <si>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</si>
  <si>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</si>
  <si>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</si>
  <si>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</si>
  <si>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</si>
  <si>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</si>
  <si>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</si>
  <si>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</si>
  <si>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</si>
  <si>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</si>
  <si>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</si>
  <si>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</si>
  <si>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</si>
  <si>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</si>
  <si>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</si>
  <si>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</si>
  <si>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</si>
  <si>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</si>
  <si>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</si>
  <si>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</si>
  <si>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</si>
  <si>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</si>
  <si>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</si>
  <si>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</si>
  <si>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</si>
  <si>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</si>
  <si>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</si>
  <si>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</si>
  <si>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</si>
  <si>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</si>
  <si>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</si>
  <si>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</si>
  <si>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</si>
  <si>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</si>
  <si>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</si>
  <si>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</si>
  <si>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</si>
  <si>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</si>
  <si>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</si>
  <si>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</si>
  <si>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</si>
  <si>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</si>
  <si>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</si>
  <si>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</si>
  <si>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</si>
  <si>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</si>
  <si>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</si>
  <si>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</si>
  <si>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</si>
  <si>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</si>
  <si>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</si>
  <si>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</si>
  <si>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</si>
  <si>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</si>
  <si>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</si>
  <si>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</si>
  <si>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</si>
  <si>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</si>
  <si>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</si>
  <si>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</si>
  <si>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</si>
  <si>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</si>
  <si>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</si>
  <si>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</si>
  <si>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</si>
  <si>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</si>
  <si>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</si>
  <si>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</si>
  <si>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</si>
  <si>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</si>
  <si>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</si>
  <si>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</si>
  <si>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</si>
  <si>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</si>
  <si>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</si>
  <si>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</si>
  <si>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</si>
  <si>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</si>
  <si>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</si>
  <si>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</si>
  <si>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</si>
  <si>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</si>
  <si>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</si>
  <si>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</si>
  <si>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</si>
  <si>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</si>
  <si>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</si>
  <si>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</si>
  <si>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</si>
  <si>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</si>
  <si>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</si>
  <si>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</si>
  <si>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</si>
  <si>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</si>
  <si>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</si>
  <si>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</si>
  <si>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</si>
  <si>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</si>
  <si>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</si>
  <si>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</si>
  <si>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</si>
  <si>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</si>
  <si>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</si>
  <si>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</si>
  <si>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</si>
  <si>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</si>
  <si>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</si>
  <si>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</si>
  <si>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</si>
  <si>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</si>
  <si>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</si>
  <si>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</si>
  <si>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</si>
  <si>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</si>
  <si>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</si>
  <si>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</si>
  <si>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</si>
  <si>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</si>
  <si>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</si>
  <si>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</si>
  <si>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</si>
  <si>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</si>
  <si>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</si>
  <si>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</si>
  <si>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</si>
  <si>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</si>
  <si>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</si>
  <si>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</si>
  <si>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</si>
  <si>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</si>
  <si>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</si>
  <si>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</si>
  <si>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</si>
  <si>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</si>
  <si>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</si>
  <si>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</si>
  <si>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</si>
  <si>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</si>
  <si>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</si>
  <si>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</si>
  <si>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</si>
  <si>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</si>
  <si>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</si>
  <si>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</si>
  <si>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</si>
  <si>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</si>
  <si>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</si>
  <si>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</si>
  <si>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</si>
  <si>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</si>
  <si>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</si>
  <si>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</si>
  <si>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</si>
  <si>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</si>
  <si>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</si>
  <si>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</si>
  <si>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</si>
  <si>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</si>
  <si>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</si>
  <si>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</si>
  <si>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</si>
  <si>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</si>
  <si>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</si>
  <si>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</si>
  <si>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</si>
  <si>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</si>
  <si>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</si>
  <si>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</si>
  <si>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</si>
  <si>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</si>
  <si>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</si>
  <si>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</si>
  <si>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</si>
  <si>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</si>
  <si>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</si>
  <si>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</si>
  <si>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</si>
  <si>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</si>
  <si>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</si>
  <si>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</si>
  <si>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</si>
  <si>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</si>
  <si>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</si>
  <si>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</si>
  <si>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</si>
  <si>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</si>
  <si>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</si>
  <si>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</si>
  <si>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</si>
  <si>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</si>
  <si>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</si>
  <si>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</si>
  <si>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</si>
  <si>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</si>
  <si>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</si>
  <si>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</si>
  <si>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</si>
  <si>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</si>
  <si>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</si>
  <si>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</si>
  <si>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</si>
  <si>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</si>
  <si>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</si>
  <si>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</si>
  <si>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</si>
  <si>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</si>
  <si>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</si>
  <si>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</si>
  <si>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</si>
  <si>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</si>
  <si>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</si>
  <si>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</si>
  <si>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</si>
  <si>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</si>
  <si>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</si>
  <si>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</si>
  <si>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</si>
  <si>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</si>
  <si>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</si>
  <si>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</si>
  <si>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</si>
  <si>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</si>
  <si>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</si>
  <si>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</si>
  <si>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</si>
  <si>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</si>
  <si>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</si>
  <si>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</si>
  <si>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</si>
  <si>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</si>
  <si>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</si>
  <si>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</si>
  <si>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</si>
  <si>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</si>
  <si>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</si>
  <si>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</si>
  <si>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</si>
  <si>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</si>
  <si>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</si>
  <si>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</si>
  <si>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</si>
  <si>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</si>
  <si>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</si>
  <si>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</si>
  <si>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</si>
  <si>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</si>
  <si>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</si>
  <si>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</si>
  <si>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</si>
  <si>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</si>
  <si>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</si>
  <si>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</si>
  <si>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</si>
  <si>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</si>
  <si>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</si>
  <si>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</si>
  <si>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</si>
  <si>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</si>
  <si>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</si>
  <si>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</si>
  <si>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</si>
  <si>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</si>
  <si>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</si>
  <si>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</si>
  <si>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</si>
  <si>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</si>
  <si>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</si>
  <si>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</si>
  <si>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</si>
  <si>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</si>
  <si>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</si>
  <si>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</si>
  <si>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</si>
  <si>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</si>
  <si>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</si>
  <si>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</si>
  <si>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</si>
  <si>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</si>
  <si>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</si>
  <si>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</si>
  <si>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</si>
  <si>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</si>
  <si>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</si>
  <si>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</si>
  <si>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</si>
  <si>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</si>
  <si>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</si>
  <si>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</si>
  <si>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</si>
  <si>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</si>
  <si>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</si>
  <si>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</si>
  <si>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</si>
  <si>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</si>
  <si>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</si>
  <si>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</si>
  <si>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</si>
  <si>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</si>
  <si>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</si>
  <si>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</si>
  <si>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</si>
  <si>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</si>
  <si>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</si>
  <si>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</si>
  <si>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</si>
  <si>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</si>
  <si>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</si>
  <si>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</si>
  <si>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</si>
  <si>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</si>
  <si>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</si>
  <si>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</si>
  <si>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</si>
  <si>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</si>
  <si>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</si>
  <si>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</si>
  <si>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</si>
  <si>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</si>
  <si>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</si>
  <si>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</si>
  <si>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</si>
  <si>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</si>
  <si>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</si>
  <si>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</si>
  <si>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</si>
  <si>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</si>
  <si>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</si>
  <si>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</si>
  <si>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</si>
  <si>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</si>
  <si>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</si>
  <si>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</si>
  <si>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</si>
  <si>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</si>
  <si>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</si>
  <si>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</si>
  <si>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</si>
  <si>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</si>
  <si>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</si>
  <si>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</si>
  <si>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</si>
  <si>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</si>
  <si>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</si>
  <si>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</si>
  <si>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</si>
  <si>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</si>
  <si>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</si>
  <si>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</si>
  <si>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</si>
  <si>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</si>
  <si>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</si>
  <si>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</si>
  <si>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</si>
  <si>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</si>
  <si>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</si>
  <si>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</si>
  <si>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</si>
  <si>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</si>
  <si>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</si>
  <si>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</si>
  <si>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</si>
  <si>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</si>
  <si>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</si>
  <si>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</si>
  <si>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</si>
  <si>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</si>
  <si>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</si>
  <si>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</si>
  <si>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</si>
  <si>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</si>
  <si>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</si>
  <si>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</si>
  <si>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</si>
  <si>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</si>
  <si>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</si>
  <si>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</si>
  <si>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</si>
  <si>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</si>
  <si>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</si>
  <si>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</si>
  <si>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</si>
  <si>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</si>
  <si>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</si>
  <si>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</si>
  <si>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</si>
  <si>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</si>
  <si>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</si>
  <si>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</si>
  <si>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</si>
  <si>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</si>
  <si>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</si>
  <si>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</si>
  <si>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</si>
  <si>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</si>
  <si>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</si>
  <si>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</si>
  <si>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</si>
  <si>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</si>
  <si>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</si>
  <si>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</si>
  <si>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</si>
  <si>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</si>
  <si>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</si>
  <si>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</si>
  <si>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</si>
  <si>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</si>
  <si>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</si>
  <si>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</si>
  <si>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</si>
  <si>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</si>
  <si>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</si>
  <si>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</si>
  <si>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</si>
  <si>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</si>
  <si>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</si>
  <si>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</si>
  <si>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</si>
  <si>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</si>
  <si>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</si>
  <si>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</si>
  <si>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</si>
  <si>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</si>
  <si>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</si>
  <si>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</si>
  <si>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</si>
  <si>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</si>
  <si>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</si>
  <si>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</si>
  <si>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</si>
  <si>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</si>
  <si>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</si>
  <si>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</si>
  <si>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</si>
  <si>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</si>
  <si>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</si>
  <si>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</si>
  <si>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</si>
  <si>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</si>
  <si>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</si>
  <si>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</si>
  <si>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</si>
  <si>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</si>
  <si>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</si>
  <si>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</si>
  <si>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</si>
  <si>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</si>
  <si>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</si>
  <si>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</si>
  <si>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</si>
  <si>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</si>
  <si>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</si>
  <si>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</si>
  <si>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</si>
  <si>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</si>
  <si>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</si>
  <si>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</si>
  <si>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</si>
  <si>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</si>
  <si>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</si>
  <si>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</si>
  <si>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</si>
  <si>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</si>
  <si>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</si>
  <si>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</si>
  <si>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</si>
  <si>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</si>
  <si>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</si>
  <si>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</si>
  <si>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</si>
  <si>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</si>
  <si>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</si>
  <si>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</si>
  <si>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</si>
  <si>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</si>
  <si>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</si>
  <si>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</si>
  <si>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</si>
  <si>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</si>
  <si>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</si>
  <si>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</si>
  <si>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</si>
  <si>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</si>
  <si>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</si>
  <si>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</si>
  <si>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</si>
  <si>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</si>
  <si>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</si>
  <si>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</si>
  <si>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</si>
  <si>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</si>
  <si>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</si>
  <si>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</si>
  <si>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</si>
  <si>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</si>
  <si>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</si>
  <si>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</si>
  <si>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</si>
  <si>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</si>
  <si>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</si>
  <si>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</si>
  <si>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</si>
  <si>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</si>
  <si>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</si>
  <si>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</si>
  <si>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</si>
  <si>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</si>
  <si>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</si>
  <si>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</si>
  <si>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</si>
  <si>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</si>
  <si>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</si>
  <si>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</si>
  <si>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</si>
  <si>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</si>
  <si>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</si>
  <si>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</si>
  <si>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</si>
  <si>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</si>
  <si>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</si>
  <si>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</si>
  <si>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</si>
  <si>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</si>
  <si>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</si>
  <si>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</si>
  <si>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</si>
  <si>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</si>
  <si>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</si>
  <si>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</si>
  <si>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</si>
  <si>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</si>
  <si>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</si>
  <si>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</si>
  <si>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</si>
  <si>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</si>
  <si>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</si>
  <si>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</si>
  <si>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</si>
  <si>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</si>
  <si>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</si>
  <si>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</si>
  <si>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</si>
  <si>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</si>
  <si>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</si>
  <si>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</si>
  <si>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</si>
  <si>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</si>
  <si>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</si>
  <si>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</si>
  <si>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</si>
  <si>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</si>
  <si>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</si>
  <si>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</si>
  <si>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</si>
  <si>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</si>
  <si>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</si>
  <si>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</si>
  <si>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</si>
  <si>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</si>
  <si>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</si>
  <si>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</si>
  <si>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</si>
  <si>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</si>
  <si>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</si>
  <si>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</si>
  <si>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</si>
  <si>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</si>
  <si>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</si>
  <si>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</si>
  <si>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</si>
  <si>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</si>
  <si>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</si>
  <si>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</si>
  <si>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</si>
  <si>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</si>
  <si>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</si>
  <si>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</si>
  <si>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</si>
  <si>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</si>
  <si>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</si>
  <si>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</si>
  <si>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</si>
  <si>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</si>
  <si>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</si>
  <si>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</si>
  <si>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</si>
  <si>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</si>
  <si>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</si>
  <si>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</si>
  <si>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</si>
  <si>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</si>
  <si>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</si>
  <si>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</si>
  <si>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</si>
  <si>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</si>
  <si>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</si>
  <si>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</si>
  <si>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</si>
  <si>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</si>
  <si>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</si>
  <si>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</si>
  <si>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</si>
  <si>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</si>
  <si>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</si>
  <si>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</si>
  <si>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</si>
  <si>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</si>
  <si>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</si>
  <si>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</si>
  <si>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</si>
  <si>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</si>
  <si>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</si>
  <si>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</si>
  <si>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</si>
  <si>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</si>
  <si>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</si>
  <si>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</si>
  <si>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</si>
  <si>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</si>
  <si>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</si>
  <si>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</si>
  <si>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</si>
  <si>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</si>
  <si>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</si>
  <si>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</si>
  <si>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</si>
  <si>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</si>
  <si>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</si>
  <si>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</si>
  <si>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</si>
  <si>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</si>
  <si>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</si>
  <si>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</si>
  <si>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</si>
  <si>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</si>
  <si>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</si>
  <si>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</si>
  <si>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</si>
  <si>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</si>
  <si>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</si>
  <si>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</si>
  <si>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</si>
  <si>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</si>
  <si>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</si>
  <si>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</si>
  <si>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</si>
  <si>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</si>
  <si>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</si>
  <si>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</si>
  <si>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</si>
  <si>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</si>
  <si>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</si>
  <si>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</si>
  <si>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</si>
  <si>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</si>
  <si>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</si>
  <si>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</si>
  <si>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</si>
  <si>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</si>
  <si>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</si>
  <si>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</si>
  <si>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</si>
  <si>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</si>
  <si>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</si>
  <si>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</si>
  <si>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</si>
  <si>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</si>
  <si>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</si>
  <si>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</si>
  <si>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</si>
  <si>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</si>
  <si>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</si>
  <si>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</si>
  <si>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</si>
  <si>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</si>
  <si>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</si>
  <si>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</si>
  <si>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</si>
  <si>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</si>
  <si>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</si>
  <si>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</si>
  <si>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</si>
  <si>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</si>
  <si>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</si>
  <si>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</si>
  <si>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</si>
  <si>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</si>
  <si>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</si>
  <si>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</si>
  <si>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</si>
  <si>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</si>
  <si>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</si>
  <si>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</si>
  <si>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</si>
  <si>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</si>
  <si>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</si>
  <si>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</si>
  <si>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</si>
  <si>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</si>
  <si>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</si>
  <si>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</si>
  <si>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</si>
  <si>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</si>
  <si>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</si>
  <si>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</si>
  <si>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</si>
  <si>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</si>
  <si>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</si>
  <si>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</si>
  <si>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</si>
  <si>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</si>
  <si>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</si>
  <si>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</si>
  <si>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</si>
  <si>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</si>
  <si>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</si>
  <si>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</si>
  <si>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</si>
  <si>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</si>
  <si>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</si>
  <si>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</si>
  <si>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</si>
  <si>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</si>
  <si>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</si>
  <si>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</si>
  <si>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</si>
  <si>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</si>
  <si>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</si>
  <si>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</si>
  <si>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</si>
  <si>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</si>
  <si>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</si>
  <si>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</si>
  <si>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</si>
  <si>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</si>
  <si>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</si>
  <si>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</si>
  <si>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</si>
  <si>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</si>
  <si>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</si>
  <si>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</si>
  <si>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</si>
  <si>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</si>
  <si>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</si>
  <si>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</si>
  <si>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</si>
  <si>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</si>
  <si>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</si>
  <si>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</si>
  <si>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</si>
  <si>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</si>
  <si>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</si>
  <si>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</si>
  <si>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</si>
  <si>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</si>
  <si>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</si>
  <si>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</si>
  <si>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</si>
  <si>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</si>
  <si>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</si>
  <si>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</si>
  <si>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</si>
  <si>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</si>
  <si>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</si>
  <si>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</si>
  <si>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</si>
  <si>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</si>
  <si>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</si>
  <si>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</si>
  <si>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</si>
  <si>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</si>
  <si>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</si>
  <si>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</si>
  <si>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</si>
  <si>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</si>
  <si>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</si>
  <si>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</si>
  <si>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</si>
  <si>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</si>
  <si>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</si>
  <si>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</si>
  <si>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</si>
  <si>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</si>
  <si>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</si>
  <si>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</si>
  <si>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</si>
  <si>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</si>
  <si>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</si>
  <si>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</si>
  <si>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</si>
  <si>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</si>
  <si>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</si>
  <si>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</si>
  <si>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</si>
  <si>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</si>
  <si>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</si>
  <si>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</si>
  <si>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</si>
  <si>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</si>
  <si>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</si>
  <si>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</si>
  <si>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</si>
  <si>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</si>
  <si>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</si>
  <si>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</si>
  <si>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</si>
  <si>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</si>
  <si>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</si>
  <si>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</si>
  <si>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</si>
  <si>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</si>
  <si>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</si>
  <si>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</si>
  <si>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</si>
  <si>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</si>
  <si>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</si>
  <si>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</si>
  <si>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</si>
  <si>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</si>
  <si>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</si>
  <si>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</si>
  <si>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</si>
  <si>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</si>
  <si>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</si>
  <si>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</si>
  <si>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</si>
  <si>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</si>
  <si>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</si>
  <si>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</si>
  <si>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</si>
  <si>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</si>
  <si>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</si>
  <si>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</si>
  <si>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</si>
  <si>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</si>
  <si>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</si>
  <si>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</si>
  <si>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</si>
  <si>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</si>
  <si>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</si>
  <si>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</si>
  <si>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</si>
  <si>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</si>
  <si>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</si>
  <si>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</si>
  <si>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</si>
  <si>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</si>
  <si>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</si>
  <si>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</si>
  <si>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</si>
  <si>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</si>
  <si>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</si>
  <si>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</si>
  <si>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</si>
  <si>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</si>
  <si>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</si>
  <si>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</si>
  <si>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</si>
  <si>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</si>
  <si>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</si>
  <si>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</si>
  <si>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</si>
  <si>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</si>
  <si>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</si>
  <si>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</si>
  <si>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</si>
  <si>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</si>
  <si>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</si>
  <si>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</si>
  <si>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</si>
  <si>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</si>
  <si>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</si>
  <si>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</si>
  <si>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</si>
  <si>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</si>
  <si>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</si>
  <si>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</si>
  <si>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</si>
  <si>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</si>
  <si>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</si>
  <si>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</si>
  <si>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</si>
  <si>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</si>
  <si>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</si>
  <si>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</si>
  <si>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</si>
  <si>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</si>
  <si>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</si>
  <si>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</si>
  <si>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</si>
  <si>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</si>
  <si>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</si>
  <si>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</si>
  <si>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</si>
  <si>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</si>
  <si>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</si>
  <si>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</si>
  <si>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</si>
  <si>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</si>
  <si>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</si>
  <si>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</si>
  <si>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</si>
  <si>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</si>
  <si>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</si>
  <si>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</si>
  <si>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</si>
  <si>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</si>
  <si>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</si>
  <si>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</si>
  <si>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</si>
  <si>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</si>
  <si>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</si>
  <si>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</si>
  <si>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</si>
  <si>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</si>
  <si>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</si>
  <si>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</si>
  <si>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</si>
  <si>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</si>
  <si>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</si>
  <si>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</si>
  <si>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</si>
  <si>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</si>
  <si>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</si>
  <si>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</si>
  <si>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</si>
  <si>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</si>
  <si>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</si>
  <si>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</si>
  <si>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</si>
  <si>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</si>
  <si>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</si>
  <si>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</si>
  <si>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</si>
  <si>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</si>
  <si>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</si>
  <si>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</si>
  <si>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</si>
  <si>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</si>
  <si>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</si>
  <si>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</si>
  <si>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</si>
  <si>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</si>
  <si>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</si>
  <si>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</si>
  <si>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</si>
  <si>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</si>
  <si>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</si>
  <si>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</si>
  <si>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</si>
  <si>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</si>
  <si>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</si>
  <si>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</si>
  <si>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</si>
  <si>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</si>
  <si>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</si>
  <si>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</si>
  <si>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</si>
  <si>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</si>
  <si>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</si>
  <si>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</si>
  <si>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</si>
  <si>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</si>
  <si>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</si>
  <si>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</si>
  <si>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</si>
  <si>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</si>
  <si>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</si>
  <si>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</si>
  <si>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</si>
  <si>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</si>
  <si>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</si>
  <si>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</si>
  <si>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</si>
  <si>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</si>
  <si>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</si>
  <si>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</si>
  <si>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</si>
  <si>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</si>
  <si>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</si>
  <si>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</si>
  <si>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</si>
  <si>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</si>
  <si>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</si>
  <si>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</si>
  <si>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</si>
  <si>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</si>
  <si>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</si>
  <si>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</si>
  <si>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</si>
  <si>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</si>
  <si>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</si>
  <si>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</si>
  <si>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</si>
  <si>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</si>
  <si>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</si>
  <si>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</si>
  <si>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</si>
  <si>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</si>
  <si>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</si>
  <si>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</si>
  <si>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</si>
  <si>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</si>
  <si>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</si>
  <si>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</si>
  <si>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</si>
  <si>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</si>
  <si>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</si>
  <si>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</si>
  <si>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</si>
  <si>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</si>
  <si>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</si>
  <si>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</si>
  <si>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</si>
  <si>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</si>
  <si>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</si>
  <si>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</si>
  <si>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</si>
  <si>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</si>
  <si>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</si>
  <si>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</si>
  <si>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</si>
  <si>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</si>
  <si>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</si>
  <si>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</si>
  <si>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</si>
  <si>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</si>
  <si>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</si>
  <si>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</si>
  <si>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</si>
  <si>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</si>
  <si>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</si>
  <si>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</si>
  <si>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</si>
  <si>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</si>
  <si>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</si>
  <si>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</si>
  <si>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</si>
  <si>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</si>
  <si>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</si>
  <si>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</si>
  <si>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</si>
  <si>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</si>
  <si>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</si>
  <si>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</si>
  <si>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</si>
  <si>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</si>
  <si>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</si>
  <si>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</si>
  <si>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</si>
  <si>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</si>
  <si>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</si>
  <si>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</si>
  <si>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</si>
  <si>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</si>
  <si>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</si>
  <si>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</si>
  <si>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</si>
  <si>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</si>
  <si>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</si>
  <si>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</si>
  <si>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</si>
  <si>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</si>
  <si>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</si>
  <si>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</si>
  <si>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</si>
  <si>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</si>
  <si>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</si>
  <si>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</si>
  <si>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</si>
  <si>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</si>
  <si>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</si>
  <si>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</si>
  <si>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</si>
  <si>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</si>
  <si>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</si>
  <si>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</si>
  <si>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</si>
  <si>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</si>
  <si>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</si>
  <si>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</si>
  <si>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</si>
  <si>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</si>
  <si>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</si>
  <si>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</si>
  <si>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</si>
  <si>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</si>
  <si>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</si>
  <si>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</si>
  <si>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</si>
  <si>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</si>
  <si>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</si>
  <si>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</si>
  <si>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</si>
  <si>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</si>
  <si>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</si>
  <si>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</si>
  <si>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</si>
  <si>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</si>
  <si>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</si>
  <si>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</si>
  <si>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</si>
  <si>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</si>
  <si>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</si>
  <si>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</si>
  <si>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</si>
  <si>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</si>
  <si>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</si>
  <si>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</si>
  <si>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</si>
  <si>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</si>
  <si>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</si>
  <si>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</si>
  <si>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</si>
  <si>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</si>
  <si>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</si>
  <si>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</si>
  <si>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</si>
  <si>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</si>
  <si>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</si>
  <si>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</si>
  <si>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</si>
  <si>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</si>
  <si>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</si>
  <si>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</si>
  <si>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</si>
  <si>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</si>
  <si>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</si>
  <si>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</si>
  <si>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</si>
  <si>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</si>
  <si>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</si>
  <si>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</si>
  <si>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</si>
  <si>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</si>
  <si>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</si>
  <si>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</si>
  <si>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</si>
  <si>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</si>
  <si>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</si>
  <si>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</si>
  <si>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</si>
  <si>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</si>
  <si>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</si>
  <si>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</si>
  <si>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</si>
  <si>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</si>
  <si>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</si>
  <si>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</si>
  <si>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</si>
  <si>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</si>
  <si>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</si>
  <si>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</si>
  <si>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</si>
  <si>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</si>
  <si>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</si>
  <si>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</si>
  <si>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</si>
  <si>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</si>
  <si>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</si>
  <si>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</si>
  <si>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</si>
  <si>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</si>
  <si>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</si>
  <si>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</si>
  <si>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</si>
  <si>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</si>
  <si>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</si>
  <si>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</si>
  <si>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</si>
  <si>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</si>
  <si>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</si>
  <si>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</si>
  <si>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</si>
  <si>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</si>
  <si>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</si>
  <si>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</si>
  <si>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</si>
  <si>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</si>
  <si>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</si>
  <si>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</si>
  <si>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</si>
  <si>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</si>
  <si>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</si>
  <si>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</si>
  <si>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</si>
  <si>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</si>
  <si>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</si>
  <si>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</si>
  <si>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</si>
  <si>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</si>
  <si>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</si>
  <si>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</si>
  <si>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</si>
  <si>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</si>
  <si>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</si>
  <si>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</si>
  <si>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</si>
  <si>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</si>
  <si>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</si>
  <si>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</si>
  <si>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</si>
  <si>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</si>
  <si>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</si>
  <si>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</si>
  <si>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</si>
  <si>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</si>
  <si>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</si>
  <si>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</si>
  <si>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</si>
  <si>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</si>
  <si>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</si>
  <si>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</si>
  <si>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</si>
  <si>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</si>
  <si>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</si>
  <si>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</si>
  <si>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</si>
  <si>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</si>
  <si>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</si>
  <si>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</si>
  <si>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</si>
  <si>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</si>
  <si>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</si>
  <si>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</si>
  <si>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</si>
  <si>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</si>
  <si>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</si>
  <si>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</si>
  <si>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</si>
  <si>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</si>
  <si>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</si>
  <si>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</si>
  <si>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</si>
  <si>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</si>
  <si>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</si>
  <si>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</si>
  <si>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</si>
  <si>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</si>
  <si>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</si>
  <si>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</si>
  <si>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</si>
  <si>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</si>
  <si>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</si>
  <si>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</si>
  <si>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</si>
  <si>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</si>
  <si>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</si>
  <si>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</si>
  <si>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</si>
  <si>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</si>
  <si>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</si>
  <si>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</si>
  <si>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</si>
  <si>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</si>
  <si>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</si>
  <si>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</si>
  <si>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</si>
  <si>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</si>
  <si>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</si>
  <si>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</si>
  <si>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</si>
  <si>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</si>
  <si>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</si>
  <si>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</si>
  <si>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</si>
  <si>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</si>
  <si>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</si>
  <si>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</si>
  <si>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</si>
  <si>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</si>
  <si>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</si>
  <si>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</si>
  <si>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</si>
  <si>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</si>
  <si>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</si>
  <si>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</si>
  <si>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</si>
  <si>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</si>
  <si>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</si>
  <si>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</si>
  <si>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</si>
  <si>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</si>
  <si>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</si>
  <si>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</si>
  <si>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</si>
  <si>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</si>
  <si>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</si>
  <si>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</si>
  <si>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</si>
  <si>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</si>
  <si>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</si>
  <si>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</si>
  <si>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</si>
  <si>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</si>
  <si>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</si>
  <si>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</si>
  <si>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</si>
  <si>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</si>
  <si>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</si>
  <si>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</si>
  <si>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</si>
  <si>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</si>
  <si>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</si>
  <si>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</si>
  <si>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</si>
  <si>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</si>
  <si>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</si>
  <si>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</si>
  <si>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</si>
  <si>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</si>
  <si>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</si>
  <si>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</si>
  <si>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</si>
  <si>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</si>
  <si>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</si>
  <si>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</si>
  <si>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</si>
  <si>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</si>
  <si>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</si>
  <si>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</si>
  <si>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</si>
  <si>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</si>
  <si>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</si>
  <si>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</si>
  <si>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</si>
  <si>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</si>
  <si>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</si>
  <si>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</si>
  <si>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</si>
  <si>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</si>
  <si>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</si>
  <si>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</si>
  <si>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</si>
  <si>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</si>
  <si>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</si>
  <si>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</si>
  <si>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</si>
  <si>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</si>
  <si>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</si>
  <si>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</si>
  <si>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</si>
  <si>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</si>
  <si>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</si>
  <si>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</si>
  <si>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</si>
  <si>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</si>
  <si>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</si>
  <si>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</si>
  <si>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</si>
  <si>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</si>
  <si>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</si>
  <si>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</si>
  <si>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</si>
  <si>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</si>
  <si>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</si>
  <si>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</si>
  <si>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</si>
  <si>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</si>
  <si>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</si>
  <si>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</si>
  <si>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</si>
  <si>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</si>
  <si>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</si>
  <si>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</si>
  <si>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</si>
  <si>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</si>
  <si>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</si>
  <si>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</si>
  <si>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</si>
  <si>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</si>
  <si>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</si>
  <si>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</si>
  <si>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</si>
  <si>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</si>
  <si>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</si>
  <si>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</si>
  <si>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</si>
  <si>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</si>
  <si>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</si>
  <si>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</si>
  <si>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</si>
  <si>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</si>
  <si>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</si>
  <si>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</si>
  <si>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</si>
  <si>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</si>
  <si>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</si>
  <si>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</si>
  <si>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</si>
  <si>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</si>
  <si>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</si>
  <si>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</si>
  <si>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</si>
  <si>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</si>
  <si>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</si>
  <si>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</si>
  <si>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</si>
  <si>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</si>
  <si>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</si>
  <si>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</si>
  <si>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</si>
  <si>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</si>
  <si>
    <t>Túllio Herbeth Teixeira Moraes</t>
  </si>
  <si>
    <t>Hamilton de Jesus Lopes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</si>
</sst>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89" activePane="bottomLeft" state="frozen"/>
      <selection pane="bottomLeft" activeCell="D693" sqref="D69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hidden="1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hidden="1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728</v>
      </c>
    </row>
    <row r="5" spans="1:23" ht="22.5" hidden="1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hidden="1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hidden="1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hidden="1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hidden="1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hidden="1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hidden="1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hidden="1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hidden="1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hidden="1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hidden="1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hidden="1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hidden="1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hidden="1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hidden="1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hidden="1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hidden="1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hidden="1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hidden="1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hidden="1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hidden="1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hidden="1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hidden="1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hidden="1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hidden="1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hidden="1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hidden="1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hidden="1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hidden="1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hidden="1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hidden="1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hidden="1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hidden="1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hidden="1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hidden="1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hidden="1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hidden="1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hidden="1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hidden="1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hidden="1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hidden="1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hidden="1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hidden="1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hidden="1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hidden="1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hidden="1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hidden="1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hidden="1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hidden="1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hidden="1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hidden="1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hidden="1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hidden="1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hidden="1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hidden="1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hidden="1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hidden="1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hidden="1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hidden="1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hidden="1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hidden="1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hidden="1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hidden="1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hidden="1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hidden="1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hidden="1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hidden="1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hidden="1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hidden="1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hidden="1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hidden="1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hidden="1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hidden="1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hidden="1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hidden="1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hidden="1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hidden="1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hidden="1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hidden="1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hidden="1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hidden="1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hidden="1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hidden="1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hidden="1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hidden="1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hidden="1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hidden="1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hidden="1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hidden="1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hidden="1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hidden="1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hidden="1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hidden="1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hidden="1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hidden="1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hidden="1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hidden="1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hidden="1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hidden="1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hidden="1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hidden="1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hidden="1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hidden="1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hidden="1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hidden="1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hidden="1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hidden="1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hidden="1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hidden="1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hidden="1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hidden="1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hidden="1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hidden="1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hidden="1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hidden="1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hidden="1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hidden="1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hidden="1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hidden="1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hidden="1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hidden="1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hidden="1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hidden="1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hidden="1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hidden="1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hidden="1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hidden="1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hidden="1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hidden="1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hidden="1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hidden="1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hidden="1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hidden="1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hidden="1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hidden="1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hidden="1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hidden="1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hidden="1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hidden="1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hidden="1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hidden="1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hidden="1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hidden="1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hidden="1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hidden="1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hidden="1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hidden="1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hidden="1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hidden="1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hidden="1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hidden="1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hidden="1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hidden="1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hidden="1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hidden="1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hidden="1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hidden="1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hidden="1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hidden="1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hidden="1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hidden="1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hidden="1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hidden="1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hidden="1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hidden="1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hidden="1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hidden="1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hidden="1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hidden="1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hidden="1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hidden="1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hidden="1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hidden="1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hidden="1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hidden="1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hidden="1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hidden="1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hidden="1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hidden="1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hidden="1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hidden="1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hidden="1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hidden="1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hidden="1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hidden="1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hidden="1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hidden="1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hidden="1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hidden="1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hidden="1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hidden="1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hidden="1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hidden="1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hidden="1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hidden="1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hidden="1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hidden="1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hidden="1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hidden="1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hidden="1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hidden="1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hidden="1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hidden="1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hidden="1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hidden="1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hidden="1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hidden="1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hidden="1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hidden="1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hidden="1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hidden="1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hidden="1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hidden="1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hidden="1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hidden="1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hidden="1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hidden="1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hidden="1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hidden="1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hidden="1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hidden="1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hidden="1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hidden="1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hidden="1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hidden="1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hidden="1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hidden="1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hidden="1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hidden="1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hidden="1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hidden="1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hidden="1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hidden="1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hidden="1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hidden="1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hidden="1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hidden="1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hidden="1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hidden="1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hidden="1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hidden="1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hidden="1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hidden="1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hidden="1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hidden="1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hidden="1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hidden="1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hidden="1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hidden="1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hidden="1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hidden="1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hidden="1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hidden="1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hidden="1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hidden="1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hidden="1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hidden="1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hidden="1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hidden="1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hidden="1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hidden="1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hidden="1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hidden="1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hidden="1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hidden="1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hidden="1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hidden="1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hidden="1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hidden="1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hidden="1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hidden="1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hidden="1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hidden="1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hidden="1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hidden="1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hidden="1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hidden="1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hidden="1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hidden="1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hidden="1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hidden="1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hidden="1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hidden="1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hidden="1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hidden="1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hidden="1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hidden="1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hidden="1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hidden="1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hidden="1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hidden="1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hidden="1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hidden="1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hidden="1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hidden="1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hidden="1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hidden="1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hidden="1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hidden="1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hidden="1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hidden="1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hidden="1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hidden="1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hidden="1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hidden="1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hidden="1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hidden="1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hidden="1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hidden="1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hidden="1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hidden="1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hidden="1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hidden="1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hidden="1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hidden="1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hidden="1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hidden="1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hidden="1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hidden="1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hidden="1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hidden="1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hidden="1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hidden="1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hidden="1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hidden="1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hidden="1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hidden="1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hidden="1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hidden="1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hidden="1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hidden="1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hidden="1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hidden="1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hidden="1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hidden="1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hidden="1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hidden="1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hidden="1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hidden="1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hidden="1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hidden="1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hidden="1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hidden="1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hidden="1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hidden="1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hidden="1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hidden="1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hidden="1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hidden="1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hidden="1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hidden="1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hidden="1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hidden="1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hidden="1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hidden="1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hidden="1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hidden="1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hidden="1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hidden="1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hidden="1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hidden="1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hidden="1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hidden="1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hidden="1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hidden="1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hidden="1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hidden="1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hidden="1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hidden="1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hidden="1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hidden="1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hidden="1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hidden="1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hidden="1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hidden="1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hidden="1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hidden="1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hidden="1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hidden="1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hidden="1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hidden="1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hidden="1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hidden="1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hidden="1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hidden="1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hidden="1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hidden="1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hidden="1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hidden="1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hidden="1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hidden="1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hidden="1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hidden="1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hidden="1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hidden="1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hidden="1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hidden="1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hidden="1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hidden="1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hidden="1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hidden="1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hidden="1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hidden="1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hidden="1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hidden="1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hidden="1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hidden="1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hidden="1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hidden="1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hidden="1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hidden="1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hidden="1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hidden="1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hidden="1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hidden="1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hidden="1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hidden="1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hidden="1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hidden="1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hidden="1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hidden="1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hidden="1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hidden="1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hidden="1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hidden="1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hidden="1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hidden="1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hidden="1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hidden="1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hidden="1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hidden="1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hidden="1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hidden="1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hidden="1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hidden="1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hidden="1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hidden="1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hidden="1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hidden="1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hidden="1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hidden="1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hidden="1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hidden="1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hidden="1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hidden="1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hidden="1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hidden="1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hidden="1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hidden="1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hidden="1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hidden="1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hidden="1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hidden="1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hidden="1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hidden="1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hidden="1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hidden="1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hidden="1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hidden="1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hidden="1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hidden="1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hidden="1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hidden="1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hidden="1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hidden="1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hidden="1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hidden="1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hidden="1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hidden="1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hidden="1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hidden="1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hidden="1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hidden="1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hidden="1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hidden="1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hidden="1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hidden="1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hidden="1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hidden="1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hidden="1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hidden="1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hidden="1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hidden="1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hidden="1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hidden="1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hidden="1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hidden="1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hidden="1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hidden="1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hidden="1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hidden="1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hidden="1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hidden="1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hidden="1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hidden="1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hidden="1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hidden="1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hidden="1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hidden="1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hidden="1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hidden="1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hidden="1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hidden="1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hidden="1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hidden="1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hidden="1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hidden="1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hidden="1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hidden="1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hidden="1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hidden="1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hidden="1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hidden="1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hidden="1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hidden="1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hidden="1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hidden="1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hidden="1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hidden="1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hidden="1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hidden="1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hidden="1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hidden="1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hidden="1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hidden="1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hidden="1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hidden="1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hidden="1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hidden="1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hidden="1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hidden="1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hidden="1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hidden="1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hidden="1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hidden="1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hidden="1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hidden="1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hidden="1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hidden="1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hidden="1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hidden="1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hidden="1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hidden="1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hidden="1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hidden="1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hidden="1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hidden="1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hidden="1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hidden="1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hidden="1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hidden="1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hidden="1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hidden="1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hidden="1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hidden="1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hidden="1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hidden="1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hidden="1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hidden="1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hidden="1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hidden="1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hidden="1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hidden="1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hidden="1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hidden="1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hidden="1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hidden="1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hidden="1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hidden="1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hidden="1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hidden="1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hidden="1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hidden="1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hidden="1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hidden="1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hidden="1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hidden="1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hidden="1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hidden="1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hidden="1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hidden="1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hidden="1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hidden="1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hidden="1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hidden="1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hidden="1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hidden="1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hidden="1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hidden="1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hidden="1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hidden="1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hidden="1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hidden="1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hidden="1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hidden="1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hidden="1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hidden="1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hidden="1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hidden="1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hidden="1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hidden="1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hidden="1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hidden="1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hidden="1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hidden="1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hidden="1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hidden="1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hidden="1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hidden="1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hidden="1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hidden="1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hidden="1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hidden="1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hidden="1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hidden="1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hidden="1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hidden="1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hidden="1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hidden="1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hidden="1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hidden="1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hidden="1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hidden="1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hidden="1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hidden="1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hidden="1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hidden="1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hidden="1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hidden="1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hidden="1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hidden="1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hidden="1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hidden="1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hidden="1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hidden="1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hidden="1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hidden="1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hidden="1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hidden="1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hidden="1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hidden="1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hidden="1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hidden="1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hidden="1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hidden="1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hidden="1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hidden="1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hidden="1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hidden="1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>
        <v>2026</v>
      </c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>
        <f>IF(B726="","",SUM(O726:Q726))</f>
        <v>0</v>
      </c>
      <c r="S726" s="198"/>
      <c r="T726" s="201"/>
    </row>
    <row r="727" spans="1:20" ht="22.5" customHeight="1" x14ac:dyDescent="0.25">
      <c r="A727" s="208" t="s">
        <v>3162</v>
      </c>
      <c r="B727" s="238">
        <v>2026</v>
      </c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>
        <f>IF(B727="","",SUM(O727:Q727))</f>
        <v>0</v>
      </c>
      <c r="S727" s="198"/>
      <c r="T727" s="201"/>
    </row>
    <row r="728" spans="1:20" ht="22.5" customHeight="1" x14ac:dyDescent="0.25">
      <c r="A728" s="208" t="s">
        <v>3163</v>
      </c>
      <c r="B728" s="238">
        <v>2026</v>
      </c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>
        <f>IF(B728="","",SUM(O728:Q728))</f>
        <v>0</v>
      </c>
      <c r="S728" s="198"/>
      <c r="T728" s="201"/>
    </row>
    <row r="729" spans="1:20" ht="22.5" customHeight="1" x14ac:dyDescent="0.25">
      <c r="A729" s="208" t="s">
        <v>3164</v>
      </c>
      <c r="B729" s="238">
        <v>2026</v>
      </c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>
        <f>IF(B729="","",SUM(O729:Q729))</f>
        <v>0</v>
      </c>
      <c r="S729" s="198"/>
      <c r="T729" s="201"/>
    </row>
    <row r="730" spans="1:20" ht="22.5" hidden="1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hidden="1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hidden="1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hidden="1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hidden="1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hidden="1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hidden="1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hidden="1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hidden="1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hidden="1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hidden="1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hidden="1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hidden="1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hidden="1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hidden="1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hidden="1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hidden="1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hidden="1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hidden="1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hidden="1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hidden="1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hidden="1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hidden="1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hidden="1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hidden="1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hidden="1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hidden="1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hidden="1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hidden="1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hidden="1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hidden="1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hidden="1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hidden="1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hidden="1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hidden="1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hidden="1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hidden="1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hidden="1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hidden="1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hidden="1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hidden="1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hidden="1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hidden="1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hidden="1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hidden="1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hidden="1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hidden="1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hidden="1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hidden="1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hidden="1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hidden="1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hidden="1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hidden="1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hidden="1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hidden="1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hidden="1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hidden="1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hidden="1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hidden="1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hidden="1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hidden="1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hidden="1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hidden="1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hidden="1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hidden="1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hidden="1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hidden="1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hidden="1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hidden="1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hidden="1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hidden="1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hidden="1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hidden="1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hidden="1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hidden="1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hidden="1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hidden="1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hidden="1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hidden="1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hidden="1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hidden="1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hidden="1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hidden="1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hidden="1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hidden="1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hidden="1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hidden="1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hidden="1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hidden="1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hidden="1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hidden="1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hidden="1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hidden="1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hidden="1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hidden="1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hidden="1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hidden="1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hidden="1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hidden="1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hidden="1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hidden="1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hidden="1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hidden="1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hidden="1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hidden="1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hidden="1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hidden="1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hidden="1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hidden="1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hidden="1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hidden="1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hidden="1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hidden="1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hidden="1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hidden="1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hidden="1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hidden="1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hidden="1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hidden="1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hidden="1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hidden="1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hidden="1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hidden="1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hidden="1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hidden="1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hidden="1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hidden="1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hidden="1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hidden="1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hidden="1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hidden="1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hidden="1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hidden="1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hidden="1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hidden="1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hidden="1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hidden="1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hidden="1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hidden="1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hidden="1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hidden="1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hidden="1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hidden="1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hidden="1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hidden="1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hidden="1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hidden="1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hidden="1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hidden="1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hidden="1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hidden="1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hidden="1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hidden="1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hidden="1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hidden="1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hidden="1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hidden="1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hidden="1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hidden="1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hidden="1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hidden="1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hidden="1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hidden="1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hidden="1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hidden="1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hidden="1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hidden="1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hidden="1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hidden="1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hidden="1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hidden="1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hidden="1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hidden="1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hidden="1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hidden="1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hidden="1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hidden="1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hidden="1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hidden="1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hidden="1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hidden="1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hidden="1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hidden="1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hidden="1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hidden="1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hidden="1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hidden="1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hidden="1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hidden="1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hidden="1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hidden="1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hidden="1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hidden="1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hidden="1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hidden="1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hidden="1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hidden="1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hidden="1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hidden="1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hidden="1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hidden="1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hidden="1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hidden="1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hidden="1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hidden="1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hidden="1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hidden="1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hidden="1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hidden="1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hidden="1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hidden="1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hidden="1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hidden="1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hidden="1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hidden="1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hidden="1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hidden="1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hidden="1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hidden="1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hidden="1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hidden="1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hidden="1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hidden="1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hidden="1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hidden="1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hidden="1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hidden="1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hidden="1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hidden="1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hidden="1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hidden="1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hidden="1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hidden="1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hidden="1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hidden="1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hidden="1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hidden="1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hidden="1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hidden="1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hidden="1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hidden="1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hidden="1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hidden="1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hidden="1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hidden="1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hidden="1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hidden="1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hidden="1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hidden="1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hidden="1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hidden="1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hidden="1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hidden="1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hidden="1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hidden="1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hidden="1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hidden="1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hidden="1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hidden="1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hidden="1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hidden="1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hidden="1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hidden="1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hidden="1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hidden="1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hidden="1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hidden="1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hidden="1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hidden="1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hidden="1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hidden="1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hidden="1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hidden="1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hidden="1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hidden="1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hidden="1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hidden="1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hidden="1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hidden="1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hidden="1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hidden="1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hidden="1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hidden="1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hidden="1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hidden="1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hidden="1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hidden="1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hidden="1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hidden="1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hidden="1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hidden="1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hidden="1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hidden="1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hidden="1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hidden="1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hidden="1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hidden="1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hidden="1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hidden="1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hidden="1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hidden="1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hidden="1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hidden="1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hidden="1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hidden="1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hidden="1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hidden="1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hidden="1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hidden="1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hidden="1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hidden="1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hidden="1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hidden="1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hidden="1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hidden="1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hidden="1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hidden="1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hidden="1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hidden="1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hidden="1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hidden="1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hidden="1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hidden="1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hidden="1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hidden="1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hidden="1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hidden="1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hidden="1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hidden="1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hidden="1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hidden="1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hidden="1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hidden="1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hidden="1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hidden="1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hidden="1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hidden="1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hidden="1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hidden="1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hidden="1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hidden="1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hidden="1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hidden="1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hidden="1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hidden="1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hidden="1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hidden="1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hidden="1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hidden="1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hidden="1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hidden="1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hidden="1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hidden="1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hidden="1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hidden="1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hidden="1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hidden="1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hidden="1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hidden="1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hidden="1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hidden="1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hidden="1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hidden="1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hidden="1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hidden="1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hidden="1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hidden="1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hidden="1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hidden="1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hidden="1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hidden="1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hidden="1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hidden="1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hidden="1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hidden="1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hidden="1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hidden="1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hidden="1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hidden="1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hidden="1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hidden="1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hidden="1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hidden="1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hidden="1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hidden="1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hidden="1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hidden="1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hidden="1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hidden="1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hidden="1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hidden="1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hidden="1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hidden="1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hidden="1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hidden="1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hidden="1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hidden="1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hidden="1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hidden="1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hidden="1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hidden="1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hidden="1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hidden="1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hidden="1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hidden="1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hidden="1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hidden="1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hidden="1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hidden="1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hidden="1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hidden="1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hidden="1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hidden="1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hidden="1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hidden="1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hidden="1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hidden="1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hidden="1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hidden="1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hidden="1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hidden="1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hidden="1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hidden="1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hidden="1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hidden="1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hidden="1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hidden="1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hidden="1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hidden="1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hidden="1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hidden="1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hidden="1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hidden="1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hidden="1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hidden="1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hidden="1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hidden="1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hidden="1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hidden="1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hidden="1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hidden="1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hidden="1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hidden="1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hidden="1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hidden="1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hidden="1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hidden="1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hidden="1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hidden="1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hidden="1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hidden="1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hidden="1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hidden="1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hidden="1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hidden="1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hidden="1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hidden="1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hidden="1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hidden="1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hidden="1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hidden="1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hidden="1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hidden="1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hidden="1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hidden="1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hidden="1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hidden="1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hidden="1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hidden="1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hidden="1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hidden="1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hidden="1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hidden="1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hidden="1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hidden="1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hidden="1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hidden="1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hidden="1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hidden="1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hidden="1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hidden="1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hidden="1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hidden="1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hidden="1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hidden="1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hidden="1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hidden="1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hidden="1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hidden="1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hidden="1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hidden="1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hidden="1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hidden="1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hidden="1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hidden="1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hidden="1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hidden="1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hidden="1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hidden="1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hidden="1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hidden="1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hidden="1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hidden="1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hidden="1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hidden="1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hidden="1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hidden="1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hidden="1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hidden="1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hidden="1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hidden="1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hidden="1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hidden="1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hidden="1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hidden="1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hidden="1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hidden="1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hidden="1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hidden="1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hidden="1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hidden="1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hidden="1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hidden="1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hidden="1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hidden="1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hidden="1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hidden="1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hidden="1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hidden="1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hidden="1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hidden="1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hidden="1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hidden="1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hidden="1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hidden="1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hidden="1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hidden="1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hidden="1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hidden="1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hidden="1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hidden="1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hidden="1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hidden="1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hidden="1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hidden="1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hidden="1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hidden="1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hidden="1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hidden="1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hidden="1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hidden="1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hidden="1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hidden="1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hidden="1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hidden="1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hidden="1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hidden="1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hidden="1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hidden="1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hidden="1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hidden="1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hidden="1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hidden="1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hidden="1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hidden="1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hidden="1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hidden="1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hidden="1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hidden="1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hidden="1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hidden="1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hidden="1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hidden="1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hidden="1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hidden="1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hidden="1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hidden="1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hidden="1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hidden="1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hidden="1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hidden="1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hidden="1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hidden="1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hidden="1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hidden="1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hidden="1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hidden="1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hidden="1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hidden="1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hidden="1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hidden="1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hidden="1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hidden="1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hidden="1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hidden="1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hidden="1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hidden="1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hidden="1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hidden="1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hidden="1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hidden="1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hidden="1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hidden="1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hidden="1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hidden="1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hidden="1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hidden="1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hidden="1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hidden="1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hidden="1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hidden="1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hidden="1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hidden="1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hidden="1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hidden="1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hidden="1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hidden="1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hidden="1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hidden="1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hidden="1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hidden="1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hidden="1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hidden="1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hidden="1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hidden="1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hidden="1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hidden="1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hidden="1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hidden="1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hidden="1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hidden="1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hidden="1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hidden="1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hidden="1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hidden="1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hidden="1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hidden="1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hidden="1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hidden="1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hidden="1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hidden="1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hidden="1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hidden="1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hidden="1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hidden="1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hidden="1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hidden="1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hidden="1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hidden="1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hidden="1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hidden="1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hidden="1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hidden="1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hidden="1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hidden="1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hidden="1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hidden="1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hidden="1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hidden="1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hidden="1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hidden="1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hidden="1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hidden="1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hidden="1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hidden="1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hidden="1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hidden="1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hidden="1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hidden="1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hidden="1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hidden="1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hidden="1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hidden="1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hidden="1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hidden="1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hidden="1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hidden="1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hidden="1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hidden="1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hidden="1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hidden="1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hidden="1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hidden="1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hidden="1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hidden="1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hidden="1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hidden="1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hidden="1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hidden="1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hidden="1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hidden="1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hidden="1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hidden="1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hidden="1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hidden="1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hidden="1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hidden="1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hidden="1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hidden="1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hidden="1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hidden="1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hidden="1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hidden="1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hidden="1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hidden="1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hidden="1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hidden="1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hidden="1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hidden="1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hidden="1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hidden="1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hidden="1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hidden="1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hidden="1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hidden="1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hidden="1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hidden="1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hidden="1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hidden="1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hidden="1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hidden="1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hidden="1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hidden="1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hidden="1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hidden="1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hidden="1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hidden="1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hidden="1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hidden="1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hidden="1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hidden="1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hidden="1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hidden="1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hidden="1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hidden="1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hidden="1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hidden="1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hidden="1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hidden="1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hidden="1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hidden="1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hidden="1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hidden="1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hidden="1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hidden="1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hidden="1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hidden="1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hidden="1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hidden="1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hidden="1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hidden="1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hidden="1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hidden="1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hidden="1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hidden="1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hidden="1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hidden="1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hidden="1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hidden="1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hidden="1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hidden="1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hidden="1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hidden="1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hidden="1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hidden="1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hidden="1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hidden="1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hidden="1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hidden="1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hidden="1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hidden="1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hidden="1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hidden="1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hidden="1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hidden="1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hidden="1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hidden="1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hidden="1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hidden="1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hidden="1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hidden="1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hidden="1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hidden="1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hidden="1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hidden="1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hidden="1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hidden="1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hidden="1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hidden="1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hidden="1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hidden="1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hidden="1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hidden="1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hidden="1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hidden="1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hidden="1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hidden="1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hidden="1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hidden="1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hidden="1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hidden="1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hidden="1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hidden="1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hidden="1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hidden="1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hidden="1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hidden="1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hidden="1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hidden="1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hidden="1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hidden="1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hidden="1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hidden="1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hidden="1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hidden="1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hidden="1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hidden="1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hidden="1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hidden="1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hidden="1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hidden="1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hidden="1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hidden="1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hidden="1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hidden="1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hidden="1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hidden="1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hidden="1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hidden="1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hidden="1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hidden="1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hidden="1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hidden="1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hidden="1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hidden="1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hidden="1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hidden="1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hidden="1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hidden="1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hidden="1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hidden="1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hidden="1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hidden="1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hidden="1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hidden="1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hidden="1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hidden="1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hidden="1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hidden="1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hidden="1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hidden="1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hidden="1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hidden="1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hidden="1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hidden="1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hidden="1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hidden="1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hidden="1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hidden="1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hidden="1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hidden="1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hidden="1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hidden="1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hidden="1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hidden="1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hidden="1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hidden="1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hidden="1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hidden="1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hidden="1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hidden="1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hidden="1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hidden="1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hidden="1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hidden="1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hidden="1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hidden="1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hidden="1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hidden="1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hidden="1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hidden="1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hidden="1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hidden="1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hidden="1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hidden="1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hidden="1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hidden="1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hidden="1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hidden="1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hidden="1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hidden="1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hidden="1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hidden="1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hidden="1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hidden="1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hidden="1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hidden="1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hidden="1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hidden="1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hidden="1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hidden="1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hidden="1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hidden="1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hidden="1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hidden="1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hidden="1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hidden="1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hidden="1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hidden="1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hidden="1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hidden="1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hidden="1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hidden="1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hidden="1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hidden="1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hidden="1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hidden="1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hidden="1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hidden="1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hidden="1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hidden="1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hidden="1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hidden="1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hidden="1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hidden="1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hidden="1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hidden="1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hidden="1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hidden="1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hidden="1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hidden="1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hidden="1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hidden="1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hidden="1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hidden="1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hidden="1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hidden="1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hidden="1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hidden="1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hidden="1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hidden="1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hidden="1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hidden="1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hidden="1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hidden="1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hidden="1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hidden="1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hidden="1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hidden="1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hidden="1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hidden="1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hidden="1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hidden="1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hidden="1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hidden="1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hidden="1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hidden="1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hidden="1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hidden="1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hidden="1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hidden="1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hidden="1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hidden="1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hidden="1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hidden="1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hidden="1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hidden="1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hidden="1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hidden="1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hidden="1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hidden="1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hidden="1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hidden="1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hidden="1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hidden="1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hidden="1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hidden="1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hidden="1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hidden="1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hidden="1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hidden="1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hidden="1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hidden="1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hidden="1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hidden="1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hidden="1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hidden="1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hidden="1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hidden="1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hidden="1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hidden="1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hidden="1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hidden="1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hidden="1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hidden="1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hidden="1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hidden="1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hidden="1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hidden="1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hidden="1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hidden="1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hidden="1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hidden="1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hidden="1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hidden="1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hidden="1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hidden="1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hidden="1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hidden="1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hidden="1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hidden="1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hidden="1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hidden="1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hidden="1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hidden="1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hidden="1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hidden="1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hidden="1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hidden="1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hidden="1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hidden="1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hidden="1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hidden="1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hidden="1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hidden="1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hidden="1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hidden="1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hidden="1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hidden="1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hidden="1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hidden="1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hidden="1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hidden="1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hidden="1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hidden="1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hidden="1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hidden="1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hidden="1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hidden="1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hidden="1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hidden="1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hidden="1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hidden="1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hidden="1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hidden="1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hidden="1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hidden="1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hidden="1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hidden="1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hidden="1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hidden="1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hidden="1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hidden="1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hidden="1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hidden="1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hidden="1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hidden="1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hidden="1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hidden="1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hidden="1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hidden="1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hidden="1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hidden="1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hidden="1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hidden="1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hidden="1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hidden="1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hidden="1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hidden="1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hidden="1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hidden="1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hidden="1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hidden="1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hidden="1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hidden="1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hidden="1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hidden="1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hidden="1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hidden="1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hidden="1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hidden="1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hidden="1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hidden="1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hidden="1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hidden="1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hidden="1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hidden="1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hidden="1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hidden="1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hidden="1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hidden="1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hidden="1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hidden="1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hidden="1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hidden="1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hidden="1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hidden="1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hidden="1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hidden="1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hidden="1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hidden="1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hidden="1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hidden="1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hidden="1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hidden="1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hidden="1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hidden="1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hidden="1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hidden="1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hidden="1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hidden="1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hidden="1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hidden="1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hidden="1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hidden="1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hidden="1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hidden="1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hidden="1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hidden="1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hidden="1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hidden="1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hidden="1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hidden="1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hidden="1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hidden="1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hidden="1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hidden="1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hidden="1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hidden="1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hidden="1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hidden="1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hidden="1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hidden="1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hidden="1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hidden="1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hidden="1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hidden="1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hidden="1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hidden="1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hidden="1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hidden="1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hidden="1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hidden="1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hidden="1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hidden="1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hidden="1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hidden="1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hidden="1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hidden="1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hidden="1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hidden="1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hidden="1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hidden="1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hidden="1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hidden="1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hidden="1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hidden="1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hidden="1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hidden="1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hidden="1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hidden="1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hidden="1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hidden="1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hidden="1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hidden="1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hidden="1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hidden="1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hidden="1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hidden="1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hidden="1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hidden="1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hidden="1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hidden="1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hidden="1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hidden="1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hidden="1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hidden="1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hidden="1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hidden="1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hidden="1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hidden="1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hidden="1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hidden="1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hidden="1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hidden="1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hidden="1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hidden="1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hidden="1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hidden="1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hidden="1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hidden="1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hidden="1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hidden="1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hidden="1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hidden="1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hidden="1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hidden="1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hidden="1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hidden="1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hidden="1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hidden="1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hidden="1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hidden="1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hidden="1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hidden="1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hidden="1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hidden="1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hidden="1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hidden="1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hidden="1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hidden="1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hidden="1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hidden="1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hidden="1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hidden="1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hidden="1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hidden="1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hidden="1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hidden="1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hidden="1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hidden="1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hidden="1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hidden="1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hidden="1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hidden="1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hidden="1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hidden="1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hidden="1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hidden="1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hidden="1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hidden="1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hidden="1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hidden="1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hidden="1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hidden="1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hidden="1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hidden="1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hidden="1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hidden="1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hidden="1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hidden="1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hidden="1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hidden="1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hidden="1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hidden="1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hidden="1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hidden="1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hidden="1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hidden="1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hidden="1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hidden="1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hidden="1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hidden="1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hidden="1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hidden="1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hidden="1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hidden="1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hidden="1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hidden="1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hidden="1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hidden="1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hidden="1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hidden="1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hidden="1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hidden="1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hidden="1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hidden="1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hidden="1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hidden="1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hidden="1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hidden="1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hidden="1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X3" t="s">
        <v>2313</v>
      </c>
      <c r="Y3" t="s">
        <v>2257</v>
      </c>
      <c r="Z3">
        <v>8</v>
      </c>
      <c r="AA3">
        <v>0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8</v>
      </c>
      <c r="AA4">
        <v>2.4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2325</v>
      </c>
      <c r="Y25" s="18" t="s">
        <v>2059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2325</v>
      </c>
      <c r="Y26" s="18" t="s">
        <v>2257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/>
      <c r="Y27" s="18"/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2324</v>
      </c>
      <c r="Y28" s="18" t="s">
        <v>3166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3093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3094</v>
      </c>
      <c r="Y67" t="s">
        <v>1046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3094</v>
      </c>
      <c r="Y68" t="s">
        <v>3165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3096</v>
      </c>
      <c r="Y69" t="s">
        <v>2043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  <c r="X70" t="s">
        <v>2326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2326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11.399999999999999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52.400000000000006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1.2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34.200000000000003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27</v>
      </c>
      <c r="C43" s="26">
        <f>IF($A43="","",SUMIFS('GECC 2026'!I$2:I$200,'GECC 2026'!F$2:F$200,$A43))</f>
        <v>8.1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35.1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803</v>
      </c>
      <c r="C105" s="95">
        <f>SUM(C5:C100)</f>
        <v>466.2999999999999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>
        <f>'GECC 2026'!X27</f>
        <v>0</v>
      </c>
      <c r="C26">
        <f>'GECC 2026'!Y27</f>
        <v>0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/>
      </c>
      <c r="G26" t="str">
        <f>IFERROR(INDEX(Tabela2[Modalidade],MATCH(B26,Tabela2[ID],0)),"")</f>
        <v/>
      </c>
      <c r="H26" t="str">
        <f>IFERROR(INDEX(Tabela2[Instrutor],MATCH(B26,Tabela2[ID],0)),"")</f>
        <v/>
      </c>
      <c r="I26" t="str">
        <f>IF(C26="","",IF(ISNUMBER(SEARCH(C26,H26)),"sim","NÃO"))</f>
        <v>NÃO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2026-07-30T18:03:38Z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