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48" documentId="13_ncr:1_{6A2CC3E2-FAFB-4D8F-B284-5E8FB5045DFE}" xr6:coauthVersionLast="47" xr6:coauthVersionMax="47" xr10:uidLastSave="{E6C31CE8-34BE-45D0-991B-44F02BB7BA35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<sst xmlns="http://schemas.openxmlformats.org/spreadsheetml/2006/main" count="7409" uniqueCount="3262">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</sst>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J722" activePane="bottomLeft" state="frozen"/>
      <selection pane="bottomLeft" activeCell="T730" sqref="T730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 t="s">
        <v>39</v>
      </c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3000</v>
      </c>
      <c r="B733" s="153">
        <v>2026</v>
      </c>
      <c r="C733" s="153" t="s">
        <v>23</v>
      </c>
      <c r="D733" s="153" t="s">
        <v>3001</v>
      </c>
      <c r="E733" s="158" t="s">
        <v>3002</v>
      </c>
      <c r="F733" s="169" t="s">
        <v>25</v>
      </c>
      <c r="G733" s="154" t="s">
        <v>207</v>
      </c>
      <c r="H733" s="155" t="s">
        <v>3003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3004</v>
      </c>
      <c r="U733" s="210"/>
    </row>
    <row r="734" spans="1:21" ht="14.45" hidden="1">
      <c r="A734" s="155" t="s">
        <v>3005</v>
      </c>
      <c r="B734" s="153">
        <v>2026</v>
      </c>
      <c r="C734" s="153" t="s">
        <v>2790</v>
      </c>
      <c r="D734" s="153" t="s">
        <v>3006</v>
      </c>
      <c r="E734" s="158" t="s">
        <v>3007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3008</v>
      </c>
      <c r="B735" s="153">
        <v>2026</v>
      </c>
      <c r="C735" s="153" t="s">
        <v>23</v>
      </c>
      <c r="D735" s="153" t="s">
        <v>3009</v>
      </c>
      <c r="E735" s="158" t="s">
        <v>3010</v>
      </c>
      <c r="F735" s="169" t="s">
        <v>70</v>
      </c>
      <c r="G735" s="154" t="s">
        <v>80</v>
      </c>
      <c r="H735" s="155" t="s">
        <v>3011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3012</v>
      </c>
      <c r="B736" s="153">
        <v>2026</v>
      </c>
      <c r="C736" s="153" t="s">
        <v>23</v>
      </c>
      <c r="D736" s="153" t="s">
        <v>3013</v>
      </c>
      <c r="E736" s="158" t="s">
        <v>3014</v>
      </c>
      <c r="F736" s="169" t="s">
        <v>70</v>
      </c>
      <c r="G736" s="154" t="s">
        <v>2694</v>
      </c>
      <c r="H736" s="155" t="s">
        <v>3015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3016</v>
      </c>
      <c r="U736" s="210"/>
    </row>
    <row r="737" spans="1:21" ht="14.45">
      <c r="A737" s="155" t="s">
        <v>3017</v>
      </c>
      <c r="B737" s="153">
        <v>2026</v>
      </c>
      <c r="C737" s="153" t="s">
        <v>23</v>
      </c>
      <c r="D737" s="153" t="s">
        <v>3018</v>
      </c>
      <c r="E737" s="158" t="s">
        <v>3019</v>
      </c>
      <c r="F737" s="169" t="s">
        <v>25</v>
      </c>
      <c r="G737" s="154" t="s">
        <v>2700</v>
      </c>
      <c r="H737" s="155" t="s">
        <v>3020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3021</v>
      </c>
      <c r="B738" s="153">
        <v>2026</v>
      </c>
      <c r="C738" s="153" t="s">
        <v>2711</v>
      </c>
      <c r="D738" s="153" t="s">
        <v>3022</v>
      </c>
      <c r="E738" s="158" t="s">
        <v>3023</v>
      </c>
      <c r="F738" s="169" t="s">
        <v>25</v>
      </c>
      <c r="G738" s="154" t="s">
        <v>2700</v>
      </c>
      <c r="H738" s="155" t="s">
        <v>3024</v>
      </c>
      <c r="I738" s="155" t="s">
        <v>3024</v>
      </c>
      <c r="J738" s="155" t="s">
        <v>3024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3025</v>
      </c>
      <c r="B739" s="153">
        <v>2026</v>
      </c>
      <c r="C739" s="153" t="s">
        <v>23</v>
      </c>
      <c r="D739" s="153" t="s">
        <v>3026</v>
      </c>
      <c r="E739" s="158" t="s">
        <v>3027</v>
      </c>
      <c r="F739" s="169" t="s">
        <v>25</v>
      </c>
      <c r="G739" s="154" t="s">
        <v>2700</v>
      </c>
      <c r="H739" s="155" t="s">
        <v>3028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3029</v>
      </c>
      <c r="B740" s="153">
        <v>2026</v>
      </c>
      <c r="C740" s="153" t="s">
        <v>2711</v>
      </c>
      <c r="D740" s="153" t="s">
        <v>3026</v>
      </c>
      <c r="E740" s="158" t="s">
        <v>3030</v>
      </c>
      <c r="F740" s="169" t="s">
        <v>25</v>
      </c>
      <c r="G740" s="154" t="s">
        <v>2700</v>
      </c>
      <c r="H740" s="155" t="s">
        <v>3031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3032</v>
      </c>
      <c r="B741" s="153">
        <v>2026</v>
      </c>
      <c r="C741" s="153" t="s">
        <v>23</v>
      </c>
      <c r="D741" s="153" t="s">
        <v>3033</v>
      </c>
      <c r="E741" s="158" t="s">
        <v>3034</v>
      </c>
      <c r="F741" s="169" t="s">
        <v>25</v>
      </c>
      <c r="G741" s="154" t="s">
        <v>207</v>
      </c>
      <c r="H741" s="155" t="s">
        <v>3035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3004</v>
      </c>
      <c r="U741" s="210"/>
    </row>
    <row r="742" spans="1:21" ht="14.45">
      <c r="A742" s="155" t="s">
        <v>3036</v>
      </c>
      <c r="B742" s="153">
        <v>2026</v>
      </c>
      <c r="C742" s="153" t="s">
        <v>2711</v>
      </c>
      <c r="D742" s="153" t="s">
        <v>3037</v>
      </c>
      <c r="E742" s="165" t="s">
        <v>3038</v>
      </c>
      <c r="F742" s="169" t="s">
        <v>25</v>
      </c>
      <c r="G742" s="154" t="s">
        <v>207</v>
      </c>
      <c r="H742" s="155" t="s">
        <v>3039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3040</v>
      </c>
      <c r="B743" s="153">
        <v>2026</v>
      </c>
      <c r="C743" s="153" t="s">
        <v>2711</v>
      </c>
      <c r="D743" s="153" t="s">
        <v>3037</v>
      </c>
      <c r="E743" s="165" t="s">
        <v>3041</v>
      </c>
      <c r="F743" s="169" t="s">
        <v>25</v>
      </c>
      <c r="G743" s="154" t="s">
        <v>207</v>
      </c>
      <c r="H743" s="155" t="s">
        <v>3042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3043</v>
      </c>
      <c r="B744" s="153">
        <v>2026</v>
      </c>
      <c r="C744" s="153" t="s">
        <v>2790</v>
      </c>
      <c r="D744" s="153" t="s">
        <v>3044</v>
      </c>
      <c r="E744" s="165" t="s">
        <v>3045</v>
      </c>
      <c r="F744" s="169" t="s">
        <v>25</v>
      </c>
      <c r="G744" s="154" t="s">
        <v>207</v>
      </c>
      <c r="H744" s="155" t="s">
        <v>3046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3047</v>
      </c>
      <c r="U744" s="210"/>
    </row>
    <row r="745" spans="1:21" ht="14.45">
      <c r="A745" s="155" t="s">
        <v>3048</v>
      </c>
      <c r="B745" s="153">
        <v>2026</v>
      </c>
      <c r="C745" s="153" t="s">
        <v>23</v>
      </c>
      <c r="D745" s="153" t="s">
        <v>3049</v>
      </c>
      <c r="E745" s="165" t="s">
        <v>3050</v>
      </c>
      <c r="F745" s="169" t="s">
        <v>25</v>
      </c>
      <c r="G745" s="154" t="s">
        <v>207</v>
      </c>
      <c r="H745" s="155" t="s">
        <v>3051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3052</v>
      </c>
      <c r="B746" s="153">
        <v>2026</v>
      </c>
      <c r="C746" s="153" t="s">
        <v>23</v>
      </c>
      <c r="D746" s="153" t="s">
        <v>3053</v>
      </c>
      <c r="E746" s="158" t="s">
        <v>3054</v>
      </c>
      <c r="F746" s="169" t="s">
        <v>70</v>
      </c>
      <c r="G746" s="154" t="s">
        <v>80</v>
      </c>
      <c r="H746" s="155" t="s">
        <v>3055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3056</v>
      </c>
      <c r="B747" s="153">
        <v>2026</v>
      </c>
      <c r="C747" s="153" t="s">
        <v>3057</v>
      </c>
      <c r="D747" s="153" t="s">
        <v>3058</v>
      </c>
      <c r="E747" s="165" t="s">
        <v>3059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3060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1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2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2026-077</v>
      </c>
      <c r="N62" t="str">
        <f ca="1"/>
        <v>A realizar</v>
      </c>
      <c r="O62" t="str">
        <f ca="1"/>
        <v>Exibição de filme: Consciência Negra</v>
      </c>
      <c r="P62">
        <f ca="1"/>
        <v>0</v>
      </c>
      <c r="Q62">
        <f ca="1"/>
        <v>0</v>
      </c>
      <c r="R62">
        <f ca="1"/>
        <v>1</v>
      </c>
      <c r="S62">
        <f ca="1"/>
        <v>138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2026-074</v>
      </c>
      <c r="N63" t="str">
        <f ca="1"/>
        <v>Realizado</v>
      </c>
      <c r="O63" t="str">
        <f ca="1"/>
        <v>Café e Tertúlia: Gincana dos Neurotransmissores</v>
      </c>
      <c r="P63">
        <f ca="1"/>
        <v>2</v>
      </c>
      <c r="Q63" t="str">
        <f ca="1"/>
        <v>Isac Mendes Caixeta de Pamplona Araújo; Valéria Feitoza; Cinthia Thais de Carvalho Luz Thomazi</v>
      </c>
      <c r="R63">
        <f ca="1"/>
        <v>3</v>
      </c>
      <c r="S63">
        <f ca="1"/>
        <v>141</v>
      </c>
      <c r="T63">
        <f ca="1"/>
        <v>138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2026-081</v>
      </c>
      <c r="N64" t="str">
        <f ca="1"/>
        <v>Realizado</v>
      </c>
      <c r="O64" t="str">
        <f ca="1"/>
        <v>Contratações de TIC com base na jurisprudência do TCDF - SGDI</v>
      </c>
      <c r="P64">
        <f ca="1"/>
        <v>8</v>
      </c>
      <c r="Q64" t="str">
        <f ca="1"/>
        <v>Felipe da Costa Malaquias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2026-082</v>
      </c>
      <c r="N65" t="str">
        <f ca="1"/>
        <v>Realizado</v>
      </c>
      <c r="O65" t="str">
        <f ca="1"/>
        <v>Curso de formação para gestores e fiscais de contrato nas unidades hospitalares – Turma 4</v>
      </c>
      <c r="P65">
        <f ca="1"/>
        <v>12</v>
      </c>
      <c r="Q65" t="str">
        <f ca="1"/>
        <v>Luciana Alvim; Tarsila Firmino Ely</v>
      </c>
      <c r="R65">
        <f ca="1"/>
        <v>2</v>
      </c>
      <c r="S65">
        <f ca="1"/>
        <v>144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2026-083</v>
      </c>
      <c r="N66" t="str">
        <f ca="1"/>
        <v>Realizado</v>
      </c>
      <c r="O66" t="str">
        <f ca="1"/>
        <v>Oficina básica de Power Automate</v>
      </c>
      <c r="P66">
        <f ca="1"/>
        <v>9</v>
      </c>
      <c r="Q66" t="str">
        <f ca="1"/>
        <v>Josdeyvi Magalhães Russi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146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2026-085</v>
      </c>
      <c r="N68" t="str">
        <f ca="1"/>
        <v>Realizado</v>
      </c>
      <c r="O68" t="str">
        <f ca="1"/>
        <v xml:space="preserve">Introdução à Engenharia de Prompt – T5 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2026-086</v>
      </c>
      <c r="N69" t="str">
        <f ca="1"/>
        <v>A realizar</v>
      </c>
      <c r="O69" t="str">
        <f ca="1"/>
        <v>Introdução à Engenharia de Prompt – T6</v>
      </c>
      <c r="P69">
        <f ca="1"/>
        <v>8</v>
      </c>
      <c r="Q69" t="str">
        <f ca="1"/>
        <v>Arthur Wú; Gustavo Takahashi</v>
      </c>
      <c r="R69">
        <f ca="1"/>
        <v>2</v>
      </c>
      <c r="S69">
        <f ca="1"/>
        <v>150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2026-087</v>
      </c>
      <c r="N70" t="str">
        <f ca="1"/>
        <v>Realizado</v>
      </c>
      <c r="O70" t="str">
        <f ca="1"/>
        <v>Café e Tertúlia - Show de Talentos</v>
      </c>
      <c r="P70">
        <f ca="1"/>
        <v>2</v>
      </c>
      <c r="Q70" t="str">
        <f ca="1"/>
        <v>Isac Mendes Caixeta de Pamplona Araújo; Valéria Feitoza; Cinthia Thais de Carvalho Luz Thomazi</v>
      </c>
      <c r="R70">
        <f ca="1"/>
        <v>3</v>
      </c>
      <c r="S70">
        <f ca="1"/>
        <v>153</v>
      </c>
      <c r="T70">
        <f ca="1"/>
        <v>150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2026-092</v>
      </c>
      <c r="N71" t="str">
        <f ca="1"/>
        <v>Realizado</v>
      </c>
      <c r="O71" t="str">
        <f ca="1"/>
        <v>MROSC para servidores do GDF</v>
      </c>
      <c r="P71">
        <f ca="1"/>
        <v>12</v>
      </c>
      <c r="Q71" t="str">
        <f ca="1"/>
        <v>Indio Artiaga do Brasil Rabelo; Leonardo de Melo</v>
      </c>
      <c r="R71">
        <f ca="1"/>
        <v>2</v>
      </c>
      <c r="S71">
        <f ca="1"/>
        <v>155</v>
      </c>
      <c r="T71">
        <f ca="1"/>
        <v>153</v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T72">
        <f ca="1"/>
        <v>155</v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3005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3005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3005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2026-077</v>
      </c>
      <c r="C139" t="str">
        <f ca="1"/>
        <v>A realizar</v>
      </c>
      <c r="D139" t="str">
        <f ca="1"/>
        <v>Exibição de filme: Consciência Negra</v>
      </c>
      <c r="E139">
        <f ca="1"/>
        <v>0</v>
      </c>
      <c r="F139" t="str">
        <f ca="1"/>
        <v>0</v>
      </c>
      <c r="G139">
        <f ca="1"/>
        <v>1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Isac Mendes Caixeta de Pamplona Araújo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Valéria Feitoza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2026-074</v>
      </c>
      <c r="C142" t="str">
        <f ca="1"/>
        <v>Realizado</v>
      </c>
      <c r="D142" t="str">
        <f ca="1"/>
        <v>Café e Tertúlia: Gincana dos Neurotransmissores</v>
      </c>
      <c r="E142">
        <f ca="1"/>
        <v>2</v>
      </c>
      <c r="F142" t="str">
        <f ca="1"/>
        <v>Cinthia Thais de Carvalho Luz Thomazi</v>
      </c>
      <c r="G142">
        <f ca="1"/>
        <v>3</v>
      </c>
      <c r="H142">
        <f ca="1"/>
        <v>2</v>
      </c>
      <c r="I142">
        <f ca="1"/>
        <v>0.6</v>
      </c>
      <c r="J142">
        <f ca="1"/>
        <v>2.6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2026-081</v>
      </c>
      <c r="C143" t="str">
        <f ca="1"/>
        <v>Realizado</v>
      </c>
      <c r="D143" t="str">
        <f ca="1"/>
        <v>Contratações de TIC com base na jurisprudência do TCDF - SGDI</v>
      </c>
      <c r="E143">
        <f ca="1"/>
        <v>8</v>
      </c>
      <c r="F143" t="str">
        <f ca="1"/>
        <v>Felipe da Costa Malaquias</v>
      </c>
      <c r="G143">
        <f ca="1"/>
        <v>1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Luciana Alvim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2026-082</v>
      </c>
      <c r="C145" t="str">
        <f ca="1"/>
        <v>Realizado</v>
      </c>
      <c r="D145" t="str">
        <f ca="1"/>
        <v>Curso de formação para gestores e fiscais de contrato nas unidades hospitalares – Turma 4</v>
      </c>
      <c r="E145">
        <f ca="1"/>
        <v>12</v>
      </c>
      <c r="F145" t="str">
        <f ca="1"/>
        <v>Tarsila Firmino Ely</v>
      </c>
      <c r="G145">
        <f ca="1"/>
        <v>2</v>
      </c>
      <c r="H145">
        <f ca="1"/>
        <v>12</v>
      </c>
      <c r="I145">
        <f ca="1"/>
        <v>3.5999999999999996</v>
      </c>
      <c r="J145">
        <f ca="1"/>
        <v>15.6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2026-083</v>
      </c>
      <c r="C146" t="str">
        <f ca="1"/>
        <v>Realizado</v>
      </c>
      <c r="D146" t="str">
        <f ca="1"/>
        <v>Oficina básica de Power Automate</v>
      </c>
      <c r="E146">
        <f ca="1"/>
        <v>9</v>
      </c>
      <c r="F146" t="str">
        <f ca="1"/>
        <v>Josdeyvi Magalhães Russi</v>
      </c>
      <c r="G146">
        <f ca="1"/>
        <v>1</v>
      </c>
      <c r="H146">
        <f ca="1"/>
        <v>9</v>
      </c>
      <c r="I146">
        <f ca="1"/>
        <v>2.6999999999999997</v>
      </c>
      <c r="J146">
        <f ca="1"/>
        <v>11.7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2026-084</v>
      </c>
      <c r="C147" t="str">
        <f ca="1"/>
        <v>A realizar</v>
      </c>
      <c r="D147" t="str">
        <f ca="1"/>
        <v>Oficina EmentAI: o seu assistente de IA na elaboração de ementas jurisprudenciais</v>
      </c>
      <c r="E147">
        <f ca="1"/>
        <v>4</v>
      </c>
      <c r="F147" t="str">
        <f ca="1"/>
        <v>Caio Filipe</v>
      </c>
      <c r="G147">
        <f ca="1"/>
        <v>1</v>
      </c>
      <c r="H147">
        <f ca="1"/>
        <v>4</v>
      </c>
      <c r="I147">
        <f ca="1"/>
        <v>1.2</v>
      </c>
      <c r="J147">
        <f ca="1"/>
        <v>5.2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Arthur Wú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2026-086</v>
      </c>
      <c r="C151" t="str">
        <f ca="1"/>
        <v>A realizar</v>
      </c>
      <c r="D151" t="str">
        <f ca="1"/>
        <v>Introdução à Engenharia de Prompt – T6</v>
      </c>
      <c r="E151">
        <f ca="1"/>
        <v>8</v>
      </c>
      <c r="F151" t="str">
        <f ca="1"/>
        <v>Gustavo Takahashi</v>
      </c>
      <c r="G151">
        <f ca="1"/>
        <v>2</v>
      </c>
      <c r="H151">
        <f ca="1"/>
        <v>8</v>
      </c>
      <c r="I151">
        <f ca="1"/>
        <v>2.4</v>
      </c>
      <c r="J151">
        <f ca="1"/>
        <v>10.4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Isac Mendes Caixeta de Pamplona Araújo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Valéria Feitoza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2026-087</v>
      </c>
      <c r="C154" t="str">
        <f ca="1"/>
        <v>Realizado</v>
      </c>
      <c r="D154" t="str">
        <f ca="1"/>
        <v>Café e Tertúlia - Show de Talentos</v>
      </c>
      <c r="E154">
        <f ca="1"/>
        <v>2</v>
      </c>
      <c r="F154" t="str">
        <f ca="1"/>
        <v>Cinthia Thais de Carvalho Luz Thomazi</v>
      </c>
      <c r="G154">
        <f ca="1"/>
        <v>3</v>
      </c>
      <c r="H154">
        <f ca="1"/>
        <v>2</v>
      </c>
      <c r="I154">
        <f ca="1"/>
        <v>0.6</v>
      </c>
      <c r="J154">
        <f ca="1"/>
        <v>2.6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Indio Artiaga do Brasil Rabelo</v>
      </c>
      <c r="G155">
        <f ca="1"/>
        <v>2</v>
      </c>
      <c r="H155">
        <f ca="1"/>
        <v>12</v>
      </c>
      <c r="I155">
        <f ca="1"/>
        <v>3.5999999999999996</v>
      </c>
      <c r="J155">
        <f ca="1"/>
        <v>15.6</v>
      </c>
      <c r="R155" t="str">
        <f ca="1"/>
        <v/>
      </c>
      <c r="S155" t="str">
        <f ca="1"/>
        <v/>
      </c>
    </row>
    <row r="156" spans="1:19">
      <c r="A156">
        <f ca="1"/>
        <v>2026</v>
      </c>
      <c r="B156" t="str">
        <f ca="1"/>
        <v>2026-092</v>
      </c>
      <c r="C156" t="str">
        <f ca="1"/>
        <v>Realizado</v>
      </c>
      <c r="D156" t="str">
        <f ca="1"/>
        <v>MROSC para servidores do GDF</v>
      </c>
      <c r="E156">
        <f ca="1"/>
        <v>12</v>
      </c>
      <c r="F156" t="str">
        <f ca="1"/>
        <v>Leonardo de Melo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3154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3155</v>
      </c>
      <c r="B4" s="219"/>
      <c r="D4" s="220" t="s">
        <v>3156</v>
      </c>
      <c r="E4" s="221"/>
      <c r="G4" s="44" t="s">
        <v>3157</v>
      </c>
    </row>
    <row r="5" spans="1:7" ht="54.95" customHeight="1" thickBot="1">
      <c r="A5" s="34">
        <f>COUNTIF('Ações InCompany'!B:B,2026)</f>
        <v>91</v>
      </c>
      <c r="B5" s="35" t="s">
        <v>3158</v>
      </c>
      <c r="D5" s="42">
        <f>COUNTIFS('Ações InCompany'!B:B,2026,'Ações InCompany'!C:C,"Realizado")</f>
        <v>67</v>
      </c>
      <c r="E5" s="43" t="s">
        <v>3158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3159</v>
      </c>
      <c r="B8" s="216"/>
      <c r="D8" s="216" t="s">
        <v>3160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3161</v>
      </c>
      <c r="D10" s="27" t="s">
        <v>3162</v>
      </c>
      <c r="E10" s="27" t="s">
        <v>3163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3164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3165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3166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3167</v>
      </c>
      <c r="B14" s="33">
        <f>SUM(B11:B13)</f>
        <v>67</v>
      </c>
      <c r="D14" s="32" t="s">
        <v>3168</v>
      </c>
      <c r="E14" s="33">
        <f>SUM(E11:E13)</f>
        <v>3539</v>
      </c>
    </row>
    <row r="30" spans="1:5" ht="17.25">
      <c r="A30" s="216" t="s">
        <v>3169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3170</v>
      </c>
      <c r="C32" s="27" t="s">
        <v>3171</v>
      </c>
      <c r="D32" s="27" t="s">
        <v>3172</v>
      </c>
      <c r="E32" s="27" t="s">
        <v>3173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3167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3176</v>
      </c>
      <c r="B1" s="11" t="s">
        <v>3177</v>
      </c>
      <c r="C1" s="12" t="s">
        <v>3178</v>
      </c>
      <c r="D1" s="12" t="s">
        <v>3179</v>
      </c>
      <c r="E1" s="12" t="s">
        <v>3180</v>
      </c>
    </row>
    <row r="2" spans="1:5" ht="18" customHeight="1">
      <c r="A2" s="11" t="s">
        <v>3181</v>
      </c>
      <c r="B2" s="11" t="s">
        <v>3182</v>
      </c>
      <c r="C2" s="11" t="s">
        <v>1737</v>
      </c>
      <c r="D2" s="11" t="s">
        <v>3183</v>
      </c>
      <c r="E2" s="11" t="s">
        <v>3184</v>
      </c>
    </row>
    <row r="3" spans="1:5" ht="18" customHeight="1">
      <c r="A3" s="11" t="s">
        <v>3181</v>
      </c>
      <c r="B3" s="11" t="s">
        <v>3182</v>
      </c>
      <c r="C3" s="13" t="s">
        <v>26</v>
      </c>
      <c r="D3" s="11" t="s">
        <v>3185</v>
      </c>
      <c r="E3" s="11" t="s">
        <v>3186</v>
      </c>
    </row>
    <row r="4" spans="1:5" ht="18" customHeight="1">
      <c r="A4" s="11" t="s">
        <v>3181</v>
      </c>
      <c r="B4" s="11" t="s">
        <v>3182</v>
      </c>
      <c r="C4" s="11" t="s">
        <v>76</v>
      </c>
      <c r="D4" s="11" t="s">
        <v>3183</v>
      </c>
      <c r="E4" s="11" t="s">
        <v>3187</v>
      </c>
    </row>
    <row r="5" spans="1:5" ht="18" customHeight="1">
      <c r="A5" s="11" t="s">
        <v>3181</v>
      </c>
      <c r="B5" s="11" t="s">
        <v>3182</v>
      </c>
      <c r="C5" s="11" t="s">
        <v>80</v>
      </c>
      <c r="D5" s="11" t="s">
        <v>3188</v>
      </c>
      <c r="E5" s="11" t="s">
        <v>3189</v>
      </c>
    </row>
    <row r="6" spans="1:5" ht="18" customHeight="1">
      <c r="A6" s="11" t="s">
        <v>3181</v>
      </c>
      <c r="B6" s="11" t="s">
        <v>3182</v>
      </c>
      <c r="C6" s="11" t="s">
        <v>2718</v>
      </c>
      <c r="D6" s="11" t="s">
        <v>3190</v>
      </c>
      <c r="E6" s="11" t="s">
        <v>3191</v>
      </c>
    </row>
    <row r="7" spans="1:5" ht="18" customHeight="1">
      <c r="A7" s="11" t="s">
        <v>3181</v>
      </c>
      <c r="B7" s="11" t="s">
        <v>3192</v>
      </c>
      <c r="C7" s="11" t="s">
        <v>37</v>
      </c>
      <c r="D7" s="11" t="s">
        <v>3193</v>
      </c>
      <c r="E7" s="11" t="s">
        <v>3194</v>
      </c>
    </row>
    <row r="8" spans="1:5" ht="18" customHeight="1">
      <c r="A8" s="11" t="s">
        <v>3181</v>
      </c>
      <c r="B8" s="11" t="s">
        <v>3192</v>
      </c>
      <c r="C8" s="11" t="s">
        <v>43</v>
      </c>
      <c r="D8" s="11" t="s">
        <v>3195</v>
      </c>
      <c r="E8" s="11" t="s">
        <v>3196</v>
      </c>
    </row>
    <row r="9" spans="1:5" ht="18" customHeight="1">
      <c r="A9" s="11" t="s">
        <v>3181</v>
      </c>
      <c r="B9" s="11" t="s">
        <v>3197</v>
      </c>
      <c r="C9" s="11" t="s">
        <v>465</v>
      </c>
      <c r="D9" s="11" t="s">
        <v>3198</v>
      </c>
      <c r="E9" s="11" t="s">
        <v>3199</v>
      </c>
    </row>
    <row r="10" spans="1:5" ht="18" customHeight="1">
      <c r="A10" s="11" t="s">
        <v>3181</v>
      </c>
      <c r="B10" s="11" t="s">
        <v>3197</v>
      </c>
      <c r="C10" s="11" t="s">
        <v>207</v>
      </c>
      <c r="D10" s="11" t="s">
        <v>25</v>
      </c>
      <c r="E10" s="11" t="s">
        <v>3200</v>
      </c>
    </row>
    <row r="11" spans="1:5" ht="18" customHeight="1">
      <c r="A11" s="11" t="s">
        <v>3181</v>
      </c>
      <c r="B11" s="11" t="s">
        <v>3197</v>
      </c>
      <c r="C11" s="11" t="s">
        <v>372</v>
      </c>
      <c r="D11" s="11" t="s">
        <v>25</v>
      </c>
      <c r="E11" s="11" t="s">
        <v>3201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3202</v>
      </c>
      <c r="B1" s="5" t="s">
        <v>10</v>
      </c>
      <c r="C1" s="14" t="s">
        <v>3203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3204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3205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3176</v>
      </c>
      <c r="B1" s="11" t="s">
        <v>3177</v>
      </c>
      <c r="C1" s="12" t="s">
        <v>3178</v>
      </c>
      <c r="D1" s="12" t="s">
        <v>3179</v>
      </c>
      <c r="E1" s="12" t="s">
        <v>3180</v>
      </c>
    </row>
    <row r="2" spans="1:5" ht="18" customHeight="1">
      <c r="A2" s="11" t="s">
        <v>3207</v>
      </c>
      <c r="B2" s="11" t="s">
        <v>3182</v>
      </c>
      <c r="C2" s="13" t="s">
        <v>26</v>
      </c>
      <c r="D2" s="11" t="s">
        <v>3183</v>
      </c>
      <c r="E2" s="16" t="s">
        <v>3208</v>
      </c>
    </row>
    <row r="3" spans="1:5" ht="18" customHeight="1">
      <c r="A3" s="11" t="s">
        <v>3207</v>
      </c>
      <c r="B3" s="11" t="s">
        <v>3182</v>
      </c>
      <c r="C3" s="11" t="s">
        <v>76</v>
      </c>
      <c r="D3" s="11" t="s">
        <v>3185</v>
      </c>
      <c r="E3" s="11" t="s">
        <v>3209</v>
      </c>
    </row>
    <row r="4" spans="1:5" ht="18" customHeight="1">
      <c r="A4" s="11" t="s">
        <v>3207</v>
      </c>
      <c r="B4" s="11" t="s">
        <v>3182</v>
      </c>
      <c r="C4" s="11" t="s">
        <v>80</v>
      </c>
      <c r="D4" s="11" t="s">
        <v>3188</v>
      </c>
      <c r="E4" s="11" t="s">
        <v>3210</v>
      </c>
    </row>
    <row r="5" spans="1:5" ht="27.75" customHeight="1">
      <c r="A5" s="11" t="s">
        <v>3207</v>
      </c>
      <c r="B5" s="11" t="s">
        <v>3182</v>
      </c>
      <c r="C5" s="11" t="s">
        <v>2694</v>
      </c>
      <c r="D5" s="16" t="s">
        <v>3211</v>
      </c>
      <c r="E5" s="11" t="s">
        <v>3212</v>
      </c>
    </row>
    <row r="6" spans="1:5" ht="18" customHeight="1">
      <c r="A6" s="11" t="s">
        <v>3207</v>
      </c>
      <c r="B6" s="11" t="s">
        <v>3182</v>
      </c>
      <c r="C6" s="11" t="s">
        <v>2718</v>
      </c>
      <c r="D6" s="11" t="s">
        <v>3190</v>
      </c>
      <c r="E6" s="11" t="s">
        <v>3191</v>
      </c>
    </row>
    <row r="7" spans="1:5" ht="18" customHeight="1">
      <c r="A7" s="11" t="s">
        <v>3207</v>
      </c>
      <c r="B7" s="11" t="s">
        <v>3192</v>
      </c>
      <c r="C7" s="11" t="s">
        <v>2700</v>
      </c>
      <c r="D7" s="11" t="s">
        <v>3213</v>
      </c>
      <c r="E7" s="11" t="s">
        <v>3214</v>
      </c>
    </row>
    <row r="8" spans="1:5" ht="18" customHeight="1">
      <c r="A8" s="11" t="s">
        <v>3207</v>
      </c>
      <c r="B8" s="11" t="s">
        <v>3192</v>
      </c>
      <c r="C8" s="11" t="s">
        <v>43</v>
      </c>
      <c r="D8" s="11" t="s">
        <v>3195</v>
      </c>
      <c r="E8" s="11" t="s">
        <v>3196</v>
      </c>
    </row>
    <row r="9" spans="1:5" ht="18" customHeight="1">
      <c r="A9" s="11" t="s">
        <v>3207</v>
      </c>
      <c r="B9" s="11" t="s">
        <v>3192</v>
      </c>
      <c r="C9" s="11" t="s">
        <v>2793</v>
      </c>
      <c r="D9" s="11" t="s">
        <v>3215</v>
      </c>
      <c r="E9" s="16" t="s">
        <v>3216</v>
      </c>
    </row>
    <row r="10" spans="1:5" ht="18" customHeight="1">
      <c r="A10" s="11" t="s">
        <v>3207</v>
      </c>
      <c r="B10" s="11" t="s">
        <v>3217</v>
      </c>
      <c r="C10" s="11" t="s">
        <v>3174</v>
      </c>
      <c r="D10" s="11" t="s">
        <v>3218</v>
      </c>
      <c r="E10" s="16" t="s">
        <v>3219</v>
      </c>
    </row>
    <row r="11" spans="1:5" ht="18" customHeight="1">
      <c r="A11" s="11" t="s">
        <v>3207</v>
      </c>
      <c r="B11" s="11" t="s">
        <v>3217</v>
      </c>
      <c r="C11" s="11" t="s">
        <v>207</v>
      </c>
      <c r="D11" s="11" t="s">
        <v>25</v>
      </c>
      <c r="E11" s="11" t="s">
        <v>3200</v>
      </c>
    </row>
    <row r="12" spans="1:5" ht="18" customHeight="1">
      <c r="A12" s="11" t="s">
        <v>3207</v>
      </c>
      <c r="B12" s="11" t="s">
        <v>3217</v>
      </c>
      <c r="C12" s="11" t="s">
        <v>372</v>
      </c>
      <c r="D12" s="11" t="s">
        <v>25</v>
      </c>
      <c r="E12" s="11" t="s">
        <v>3201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3220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3221</v>
      </c>
    </row>
    <row r="4" spans="1:8" ht="21.95" customHeight="1">
      <c r="A4" s="223" t="s">
        <v>3222</v>
      </c>
      <c r="B4" s="224"/>
      <c r="D4" s="223" t="s">
        <v>3223</v>
      </c>
      <c r="E4" s="224"/>
      <c r="G4" s="223" t="s">
        <v>3224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3225</v>
      </c>
      <c r="B7" s="61" t="s">
        <v>3226</v>
      </c>
      <c r="C7" s="61" t="s">
        <v>1</v>
      </c>
      <c r="D7" s="61" t="s">
        <v>3227</v>
      </c>
      <c r="E7" s="61" t="s">
        <v>3228</v>
      </c>
      <c r="F7" s="61" t="s">
        <v>3126</v>
      </c>
      <c r="G7" s="61" t="s">
        <v>5</v>
      </c>
      <c r="H7" s="61" t="s">
        <v>3229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3230</v>
      </c>
      <c r="B1" s="229"/>
      <c r="C1" s="229"/>
      <c r="D1" s="229"/>
      <c r="E1" s="229"/>
      <c r="F1" s="229"/>
    </row>
    <row r="2" spans="1:7">
      <c r="A2" s="230" t="s">
        <v>3231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3129</v>
      </c>
      <c r="C4" s="24" t="s">
        <v>3130</v>
      </c>
      <c r="D4" s="24" t="s">
        <v>3232</v>
      </c>
      <c r="E4" s="24" t="s">
        <v>3131</v>
      </c>
      <c r="F4" s="24" t="s">
        <v>3233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3168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3234</v>
      </c>
      <c r="B1" s="116" t="s">
        <v>3235</v>
      </c>
      <c r="C1" s="116" t="s">
        <v>3236</v>
      </c>
      <c r="D1" s="116" t="s">
        <v>3237</v>
      </c>
      <c r="E1" s="116" t="s">
        <v>3238</v>
      </c>
      <c r="F1" s="116" t="s">
        <v>3239</v>
      </c>
      <c r="G1" s="116" t="s">
        <v>10</v>
      </c>
      <c r="H1" s="116" t="s">
        <v>3240</v>
      </c>
      <c r="I1" s="116" t="s">
        <v>3241</v>
      </c>
      <c r="J1" s="116" t="s">
        <v>3242</v>
      </c>
      <c r="K1" s="116" t="s">
        <v>3243</v>
      </c>
      <c r="L1" s="116" t="s">
        <v>3244</v>
      </c>
      <c r="N1" s="116" t="s">
        <v>3245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3246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3247</v>
      </c>
      <c r="Q2" s="116" t="s">
        <v>3248</v>
      </c>
      <c r="R2" s="116" t="s">
        <v>3249</v>
      </c>
      <c r="S2" s="116" t="s">
        <v>3250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3246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3246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3246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3246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3246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3246</v>
      </c>
      <c r="L10" t="str">
        <f>IF(K10="","",IFERROR(INDEX(Tabela2[Curso],MATCH(K10,Tabela2[ID],0)),""))</f>
        <v/>
      </c>
      <c r="N10" s="110" t="s">
        <v>3251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3246</v>
      </c>
      <c r="L11" t="str">
        <f>IF(K11="","",IFERROR(INDEX(Tabela2[Curso],MATCH(K11,Tabela2[ID],0)),""))</f>
        <v/>
      </c>
      <c r="N11" s="208" t="s">
        <v>3252</v>
      </c>
      <c r="O11" s="208" t="s">
        <v>3253</v>
      </c>
      <c r="P11" s="208" t="s">
        <v>3254</v>
      </c>
      <c r="Q11" s="208" t="s">
        <v>3237</v>
      </c>
      <c r="R11" s="208" t="s">
        <v>3238</v>
      </c>
      <c r="S11" s="208" t="s">
        <v>3255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3246</v>
      </c>
      <c r="L12" t="str">
        <f>IF(K12="","",IFERROR(INDEX(Tabela2[Curso],MATCH(K12,Tabela2[ID],0)),""))</f>
        <v/>
      </c>
      <c r="N12" t="s">
        <v>3256</v>
      </c>
      <c r="O12" t="s">
        <v>2754</v>
      </c>
      <c r="P12" t="s">
        <v>3257</v>
      </c>
      <c r="Q12">
        <v>0</v>
      </c>
      <c r="R12">
        <v>0</v>
      </c>
      <c r="S12" t="s">
        <v>3258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3246</v>
      </c>
      <c r="L13" t="str">
        <f>IF(K13="","",IFERROR(INDEX(Tabela2[Curso],MATCH(K13,Tabela2[ID],0)),""))</f>
        <v/>
      </c>
      <c r="N13" t="s">
        <v>3259</v>
      </c>
      <c r="O13" t="s">
        <v>2686</v>
      </c>
      <c r="P13" t="s">
        <v>3260</v>
      </c>
      <c r="Q13">
        <v>0</v>
      </c>
      <c r="R13">
        <v>0</v>
      </c>
      <c r="S13" t="s">
        <v>3261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2026-10-07T11:26:09Z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