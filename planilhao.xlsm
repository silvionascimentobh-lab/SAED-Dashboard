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76" documentId="13_ncr:1_{6A2CC3E2-FAFB-4D8F-B284-5E8FB5045DFE}" xr6:coauthVersionLast="47" xr6:coauthVersionMax="47" xr10:uidLastSave="{E33CD8AD-2940-4CC8-8C7E-1A210F992D29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 calcCompleted="0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<sst xmlns="http://schemas.openxmlformats.org/spreadsheetml/2006/main" count="7307" uniqueCount="3217">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</sst>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14" activePane="bottomLeft" state="frozen"/>
      <selection pane="bottomLeft" activeCell="T721" sqref="T72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30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2957</v>
      </c>
    </row>
    <row r="723" spans="1:20" ht="15" x14ac:dyDescent="0.25">
      <c r="A723" s="137" t="s">
        <v>2961</v>
      </c>
      <c r="B723" s="152">
        <v>2026</v>
      </c>
      <c r="C723" s="183" t="s">
        <v>22</v>
      </c>
      <c r="D723" s="183" t="s">
        <v>2962</v>
      </c>
      <c r="E723" s="184" t="s">
        <v>2963</v>
      </c>
      <c r="F723" s="185" t="s">
        <v>88</v>
      </c>
      <c r="G723" s="186" t="s">
        <v>2719</v>
      </c>
      <c r="H723" s="191" t="s">
        <v>2964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2965</v>
      </c>
      <c r="B724" s="151">
        <v>2026</v>
      </c>
      <c r="C724" s="183" t="s">
        <v>22</v>
      </c>
      <c r="D724" s="183" t="s">
        <v>2966</v>
      </c>
      <c r="E724" s="184" t="s">
        <v>2967</v>
      </c>
      <c r="F724" s="185" t="s">
        <v>88</v>
      </c>
      <c r="G724" s="186" t="s">
        <v>2719</v>
      </c>
      <c r="H724" s="191" t="s">
        <v>2968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2969</v>
      </c>
      <c r="B725" s="183">
        <v>2026</v>
      </c>
      <c r="C725" s="183" t="s">
        <v>22</v>
      </c>
      <c r="D725" s="183" t="s">
        <v>2962</v>
      </c>
      <c r="E725" s="184" t="s">
        <v>2970</v>
      </c>
      <c r="F725" s="185"/>
      <c r="G725" s="186" t="s">
        <v>2719</v>
      </c>
      <c r="H725" s="191" t="s">
        <v>2971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2972</v>
      </c>
      <c r="B726" s="183">
        <v>2026</v>
      </c>
      <c r="C726" s="183" t="s">
        <v>2697</v>
      </c>
      <c r="D726" s="183" t="s">
        <v>2962</v>
      </c>
      <c r="E726" s="184" t="s">
        <v>2973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2974</v>
      </c>
      <c r="B727" s="183">
        <v>2026</v>
      </c>
      <c r="C727" s="183" t="s">
        <v>2697</v>
      </c>
      <c r="D727" s="183" t="s">
        <v>2962</v>
      </c>
      <c r="E727" s="180" t="s">
        <v>2975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2976</v>
      </c>
      <c r="B728" s="183">
        <v>2026</v>
      </c>
      <c r="C728" s="183" t="s">
        <v>2697</v>
      </c>
      <c r="D728" s="183" t="s">
        <v>2962</v>
      </c>
      <c r="E728" s="180" t="s">
        <v>2977</v>
      </c>
      <c r="F728" s="185"/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2962</v>
      </c>
      <c r="E729" s="180" t="s">
        <v>2980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2962</v>
      </c>
      <c r="E730" s="203" t="s">
        <v>2982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2962</v>
      </c>
      <c r="E731" s="203" t="s">
        <v>2984</v>
      </c>
      <c r="F731" s="185"/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/>
      <c r="E732" s="184" t="s">
        <v>2987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/>
      <c r="E734" s="184" t="s">
        <v>2991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/>
      <c r="G735" s="186" t="s">
        <v>206</v>
      </c>
      <c r="H735" s="191" t="s">
        <v>2992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2697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75" t="s">
        <v>3009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I66" sqref="I6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3216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3048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3049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3050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3051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3052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3053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3054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3055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3056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3057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3058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3059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3060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3061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3062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3063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3064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3065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3066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3067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3068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3069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3070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3071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3072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3073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3074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3075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3076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3077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3078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 x14ac:dyDescent="0.25">
      <c r="A2" s="21" cm="1">
        <f t="array" aca="1" ref="A2:J13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3073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115</v>
      </c>
      <c r="T54">
        <f ca="1"/>
        <v>110</v>
      </c>
      <c r="X54" t="s">
        <v>2686</v>
      </c>
      <c r="Y54" t="s">
        <v>3075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117</v>
      </c>
      <c r="T55">
        <f ca="1"/>
        <v>115</v>
      </c>
      <c r="X55" t="s">
        <v>2785</v>
      </c>
      <c r="Y55" t="s">
        <v>3062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118</v>
      </c>
      <c r="T56">
        <f ca="1"/>
        <v>117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120</v>
      </c>
      <c r="T57">
        <f ca="1"/>
        <v>118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122</v>
      </c>
      <c r="T58">
        <f ca="1"/>
        <v>120</v>
      </c>
      <c r="X58" t="s">
        <v>2750</v>
      </c>
      <c r="Y58" s="110" t="s">
        <v>3069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125</v>
      </c>
      <c r="T59">
        <f ca="1"/>
        <v>122</v>
      </c>
      <c r="X59" t="s">
        <v>2750</v>
      </c>
      <c r="Y59" t="s">
        <v>3068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126</v>
      </c>
      <c r="T60">
        <f ca="1"/>
        <v>125</v>
      </c>
      <c r="X60" t="s">
        <v>2750</v>
      </c>
      <c r="Y60" t="s">
        <v>3067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128</v>
      </c>
      <c r="T61">
        <f ca="1"/>
        <v>126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129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130</v>
      </c>
      <c r="T63">
        <f ca="1"/>
        <v>129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132</v>
      </c>
      <c r="T64">
        <f ca="1"/>
        <v>130</v>
      </c>
      <c r="X64" t="s">
        <v>2702</v>
      </c>
      <c r="Y64" t="s">
        <v>3059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3057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Adriana Cuoco Portugal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Denise Duarte Guirra Kuhlmann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0.19999999999999998</v>
      </c>
      <c r="J111">
        <f ca="1"/>
        <v>4.2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Cinthia Thais de Carvalho Luz Thomazi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Adriana Cuoco Portugal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Fernanda Viana de Souza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Denise Duarte Guirra Kuhlmann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Priscila Nolasco de Oliveira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2026-022</v>
      </c>
      <c r="C117" t="str">
        <f ca="1"/>
        <v>Realizado</v>
      </c>
      <c r="D117" t="str">
        <f ca="1"/>
        <v>UniTCDF: Ciências Contábeis</v>
      </c>
      <c r="E117">
        <f ca="1"/>
        <v>3</v>
      </c>
      <c r="F117" t="str">
        <f ca="1"/>
        <v>Fernanda Viana de Souza</v>
      </c>
      <c r="G117">
        <f ca="1"/>
        <v>2</v>
      </c>
      <c r="H117">
        <f ca="1"/>
        <v>3</v>
      </c>
      <c r="I117">
        <f ca="1"/>
        <v>0.9</v>
      </c>
      <c r="J117">
        <f ca="1"/>
        <v>3.9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Túllio Herbeth Teixeira Moraes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2026-029</v>
      </c>
      <c r="C119" t="str">
        <f ca="1"/>
        <v>Realizado</v>
      </c>
      <c r="D119" t="str">
        <f ca="1"/>
        <v>UniTCDF: TCDF e a Fiscalização de Obras</v>
      </c>
      <c r="E119">
        <f ca="1"/>
        <v>4</v>
      </c>
      <c r="F119" t="str">
        <f ca="1"/>
        <v>Adriana Cuoco Portugal</v>
      </c>
      <c r="G119">
        <f ca="1"/>
        <v>1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2026-069</v>
      </c>
      <c r="C120" t="str">
        <f ca="1"/>
        <v>Realizado</v>
      </c>
      <c r="D120" t="str">
        <f ca="1"/>
        <v xml:space="preserve">UniTCDF: Gestão Pública </v>
      </c>
      <c r="E120">
        <f ca="1"/>
        <v>3</v>
      </c>
      <c r="F120" t="str">
        <f ca="1"/>
        <v>Fernanda Viana de Souza</v>
      </c>
      <c r="G120">
        <f ca="1"/>
        <v>2</v>
      </c>
      <c r="H120">
        <f ca="1"/>
        <v>3</v>
      </c>
      <c r="I120">
        <f ca="1"/>
        <v>0.89999999999999991</v>
      </c>
      <c r="J120">
        <f ca="1"/>
        <v>3.9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Túllio Herbeth Teixeira Moraes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2026-072</v>
      </c>
      <c r="C122" t="str">
        <f ca="1"/>
        <v>A realizar</v>
      </c>
      <c r="D122" t="str">
        <f ca="1"/>
        <v>UniTCDF: Gestão Pública e Responsabilidade Fiscal (IESB)</v>
      </c>
      <c r="E122">
        <f ca="1"/>
        <v>3</v>
      </c>
      <c r="F122" t="str">
        <f ca="1"/>
        <v>Fernanda Viana de Souza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Túllio Herbeth Teixeira Moraes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2026-079</v>
      </c>
      <c r="C124" t="str">
        <f ca="1"/>
        <v>Realizado</v>
      </c>
      <c r="D124" t="str">
        <f ca="1"/>
        <v>Café e Tertúlia: Gincana dos Neurotransmissores</v>
      </c>
      <c r="E124">
        <f ca="1"/>
        <v>2</v>
      </c>
      <c r="F124" t="str">
        <f ca="1"/>
        <v>Isac Mendes Caixeta de Pamplona Araújo</v>
      </c>
      <c r="G124">
        <f ca="1"/>
        <v>3</v>
      </c>
      <c r="H124">
        <f ca="1"/>
        <v>2</v>
      </c>
      <c r="I124">
        <f ca="1"/>
        <v>0.6</v>
      </c>
      <c r="J124">
        <f ca="1"/>
        <v>2.6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Valéria Feitoza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Cinthia Thais de Carvalho Luz Thomazi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2026-081</v>
      </c>
      <c r="C127" t="str">
        <f ca="1"/>
        <v>A realizar</v>
      </c>
      <c r="D127" t="str">
        <f ca="1"/>
        <v>Contratações de TIC com base na jurisprudência do TCDF - SGDI</v>
      </c>
      <c r="E127">
        <f ca="1"/>
        <v>8</v>
      </c>
      <c r="F127" t="str">
        <f ca="1"/>
        <v>Felipe da Costa Malaquias</v>
      </c>
      <c r="G127">
        <f ca="1"/>
        <v>1</v>
      </c>
      <c r="H127">
        <f ca="1"/>
        <v>8</v>
      </c>
      <c r="I127">
        <f ca="1"/>
        <v>2.4</v>
      </c>
      <c r="J127">
        <f ca="1"/>
        <v>10.4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2026-082</v>
      </c>
      <c r="C128" t="str">
        <f ca="1"/>
        <v>A realizar</v>
      </c>
      <c r="D128" t="str">
        <f ca="1"/>
        <v>Curso de formação para gestores e fiscais de contrato nas unidades hospitalares – Turma 4</v>
      </c>
      <c r="E128">
        <f ca="1"/>
        <v>12</v>
      </c>
      <c r="F128" t="str">
        <f ca="1"/>
        <v>Luciana Alvim</v>
      </c>
      <c r="G128">
        <f ca="1"/>
        <v>2</v>
      </c>
      <c r="H128">
        <f ca="1"/>
        <v>12</v>
      </c>
      <c r="I128">
        <f ca="1"/>
        <v>3.5999999999999996</v>
      </c>
      <c r="J128">
        <f ca="1"/>
        <v>15.6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Tarsila Firmino Ely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2026-083</v>
      </c>
      <c r="C130" t="str">
        <f ca="1"/>
        <v>A realizar</v>
      </c>
      <c r="D130" t="str">
        <f ca="1"/>
        <v>Oficina básica de Power Automate</v>
      </c>
      <c r="E130">
        <f ca="1"/>
        <v>9</v>
      </c>
      <c r="F130" t="str">
        <f ca="1"/>
        <v>Josdeyvi Magalhães Russi</v>
      </c>
      <c r="G130">
        <f ca="1"/>
        <v>1</v>
      </c>
      <c r="H130">
        <f ca="1"/>
        <v>9</v>
      </c>
      <c r="I130">
        <f ca="1"/>
        <v>2.6999999999999997</v>
      </c>
      <c r="J130">
        <f ca="1"/>
        <v>11.7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2026-084</v>
      </c>
      <c r="C131" t="str">
        <f ca="1"/>
        <v>A realizar</v>
      </c>
      <c r="D131" t="str">
        <f ca="1"/>
        <v>Oficina EmentAI: o seu assistente de IA na elaboração de ementas jurisprudenciais</v>
      </c>
      <c r="E131">
        <f ca="1"/>
        <v>4</v>
      </c>
      <c r="F131" t="str">
        <f ca="1"/>
        <v>Caio Filipe</v>
      </c>
      <c r="G131">
        <f ca="1"/>
        <v>1</v>
      </c>
      <c r="H131">
        <f ca="1"/>
        <v>4</v>
      </c>
      <c r="I131">
        <f ca="1"/>
        <v>1.2</v>
      </c>
      <c r="J131">
        <f ca="1"/>
        <v>5.2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2026-085</v>
      </c>
      <c r="C132" t="str">
        <f ca="1"/>
        <v>A realizar</v>
      </c>
      <c r="D132" t="str">
        <f ca="1"/>
        <v xml:space="preserve">Introdução à Engenharia de Prompt – T5 </v>
      </c>
      <c r="E132">
        <f ca="1"/>
        <v>8</v>
      </c>
      <c r="F132" t="str">
        <f ca="1"/>
        <v>Arthur Wú</v>
      </c>
      <c r="G132">
        <f ca="1"/>
        <v>2</v>
      </c>
      <c r="H132">
        <f ca="1"/>
        <v>8</v>
      </c>
      <c r="I132">
        <f ca="1"/>
        <v>2.4</v>
      </c>
      <c r="J132">
        <f ca="1"/>
        <v>10.4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Gustavo Takahashi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2026-086</v>
      </c>
      <c r="C134" t="str">
        <f ca="1"/>
        <v>A realizar</v>
      </c>
      <c r="D134" t="str">
        <f ca="1"/>
        <v>Introdução à Engenharia de Prompt – T6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R135" t="str">
        <f ca="1"/>
        <v/>
      </c>
      <c r="S135" t="str">
        <f ca="1"/>
        <v/>
      </c>
    </row>
    <row r="136" spans="1:19" x14ac:dyDescent="0.25"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3108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3109</v>
      </c>
      <c r="B4" s="233"/>
      <c r="D4" s="234" t="s">
        <v>3110</v>
      </c>
      <c r="E4" s="235"/>
      <c r="G4" s="45" t="s">
        <v>3111</v>
      </c>
    </row>
    <row r="5" spans="1:7" ht="54.95" customHeight="1" thickBot="1" x14ac:dyDescent="0.75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3113</v>
      </c>
      <c r="B8" s="229"/>
      <c r="D8" s="229" t="s">
        <v>3114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 x14ac:dyDescent="0.3">
      <c r="A30" s="229" t="s">
        <v>3123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 x14ac:dyDescent="0.25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 x14ac:dyDescent="0.25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 x14ac:dyDescent="0.25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 x14ac:dyDescent="0.25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 x14ac:dyDescent="0.25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 x14ac:dyDescent="0.25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 x14ac:dyDescent="0.25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 x14ac:dyDescent="0.25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 x14ac:dyDescent="0.25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 x14ac:dyDescent="0.25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 x14ac:dyDescent="0.25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 x14ac:dyDescent="0.25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 x14ac:dyDescent="0.25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 x14ac:dyDescent="0.25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 x14ac:dyDescent="0.25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 x14ac:dyDescent="0.25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 x14ac:dyDescent="0.25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 x14ac:dyDescent="0.25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 x14ac:dyDescent="0.25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 x14ac:dyDescent="0.25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 x14ac:dyDescent="0.25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 x14ac:dyDescent="0.25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3174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3175</v>
      </c>
    </row>
    <row r="4" spans="1:8" ht="21.95" customHeight="1" x14ac:dyDescent="0.25">
      <c r="A4" s="237" t="s">
        <v>3176</v>
      </c>
      <c r="B4" s="238"/>
      <c r="D4" s="237" t="s">
        <v>3177</v>
      </c>
      <c r="E4" s="238"/>
      <c r="G4" s="237" t="s">
        <v>3178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3184</v>
      </c>
      <c r="B1" s="242"/>
      <c r="C1" s="242"/>
      <c r="D1" s="242"/>
      <c r="E1" s="242"/>
      <c r="F1" s="242"/>
    </row>
    <row r="2" spans="1:7" x14ac:dyDescent="0.25">
      <c r="A2" s="243" t="s">
        <v>3185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</v>
      </c>
      <c r="B41" s="26">
        <f ca="1">IF($A41="","",SUMIFS('GECC 2026'!H$2:H$200,'GECC 2026'!F$2:F$200,$A41))</f>
        <v>8</v>
      </c>
      <c r="C41" s="26">
        <f ca="1">IF($A41="","",SUMIFS('GECC 2026'!I$2:I$200,'GECC 2026'!F$2:F$200,$A41))</f>
        <v>2.4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10.4</v>
      </c>
      <c r="F41" s="24">
        <f ca="1">IF($A41="","",COUNTIFS('GECC 2026'!F$2:F$200,$A41))</f>
        <v>2</v>
      </c>
    </row>
    <row r="42" spans="1:6" x14ac:dyDescent="0.25">
      <c r="A42" t="str">
        <f ca="1"/>
        <v>Luiz Felipe Tenório de Lima Gondim</v>
      </c>
      <c r="B42" s="26">
        <f ca="1">IF($A42="","",SUMIFS('GECC 2026'!H$2:H$200,'GECC 2026'!F$2:F$200,$A42))</f>
        <v>4</v>
      </c>
      <c r="C42" s="26">
        <f ca="1">IF($A42="","",SUMIFS('GECC 2026'!I$2:I$200,'GECC 2026'!F$2:F$200,$A42))</f>
        <v>0.19999999999999998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4.2</v>
      </c>
      <c r="F42" s="24">
        <f ca="1">IF($A42="","",COUNTIFS('GECC 2026'!F$2:F$200,$A42))</f>
        <v>1</v>
      </c>
    </row>
    <row r="43" spans="1:6" x14ac:dyDescent="0.25">
      <c r="A43" t="str">
        <f ca="1"/>
        <v>Marcelo Bálbio Moraes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1.44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13.440000000000001</v>
      </c>
      <c r="F44" s="24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16</v>
      </c>
      <c r="E46" s="93">
        <f ca="1">IF($A46="","",SUMIFS('GECC 2026'!J$2:J$200,'GECC 2026'!F$2:F$200,$A46)+SUMIFS('GECC 2026'!$AE$3:$AE$32,'GECC 2026'!$AD$3:$AD$32,$A46))</f>
        <v>16</v>
      </c>
      <c r="F46" s="24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6">
        <f ca="1">IF($A47="","",SUMIFS('GECC 2026'!H$2:H$200,'GECC 2026'!F$2:F$200,$A47))</f>
        <v>0</v>
      </c>
      <c r="C47" s="26">
        <f ca="1">IF($A47="","",SUMIFS('GECC 2026'!I$2:I$200,'GECC 2026'!F$2:F$200,$A47))</f>
        <v>0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0</v>
      </c>
      <c r="F47" s="24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6">
        <f ca="1">IF($A48="","",SUMIFS('GECC 2026'!H$2:H$200,'GECC 2026'!F$2:F$200,$A48))</f>
        <v>20</v>
      </c>
      <c r="C48" s="26">
        <f ca="1">IF($A48="","",SUMIFS('GECC 2026'!I$2:I$200,'GECC 2026'!F$2:F$200,$A48))</f>
        <v>6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26</v>
      </c>
      <c r="F48" s="24">
        <f ca="1">IF($A48="","",COUNTIFS('GECC 2026'!F$2:F$200,$A48))</f>
        <v>5</v>
      </c>
    </row>
    <row r="49" spans="1:6" x14ac:dyDescent="0.25">
      <c r="A49" t="str">
        <f ca="1"/>
        <v>Reinaldo Alencar</v>
      </c>
      <c r="B49" s="26">
        <f ca="1">IF($A49="","",SUMIFS('GECC 2026'!H$2:H$200,'GECC 2026'!F$2:F$200,$A49))</f>
        <v>48</v>
      </c>
      <c r="C49" s="26">
        <f ca="1">IF($A49="","",SUMIFS('GECC 2026'!I$2:I$200,'GECC 2026'!F$2:F$200,$A49))</f>
        <v>7.1999999999999993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55.2</v>
      </c>
      <c r="F49" s="24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6">
        <f ca="1">IF($A50="","",SUMIFS('GECC 2026'!H$2:H$200,'GECC 2026'!F$2:F$200,$A50))</f>
        <v>4</v>
      </c>
      <c r="C50" s="26">
        <f ca="1">IF($A50="","",SUMIFS('GECC 2026'!I$2:I$200,'GECC 2026'!F$2:F$200,$A50))</f>
        <v>1.2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5.2</v>
      </c>
      <c r="F50" s="24">
        <f ca="1">IF($A50="","",COUNTIFS('GECC 2026'!F$2:F$200,$A50))</f>
        <v>1</v>
      </c>
    </row>
    <row r="51" spans="1:6" x14ac:dyDescent="0.25">
      <c r="A51" t="str">
        <f ca="1"/>
        <v>Rogério Ribeiro</v>
      </c>
      <c r="B51" s="26">
        <f ca="1">IF($A51="","",SUMIFS('GECC 2026'!H$2:H$200,'GECC 2026'!F$2:F$200,$A51))</f>
        <v>48</v>
      </c>
      <c r="C51" s="26">
        <f ca="1">IF($A51="","",SUMIFS('GECC 2026'!I$2:I$200,'GECC 2026'!F$2:F$200,$A51))</f>
        <v>7.1999999999999993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55.2</v>
      </c>
      <c r="F51" s="24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6">
        <f ca="1">IF($A52="","",SUMIFS('GECC 2026'!H$2:H$200,'GECC 2026'!F$2:F$200,$A52))</f>
        <v>24</v>
      </c>
      <c r="C52" s="26">
        <f ca="1">IF($A52="","",SUMIFS('GECC 2026'!I$2:I$200,'GECC 2026'!F$2:F$200,$A52))</f>
        <v>3.6</v>
      </c>
      <c r="D52" s="101">
        <f ca="1">IF($A52="","",SUMIFS('GECC 2026'!$AE$3:$AE$32,'GECC 2026'!$AD$3:$AD$32,$A52))</f>
        <v>16</v>
      </c>
      <c r="E52" s="93">
        <f ca="1">IF($A52="","",SUMIFS('GECC 2026'!J$2:J$200,'GECC 2026'!F$2:F$200,$A52)+SUMIFS('GECC 2026'!$AE$3:$AE$32,'GECC 2026'!$AD$3:$AD$32,$A52))</f>
        <v>43.6</v>
      </c>
      <c r="F52" s="24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6">
        <f ca="1">IF($A53="","",SUMIFS('GECC 2026'!H$2:H$200,'GECC 2026'!F$2:F$200,$A53))</f>
        <v>8</v>
      </c>
      <c r="C53" s="26">
        <f ca="1">IF($A53="","",SUMIFS('GECC 2026'!I$2:I$200,'GECC 2026'!F$2:F$200,$A53))</f>
        <v>2.4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10.4</v>
      </c>
      <c r="F53" s="24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6">
        <f ca="1">IF($A54="","",SUMIFS('GECC 2026'!H$2:H$200,'GECC 2026'!F$2:F$200,$A54))</f>
        <v>0</v>
      </c>
      <c r="C54" s="26">
        <f ca="1">IF($A54="","",SUMIFS('GECC 2026'!I$2:I$200,'GECC 2026'!F$2:F$200,$A54))</f>
        <v>0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0</v>
      </c>
      <c r="F54" s="24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6">
        <f ca="1">IF($A55="","",SUMIFS('GECC 2026'!H$2:H$200,'GECC 2026'!F$2:F$200,$A55))</f>
        <v>21</v>
      </c>
      <c r="C55" s="26">
        <f ca="1">IF($A55="","",SUMIFS('GECC 2026'!I$2:I$200,'GECC 2026'!F$2:F$200,$A55))</f>
        <v>6.3000000000000007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27.299999999999997</v>
      </c>
      <c r="F55" s="24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6">
        <f ca="1">IF($A56="","",SUMIFS('GECC 2026'!H$2:H$200,'GECC 2026'!F$2:F$200,$A56))</f>
        <v>88</v>
      </c>
      <c r="C56" s="26">
        <f ca="1">IF($A56="","",SUMIFS('GECC 2026'!I$2:I$200,'GECC 2026'!F$2:F$200,$A56))</f>
        <v>83.6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171.6</v>
      </c>
      <c r="F56" s="24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6">
        <f ca="1">IF($A58="","",SUMIFS('GECC 2026'!H$2:H$200,'GECC 2026'!F$2:F$200,$A58))</f>
        <v>9</v>
      </c>
      <c r="C58" s="26">
        <f ca="1">IF($A58="","",SUMIFS('GECC 2026'!I$2:I$200,'GECC 2026'!F$2:F$200,$A58))</f>
        <v>2.6999999999999997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11.7</v>
      </c>
      <c r="F58" s="24">
        <f ca="1">IF($A58="","",COUNTIFS('GECC 2026'!F$2:F$200,$A58))</f>
        <v>3</v>
      </c>
    </row>
    <row r="59" spans="1:6" x14ac:dyDescent="0.25">
      <c r="A59" t="str">
        <f ca="1"/>
        <v>Valéria Feitoza</v>
      </c>
      <c r="B59" s="26">
        <f ca="1">IF($A59="","",SUMIFS('GECC 2026'!H$2:H$200,'GECC 2026'!F$2:F$200,$A59))</f>
        <v>2</v>
      </c>
      <c r="C59" s="26">
        <f ca="1">IF($A59="","",SUMIFS('GECC 2026'!I$2:I$200,'GECC 2026'!F$2:F$200,$A59))</f>
        <v>0.6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2.6</v>
      </c>
      <c r="F59" s="24">
        <f ca="1">IF($A59="","",COUNTIFS('GECC 2026'!F$2:F$200,$A59))</f>
        <v>2</v>
      </c>
    </row>
    <row r="60" spans="1:6" x14ac:dyDescent="0.25">
      <c r="A60" t="str">
        <f ca="1"/>
        <v>Wibys Pereira</v>
      </c>
      <c r="B60" s="26">
        <f ca="1">IF($A60="","",SUMIFS('GECC 2026'!H$2:H$200,'GECC 2026'!F$2:F$200,$A60))</f>
        <v>4</v>
      </c>
      <c r="C60" s="26">
        <f ca="1">IF($A60="","",SUMIFS('GECC 2026'!I$2:I$200,'GECC 2026'!F$2:F$200,$A60))</f>
        <v>1.2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5.2</v>
      </c>
      <c r="F60" s="24">
        <f ca="1">IF($A60="","",COUNTIFS('GECC 2026'!F$2:F$200,$A60))</f>
        <v>1</v>
      </c>
    </row>
    <row r="61" spans="1:6" x14ac:dyDescent="0.25">
      <c r="B61" s="26">
        <f ca="1">IF($A61="","",SUMIFS('GECC 2026'!H$2:H$200,'GECC 2026'!F$2:F$200,$A61))</f>
        <v>8</v>
      </c>
      <c r="C61" s="26">
        <f ca="1">IF($A61="","",SUMIFS('GECC 2026'!I$2:I$200,'GECC 2026'!F$2:F$200,$A61))</f>
        <v>2.4</v>
      </c>
      <c r="D61" s="101">
        <f ca="1">IF($A61="","",SUMIFS('GECC 2026'!$AE$3:$AE$32,'GECC 2026'!$AD$3:$AD$32,$A61))</f>
        <v>0</v>
      </c>
      <c r="E61" s="93">
        <f ca="1">IF($A61="","",SUMIFS('GECC 2026'!J$2:J$200,'GECC 2026'!F$2:F$200,$A61)+SUMIFS('GECC 2026'!$AE$3:$AE$32,'GECC 2026'!$AD$3:$AD$32,$A61))</f>
        <v>10.4</v>
      </c>
      <c r="F61" s="24">
        <f ca="1">IF($A61="","",COUNTIFS('GECC 2026'!F$2:F$200,$A61))</f>
        <v>2</v>
      </c>
    </row>
    <row r="62" spans="1:6" x14ac:dyDescent="0.25">
      <c r="B62" s="26" t="str">
        <f ca="1">IF($A62="","",SUMIFS('GECC 2026'!H$2:H$200,'GECC 2026'!F$2:F$200,$A62))</f>
        <v/>
      </c>
      <c r="C62" s="26" t="str">
        <f ca="1"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 ca="1">IF($A62="","",SUMIFS('GECC 2026'!J$2:J$200,'GECC 2026'!F$2:F$200,$A62)+SUMIFS('GECC 2026'!$AE$3:$AE$32,'GECC 2026'!$AD$3:$AD$32,$A62))</f>
        <v/>
      </c>
      <c r="F62" s="24" t="str">
        <f ca="1">IF($A62="","",COUNTIFS('GECC 2026'!F$2:F$200,$A62))</f>
        <v/>
      </c>
    </row>
    <row r="63" spans="1:6" x14ac:dyDescent="0.25">
      <c r="B63" s="26" t="str">
        <f ca="1">IF($A63="","",SUMIFS('GECC 2026'!H$2:H$200,'GECC 2026'!F$2:F$200,$A63))</f>
        <v/>
      </c>
      <c r="C63" s="26" t="str">
        <f ca="1"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 ca="1">IF($A63="","",SUMIFS('GECC 2026'!J$2:J$200,'GECC 2026'!F$2:F$200,$A63)+SUMIFS('GECC 2026'!$AE$3:$AE$32,'GECC 2026'!$AD$3:$AD$32,$A63))</f>
        <v/>
      </c>
      <c r="F63" s="24" t="str">
        <f ca="1">IF($A63="","",COUNTIFS('GECC 2026'!F$2:F$200,$A63))</f>
        <v/>
      </c>
    </row>
    <row r="64" spans="1:6" x14ac:dyDescent="0.25">
      <c r="B64" s="26" t="str">
        <f ca="1">IF($A64="","",SUMIFS('GECC 2026'!H$2:H$200,'GECC 2026'!F$2:F$200,$A64))</f>
        <v/>
      </c>
      <c r="C64" s="26" t="str">
        <f ca="1"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 ca="1">IF($A64="","",SUMIFS('GECC 2026'!J$2:J$200,'GECC 2026'!F$2:F$200,$A64)+SUMIFS('GECC 2026'!$AE$3:$AE$32,'GECC 2026'!$AD$3:$AD$32,$A64))</f>
        <v/>
      </c>
      <c r="F64" s="24" t="str">
        <f ca="1">IF($A64="","",COUNTIFS('GECC 2026'!F$2:F$200,$A64))</f>
        <v/>
      </c>
    </row>
    <row r="65" spans="2:6" x14ac:dyDescent="0.25">
      <c r="B65" s="26" t="str">
        <f ca="1">IF($A65="","",SUMIFS('GECC 2026'!H$2:H$200,'GECC 2026'!F$2:F$200,$A65))</f>
        <v/>
      </c>
      <c r="C65" s="26" t="str">
        <f ca="1"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 ca="1">IF($A65="","",SUMIFS('GECC 2026'!J$2:J$200,'GECC 2026'!F$2:F$200,$A65)+SUMIFS('GECC 2026'!$AE$3:$AE$32,'GECC 2026'!$AD$3:$AD$32,$A65))</f>
        <v/>
      </c>
      <c r="F65" s="24" t="str">
        <f ca="1">IF($A65="","",COUNTIFS('GECC 2026'!F$2:F$200,$A65))</f>
        <v/>
      </c>
    </row>
    <row r="66" spans="2:6" x14ac:dyDescent="0.25">
      <c r="B66" s="26" t="str">
        <f ca="1">IF($A66="","",SUMIFS('GECC 2026'!H$2:H$200,'GECC 2026'!F$2:F$200,$A66))</f>
        <v/>
      </c>
      <c r="C66" s="26" t="str">
        <f ca="1"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 ca="1">IF($A66="","",SUMIFS('GECC 2026'!J$2:J$200,'GECC 2026'!F$2:F$200,$A66)+SUMIFS('GECC 2026'!$AE$3:$AE$32,'GECC 2026'!$AD$3:$AD$32,$A66))</f>
        <v/>
      </c>
      <c r="F66" s="24" t="str">
        <f ca="1">IF($A66="","",COUNTIFS('GECC 2026'!F$2:F$200,$A66))</f>
        <v/>
      </c>
    </row>
    <row r="67" spans="2:6" x14ac:dyDescent="0.25">
      <c r="B67" s="26" t="str">
        <f ca="1">IF($A67="","",SUMIFS('GECC 2026'!H$2:H$200,'GECC 2026'!F$2:F$200,$A67))</f>
        <v/>
      </c>
      <c r="C67" s="26" t="str">
        <f ca="1"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 ca="1">IF($A67="","",SUMIFS('GECC 2026'!J$2:J$200,'GECC 2026'!F$2:F$200,$A67)+SUMIFS('GECC 2026'!$AE$3:$AE$32,'GECC 2026'!$AD$3:$AD$32,$A67))</f>
        <v/>
      </c>
      <c r="F67" s="24" t="str">
        <f ca="1">IF($A67="","",COUNTIFS('GECC 2026'!F$2:F$200,$A67))</f>
        <v/>
      </c>
    </row>
    <row r="68" spans="2:6" x14ac:dyDescent="0.25">
      <c r="B68" s="26" t="str">
        <f ca="1">IF($A68="","",SUMIFS('GECC 2026'!H$2:H$200,'GECC 2026'!F$2:F$200,$A68))</f>
        <v/>
      </c>
      <c r="C68" s="26" t="str">
        <f ca="1"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 ca="1">IF($A68="","",SUMIFS('GECC 2026'!J$2:J$200,'GECC 2026'!F$2:F$200,$A68)+SUMIFS('GECC 2026'!$AE$3:$AE$32,'GECC 2026'!$AD$3:$AD$32,$A68))</f>
        <v/>
      </c>
      <c r="F68" s="24" t="str">
        <f ca="1">IF($A68="","",COUNTIFS('GECC 2026'!F$2:F$200,$A68))</f>
        <v/>
      </c>
    </row>
    <row r="69" spans="2:6" x14ac:dyDescent="0.25">
      <c r="B69" s="26" t="str">
        <f ca="1">IF($A69="","",SUMIFS('GECC 2026'!H$2:H$200,'GECC 2026'!F$2:F$200,$A69))</f>
        <v/>
      </c>
      <c r="C69" s="26" t="str">
        <f ca="1"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 ca="1">IF($A69="","",SUMIFS('GECC 2026'!J$2:J$200,'GECC 2026'!F$2:F$200,$A69)+SUMIFS('GECC 2026'!$AE$3:$AE$32,'GECC 2026'!$AD$3:$AD$32,$A69))</f>
        <v/>
      </c>
      <c r="F69" s="24" t="str">
        <f ca="1">IF($A69="","",COUNTIFS('GECC 2026'!F$2:F$200,$A69))</f>
        <v/>
      </c>
    </row>
    <row r="70" spans="2:6" x14ac:dyDescent="0.25">
      <c r="B70" s="26" t="str">
        <f ca="1">IF($A70="","",SUMIFS('GECC 2026'!H$2:H$200,'GECC 2026'!F$2:F$200,$A70))</f>
        <v/>
      </c>
      <c r="C70" s="26" t="str">
        <f ca="1"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 ca="1">IF($A70="","",SUMIFS('GECC 2026'!J$2:J$200,'GECC 2026'!F$2:F$200,$A70)+SUMIFS('GECC 2026'!$AE$3:$AE$32,'GECC 2026'!$AD$3:$AD$32,$A70))</f>
        <v/>
      </c>
      <c r="F70" s="24" t="str">
        <f ca="1">IF($A70="","",COUNTIFS('GECC 2026'!F$2:F$200,$A70))</f>
        <v/>
      </c>
    </row>
    <row r="71" spans="2:6" x14ac:dyDescent="0.25">
      <c r="B71" s="26" t="str">
        <f ca="1">IF($A71="","",SUMIFS('GECC 2026'!H$2:H$200,'GECC 2026'!F$2:F$200,$A71))</f>
        <v/>
      </c>
      <c r="C71" s="26" t="str">
        <f ca="1"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 ca="1">IF($A71="","",SUMIFS('GECC 2026'!J$2:J$200,'GECC 2026'!F$2:F$200,$A71)+SUMIFS('GECC 2026'!$AE$3:$AE$32,'GECC 2026'!$AD$3:$AD$32,$A71))</f>
        <v/>
      </c>
      <c r="F71" s="24" t="str">
        <f ca="1">IF($A71="","",COUNTIFS('GECC 2026'!F$2:F$200,$A71))</f>
        <v/>
      </c>
    </row>
    <row r="72" spans="2:6" x14ac:dyDescent="0.25">
      <c r="B72" s="26" t="str">
        <f ca="1">IF($A72="","",SUMIFS('GECC 2026'!H$2:H$200,'GECC 2026'!F$2:F$200,$A72))</f>
        <v/>
      </c>
      <c r="C72" s="26" t="str">
        <f ca="1"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 ca="1">IF($A72="","",SUMIFS('GECC 2026'!J$2:J$200,'GECC 2026'!F$2:F$200,$A72)+SUMIFS('GECC 2026'!$AE$3:$AE$32,'GECC 2026'!$AD$3:$AD$32,$A72))</f>
        <v/>
      </c>
      <c r="F72" s="24" t="str">
        <f ca="1">IF($A72="","",COUNTIFS('GECC 2026'!F$2:F$200,$A72))</f>
        <v/>
      </c>
    </row>
    <row r="73" spans="2:6" x14ac:dyDescent="0.25">
      <c r="B73" s="26" t="str">
        <f ca="1">IF($A73="","",SUMIFS('GECC 2026'!H$2:H$200,'GECC 2026'!F$2:F$200,$A73))</f>
        <v/>
      </c>
      <c r="C73" s="26" t="str">
        <f ca="1"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 ca="1">IF($A73="","",SUMIFS('GECC 2026'!J$2:J$200,'GECC 2026'!F$2:F$200,$A73)+SUMIFS('GECC 2026'!$AE$3:$AE$32,'GECC 2026'!$AD$3:$AD$32,$A73))</f>
        <v/>
      </c>
      <c r="F73" s="24" t="str">
        <f ca="1">IF($A73="","",COUNTIFS('GECC 2026'!F$2:F$200,$A73))</f>
        <v/>
      </c>
    </row>
    <row r="74" spans="2:6" x14ac:dyDescent="0.25">
      <c r="B74" s="26" t="str">
        <f ca="1">IF($A74="","",SUMIFS('GECC 2026'!H$2:H$200,'GECC 2026'!F$2:F$200,$A74))</f>
        <v/>
      </c>
      <c r="C74" s="26" t="str">
        <f ca="1"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 ca="1">IF($A74="","",SUMIFS('GECC 2026'!J$2:J$200,'GECC 2026'!F$2:F$200,$A74)+SUMIFS('GECC 2026'!$AE$3:$AE$32,'GECC 2026'!$AD$3:$AD$32,$A74))</f>
        <v/>
      </c>
      <c r="F74" s="24" t="str">
        <f ca="1">IF($A74="","",COUNTIFS('GECC 2026'!F$2:F$200,$A74))</f>
        <v/>
      </c>
    </row>
    <row r="75" spans="2:6" x14ac:dyDescent="0.25">
      <c r="B75" s="26" t="str">
        <f ca="1">IF($A75="","",SUMIFS('GECC 2026'!H$2:H$200,'GECC 2026'!F$2:F$200,$A75))</f>
        <v/>
      </c>
      <c r="C75" s="26" t="str">
        <f ca="1"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 ca="1">IF($A75="","",SUMIFS('GECC 2026'!J$2:J$200,'GECC 2026'!F$2:F$200,$A75)+SUMIFS('GECC 2026'!$AE$3:$AE$32,'GECC 2026'!$AD$3:$AD$32,$A75))</f>
        <v/>
      </c>
      <c r="F75" s="24" t="str">
        <f ca="1">IF($A75="","",COUNTIFS('GECC 2026'!F$2:F$200,$A75))</f>
        <v/>
      </c>
    </row>
    <row r="76" spans="2:6" x14ac:dyDescent="0.25">
      <c r="B76" s="26" t="str">
        <f ca="1">IF($A76="","",SUMIFS('GECC 2026'!H$2:H$200,'GECC 2026'!F$2:F$200,$A76))</f>
        <v/>
      </c>
      <c r="C76" s="26" t="str">
        <f ca="1"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 ca="1">IF($A76="","",SUMIFS('GECC 2026'!J$2:J$200,'GECC 2026'!F$2:F$200,$A76)+SUMIFS('GECC 2026'!$AE$3:$AE$32,'GECC 2026'!$AD$3:$AD$32,$A76))</f>
        <v/>
      </c>
      <c r="F76" s="24" t="str">
        <f ca="1">IF($A76="","",COUNTIFS('GECC 2026'!F$2:F$200,$A76))</f>
        <v/>
      </c>
    </row>
    <row r="77" spans="2:6" x14ac:dyDescent="0.25">
      <c r="B77" s="26" t="str">
        <f ca="1">IF($A77="","",SUMIFS('GECC 2026'!H$2:H$200,'GECC 2026'!F$2:F$200,$A77))</f>
        <v/>
      </c>
      <c r="C77" s="26" t="str">
        <f ca="1"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 ca="1">IF($A77="","",SUMIFS('GECC 2026'!J$2:J$200,'GECC 2026'!F$2:F$200,$A77)+SUMIFS('GECC 2026'!$AE$3:$AE$32,'GECC 2026'!$AD$3:$AD$32,$A77))</f>
        <v/>
      </c>
      <c r="F77" s="24" t="str">
        <f ca="1">IF($A77="","",COUNTIFS('GECC 2026'!F$2:F$200,$A77))</f>
        <v/>
      </c>
    </row>
    <row r="78" spans="2:6" x14ac:dyDescent="0.25">
      <c r="B78" s="26" t="str">
        <f ca="1">IF($A78="","",SUMIFS('GECC 2026'!H$2:H$200,'GECC 2026'!F$2:F$200,$A78))</f>
        <v/>
      </c>
      <c r="C78" s="26" t="str">
        <f ca="1"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 ca="1">IF($A78="","",SUMIFS('GECC 2026'!J$2:J$200,'GECC 2026'!F$2:F$200,$A78)+SUMIFS('GECC 2026'!$AE$3:$AE$32,'GECC 2026'!$AD$3:$AD$32,$A78))</f>
        <v/>
      </c>
      <c r="F78" s="24" t="str">
        <f ca="1">IF($A78="","",COUNTIFS('GECC 2026'!F$2:F$200,$A78))</f>
        <v/>
      </c>
    </row>
    <row r="79" spans="2:6" x14ac:dyDescent="0.25">
      <c r="B79" s="26" t="str">
        <f ca="1">IF($A79="","",SUMIFS('GECC 2026'!H$2:H$200,'GECC 2026'!F$2:F$200,$A79))</f>
        <v/>
      </c>
      <c r="C79" s="26" t="str">
        <f ca="1"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 ca="1">IF($A79="","",SUMIFS('GECC 2026'!J$2:J$200,'GECC 2026'!F$2:F$200,$A79)+SUMIFS('GECC 2026'!$AE$3:$AE$32,'GECC 2026'!$AD$3:$AD$32,$A79))</f>
        <v/>
      </c>
      <c r="F79" s="24" t="str">
        <f ca="1">IF($A79="","",COUNTIFS('GECC 2026'!F$2:F$200,$A79))</f>
        <v/>
      </c>
    </row>
    <row r="80" spans="2:6" x14ac:dyDescent="0.25">
      <c r="B80" s="26" t="str">
        <f ca="1">IF($A80="","",SUMIFS('GECC 2026'!H$2:H$200,'GECC 2026'!F$2:F$200,$A80))</f>
        <v/>
      </c>
      <c r="C80" s="26" t="str">
        <f ca="1"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 ca="1">IF($A80="","",SUMIFS('GECC 2026'!J$2:J$200,'GECC 2026'!F$2:F$200,$A80)+SUMIFS('GECC 2026'!$AE$3:$AE$32,'GECC 2026'!$AD$3:$AD$32,$A80))</f>
        <v/>
      </c>
      <c r="F80" s="24" t="str">
        <f ca="1">IF($A80="","",COUNTIFS('GECC 2026'!F$2:F$200,$A80))</f>
        <v/>
      </c>
    </row>
    <row r="81" spans="2:6" x14ac:dyDescent="0.25">
      <c r="B81" s="26" t="str">
        <f ca="1">IF($A81="","",SUMIFS('GECC 2026'!H$2:H$200,'GECC 2026'!F$2:F$200,$A81))</f>
        <v/>
      </c>
      <c r="C81" s="26" t="str">
        <f ca="1"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 ca="1">IF($A81="","",SUMIFS('GECC 2026'!J$2:J$200,'GECC 2026'!F$2:F$200,$A81)+SUMIFS('GECC 2026'!$AE$3:$AE$32,'GECC 2026'!$AD$3:$AD$32,$A81))</f>
        <v/>
      </c>
      <c r="F81" s="24" t="str">
        <f ca="1">IF($A81="","",COUNTIFS('GECC 2026'!F$2:F$200,$A81))</f>
        <v/>
      </c>
    </row>
    <row r="82" spans="2:6" x14ac:dyDescent="0.25">
      <c r="B82" s="26" t="str">
        <f ca="1">IF($A82="","",SUMIFS('GECC 2026'!H$2:H$200,'GECC 2026'!F$2:F$200,$A82))</f>
        <v/>
      </c>
      <c r="C82" s="26" t="str">
        <f ca="1"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 ca="1">IF($A82="","",SUMIFS('GECC 2026'!J$2:J$200,'GECC 2026'!F$2:F$200,$A82)+SUMIFS('GECC 2026'!$AE$3:$AE$32,'GECC 2026'!$AD$3:$AD$32,$A82))</f>
        <v/>
      </c>
      <c r="F82" s="24" t="str">
        <f ca="1">IF($A82="","",COUNTIFS('GECC 2026'!F$2:F$200,$A82))</f>
        <v/>
      </c>
    </row>
    <row r="83" spans="2:6" x14ac:dyDescent="0.25">
      <c r="B83" s="26" t="str">
        <f ca="1">IF($A83="","",SUMIFS('GECC 2026'!H$2:H$200,'GECC 2026'!F$2:F$200,$A83))</f>
        <v/>
      </c>
      <c r="C83" s="26" t="str">
        <f ca="1"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 ca="1">IF($A83="","",SUMIFS('GECC 2026'!J$2:J$200,'GECC 2026'!F$2:F$200,$A83)+SUMIFS('GECC 2026'!$AE$3:$AE$32,'GECC 2026'!$AD$3:$AD$32,$A83))</f>
        <v/>
      </c>
      <c r="F83" s="24" t="str">
        <f ca="1">IF($A83="","",COUNTIFS('GECC 2026'!F$2:F$200,$A83))</f>
        <v/>
      </c>
    </row>
    <row r="84" spans="2:6" x14ac:dyDescent="0.25">
      <c r="B84" s="26" t="str">
        <f ca="1">IF($A84="","",SUMIFS('GECC 2026'!H$2:H$200,'GECC 2026'!F$2:F$200,$A84))</f>
        <v/>
      </c>
      <c r="C84" s="26" t="str">
        <f ca="1"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 ca="1">IF($A84="","",SUMIFS('GECC 2026'!J$2:J$200,'GECC 2026'!F$2:F$200,$A84)+SUMIFS('GECC 2026'!$AE$3:$AE$32,'GECC 2026'!$AD$3:$AD$32,$A84))</f>
        <v/>
      </c>
      <c r="F84" s="24" t="str">
        <f ca="1">IF($A84="","",COUNTIFS('GECC 2026'!F$2:F$200,$A84))</f>
        <v/>
      </c>
    </row>
    <row r="85" spans="2:6" x14ac:dyDescent="0.25">
      <c r="B85" s="26" t="str">
        <f ca="1">IF($A85="","",SUMIFS('GECC 2026'!H$2:H$200,'GECC 2026'!F$2:F$200,$A85))</f>
        <v/>
      </c>
      <c r="C85" s="26" t="str">
        <f ca="1"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 ca="1">IF($A85="","",SUMIFS('GECC 2026'!J$2:J$200,'GECC 2026'!F$2:F$200,$A85)+SUMIFS('GECC 2026'!$AE$3:$AE$32,'GECC 2026'!$AD$3:$AD$32,$A85))</f>
        <v/>
      </c>
      <c r="F85" s="24" t="str">
        <f ca="1">IF($A85="","",COUNTIFS('GECC 2026'!F$2:F$200,$A85))</f>
        <v/>
      </c>
    </row>
    <row r="86" spans="2:6" x14ac:dyDescent="0.25">
      <c r="B86" s="26" t="str">
        <f ca="1">IF($A86="","",SUMIFS('GECC 2026'!H$2:H$200,'GECC 2026'!F$2:F$200,$A86))</f>
        <v/>
      </c>
      <c r="C86" s="26" t="str">
        <f ca="1"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 ca="1">IF($A86="","",SUMIFS('GECC 2026'!J$2:J$200,'GECC 2026'!F$2:F$200,$A86)+SUMIFS('GECC 2026'!$AE$3:$AE$32,'GECC 2026'!$AD$3:$AD$32,$A86))</f>
        <v/>
      </c>
      <c r="F86" s="24" t="str">
        <f ca="1">IF($A86="","",COUNTIFS('GECC 2026'!F$2:F$200,$A86))</f>
        <v/>
      </c>
    </row>
    <row r="87" spans="2:6" x14ac:dyDescent="0.25">
      <c r="B87" s="26" t="str">
        <f ca="1">IF($A87="","",SUMIFS('GECC 2026'!H$2:H$200,'GECC 2026'!F$2:F$200,$A87))</f>
        <v/>
      </c>
      <c r="C87" s="26" t="str">
        <f ca="1"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 ca="1">IF($A87="","",SUMIFS('GECC 2026'!J$2:J$200,'GECC 2026'!F$2:F$200,$A87)+SUMIFS('GECC 2026'!$AE$3:$AE$32,'GECC 2026'!$AD$3:$AD$32,$A87))</f>
        <v/>
      </c>
      <c r="F87" s="24" t="str">
        <f ca="1">IF($A87="","",COUNTIFS('GECC 2026'!F$2:F$200,$A87))</f>
        <v/>
      </c>
    </row>
    <row r="88" spans="2:6" x14ac:dyDescent="0.25">
      <c r="B88" s="26" t="str">
        <f ca="1">IF($A88="","",SUMIFS('GECC 2026'!H$2:H$200,'GECC 2026'!F$2:F$200,$A88))</f>
        <v/>
      </c>
      <c r="C88" s="26" t="str">
        <f ca="1"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 ca="1">IF($A88="","",SUMIFS('GECC 2026'!J$2:J$200,'GECC 2026'!F$2:F$200,$A88)+SUMIFS('GECC 2026'!$AE$3:$AE$32,'GECC 2026'!$AD$3:$AD$32,$A88))</f>
        <v/>
      </c>
      <c r="F88" s="24" t="str">
        <f ca="1">IF($A88="","",COUNTIFS('GECC 2026'!F$2:F$200,$A88))</f>
        <v/>
      </c>
    </row>
    <row r="89" spans="2:6" x14ac:dyDescent="0.25">
      <c r="B89" s="26" t="str">
        <f ca="1">IF($A89="","",SUMIFS('GECC 2026'!H$2:H$200,'GECC 2026'!F$2:F$200,$A89))</f>
        <v/>
      </c>
      <c r="C89" s="26" t="str">
        <f ca="1"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 ca="1">IF($A89="","",SUMIFS('GECC 2026'!J$2:J$200,'GECC 2026'!F$2:F$200,$A89)+SUMIFS('GECC 2026'!$AE$3:$AE$32,'GECC 2026'!$AD$3:$AD$32,$A89))</f>
        <v/>
      </c>
      <c r="F89" s="24" t="str">
        <f ca="1">IF($A89="","",COUNTIFS('GECC 2026'!F$2:F$200,$A89))</f>
        <v/>
      </c>
    </row>
    <row r="90" spans="2:6" x14ac:dyDescent="0.25">
      <c r="B90" s="26" t="str">
        <f ca="1">IF($A90="","",SUMIFS('GECC 2026'!H$2:H$200,'GECC 2026'!F$2:F$200,$A90))</f>
        <v/>
      </c>
      <c r="C90" s="26" t="str">
        <f ca="1"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 ca="1">IF($A90="","",SUMIFS('GECC 2026'!J$2:J$200,'GECC 2026'!F$2:F$200,$A90)+SUMIFS('GECC 2026'!$AE$3:$AE$32,'GECC 2026'!$AD$3:$AD$32,$A90))</f>
        <v/>
      </c>
      <c r="F90" s="24" t="str">
        <f ca="1">IF($A90="","",COUNTIFS('GECC 2026'!F$2:F$200,$A90))</f>
        <v/>
      </c>
    </row>
    <row r="91" spans="2:6" x14ac:dyDescent="0.25">
      <c r="B91" s="26" t="str">
        <f ca="1">IF($A91="","",SUMIFS('GECC 2026'!H$2:H$200,'GECC 2026'!F$2:F$200,$A91))</f>
        <v/>
      </c>
      <c r="C91" s="26" t="str">
        <f ca="1"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 ca="1">IF($A91="","",SUMIFS('GECC 2026'!J$2:J$200,'GECC 2026'!F$2:F$200,$A91)+SUMIFS('GECC 2026'!$AE$3:$AE$32,'GECC 2026'!$AD$3:$AD$32,$A91))</f>
        <v/>
      </c>
      <c r="F91" s="24" t="str">
        <f ca="1">IF($A91="","",COUNTIFS('GECC 2026'!F$2:F$200,$A91))</f>
        <v/>
      </c>
    </row>
    <row r="92" spans="2:6" x14ac:dyDescent="0.25">
      <c r="B92" s="26" t="str">
        <f ca="1">IF($A92="","",SUMIFS('GECC 2026'!H$2:H$200,'GECC 2026'!F$2:F$200,$A92))</f>
        <v/>
      </c>
      <c r="C92" s="26" t="str">
        <f ca="1"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 ca="1">IF($A92="","",SUMIFS('GECC 2026'!J$2:J$200,'GECC 2026'!F$2:F$200,$A92)+SUMIFS('GECC 2026'!$AE$3:$AE$32,'GECC 2026'!$AD$3:$AD$32,$A92))</f>
        <v/>
      </c>
      <c r="F92" s="24" t="str">
        <f ca="1">IF($A92="","",COUNTIFS('GECC 2026'!F$2:F$200,$A92))</f>
        <v/>
      </c>
    </row>
    <row r="93" spans="2:6" x14ac:dyDescent="0.25">
      <c r="B93" s="26" t="str">
        <f ca="1">IF($A93="","",SUMIFS('GECC 2026'!H$2:H$200,'GECC 2026'!F$2:F$200,$A93))</f>
        <v/>
      </c>
      <c r="C93" s="26" t="str">
        <f ca="1"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 ca="1">IF($A93="","",SUMIFS('GECC 2026'!J$2:J$200,'GECC 2026'!F$2:F$200,$A93)+SUMIFS('GECC 2026'!$AE$3:$AE$32,'GECC 2026'!$AD$3:$AD$32,$A93))</f>
        <v/>
      </c>
      <c r="F93" s="24" t="str">
        <f ca="1">IF($A93="","",COUNTIFS('GECC 2026'!F$2:F$200,$A93))</f>
        <v/>
      </c>
    </row>
    <row r="94" spans="2:6" x14ac:dyDescent="0.25">
      <c r="B94" s="26" t="str">
        <f ca="1">IF($A94="","",SUMIFS('GECC 2026'!H$2:H$200,'GECC 2026'!F$2:F$200,$A94))</f>
        <v/>
      </c>
      <c r="C94" s="26" t="str">
        <f ca="1"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 ca="1">IF($A94="","",SUMIFS('GECC 2026'!J$2:J$200,'GECC 2026'!F$2:F$200,$A94)+SUMIFS('GECC 2026'!$AE$3:$AE$32,'GECC 2026'!$AD$3:$AD$32,$A94))</f>
        <v/>
      </c>
      <c r="F94" s="24" t="str">
        <f ca="1">IF($A94="","",COUNTIFS('GECC 2026'!F$2:F$200,$A94))</f>
        <v/>
      </c>
    </row>
    <row r="95" spans="2:6" x14ac:dyDescent="0.25">
      <c r="B95" s="26" t="str">
        <f ca="1">IF($A95="","",SUMIFS('GECC 2026'!H$2:H$200,'GECC 2026'!F$2:F$200,$A95))</f>
        <v/>
      </c>
      <c r="C95" s="26" t="str">
        <f ca="1"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 ca="1">IF($A95="","",SUMIFS('GECC 2026'!J$2:J$200,'GECC 2026'!F$2:F$200,$A95)+SUMIFS('GECC 2026'!$AE$3:$AE$32,'GECC 2026'!$AD$3:$AD$32,$A95))</f>
        <v/>
      </c>
      <c r="F95" s="24" t="str">
        <f ca="1">IF($A95="","",COUNTIFS('GECC 2026'!F$2:F$200,$A95))</f>
        <v/>
      </c>
    </row>
    <row r="96" spans="2:6" x14ac:dyDescent="0.25">
      <c r="B96" s="26" t="str">
        <f ca="1">IF($A96="","",SUMIFS('GECC 2026'!H$2:H$200,'GECC 2026'!F$2:F$200,$A96))</f>
        <v/>
      </c>
      <c r="C96" s="26" t="str">
        <f ca="1"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 ca="1">IF($A96="","",SUMIFS('GECC 2026'!J$2:J$200,'GECC 2026'!F$2:F$200,$A96)+SUMIFS('GECC 2026'!$AE$3:$AE$32,'GECC 2026'!$AD$3:$AD$32,$A96))</f>
        <v/>
      </c>
      <c r="F96" s="24" t="str">
        <f ca="1">IF($A96="","",COUNTIFS('GECC 2026'!F$2:F$200,$A96))</f>
        <v/>
      </c>
    </row>
    <row r="97" spans="1:6" x14ac:dyDescent="0.25">
      <c r="B97" s="26" t="str">
        <f ca="1">IF($A97="","",SUMIFS('GECC 2026'!H$2:H$200,'GECC 2026'!F$2:F$200,$A97))</f>
        <v/>
      </c>
      <c r="C97" s="26" t="str">
        <f ca="1"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 ca="1">IF($A97="","",SUMIFS('GECC 2026'!J$2:J$200,'GECC 2026'!F$2:F$200,$A97)+SUMIFS('GECC 2026'!$AE$3:$AE$32,'GECC 2026'!$AD$3:$AD$32,$A97))</f>
        <v/>
      </c>
      <c r="F97" s="24" t="str">
        <f ca="1">IF($A97="","",COUNTIFS('GECC 2026'!F$2:F$200,$A97))</f>
        <v/>
      </c>
    </row>
    <row r="98" spans="1:6" x14ac:dyDescent="0.25">
      <c r="B98" s="26" t="str">
        <f ca="1">IF($A98="","",SUMIFS('GECC 2026'!H$2:H$200,'GECC 2026'!F$2:F$200,$A98))</f>
        <v/>
      </c>
      <c r="C98" s="26" t="str">
        <f ca="1"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 ca="1">IF($A98="","",SUMIFS('GECC 2026'!J$2:J$200,'GECC 2026'!F$2:F$200,$A98)+SUMIFS('GECC 2026'!$AE$3:$AE$32,'GECC 2026'!$AD$3:$AD$32,$A98))</f>
        <v/>
      </c>
      <c r="F98" s="24" t="str">
        <f ca="1">IF($A98="","",COUNTIFS('GECC 2026'!F$2:F$200,$A98))</f>
        <v/>
      </c>
    </row>
    <row r="99" spans="1:6" x14ac:dyDescent="0.25">
      <c r="B99" s="26" t="str">
        <f ca="1">IF($A99="","",SUMIFS('GECC 2026'!H$2:H$200,'GECC 2026'!F$2:F$200,$A99))</f>
        <v/>
      </c>
      <c r="C99" s="26" t="str">
        <f ca="1"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 ca="1">IF($A99="","",SUMIFS('GECC 2026'!J$2:J$200,'GECC 2026'!F$2:F$200,$A99)+SUMIFS('GECC 2026'!$AE$3:$AE$32,'GECC 2026'!$AD$3:$AD$32,$A99))</f>
        <v/>
      </c>
      <c r="F99" s="24" t="str">
        <f ca="1">IF($A99="","",COUNTIFS('GECC 2026'!F$2:F$200,$A99))</f>
        <v/>
      </c>
    </row>
    <row r="100" spans="1:6" x14ac:dyDescent="0.25">
      <c r="B100" s="26" t="str">
        <f ca="1">IF($A100="","",SUMIFS('GECC 2026'!H$2:H$200,'GECC 2026'!F$2:F$200,$A100))</f>
        <v/>
      </c>
      <c r="C100" s="26" t="str">
        <f ca="1"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 ca="1">IF($A100="","",SUMIFS('GECC 2026'!J$2:J$200,'GECC 2026'!F$2:F$200,$A100)+SUMIFS('GECC 2026'!$AE$3:$AE$32,'GECC 2026'!$AD$3:$AD$32,$A100))</f>
        <v/>
      </c>
      <c r="F100" s="24" t="str">
        <f ca="1"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 ca="1"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 ca="1"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 ca="1"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 ca="1">IF($A104="","",SUMIFS('GECC 2026'!J$2:J$200,'GECC 2026'!F$2:F$200,$A104)+SUMIFS('GECC 2026'!$AE$3:$AE$32,'GECC 2026'!$AD$3:$AD$32,$A104))</f>
        <v/>
      </c>
    </row>
    <row r="105" spans="1:6" x14ac:dyDescent="0.25">
      <c r="A105" s="94" t="s">
        <v>3122</v>
      </c>
      <c r="B105" s="95">
        <f ca="1">SUM(B5:B100)</f>
        <v>809</v>
      </c>
      <c r="C105" s="95">
        <f ca="1">SUM(C5:C100)</f>
        <v>362.03999999999991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 ca="1">IFERROR(INDEX(Tabela2[Instrutor],MATCH(B2,Tabela2[ID],0)),"")</f>
        <v>Arthur Wú; Gustavo Takahashi</v>
      </c>
      <c r="I2" t="str">
        <f t="shared" ref="I2:I33" ca="1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 ca="1">IFERROR(INDEX(Tabela2[Instrutor],MATCH(B3,Tabela2[ID],0)),"")</f>
        <v>Arthur Wú; Gustavo Takahashi</v>
      </c>
      <c r="I3" t="str">
        <f t="shared" ca="1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 ca="1"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ca="1" si="1">IF(Q3="",0,LEN(Q3)-LEN(SUBSTITUTE(Q3,";",""))+1)</f>
        <v>10</v>
      </c>
      <c r="S3">
        <f t="shared" ref="S3:S8" ca="1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 ca="1">IFERROR(INDEX(Tabela2[Instrutor],MATCH(B4,Tabela2[ID],0)),"")</f>
        <v>Arthur Wú; Gustavo Takahashi</v>
      </c>
      <c r="I4" t="str">
        <f t="shared" ca="1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 ca="1">IFERROR(INDEX(Tabela2[Instrutor],MATCH(N4,Tabela2[ID],0)),"")</f>
        <v>Cinthia Thais de Carvalho Luz Thomazi; Reinaldo Alencar; Rogério Ribeiro; Rômulo Miranda Alvim; Gabriel Heller</v>
      </c>
      <c r="R4">
        <f t="shared" ca="1" si="1"/>
        <v>5</v>
      </c>
      <c r="S4">
        <f t="shared" ca="1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 ca="1">IFERROR(INDEX(Tabela2[Instrutor],MATCH(B5,Tabela2[ID],0)),"")</f>
        <v>Arthur Wú; Gustavo Takahashi</v>
      </c>
      <c r="I5" t="str">
        <f t="shared" ca="1" si="0"/>
        <v>sim</v>
      </c>
      <c r="J5" t="s">
        <v>3200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 ca="1">IFERROR(INDEX(Tabela2[Instrutor],MATCH(N5,Tabela2[ID],0)),"")</f>
        <v>0</v>
      </c>
      <c r="R5">
        <f t="shared" ca="1" si="1"/>
        <v>1</v>
      </c>
      <c r="S5">
        <f t="shared" ca="1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 ca="1">IFERROR(INDEX(Tabela2[Instrutor],MATCH(B6,Tabela2[ID],0)),"")</f>
        <v>Paulo José Góes Daltro</v>
      </c>
      <c r="I6" t="str">
        <f t="shared" ca="1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 ca="1">IFERROR(INDEX(Tabela2[Instrutor],MATCH(N6,Tabela2[ID],0)),"")</f>
        <v>Arthur Wú; Gustavo Takahashi</v>
      </c>
      <c r="R6">
        <f t="shared" ca="1" si="1"/>
        <v>2</v>
      </c>
      <c r="S6">
        <f t="shared" ca="1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 ca="1"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ca="1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 ca="1">IFERROR(INDEX(Tabela2[Instrutor],MATCH(N7,Tabela2[ID],0)),"")</f>
        <v>Arthur Wú; Gustavo Takahashi</v>
      </c>
      <c r="R7">
        <f t="shared" ca="1" si="1"/>
        <v>2</v>
      </c>
      <c r="S7">
        <f t="shared" ca="1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 ca="1"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ca="1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 ca="1">IFERROR(INDEX(Tabela2[Instrutor],MATCH(N8,Tabela2[ID],0)),"")</f>
        <v>Davi Assunção Salvador Nery de Castro; David da Silva de Araújo; Hamilton de Jesus Lopes Neto</v>
      </c>
      <c r="R8">
        <f t="shared" ca="1" si="1"/>
        <v>3</v>
      </c>
      <c r="S8">
        <f t="shared" ca="1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 ca="1"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ca="1" si="0"/>
        <v>sim</v>
      </c>
      <c r="J9" t="s">
        <v>3200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 ca="1"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ca="1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 ca="1"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ca="1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 ca="1"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ca="1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 ca="1"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ca="1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 ca="1"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ca="1" si="0"/>
        <v>sim</v>
      </c>
      <c r="J14" t="s">
        <v>3200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 ca="1"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ca="1" si="0"/>
        <v>sim</v>
      </c>
      <c r="J15" t="s">
        <v>3200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 ca="1"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ca="1" si="0"/>
        <v>sim</v>
      </c>
      <c r="J16" t="s">
        <v>3200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 ca="1">IFERROR(INDEX(Tabela2[Instrutor],MATCH(B17,Tabela2[ID],0)),"")</f>
        <v>Cinthia Thais de Carvalho Luz Thomazi; Adriana Cuoco Portugal; Fernanda Viana de Souza; Denise Duarte Guirra Kuhlmann;  Priscila Nolasco de Oliveira; Luiz Felipe Tenório de Lima Gondim</v>
      </c>
      <c r="I17" t="str">
        <f t="shared" ca="1" si="0"/>
        <v>sim</v>
      </c>
      <c r="J17" t="s">
        <v>3200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 ca="1">IFERROR(INDEX(Tabela2[Instrutor],MATCH(B18,Tabela2[ID],0)),"")</f>
        <v>Cinthia Thais de Carvalho Luz Thomazi; Adriana Cuoco Portugal; Fernanda Viana de Souza; Denise Duarte Guirra Kuhlmann;  Priscila Nolasco de Oliveira; Luiz Felipe Tenório de Lima Gondim</v>
      </c>
      <c r="I18" t="str">
        <f t="shared" ca="1" si="0"/>
        <v>sim</v>
      </c>
      <c r="J18" t="s">
        <v>3200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 ca="1">IFERROR(INDEX(Tabela2[Instrutor],MATCH(B19,Tabela2[ID],0)),"")</f>
        <v>Cinthia Thais de Carvalho Luz Thomazi; Adriana Cuoco Portugal; Fernanda Viana de Souza; Denise Duarte Guirra Kuhlmann;  Priscila Nolasco de Oliveira; Luiz Felipe Tenório de Lima Gondim</v>
      </c>
      <c r="I19" t="str">
        <f t="shared" ca="1" si="0"/>
        <v>sim</v>
      </c>
      <c r="J19" t="s">
        <v>3200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 ca="1">IFERROR(INDEX(Tabela2[Instrutor],MATCH(B20,Tabela2[ID],0)),"")</f>
        <v>Cinthia Thais de Carvalho Luz Thomazi; Adriana Cuoco Portugal; Fernanda Viana de Souza; Denise Duarte Guirra Kuhlmann;  Priscila Nolasco de Oliveira; Luiz Felipe Tenório de Lima Gondim</v>
      </c>
      <c r="I20" t="str">
        <f t="shared" ca="1" si="0"/>
        <v>sim</v>
      </c>
      <c r="J20" t="s">
        <v>3200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 ca="1">IFERROR(INDEX(Tabela2[Instrutor],MATCH(B21,Tabela2[ID],0)),"")</f>
        <v>Cinthia Thais de Carvalho Luz Thomazi; Adriana Cuoco Portugal; Fernanda Viana de Souza; Denise Duarte Guirra Kuhlmann;  Priscila Nolasco de Oliveira; Luiz Felipe Tenório de Lima Gondim</v>
      </c>
      <c r="I21" t="str">
        <f t="shared" ca="1" si="0"/>
        <v>sim</v>
      </c>
      <c r="J21" t="s">
        <v>3200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 ca="1">IFERROR(INDEX(Tabela2[Instrutor],MATCH(B22,Tabela2[ID],0)),"")</f>
        <v>Arthur Wú; Gustavo Takahashi</v>
      </c>
      <c r="I22" t="str">
        <f t="shared" ca="1" si="0"/>
        <v>sim</v>
      </c>
      <c r="J22" t="s">
        <v>3200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 ca="1">IFERROR(INDEX(Tabela2[Instrutor],MATCH(B23,Tabela2[ID],0)),"")</f>
        <v>Arthur Wú; Gustavo Takahashi</v>
      </c>
      <c r="I23" t="str">
        <f t="shared" ca="1" si="0"/>
        <v>sim</v>
      </c>
      <c r="J23" t="s">
        <v>3200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 ca="1">IFERROR(INDEX(Tabela2[Instrutor],MATCH(B24,Tabela2[ID],0)),"")</f>
        <v>Arthur Wú; Gustavo Takahashi</v>
      </c>
      <c r="I24" t="str">
        <f t="shared" ca="1" si="0"/>
        <v>sim</v>
      </c>
      <c r="J24" t="s">
        <v>3200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 ca="1">IFERROR(INDEX(Tabela2[Instrutor],MATCH(B25,Tabela2[ID],0)),"")</f>
        <v>Arthur Wú; Gustavo Takahashi</v>
      </c>
      <c r="I25" t="str">
        <f t="shared" ca="1" si="0"/>
        <v>sim</v>
      </c>
      <c r="J25" t="s">
        <v>3200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 ca="1">IFERROR(INDEX(Tabela2[Instrutor],MATCH(B26,Tabela2[ID],0)),"")</f>
        <v>Paulo José Góes Daltro</v>
      </c>
      <c r="I26" t="str">
        <f t="shared" ca="1" si="0"/>
        <v>sim</v>
      </c>
      <c r="J26" t="s">
        <v>3200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 ca="1">IFERROR(INDEX(Tabela2[Instrutor],MATCH(B27,Tabela2[ID],0)),"")</f>
        <v>Davi Assunção Salvador Nery de Castro; David da Silva de Araújo; Hamilton de Jesus Lopes Neto</v>
      </c>
      <c r="I27" t="str">
        <f t="shared" ca="1" si="0"/>
        <v>sim</v>
      </c>
      <c r="J27" t="s">
        <v>3200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 ca="1">IFERROR(INDEX(Tabela2[Instrutor],MATCH(B28,Tabela2[ID],0)),"")</f>
        <v>Davi Assunção Salvador Nery de Castro; David da Silva de Araújo; Hamilton de Jesus Lopes Neto</v>
      </c>
      <c r="I28" t="str">
        <f t="shared" ca="1" si="0"/>
        <v>sim</v>
      </c>
      <c r="J28" t="s">
        <v>3200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 ca="1">IFERROR(INDEX(Tabela2[Instrutor],MATCH(B29,Tabela2[ID],0)),"")</f>
        <v>Davi Assunção Salvador Nery de Castro; David da Silva de Araújo; Hamilton de Jesus Lopes Neto</v>
      </c>
      <c r="I29" t="str">
        <f t="shared" ca="1" si="0"/>
        <v>sim</v>
      </c>
      <c r="J29" t="s">
        <v>3200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 ca="1">IFERROR(INDEX(Tabela2[Instrutor],MATCH(B30,Tabela2[ID],0)),"")</f>
        <v>Arthur Wú; Gustavo Takahashi</v>
      </c>
      <c r="I30" t="str">
        <f t="shared" ca="1" si="0"/>
        <v>sim</v>
      </c>
      <c r="J30" t="s">
        <v>3200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 ca="1">IFERROR(INDEX(Tabela2[Instrutor],MATCH(B31,Tabela2[ID],0)),"")</f>
        <v>Cinthia Thais de Carvalho Luz Thomazi; Reinaldo Alencar; Rogério Ribeiro; Rômulo Miranda Alvim; Gabriel Heller</v>
      </c>
      <c r="I31" t="str">
        <f t="shared" ca="1" si="0"/>
        <v>sim</v>
      </c>
      <c r="J31" t="s">
        <v>3200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 ca="1">IFERROR(INDEX(Tabela2[Instrutor],MATCH(B32,Tabela2[ID],0)),"")</f>
        <v>Cinthia Thais de Carvalho Luz Thomazi; Reinaldo Alencar; Rogério Ribeiro; Rômulo Miranda Alvim; Gabriel Heller</v>
      </c>
      <c r="I32" t="str">
        <f t="shared" ca="1" si="0"/>
        <v>sim</v>
      </c>
      <c r="J32" t="s">
        <v>3200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 ca="1">IFERROR(INDEX(Tabela2[Instrutor],MATCH(B33,Tabela2[ID],0)),"")</f>
        <v>Cinthia Thais de Carvalho Luz Thomazi; Reinaldo Alencar; Rogério Ribeiro; Rômulo Miranda Alvim; Gabriel Heller</v>
      </c>
      <c r="I33" t="str">
        <f t="shared" ca="1" si="0"/>
        <v>sim</v>
      </c>
      <c r="J33" t="s">
        <v>3200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 ca="1">IFERROR(INDEX(Tabela2[Instrutor],MATCH(B34,Tabela2[ID],0)),"")</f>
        <v>Cinthia Thais de Carvalho Luz Thomazi; Reinaldo Alencar; Rogério Ribeiro; Rômulo Miranda Alvim; Gabriel Heller</v>
      </c>
      <c r="I34" t="str">
        <f t="shared" ref="I34:I65" ca="1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 ca="1">IFERROR(INDEX(Tabela2[Instrutor],MATCH(B35,Tabela2[ID],0)),"")</f>
        <v>Cinthia Thais de Carvalho Luz Thomazi; Reinaldo Alencar; Rogério Ribeiro; Rômulo Miranda Alvim; Gabriel Heller</v>
      </c>
      <c r="I35" t="str">
        <f t="shared" ca="1" si="3"/>
        <v>sim</v>
      </c>
      <c r="J35" t="s">
        <v>3200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 ca="1">IFERROR(INDEX(Tabela2[Instrutor],MATCH(B36,Tabela2[ID],0)),"")</f>
        <v>Tarsila Firmino Ely; Luciana Alvim</v>
      </c>
      <c r="I36" t="str">
        <f t="shared" ca="1" si="3"/>
        <v>sim</v>
      </c>
      <c r="J36" t="s">
        <v>3200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 ca="1">IFERROR(INDEX(Tabela2[Instrutor],MATCH(B37,Tabela2[ID],0)),"")</f>
        <v>Tarsila Firmino Ely; Luciana Alvim</v>
      </c>
      <c r="I37" t="str">
        <f t="shared" ca="1" si="3"/>
        <v>sim</v>
      </c>
      <c r="J37" t="s">
        <v>3200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 ca="1">IFERROR(INDEX(Tabela2[Instrutor],MATCH(B38,Tabela2[ID],0)),"")</f>
        <v>Gabriel Heller</v>
      </c>
      <c r="I38" t="str">
        <f t="shared" ca="1" si="3"/>
        <v>sim</v>
      </c>
      <c r="J38" t="s">
        <v>3200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 ca="1">IFERROR(INDEX(Tabela2[Instrutor],MATCH(B39,Tabela2[ID],0)),"")</f>
        <v>Diversos</v>
      </c>
      <c r="I39" t="str">
        <f t="shared" ca="1" si="3"/>
        <v>sim</v>
      </c>
      <c r="J39" t="s">
        <v>3200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 ca="1">IFERROR(INDEX(Tabela2[Instrutor],MATCH(B40,Tabela2[ID],0)),"")</f>
        <v>Indio Artiaga do Brasil Rabelo; Leonardo de Melo</v>
      </c>
      <c r="I40" t="str">
        <f t="shared" ca="1" si="3"/>
        <v>sim</v>
      </c>
      <c r="J40" t="s">
        <v>3200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 ca="1">IFERROR(INDEX(Tabela2[Instrutor],MATCH(B41,Tabela2[ID],0)),"")</f>
        <v>Indio Artiaga do Brasil Rabelo; Leonardo de Melo</v>
      </c>
      <c r="I41" t="str">
        <f t="shared" ca="1" si="3"/>
        <v>sim</v>
      </c>
      <c r="J41" t="s">
        <v>3200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 ca="1">IFERROR(INDEX(Tabela2[Instrutor],MATCH(B42,Tabela2[ID],0)),"")</f>
        <v>Thiago Magalhães de Oliveira; Silvia Lima Damasceno Carvalho</v>
      </c>
      <c r="I42" t="str">
        <f t="shared" ca="1" si="3"/>
        <v>sim</v>
      </c>
      <c r="J42" t="s">
        <v>3200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 ca="1">IFERROR(INDEX(Tabela2[Instrutor],MATCH(B43,Tabela2[ID],0)),"")</f>
        <v>Thiago Magalhães de Oliveira; Silvia Lima Damasceno Carvalho</v>
      </c>
      <c r="I43" t="str">
        <f t="shared" ca="1" si="3"/>
        <v>sim</v>
      </c>
      <c r="J43" t="s">
        <v>3200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 ca="1"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ca="1" si="3"/>
        <v>sim</v>
      </c>
      <c r="J44" t="s">
        <v>3200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 ca="1"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ca="1" si="3"/>
        <v>sim</v>
      </c>
      <c r="J45" t="s">
        <v>3200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 ca="1"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ca="1" si="3"/>
        <v>sim</v>
      </c>
      <c r="J46" t="s">
        <v>3200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 ca="1"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ca="1" si="3"/>
        <v>sim</v>
      </c>
      <c r="J47" t="s">
        <v>3200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 ca="1"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ca="1" si="3"/>
        <v>sim</v>
      </c>
      <c r="J48" t="s">
        <v>3200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 ca="1"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ca="1" si="3"/>
        <v>sim</v>
      </c>
      <c r="J49" t="s">
        <v>3200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 ca="1"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ca="1" si="3"/>
        <v>NÃO</v>
      </c>
      <c r="J50" t="s">
        <v>3200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 ca="1"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ca="1" si="3"/>
        <v>sim</v>
      </c>
      <c r="J51" t="s">
        <v>3200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 ca="1"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ca="1" si="3"/>
        <v>sim</v>
      </c>
      <c r="J52" t="s">
        <v>3200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 ca="1"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ca="1" si="3"/>
        <v>sim</v>
      </c>
      <c r="J53" t="s">
        <v>3200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 ca="1">IFERROR(INDEX(Tabela2[Instrutor],MATCH(B54,Tabela2[ID],0)),"")</f>
        <v>Jamile Medeiros Fon; José Roberto Alcuri Júnior</v>
      </c>
      <c r="I54" t="str">
        <f t="shared" ca="1" si="3"/>
        <v>sim</v>
      </c>
      <c r="J54" t="s">
        <v>3200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 ca="1">IFERROR(INDEX(Tabela2[Instrutor],MATCH(B55,Tabela2[ID],0)),"")</f>
        <v>0</v>
      </c>
      <c r="I55" t="str">
        <f t="shared" ca="1" si="3"/>
        <v>NÃO</v>
      </c>
      <c r="J55" t="s">
        <v>3200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 ca="1">IFERROR(INDEX(Tabela2[Instrutor],MATCH(B56,Tabela2[ID],0)),"")</f>
        <v>Tarsila Firmino Ely; Sara Cristina Lins Ramos; Carina de Souza Mariuba Herthel; Elvis Aaron Teixeira dos Santos Lima</v>
      </c>
      <c r="I56" t="str">
        <f t="shared" ca="1" si="3"/>
        <v>sim</v>
      </c>
      <c r="J56" t="s">
        <v>3200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 ca="1">IFERROR(INDEX(Tabela2[Instrutor],MATCH(B57,Tabela2[ID],0)),"")</f>
        <v>Tarsila Firmino Ely; Sara Cristina Lins Ramos; Carina de Souza Mariuba Herthel; Elvis Aaron Teixeira dos Santos Lima</v>
      </c>
      <c r="I57" t="str">
        <f t="shared" ca="1" si="3"/>
        <v>sim</v>
      </c>
      <c r="J57" t="s">
        <v>3200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 ca="1">IFERROR(INDEX(Tabela2[Instrutor],MATCH(B58,Tabela2[ID],0)),"")</f>
        <v>Tarsila Firmino Ely; Sara Cristina Lins Ramos; Carina de Souza Mariuba Herthel; Elvis Aaron Teixeira dos Santos Lima</v>
      </c>
      <c r="I58" t="str">
        <f t="shared" ca="1" si="3"/>
        <v>sim</v>
      </c>
      <c r="J58" t="s">
        <v>3200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 ca="1">IFERROR(INDEX(Tabela2[Instrutor],MATCH(B59,Tabela2[ID],0)),"")</f>
        <v>Tarsila Firmino Ely; Sara Cristina Lins Ramos; Carina de Souza Mariuba Herthel; Elvis Aaron Teixeira dos Santos Lima</v>
      </c>
      <c r="I59" t="str">
        <f t="shared" ca="1" si="3"/>
        <v>sim</v>
      </c>
      <c r="J59" t="s">
        <v>3200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 ca="1">IFERROR(INDEX(Tabela2[Instrutor],MATCH(B60,Tabela2[ID],0)),"")</f>
        <v>Cinthia Thais de Carvalho Luz Thomazi; Gabriel Heller; Isac Mendes Caixeta de Pamplona Araújo; Valéria Feitoza</v>
      </c>
      <c r="I60" t="str">
        <f t="shared" ca="1" si="3"/>
        <v>sim</v>
      </c>
      <c r="J60" t="s">
        <v>3200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 ca="1">IFERROR(INDEX(Tabela2[Instrutor],MATCH(B61,Tabela2[ID],0)),"")</f>
        <v>Cinthia Thais de Carvalho Luz Thomazi; Gabriel Heller; Isac Mendes Caixeta de Pamplona Araújo; Valéria Feitoza</v>
      </c>
      <c r="I61" t="str">
        <f t="shared" ca="1" si="3"/>
        <v>sim</v>
      </c>
      <c r="J61" t="s">
        <v>3200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 ca="1">IFERROR(INDEX(Tabela2[Instrutor],MATCH(B62,Tabela2[ID],0)),"")</f>
        <v>Cinthia Thais de Carvalho Luz Thomazi; Gabriel Heller; Isac Mendes Caixeta de Pamplona Araújo; Valéria Feitoza</v>
      </c>
      <c r="I62" t="str">
        <f t="shared" ca="1" si="3"/>
        <v>sim</v>
      </c>
      <c r="J62" t="s">
        <v>3200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 ca="1">IFERROR(INDEX(Tabela2[Instrutor],MATCH(B63,Tabela2[ID],0)),"")</f>
        <v>Cinthia Thais de Carvalho Luz Thomazi; Gabriel Heller; Isac Mendes Caixeta de Pamplona Araújo; Valéria Feitoza</v>
      </c>
      <c r="I63" t="str">
        <f t="shared" ca="1" si="3"/>
        <v>sim</v>
      </c>
      <c r="J63" t="s">
        <v>3200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 ca="1">IFERROR(INDEX(Tabela2[Instrutor],MATCH(B64,Tabela2[ID],0)),"")</f>
        <v>Felipe da Costa Malaquias</v>
      </c>
      <c r="I64" t="str">
        <f t="shared" ca="1" si="3"/>
        <v>sim</v>
      </c>
      <c r="J64" t="s">
        <v>3200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 ca="1">IFERROR(INDEX(Tabela2[Instrutor],MATCH(B65,Tabela2[ID],0)),"")</f>
        <v>Felipe da Costa Malaquias</v>
      </c>
      <c r="I65" t="str">
        <f t="shared" ca="1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2026-08-28T17:50:00Z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