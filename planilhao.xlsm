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43" documentId="13_ncr:1_{6A2CC3E2-FAFB-4D8F-B284-5E8FB5045DFE}" xr6:coauthVersionLast="47" xr6:coauthVersionMax="47" xr10:uidLastSave="{00796770-698E-41F6-9FE6-5B8B5C3C347A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<sst xmlns="http://schemas.openxmlformats.org/spreadsheetml/2006/main" count="7367" uniqueCount="3238">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</sst>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8" activePane="bottomLeft" state="frozen"/>
      <selection pane="bottomLeft" activeCell="C665" sqref="C66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3041</v>
      </c>
      <c r="H1" s="168" t="s">
        <v>3042</v>
      </c>
    </row>
    <row r="2" spans="1:8">
      <c r="H2" s="167" t="s">
        <v>3043</v>
      </c>
    </row>
    <row r="3" spans="1:8">
      <c r="A3" t="s">
        <v>0</v>
      </c>
      <c r="B3" t="s">
        <v>19</v>
      </c>
      <c r="C3" t="s">
        <v>3044</v>
      </c>
      <c r="D3" t="s">
        <v>3045</v>
      </c>
      <c r="E3" t="s">
        <v>3046</v>
      </c>
      <c r="H3" s="167" t="s">
        <v>3047</v>
      </c>
    </row>
    <row r="4" spans="1:8">
      <c r="A4">
        <v>1</v>
      </c>
      <c r="B4" t="s">
        <v>3048</v>
      </c>
      <c r="D4" t="s">
        <v>3049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3050</v>
      </c>
    </row>
    <row r="5" spans="1:8">
      <c r="A5">
        <v>2</v>
      </c>
      <c r="B5" t="s">
        <v>2507</v>
      </c>
      <c r="D5" t="s">
        <v>3049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3051</v>
      </c>
    </row>
    <row r="6" spans="1:8">
      <c r="A6">
        <v>3</v>
      </c>
      <c r="B6" t="s">
        <v>1030</v>
      </c>
      <c r="D6" t="s">
        <v>3049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3052</v>
      </c>
      <c r="D7" t="s">
        <v>3049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3053</v>
      </c>
    </row>
    <row r="8" spans="1:8">
      <c r="A8">
        <v>5</v>
      </c>
      <c r="B8" t="s">
        <v>3054</v>
      </c>
      <c r="D8" t="s">
        <v>3049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3049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3049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3049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3049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3049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3049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3049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3049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3049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3049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3049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3049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3049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3049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3055</v>
      </c>
      <c r="D23" t="s">
        <v>3049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3049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3056</v>
      </c>
      <c r="D25" t="s">
        <v>3049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3057</v>
      </c>
      <c r="D26" t="s">
        <v>3049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3049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3049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3058</v>
      </c>
      <c r="D29" t="s">
        <v>3049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3049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3049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3049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3059</v>
      </c>
      <c r="D33" t="s">
        <v>3049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3060</v>
      </c>
      <c r="D34" t="s">
        <v>3049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3049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3049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3049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3061</v>
      </c>
      <c r="D38" t="s">
        <v>3049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3062</v>
      </c>
      <c r="D39" t="s">
        <v>3049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3049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3063</v>
      </c>
      <c r="D41" t="s">
        <v>3049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3049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3049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3064</v>
      </c>
      <c r="D44" t="s">
        <v>3049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3049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3049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3049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3049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3065</v>
      </c>
      <c r="D49" t="s">
        <v>3049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3049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3066</v>
      </c>
      <c r="D51" t="s">
        <v>3049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3049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3049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3067</v>
      </c>
      <c r="D54" t="s">
        <v>3049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3049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3049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3049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3068</v>
      </c>
      <c r="D58" t="s">
        <v>3049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3049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3049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3069</v>
      </c>
      <c r="D61" t="s">
        <v>3049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3070</v>
      </c>
      <c r="D62" t="s">
        <v>3049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3071</v>
      </c>
      <c r="D63" t="s">
        <v>3049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3072</v>
      </c>
      <c r="D64" t="s">
        <v>3049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3049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3049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3073</v>
      </c>
      <c r="D67" t="s">
        <v>3049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3074</v>
      </c>
      <c r="D68" t="s">
        <v>3049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3049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3075</v>
      </c>
      <c r="D70" t="s">
        <v>3049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3049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3049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3049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3076</v>
      </c>
      <c r="D74" t="s">
        <v>3049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3049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3049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3049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3049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3077</v>
      </c>
      <c r="D79" t="s">
        <v>3049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3078</v>
      </c>
      <c r="D80" t="s">
        <v>3049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3079</v>
      </c>
      <c r="D81" t="s">
        <v>3049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3080</v>
      </c>
      <c r="D82" t="s">
        <v>3049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3049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3081</v>
      </c>
      <c r="D84" t="s">
        <v>3049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3049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3082</v>
      </c>
      <c r="D86" t="s">
        <v>3049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3083</v>
      </c>
      <c r="D87" t="s">
        <v>3049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3084</v>
      </c>
      <c r="D88" t="s">
        <v>3049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3085</v>
      </c>
      <c r="D89" t="s">
        <v>3049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3086</v>
      </c>
      <c r="D90" t="s">
        <v>3049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3087</v>
      </c>
      <c r="D91" t="s">
        <v>3049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3088</v>
      </c>
      <c r="D92" t="s">
        <v>3049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3089</v>
      </c>
      <c r="D93" t="s">
        <v>3049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3090</v>
      </c>
      <c r="D94" t="s">
        <v>3049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3049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3091</v>
      </c>
      <c r="D96" t="s">
        <v>3049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3049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3092</v>
      </c>
      <c r="D98" t="s">
        <v>3049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3093</v>
      </c>
      <c r="D99" t="s">
        <v>3049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3094</v>
      </c>
      <c r="D100" t="s">
        <v>3049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3095</v>
      </c>
      <c r="D101" t="s">
        <v>3049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3049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3096</v>
      </c>
      <c r="D103" t="s">
        <v>3049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3097</v>
      </c>
      <c r="D104" t="s">
        <v>3049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3098</v>
      </c>
      <c r="D105" t="s">
        <v>3049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3049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3049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3099</v>
      </c>
      <c r="D108" t="s">
        <v>3049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3100</v>
      </c>
      <c r="D109" t="s">
        <v>3049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3101</v>
      </c>
      <c r="C1" s="18" t="s">
        <v>3102</v>
      </c>
      <c r="D1" s="18" t="s">
        <v>4</v>
      </c>
      <c r="E1" s="18" t="s">
        <v>3103</v>
      </c>
      <c r="F1" s="18" t="s">
        <v>19</v>
      </c>
      <c r="G1" s="18" t="s">
        <v>3104</v>
      </c>
      <c r="H1" s="18" t="s">
        <v>3105</v>
      </c>
      <c r="I1" s="18" t="s">
        <v>3106</v>
      </c>
      <c r="J1" s="18" t="s">
        <v>3107</v>
      </c>
      <c r="L1" s="110" t="s">
        <v>3108</v>
      </c>
      <c r="M1" s="22">
        <v>2026</v>
      </c>
      <c r="U1" s="79" t="s">
        <v>3109</v>
      </c>
      <c r="V1" s="78"/>
      <c r="X1" s="77" t="s">
        <v>3110</v>
      </c>
      <c r="Y1" s="26"/>
      <c r="Z1" s="26"/>
      <c r="AA1" s="26"/>
      <c r="AC1" s="99" t="s">
        <v>3111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3112</v>
      </c>
      <c r="M2" s="106" t="s">
        <v>2928</v>
      </c>
      <c r="X2" s="112" t="s">
        <v>3101</v>
      </c>
      <c r="Y2" s="112" t="s">
        <v>19</v>
      </c>
      <c r="Z2" s="112" t="s">
        <v>3113</v>
      </c>
      <c r="AA2" s="112" t="s">
        <v>3114</v>
      </c>
      <c r="AC2" s="113" t="s">
        <v>1</v>
      </c>
      <c r="AD2" s="113" t="s">
        <v>3115</v>
      </c>
      <c r="AE2" s="113" t="s">
        <v>3116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3117</v>
      </c>
      <c r="M3" s="111" t="s">
        <v>3118</v>
      </c>
      <c r="N3" s="111" t="s">
        <v>3119</v>
      </c>
      <c r="O3" s="111" t="s">
        <v>3120</v>
      </c>
      <c r="P3" s="111" t="s">
        <v>3121</v>
      </c>
      <c r="Q3" s="111" t="s">
        <v>3122</v>
      </c>
      <c r="R3" s="111" t="s">
        <v>3123</v>
      </c>
      <c r="S3" s="111" t="s">
        <v>3124</v>
      </c>
      <c r="T3" s="111" t="s">
        <v>3125</v>
      </c>
      <c r="X3" t="s">
        <v>2835</v>
      </c>
      <c r="Y3" t="s">
        <v>3062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3126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3062</v>
      </c>
      <c r="Z6">
        <v>1</v>
      </c>
      <c r="AA6">
        <v>0</v>
      </c>
      <c r="AC6" s="96">
        <v>2026</v>
      </c>
      <c r="AD6" s="17" t="s">
        <v>3127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3056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3056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3056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3075</v>
      </c>
      <c r="Z33">
        <v>4</v>
      </c>
      <c r="AA33">
        <v>0.6</v>
      </c>
      <c r="AC33" s="98"/>
      <c r="AD33" s="114" t="s">
        <v>3128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3078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3068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3068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3068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3130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3130</v>
      </c>
      <c r="Y87" t="s">
        <v>3080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3130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3131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3132</v>
      </c>
      <c r="B4" s="214"/>
      <c r="D4" s="215" t="s">
        <v>3133</v>
      </c>
      <c r="E4" s="216"/>
      <c r="G4" s="44" t="s">
        <v>3134</v>
      </c>
    </row>
    <row r="5" spans="1:7" ht="54.95" customHeight="1" thickBot="1">
      <c r="A5" s="34">
        <f>COUNTIF('Ações InCompany'!B:B,2026)</f>
        <v>89</v>
      </c>
      <c r="B5" s="35" t="s">
        <v>3135</v>
      </c>
      <c r="D5" s="42">
        <f>COUNTIFS('Ações InCompany'!B:B,2026,'Ações InCompany'!C:C,"Realizado")</f>
        <v>59</v>
      </c>
      <c r="E5" s="43" t="s">
        <v>3135</v>
      </c>
      <c r="G5" s="45">
        <f>COUNTIFS('Ações InCompany'!B:B,2026,'Ações InCompany'!C:C,"A realizar")</f>
        <v>22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3136</v>
      </c>
      <c r="B8" s="211"/>
      <c r="D8" s="211" t="s">
        <v>3137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3138</v>
      </c>
      <c r="D10" s="27" t="s">
        <v>3139</v>
      </c>
      <c r="E10" s="27" t="s">
        <v>3140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3141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3142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3143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3144</v>
      </c>
      <c r="B14" s="33">
        <f>SUM(B11:B13)</f>
        <v>59</v>
      </c>
      <c r="D14" s="32" t="s">
        <v>3145</v>
      </c>
      <c r="E14" s="33">
        <f>SUM(E11:E13)</f>
        <v>3263</v>
      </c>
    </row>
    <row r="30" spans="1:5" ht="17.25">
      <c r="A30" s="211" t="s">
        <v>3146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3147</v>
      </c>
      <c r="C32" s="27" t="s">
        <v>3148</v>
      </c>
      <c r="D32" s="27" t="s">
        <v>3149</v>
      </c>
      <c r="E32" s="27" t="s">
        <v>3150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0.25925925925925924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8.6419753086419748E-2</v>
      </c>
    </row>
    <row r="42" spans="1:5" ht="24" customHeight="1">
      <c r="A42" s="74" t="s">
        <v>3151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3152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3144</v>
      </c>
      <c r="B45" s="40">
        <f>SUM(B33:B44)</f>
        <v>59</v>
      </c>
      <c r="C45" s="40">
        <f>SUM(C33:C44)</f>
        <v>22</v>
      </c>
      <c r="D45" s="40">
        <f>SUM(D33:D44)</f>
        <v>81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3158</v>
      </c>
      <c r="B2" s="11" t="s">
        <v>3159</v>
      </c>
      <c r="C2" s="11" t="s">
        <v>1736</v>
      </c>
      <c r="D2" s="11" t="s">
        <v>3160</v>
      </c>
      <c r="E2" s="11" t="s">
        <v>3161</v>
      </c>
    </row>
    <row r="3" spans="1:5" ht="18" customHeight="1">
      <c r="A3" s="11" t="s">
        <v>3158</v>
      </c>
      <c r="B3" s="11" t="s">
        <v>3159</v>
      </c>
      <c r="C3" s="13" t="s">
        <v>25</v>
      </c>
      <c r="D3" s="11" t="s">
        <v>3162</v>
      </c>
      <c r="E3" s="11" t="s">
        <v>3163</v>
      </c>
    </row>
    <row r="4" spans="1:5" ht="18" customHeight="1">
      <c r="A4" s="11" t="s">
        <v>3158</v>
      </c>
      <c r="B4" s="11" t="s">
        <v>3159</v>
      </c>
      <c r="C4" s="11" t="s">
        <v>75</v>
      </c>
      <c r="D4" s="11" t="s">
        <v>3160</v>
      </c>
      <c r="E4" s="11" t="s">
        <v>3164</v>
      </c>
    </row>
    <row r="5" spans="1:5" ht="18" customHeight="1">
      <c r="A5" s="11" t="s">
        <v>3158</v>
      </c>
      <c r="B5" s="11" t="s">
        <v>3159</v>
      </c>
      <c r="C5" s="11" t="s">
        <v>79</v>
      </c>
      <c r="D5" s="11" t="s">
        <v>3165</v>
      </c>
      <c r="E5" s="11" t="s">
        <v>3166</v>
      </c>
    </row>
    <row r="6" spans="1:5" ht="18" customHeight="1">
      <c r="A6" s="11" t="s">
        <v>3158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3158</v>
      </c>
      <c r="B7" s="11" t="s">
        <v>3169</v>
      </c>
      <c r="C7" s="11" t="s">
        <v>36</v>
      </c>
      <c r="D7" s="11" t="s">
        <v>3170</v>
      </c>
      <c r="E7" s="11" t="s">
        <v>3171</v>
      </c>
    </row>
    <row r="8" spans="1:5" ht="18" customHeight="1">
      <c r="A8" s="11" t="s">
        <v>3158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3158</v>
      </c>
      <c r="B9" s="11" t="s">
        <v>3174</v>
      </c>
      <c r="C9" s="11" t="s">
        <v>464</v>
      </c>
      <c r="D9" s="11" t="s">
        <v>3175</v>
      </c>
      <c r="E9" s="11" t="s">
        <v>3176</v>
      </c>
    </row>
    <row r="10" spans="1:5" ht="18" customHeight="1">
      <c r="A10" s="11" t="s">
        <v>3158</v>
      </c>
      <c r="B10" s="11" t="s">
        <v>3174</v>
      </c>
      <c r="C10" s="11" t="s">
        <v>206</v>
      </c>
      <c r="D10" s="11" t="s">
        <v>24</v>
      </c>
      <c r="E10" s="11" t="s">
        <v>3177</v>
      </c>
    </row>
    <row r="11" spans="1:5" ht="18" customHeight="1">
      <c r="A11" s="11" t="s">
        <v>3158</v>
      </c>
      <c r="B11" s="11" t="s">
        <v>3174</v>
      </c>
      <c r="C11" s="11" t="s">
        <v>371</v>
      </c>
      <c r="D11" s="11" t="s">
        <v>24</v>
      </c>
      <c r="E11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3179</v>
      </c>
      <c r="B1" s="5" t="s">
        <v>10</v>
      </c>
      <c r="C1" s="14" t="s">
        <v>3180</v>
      </c>
      <c r="D1" s="14" t="s">
        <v>3102</v>
      </c>
    </row>
    <row r="2" spans="1:4" ht="21" customHeight="1">
      <c r="A2" s="102" t="s">
        <v>24</v>
      </c>
      <c r="B2" s="102" t="s">
        <v>38</v>
      </c>
      <c r="C2" s="11" t="s">
        <v>3181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3182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3183</v>
      </c>
      <c r="B2" s="11" t="s">
        <v>3159</v>
      </c>
      <c r="C2" s="13" t="s">
        <v>25</v>
      </c>
      <c r="D2" s="11" t="s">
        <v>3160</v>
      </c>
      <c r="E2" s="16" t="s">
        <v>3184</v>
      </c>
    </row>
    <row r="3" spans="1:5" ht="18" customHeight="1">
      <c r="A3" s="11" t="s">
        <v>3183</v>
      </c>
      <c r="B3" s="11" t="s">
        <v>3159</v>
      </c>
      <c r="C3" s="11" t="s">
        <v>75</v>
      </c>
      <c r="D3" s="11" t="s">
        <v>3162</v>
      </c>
      <c r="E3" s="11" t="s">
        <v>3185</v>
      </c>
    </row>
    <row r="4" spans="1:5" ht="18" customHeight="1">
      <c r="A4" s="11" t="s">
        <v>3183</v>
      </c>
      <c r="B4" s="11" t="s">
        <v>3159</v>
      </c>
      <c r="C4" s="11" t="s">
        <v>79</v>
      </c>
      <c r="D4" s="11" t="s">
        <v>3165</v>
      </c>
      <c r="E4" s="11" t="s">
        <v>3186</v>
      </c>
    </row>
    <row r="5" spans="1:5" ht="27.75" customHeight="1">
      <c r="A5" s="11" t="s">
        <v>3183</v>
      </c>
      <c r="B5" s="11" t="s">
        <v>3159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3183</v>
      </c>
      <c r="B7" s="11" t="s">
        <v>3169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3183</v>
      </c>
      <c r="B9" s="11" t="s">
        <v>3169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3151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3177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3102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3105</v>
      </c>
      <c r="C4" s="24" t="s">
        <v>3106</v>
      </c>
      <c r="D4" s="24" t="s">
        <v>3208</v>
      </c>
      <c r="E4" s="24" t="s">
        <v>3107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3145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3101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2026-09-11T18:08:59Z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