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67" documentId="8_{454372C2-A99E-4E47-A759-72B38925853E}" xr6:coauthVersionLast="47" xr6:coauthVersionMax="47" xr10:uidLastSave="{8604032C-BACA-4323-BCB5-339CF66A44BE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s="1"/>
  <c r="T4" i="20" l="1" a="1"/>
  <c r="T4" i="20" s="1"/>
  <c r="A2" i="20" l="1" a="1"/>
  <c r="A5" i="23" s="1" a="1"/>
  <c r="D52" i="23" l="1"/>
  <c r="C52" i="23"/>
  <c r="E52" i="23"/>
  <c r="B52" i="23"/>
  <c r="F52" i="23"/>
  <c r="E105" i="23"/>
  <c r="A2" i="20"/>
  <c r="E51" i="23"/>
  <c r="D47" i="23"/>
  <c r="C33" i="23"/>
  <c r="B26" i="23"/>
  <c r="D18" i="23"/>
  <c r="B46" i="23"/>
  <c r="E8" i="23"/>
  <c r="C43" i="23"/>
  <c r="F6" i="23"/>
  <c r="C25" i="23"/>
  <c r="D8" i="23"/>
  <c r="E10" i="23"/>
  <c r="F14" i="23"/>
  <c r="F47" i="23"/>
  <c r="B13" i="23"/>
  <c r="F19" i="23"/>
  <c r="E46" i="23"/>
  <c r="F43" i="23"/>
  <c r="B42" i="23"/>
  <c r="C47" i="23"/>
  <c r="F41" i="23"/>
  <c r="B21" i="23"/>
  <c r="E6" i="23"/>
  <c r="D15" i="23"/>
  <c r="C26" i="23"/>
  <c r="E19" i="23"/>
  <c r="E13" i="23"/>
  <c r="B22" i="23"/>
  <c r="F35" i="23"/>
  <c r="D41" i="23"/>
  <c r="D27" i="23"/>
  <c r="B16" i="23"/>
  <c r="C12" i="23"/>
  <c r="D50" i="23"/>
  <c r="F26" i="23"/>
  <c r="D44" i="23"/>
  <c r="D38" i="23"/>
  <c r="B50" i="23"/>
  <c r="F29" i="23"/>
  <c r="C40" i="23"/>
  <c r="F33" i="23"/>
  <c r="F39" i="23"/>
  <c r="E33" i="23"/>
  <c r="F46" i="23"/>
  <c r="C7" i="23"/>
  <c r="E32" i="23"/>
  <c r="B17" i="23"/>
  <c r="F30" i="23"/>
  <c r="C30" i="23"/>
  <c r="B38" i="23"/>
  <c r="B10" i="23"/>
  <c r="D28" i="23"/>
  <c r="B7" i="23"/>
  <c r="D17" i="23"/>
  <c r="F7" i="23"/>
  <c r="E39" i="23"/>
  <c r="D21" i="23"/>
  <c r="E38" i="23"/>
  <c r="C34" i="23"/>
  <c r="E41" i="23"/>
  <c r="C49" i="23"/>
  <c r="F21" i="23"/>
  <c r="C16" i="23"/>
  <c r="B27" i="23"/>
  <c r="E24" i="23"/>
  <c r="B33" i="23"/>
  <c r="C48" i="23"/>
  <c r="B45" i="23"/>
  <c r="D42" i="23"/>
  <c r="D43" i="23"/>
  <c r="B36" i="23"/>
  <c r="D35" i="23"/>
  <c r="D37" i="23"/>
  <c r="B40" i="23"/>
  <c r="D51" i="23"/>
  <c r="E47" i="23"/>
  <c r="E17" i="23"/>
  <c r="C37" i="23"/>
  <c r="B34" i="23"/>
  <c r="E25" i="23"/>
  <c r="C21" i="23"/>
  <c r="F42" i="23"/>
  <c r="C6" i="23"/>
  <c r="D19" i="23"/>
  <c r="C51" i="23"/>
  <c r="F8" i="23"/>
  <c r="F11" i="23"/>
  <c r="E26" i="23"/>
  <c r="B14" i="23"/>
  <c r="F17" i="23"/>
  <c r="F32" i="23"/>
  <c r="E7" i="23"/>
  <c r="D32" i="23"/>
  <c r="E28" i="23"/>
  <c r="B28" i="23"/>
  <c r="B9" i="23"/>
  <c r="B30" i="23"/>
  <c r="B6" i="23"/>
  <c r="C50" i="23"/>
  <c r="F40" i="23"/>
  <c r="B24" i="23"/>
  <c r="E27" i="23"/>
  <c r="E37" i="23"/>
  <c r="F18" i="23"/>
  <c r="F13" i="23"/>
  <c r="D12" i="23"/>
  <c r="C27" i="23"/>
  <c r="E18" i="23"/>
  <c r="B29" i="23"/>
  <c r="E35" i="23"/>
  <c r="D36" i="23"/>
  <c r="F50" i="23"/>
  <c r="C36" i="23"/>
  <c r="D9" i="23"/>
  <c r="D34" i="23"/>
  <c r="D49" i="23"/>
  <c r="E14" i="23"/>
  <c r="F23" i="23"/>
  <c r="F49" i="23"/>
  <c r="E15" i="23"/>
  <c r="C42" i="23"/>
  <c r="B12" i="23"/>
  <c r="C9" i="23"/>
  <c r="C15" i="23"/>
  <c r="C17" i="23"/>
  <c r="E49" i="23"/>
  <c r="C14" i="23"/>
  <c r="F36" i="23"/>
  <c r="D7" i="23"/>
  <c r="C35" i="23"/>
  <c r="C31" i="23"/>
  <c r="C44" i="23"/>
  <c r="F16" i="23"/>
  <c r="E40" i="23"/>
  <c r="F28" i="23"/>
  <c r="B15" i="23"/>
  <c r="F25" i="23"/>
  <c r="B35" i="23"/>
  <c r="E45" i="23"/>
  <c r="E48" i="23"/>
  <c r="D31" i="23"/>
  <c r="C32" i="23"/>
  <c r="E23" i="23"/>
  <c r="C45" i="23"/>
  <c r="B51" i="23"/>
  <c r="C29" i="23"/>
  <c r="C20" i="23"/>
  <c r="B8" i="23"/>
  <c r="C23" i="23"/>
  <c r="D46" i="23"/>
  <c r="C24" i="23"/>
  <c r="F38" i="23"/>
  <c r="C41" i="23"/>
  <c r="B19" i="23"/>
  <c r="F27" i="23"/>
  <c r="D26" i="23"/>
  <c r="D24" i="23"/>
  <c r="E44" i="23"/>
  <c r="E34" i="23"/>
  <c r="D48" i="23"/>
  <c r="D45" i="23"/>
  <c r="F44" i="23"/>
  <c r="C28" i="23"/>
  <c r="F48" i="23"/>
  <c r="E43" i="23"/>
  <c r="B39" i="23"/>
  <c r="E11" i="23"/>
  <c r="B48" i="23"/>
  <c r="F15" i="23"/>
  <c r="F51" i="23"/>
  <c r="B47" i="23"/>
  <c r="B11" i="23"/>
  <c r="F12" i="23"/>
  <c r="D39" i="23"/>
  <c r="C39" i="23"/>
  <c r="F31" i="23"/>
  <c r="D13" i="23"/>
  <c r="F20" i="23"/>
  <c r="E20" i="23"/>
  <c r="D23" i="23"/>
  <c r="E50" i="23"/>
  <c r="C38" i="23"/>
  <c r="F37" i="23"/>
  <c r="D40" i="23"/>
  <c r="D14" i="23"/>
  <c r="E12" i="23"/>
  <c r="D25" i="23"/>
  <c r="E9" i="23"/>
  <c r="C11" i="23"/>
  <c r="D30" i="23"/>
  <c r="D22" i="23"/>
  <c r="E42" i="23"/>
  <c r="E31" i="23"/>
  <c r="D6" i="23"/>
  <c r="E30" i="23"/>
  <c r="C8" i="23"/>
  <c r="C22" i="23"/>
  <c r="F9" i="23"/>
  <c r="E21" i="23"/>
  <c r="B49" i="23"/>
  <c r="B32" i="23"/>
  <c r="D33" i="23"/>
  <c r="B37" i="23"/>
  <c r="D29" i="23"/>
  <c r="C13" i="23"/>
  <c r="B23" i="23"/>
  <c r="F34" i="23"/>
  <c r="D20" i="23"/>
  <c r="C19" i="23"/>
  <c r="F10" i="23"/>
  <c r="E29" i="23"/>
  <c r="E22" i="23"/>
  <c r="C18" i="23"/>
  <c r="B20" i="23"/>
  <c r="C46" i="23"/>
  <c r="D10" i="23"/>
  <c r="F22" i="23"/>
  <c r="E16" i="23"/>
  <c r="B43" i="23"/>
  <c r="E36" i="23"/>
  <c r="B41" i="23"/>
  <c r="D11" i="23"/>
  <c r="F24" i="23"/>
  <c r="B31" i="23"/>
  <c r="B44" i="23"/>
  <c r="B25" i="23"/>
  <c r="C10" i="23"/>
  <c r="F45" i="23"/>
  <c r="B18" i="23"/>
  <c r="D16" i="23"/>
  <c r="A5" i="23"/>
  <c r="G5" i="23" l="1"/>
  <c r="E5" i="23"/>
  <c r="B5" i="23"/>
  <c r="B105" i="23" s="1"/>
  <c r="D5" i="23"/>
  <c r="F5" i="23"/>
  <c r="F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<sst xmlns="http://schemas.openxmlformats.org/spreadsheetml/2006/main" count="6239" uniqueCount="2408">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</sst>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49" fontId="41" fillId="22" borderId="22" xfId="0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topLeftCell="G1" zoomScaleNormal="100" workbookViewId="0">
      <pane ySplit="1" topLeftCell="A687" activePane="bottomLeft" state="frozen"/>
      <selection pane="bottomLeft" activeCell="R697" sqref="R697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45915</v>
      </c>
      <c r="J653" s="39">
        <v>46280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2103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 t="s">
        <v>2407</v>
      </c>
      <c r="I684" s="69">
        <v>46273</v>
      </c>
      <c r="J684" s="69">
        <v>46283</v>
      </c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7956.94</v>
      </c>
      <c r="M688" s="214">
        <v>4.6900000000000004</v>
      </c>
      <c r="N688" s="225">
        <v>30</v>
      </c>
      <c r="O688" s="224">
        <v>0</v>
      </c>
      <c r="P688" s="289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6">
        <v>11334.44</v>
      </c>
      <c r="M695" s="214"/>
      <c r="N695" s="215">
        <v>30</v>
      </c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25">
        <v>25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2114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2146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9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9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9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9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2400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>
        <v>1770</v>
      </c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>
        <v>2347</v>
      </c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2401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>
        <v>1990</v>
      </c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2402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>
        <v>3520</v>
      </c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2403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>
        <v>3520</v>
      </c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2404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>
        <v>3520</v>
      </c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2405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>
        <v>3520</v>
      </c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2399</v>
      </c>
      <c r="E720" s="288" t="s">
        <v>2406</v>
      </c>
      <c r="F720" s="220" t="s">
        <v>51</v>
      </c>
      <c r="G720" s="217" t="s">
        <v>59</v>
      </c>
      <c r="H720" s="286" t="s">
        <v>2396</v>
      </c>
      <c r="I720" s="286" t="s">
        <v>2396</v>
      </c>
      <c r="J720" s="286" t="s">
        <v>2396</v>
      </c>
      <c r="K720" s="218" t="s">
        <v>32</v>
      </c>
      <c r="L720" s="223">
        <v>3520</v>
      </c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2398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2" priority="8">
      <formula>TRIM(C2)="Realizado"</formula>
    </cfRule>
    <cfRule type="expression" dxfId="51" priority="9">
      <formula>TRIM(C2)="Cancelado"</formula>
    </cfRule>
    <cfRule type="expression" dxfId="50" priority="10">
      <formula>TRIM(C2)="Adiado"</formula>
    </cfRule>
    <cfRule type="expression" dxfId="49" priority="11">
      <formula>AND(TRIM(C2)="A realizar",ISODD(ROW(C2)))</formula>
    </cfRule>
  </conditionalFormatting>
  <conditionalFormatting sqref="L680">
    <cfRule type="containsBlanks" dxfId="48" priority="5">
      <formula>LEN(TRIM(L680))=0</formula>
    </cfRule>
  </conditionalFormatting>
  <conditionalFormatting sqref="L689:L690">
    <cfRule type="containsBlanks" dxfId="47" priority="3">
      <formula>LEN(TRIM(L689))=0</formula>
    </cfRule>
  </conditionalFormatting>
  <conditionalFormatting sqref="M1:M513 L1:L537 L678">
    <cfRule type="containsBlanks" dxfId="46" priority="6">
      <formula>LEN(TRIM(L1))=0</formula>
    </cfRule>
  </conditionalFormatting>
  <conditionalFormatting sqref="M517:M675 L539:L675 L676:M676">
    <cfRule type="containsBlanks" dxfId="45" priority="7">
      <formula>LEN(TRIM(L517))=0</formula>
    </cfRule>
  </conditionalFormatting>
  <conditionalFormatting sqref="L704">
    <cfRule type="containsBlanks" dxfId="44" priority="2">
      <formula>LEN(TRIM(L704))=0</formula>
    </cfRule>
  </conditionalFormatting>
  <conditionalFormatting sqref="L695">
    <cfRule type="containsBlanks" dxfId="43" priority="1">
      <formula>LEN(TRIM(L695))=0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75" workbookViewId="0">
      <selection activeCell="A94" sqref="A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2397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3" t="s">
        <v>2293</v>
      </c>
      <c r="B1" s="293"/>
      <c r="C1" s="293"/>
      <c r="D1" s="293"/>
      <c r="E1" s="293"/>
      <c r="F1" s="293"/>
      <c r="G1" s="293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4" t="s">
        <v>2294</v>
      </c>
      <c r="B4" s="295"/>
      <c r="D4" s="296" t="s">
        <v>2295</v>
      </c>
      <c r="E4" s="297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91" t="s">
        <v>2298</v>
      </c>
      <c r="B8" s="291"/>
      <c r="D8" s="291" t="s">
        <v>2299</v>
      </c>
      <c r="E8" s="291"/>
    </row>
    <row r="9" spans="1:7" ht="5.0999999999999996" customHeight="1" x14ac:dyDescent="0.25">
      <c r="A9" s="292"/>
      <c r="B9" s="292"/>
      <c r="D9" s="292"/>
      <c r="E9" s="292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1556</v>
      </c>
    </row>
    <row r="30" spans="1:5" ht="17.25" x14ac:dyDescent="0.3">
      <c r="A30" s="291" t="s">
        <v>2308</v>
      </c>
      <c r="B30" s="291"/>
      <c r="C30" s="291"/>
      <c r="D30" s="291"/>
      <c r="E30" s="291"/>
    </row>
    <row r="31" spans="1:5" ht="5.0999999999999996" customHeight="1" x14ac:dyDescent="0.25">
      <c r="A31" s="292"/>
      <c r="B31" s="292"/>
      <c r="C31" s="292"/>
      <c r="D31" s="292"/>
      <c r="E31" s="292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8</v>
      </c>
      <c r="D38" s="119">
        <f t="shared" si="0"/>
        <v>14</v>
      </c>
      <c r="E38" s="120">
        <f t="shared" si="1"/>
        <v>0.22950819672131148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1</v>
      </c>
      <c r="D40" s="153">
        <f>B40+C40</f>
        <v>1</v>
      </c>
      <c r="E40" s="158">
        <f>D40/$D$45</f>
        <v>1.6393442622950821E-2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8" t="s">
        <v>2358</v>
      </c>
      <c r="B1" s="298"/>
      <c r="C1" s="298"/>
      <c r="D1" s="298"/>
      <c r="E1" s="298"/>
      <c r="F1" s="298"/>
      <c r="G1" s="298"/>
      <c r="H1" s="298"/>
    </row>
    <row r="2" spans="1:8" x14ac:dyDescent="0.25">
      <c r="A2" s="130" t="s">
        <v>2359</v>
      </c>
    </row>
    <row r="4" spans="1:8" ht="21.95" customHeight="1" x14ac:dyDescent="0.25">
      <c r="A4" s="299" t="s">
        <v>2360</v>
      </c>
      <c r="B4" s="300"/>
      <c r="D4" s="299" t="s">
        <v>2361</v>
      </c>
      <c r="E4" s="300"/>
      <c r="G4" s="299" t="s">
        <v>2362</v>
      </c>
      <c r="H4" s="300"/>
    </row>
    <row r="5" spans="1:8" ht="35.1" customHeight="1" x14ac:dyDescent="0.25">
      <c r="A5" s="303">
        <f>COUNTIF('Ações InCompany'!E:E,"*maratona*")</f>
        <v>13</v>
      </c>
      <c r="B5" s="302"/>
      <c r="D5" s="301">
        <f>SUM(H8:H100)</f>
        <v>1762</v>
      </c>
      <c r="E5" s="302"/>
      <c r="G5" s="301">
        <f>IFERROR(ROUND(D5/A5,0),"-")</f>
        <v>136</v>
      </c>
      <c r="H5" s="302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4" t="s">
        <v>2368</v>
      </c>
      <c r="B1" s="304"/>
      <c r="C1" s="304"/>
      <c r="D1" s="304"/>
      <c r="E1" s="304"/>
      <c r="F1" s="304"/>
    </row>
    <row r="2" spans="1:7" x14ac:dyDescent="0.25">
      <c r="A2" s="305" t="s">
        <v>2369</v>
      </c>
      <c r="B2" s="305"/>
      <c r="C2" s="305"/>
      <c r="D2" s="305"/>
      <c r="E2" s="305"/>
      <c r="F2" s="305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Renato Coelho Martins Salgado</cp:lastModifiedBy>
  <cp:revision/>
  <dcterms:created xsi:type="dcterms:W3CDTF">2024-04-02T18:43:15Z</dcterms:created>
  <dcterms:modified xsi:type="dcterms:W3CDTF">2026-07-17T20:18:38Z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