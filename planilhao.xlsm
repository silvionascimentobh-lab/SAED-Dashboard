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62" documentId="8_{454372C2-A99E-4E47-A759-72B38925853E}" xr6:coauthVersionLast="47" xr6:coauthVersionMax="47" xr10:uidLastSave="{8DF52B20-E6C7-4085-AE40-370BC54A8B02}"/>
  <bookViews>
    <workbookView xWindow="-120" yWindow="-120" windowWidth="29040" windowHeight="15720" firstSheet="2" activeTab="9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5" i="29" l="1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I54" i="29" s="1"/>
  <c r="D54" i="29"/>
  <c r="E54" i="29"/>
  <c r="F54" i="29"/>
  <c r="G54" i="29"/>
  <c r="H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F45" i="29" s="1"/>
  <c r="C45" i="29"/>
  <c r="D45" i="29"/>
  <c r="E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I9" i="29" s="1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H50" i="29" l="1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<sst xmlns="http://schemas.openxmlformats.org/spreadsheetml/2006/main" count="7149" uniqueCount="3152">
  <si>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</si>
  <si>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</si>
  <si>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</si>
  <si>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</si>
  <si>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</si>
  <si>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</si>
  <si>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</si>
  <si>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</si>
  <si>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</si>
  <si>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</si>
  <si>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</si>
  <si>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</si>
  <si>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</si>
  <si>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</si>
  <si>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</si>
  <si>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</si>
  <si>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</si>
  <si>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</si>
  <si>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</si>
  <si>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</si>
  <si>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</si>
  <si>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</si>
  <si>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</si>
  <si>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</si>
  <si>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</si>
  <si>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</si>
  <si>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</si>
  <si>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</si>
  <si>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</si>
  <si>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</si>
  <si>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</si>
  <si>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</si>
  <si>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</si>
  <si>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</si>
  <si>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</si>
  <si>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</si>
  <si>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</si>
  <si>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</si>
  <si>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</si>
  <si>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</si>
  <si>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</si>
  <si>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</si>
  <si>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</si>
  <si>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</si>
  <si>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</si>
  <si>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</si>
  <si>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</si>
  <si>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</si>
  <si>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</si>
  <si>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</si>
  <si>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</si>
  <si>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</si>
  <si>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</si>
  <si>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</si>
  <si>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</si>
  <si>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</si>
  <si>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</si>
  <si>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</si>
  <si>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</si>
  <si>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</si>
  <si>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</si>
  <si>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</si>
  <si>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</si>
  <si>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</si>
  <si>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</si>
  <si>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</si>
  <si>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</si>
  <si>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</si>
  <si>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</si>
  <si>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</si>
  <si>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</si>
  <si>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</si>
  <si>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</si>
  <si>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</si>
  <si>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</si>
  <si>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</si>
  <si>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</si>
  <si>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</si>
  <si>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</si>
  <si>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</si>
  <si>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</si>
  <si>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</si>
  <si>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</si>
  <si>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</si>
  <si>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</si>
  <si>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</si>
  <si>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</si>
  <si>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</si>
  <si>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</si>
  <si>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</si>
  <si>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</si>
  <si>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</si>
  <si>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</si>
  <si>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</si>
  <si>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</si>
  <si>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</si>
  <si>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</si>
  <si>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</si>
  <si>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</si>
  <si>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</si>
  <si>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</si>
  <si>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</si>
  <si>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</si>
  <si>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</si>
  <si>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</si>
  <si>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</si>
  <si>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</si>
  <si>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</si>
  <si>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</si>
  <si>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</si>
  <si>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</si>
  <si>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</si>
  <si>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</si>
  <si>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</si>
  <si>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</si>
  <si>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</si>
  <si>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</si>
  <si>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</si>
  <si>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</si>
  <si>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</si>
  <si>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</si>
  <si>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</si>
  <si>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</si>
  <si>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</si>
  <si>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</si>
  <si>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</si>
  <si>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</si>
  <si>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</si>
  <si>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</si>
  <si>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</si>
  <si>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</si>
  <si>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</si>
  <si>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</si>
  <si>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</si>
  <si>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</si>
  <si>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</si>
  <si>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</si>
  <si>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</si>
  <si>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</si>
  <si>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</si>
  <si>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</si>
  <si>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</si>
  <si>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</si>
  <si>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</si>
  <si>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</si>
  <si>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</si>
  <si>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</si>
  <si>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</si>
  <si>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</si>
  <si>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</si>
  <si>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</si>
  <si>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</si>
  <si>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</si>
  <si>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</si>
  <si>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</si>
  <si>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</si>
  <si>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</si>
  <si>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</si>
  <si>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</si>
  <si>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</si>
  <si>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</si>
  <si>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</si>
  <si>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</si>
  <si>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</si>
  <si>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</si>
  <si>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</si>
  <si>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</si>
  <si>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</si>
  <si>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</si>
  <si>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</si>
  <si>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</si>
  <si>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</si>
  <si>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</si>
  <si>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</si>
  <si>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</si>
  <si>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</si>
  <si>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</si>
  <si>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</si>
  <si>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</si>
  <si>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</si>
  <si>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</si>
  <si>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</si>
  <si>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</si>
  <si>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</si>
  <si>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</si>
  <si>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</si>
  <si>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</si>
  <si>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</si>
  <si>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</si>
  <si>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</si>
  <si>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</si>
  <si>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</si>
  <si>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</si>
  <si>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</si>
  <si>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</si>
  <si>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</si>
  <si>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</si>
  <si>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</si>
  <si>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</si>
  <si>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</si>
  <si>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</si>
  <si>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</si>
  <si>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</si>
  <si>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</si>
  <si>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</si>
  <si>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</si>
  <si>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</si>
  <si>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</si>
  <si>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</si>
  <si>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</si>
  <si>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</si>
  <si>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</si>
  <si>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</si>
  <si>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</si>
  <si>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</si>
  <si>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</si>
  <si>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</si>
  <si>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</si>
  <si>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</si>
  <si>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</si>
  <si>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</si>
  <si>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</si>
  <si>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</si>
  <si>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</si>
  <si>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</si>
  <si>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</si>
  <si>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</si>
  <si>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</si>
  <si>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</si>
  <si>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</si>
  <si>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</si>
  <si>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</si>
  <si>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</si>
  <si>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</si>
  <si>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</si>
  <si>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</si>
  <si>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</si>
  <si>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</si>
  <si>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</si>
  <si>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</si>
  <si>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</si>
  <si>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</si>
  <si>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</si>
  <si>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</si>
  <si>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</si>
  <si>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</si>
  <si>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</si>
  <si>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</si>
  <si>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</si>
  <si>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</si>
  <si>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</si>
  <si>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</si>
  <si>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</si>
  <si>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</si>
  <si>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</si>
  <si>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</si>
  <si>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</si>
  <si>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</si>
  <si>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</si>
  <si>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</si>
  <si>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</si>
  <si>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</si>
  <si>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</si>
  <si>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</si>
  <si>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</si>
  <si>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</si>
  <si>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</si>
  <si>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</si>
  <si>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</si>
  <si>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</si>
  <si>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</si>
  <si>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</si>
  <si>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</si>
  <si>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</si>
  <si>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</si>
  <si>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</si>
  <si>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</si>
  <si>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</si>
  <si>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</si>
  <si>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</si>
  <si>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</si>
  <si>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</si>
  <si>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</si>
  <si>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</si>
  <si>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</si>
  <si>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</si>
  <si>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</si>
  <si>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</si>
  <si>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</si>
  <si>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</si>
  <si>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</si>
  <si>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</si>
  <si>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</si>
  <si>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</si>
  <si>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</si>
  <si>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</si>
  <si>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</si>
  <si>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</si>
  <si>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</si>
  <si>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</si>
  <si>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</si>
  <si>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</si>
  <si>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</si>
  <si>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</si>
  <si>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</si>
  <si>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</si>
  <si>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</si>
  <si>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</si>
  <si>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</si>
  <si>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</si>
  <si>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</si>
  <si>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</si>
  <si>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</si>
  <si>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</si>
  <si>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</si>
  <si>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</si>
  <si>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</si>
  <si>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</si>
  <si>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</si>
  <si>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</si>
  <si>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</si>
  <si>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</si>
  <si>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</si>
  <si>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</si>
  <si>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</si>
  <si>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</si>
  <si>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</si>
  <si>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</si>
  <si>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</si>
  <si>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</si>
  <si>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</si>
  <si>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</si>
  <si>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</si>
  <si>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</si>
  <si>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</si>
  <si>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</si>
  <si>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</si>
  <si>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</si>
  <si>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</si>
  <si>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</si>
  <si>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</si>
  <si>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</si>
  <si>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</si>
  <si>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</si>
  <si>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</si>
  <si>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</si>
  <si>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</si>
  <si>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</si>
  <si>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</si>
  <si>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</si>
  <si>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</si>
  <si>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</si>
  <si>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</si>
  <si>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</si>
  <si>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</si>
  <si>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</si>
  <si>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</si>
  <si>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</si>
  <si>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</si>
  <si>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</si>
  <si>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</si>
  <si>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</si>
  <si>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</si>
  <si>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</si>
  <si>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</si>
  <si>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</si>
  <si>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</si>
  <si>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</si>
  <si>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</si>
  <si>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</si>
  <si>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</si>
  <si>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</si>
  <si>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</si>
  <si>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</si>
  <si>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</si>
  <si>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</si>
  <si>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</si>
  <si>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</si>
  <si>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</si>
  <si>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</si>
  <si>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</si>
  <si>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</si>
  <si>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</si>
  <si>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</si>
  <si>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</si>
  <si>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</si>
  <si>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</si>
  <si>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</si>
  <si>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</si>
  <si>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</si>
  <si>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</si>
  <si>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</si>
  <si>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</si>
  <si>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</si>
  <si>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</si>
  <si>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</si>
  <si>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</si>
  <si>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</si>
  <si>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</si>
  <si>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</si>
  <si>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</si>
  <si>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</si>
  <si>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</si>
  <si>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</si>
  <si>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</si>
  <si>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</si>
  <si>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</si>
  <si>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</si>
  <si>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</si>
  <si>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</si>
  <si>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</si>
  <si>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</si>
  <si>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</si>
  <si>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</si>
  <si>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</si>
  <si>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</si>
  <si>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</si>
  <si>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</si>
  <si>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</si>
  <si>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</si>
  <si>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</si>
  <si>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</si>
  <si>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</si>
  <si>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</si>
  <si>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</si>
  <si>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</si>
  <si>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</si>
  <si>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</si>
  <si>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</si>
  <si>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</si>
  <si>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</si>
  <si>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</si>
  <si>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</si>
  <si>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</si>
  <si>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</si>
  <si>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</si>
  <si>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</si>
  <si>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</si>
  <si>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</si>
  <si>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</si>
  <si>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</si>
  <si>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</si>
  <si>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</si>
  <si>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</si>
  <si>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</si>
  <si>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</si>
  <si>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</si>
  <si>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</si>
  <si>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</si>
  <si>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</si>
  <si>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</si>
  <si>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</si>
  <si>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</si>
  <si>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</si>
  <si>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</si>
  <si>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</si>
  <si>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</si>
  <si>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</si>
  <si>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</si>
  <si>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</si>
  <si>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</si>
  <si>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</si>
  <si>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</si>
  <si>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</si>
  <si>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</si>
  <si>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</si>
  <si>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</si>
  <si>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</si>
  <si>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</si>
  <si>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</si>
  <si>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</si>
  <si>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</si>
  <si>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</si>
  <si>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</si>
  <si>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</si>
  <si>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</si>
  <si>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</si>
  <si>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</si>
  <si>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</si>
  <si>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</si>
  <si>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</si>
  <si>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</si>
  <si>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</si>
  <si>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</si>
  <si>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</si>
  <si>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</si>
  <si>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</si>
  <si>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</si>
  <si>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</si>
  <si>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</si>
  <si>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</si>
  <si>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</si>
  <si>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</si>
  <si>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</si>
  <si>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</si>
  <si>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</si>
  <si>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</si>
  <si>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</si>
  <si>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</si>
  <si>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</si>
  <si>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</si>
  <si>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</si>
  <si>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</si>
  <si>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</si>
  <si>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</si>
  <si>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</si>
  <si>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</si>
  <si>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</si>
  <si>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</si>
  <si>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</si>
  <si>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</si>
  <si>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</si>
  <si>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</si>
  <si>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</si>
  <si>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</si>
  <si>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</si>
  <si>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</si>
  <si>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</si>
  <si>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</si>
  <si>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</si>
  <si>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</si>
  <si>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</si>
  <si>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</si>
  <si>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</si>
  <si>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</si>
  <si>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</si>
  <si>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</si>
  <si>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</si>
  <si>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</si>
  <si>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</si>
  <si>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</si>
  <si>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</si>
  <si>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</si>
  <si>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</si>
  <si>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</si>
  <si>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</si>
  <si>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</si>
  <si>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</si>
  <si>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</si>
  <si>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</si>
  <si>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</si>
  <si>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</si>
  <si>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</si>
  <si>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</si>
  <si>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</si>
  <si>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</si>
  <si>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</si>
  <si>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</si>
  <si>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</si>
  <si>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</si>
  <si>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</si>
  <si>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</si>
  <si>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</si>
  <si>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</si>
  <si>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</si>
  <si>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</si>
  <si>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</si>
  <si>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</si>
  <si>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</si>
  <si>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</si>
  <si>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</si>
  <si>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</si>
  <si>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</si>
  <si>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</si>
  <si>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</si>
  <si>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</si>
  <si>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</si>
  <si>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</si>
  <si>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</si>
  <si>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</si>
  <si>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</si>
  <si>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</si>
  <si>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</si>
  <si>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</si>
  <si>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</si>
  <si>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</si>
  <si>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</si>
  <si>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</si>
  <si>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</si>
  <si>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</si>
  <si>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</si>
  <si>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</si>
  <si>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</si>
  <si>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</si>
  <si>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</si>
  <si>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</si>
  <si>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</si>
  <si>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</si>
  <si>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</si>
  <si>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</si>
  <si>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</si>
  <si>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</si>
  <si>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</si>
  <si>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</si>
  <si>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</si>
  <si>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</si>
  <si>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</si>
  <si>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</si>
  <si>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</si>
  <si>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</si>
  <si>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</si>
  <si>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</si>
  <si>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</si>
  <si>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</si>
  <si>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</si>
  <si>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</si>
  <si>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</si>
  <si>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</si>
  <si>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</si>
  <si>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</si>
  <si>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</si>
  <si>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</si>
  <si>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</si>
  <si>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</si>
  <si>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</si>
  <si>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</si>
  <si>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</si>
  <si>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</si>
  <si>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</si>
  <si>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</si>
  <si>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</si>
  <si>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</si>
  <si>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</si>
  <si>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</si>
  <si>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</si>
  <si>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</si>
  <si>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</si>
  <si>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</si>
  <si>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</si>
  <si>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</si>
  <si>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</si>
  <si>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</si>
  <si>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</si>
  <si>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</si>
  <si>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</si>
  <si>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</si>
  <si>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</si>
  <si>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</si>
  <si>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</si>
  <si>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</si>
  <si>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</si>
  <si>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</si>
  <si>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</si>
  <si>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</si>
  <si>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</si>
  <si>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</si>
  <si>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</si>
  <si>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</si>
  <si>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</si>
  <si>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</si>
  <si>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</si>
  <si>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</si>
  <si>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</si>
  <si>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</si>
  <si>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</si>
  <si>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</si>
  <si>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</si>
  <si>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</si>
  <si>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</si>
  <si>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</si>
  <si>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</si>
  <si>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</si>
  <si>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</si>
  <si>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</si>
  <si>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</si>
  <si>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</si>
  <si>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</si>
  <si>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</si>
  <si>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</si>
  <si>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</si>
  <si>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</si>
  <si>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</si>
  <si>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</si>
  <si>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</si>
  <si>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</si>
  <si>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</si>
  <si>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</si>
  <si>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</si>
  <si>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</si>
  <si>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</si>
  <si>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</si>
  <si>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</si>
  <si>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</si>
  <si>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</si>
  <si>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</si>
  <si>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</si>
  <si>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</si>
  <si>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</si>
  <si>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</si>
  <si>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</si>
  <si>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</si>
  <si>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</si>
  <si>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</si>
  <si>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</si>
  <si>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</si>
  <si>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</si>
  <si>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</si>
  <si>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</si>
  <si>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</si>
  <si>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</si>
  <si>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</si>
  <si>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</si>
  <si>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</si>
  <si>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</si>
  <si>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</si>
  <si>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</si>
  <si>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</si>
  <si>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</si>
  <si>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</si>
  <si>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</si>
  <si>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</si>
  <si>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</si>
  <si>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</si>
  <si>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</si>
  <si>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</si>
  <si>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</si>
  <si>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</si>
  <si>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</si>
  <si>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</si>
  <si>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</si>
  <si>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</si>
  <si>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</si>
  <si>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</si>
  <si>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</si>
  <si>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</si>
  <si>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</si>
  <si>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</si>
  <si>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</si>
  <si>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</si>
  <si>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</si>
  <si>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</si>
  <si>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</si>
  <si>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</si>
  <si>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</si>
  <si>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</si>
  <si>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</si>
  <si>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</si>
  <si>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</si>
  <si>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</si>
  <si>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</si>
  <si>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</si>
  <si>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</si>
  <si>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</si>
  <si>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</si>
  <si>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</si>
  <si>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</si>
  <si>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</si>
  <si>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</si>
  <si>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</si>
  <si>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</si>
  <si>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</si>
  <si>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</si>
  <si>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</si>
  <si>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</si>
  <si>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</si>
  <si>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</si>
  <si>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</si>
  <si>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</si>
  <si>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</si>
  <si>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</si>
  <si>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</si>
  <si>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</si>
  <si>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</si>
  <si>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</si>
  <si>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</si>
  <si>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</si>
  <si>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</si>
  <si>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</si>
  <si>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</si>
  <si>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</si>
  <si>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</si>
  <si>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</si>
  <si>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</si>
  <si>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</si>
  <si>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</si>
  <si>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</si>
  <si>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</si>
  <si>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</si>
  <si>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</si>
  <si>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</si>
  <si>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</si>
  <si>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</si>
  <si>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</si>
  <si>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</si>
  <si>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</si>
  <si>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</si>
  <si>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</si>
  <si>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</si>
  <si>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</si>
  <si>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</si>
  <si>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</si>
  <si>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</si>
  <si>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</si>
  <si>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</si>
  <si>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</si>
  <si>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</si>
  <si>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</si>
  <si>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</si>
  <si>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</si>
  <si>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</si>
  <si>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</si>
  <si>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</si>
  <si>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</si>
  <si>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</si>
  <si>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</si>
  <si>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</si>
  <si>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</si>
  <si>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</si>
  <si>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</si>
  <si>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</si>
  <si>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</si>
  <si>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</si>
  <si>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</si>
  <si>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</si>
  <si>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</si>
  <si>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</si>
  <si>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</si>
  <si>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</si>
  <si>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</si>
  <si>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</si>
  <si>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</si>
  <si>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</si>
  <si>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</si>
  <si>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</si>
  <si>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</si>
  <si>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</si>
  <si>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</si>
  <si>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</si>
  <si>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</si>
  <si>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</si>
  <si>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</si>
  <si>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</si>
  <si>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</si>
  <si>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</si>
  <si>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</si>
  <si>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</si>
  <si>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</si>
  <si>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</si>
  <si>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</si>
  <si>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</si>
  <si>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</si>
  <si>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</si>
  <si>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</si>
  <si>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</si>
  <si>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</si>
  <si>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</si>
  <si>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</si>
  <si>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</si>
  <si>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</si>
  <si>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</si>
  <si>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</si>
  <si>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</si>
  <si>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</si>
  <si>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</si>
  <si>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</si>
  <si>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</si>
  <si>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</si>
  <si>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</si>
  <si>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</si>
  <si>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</si>
  <si>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</si>
  <si>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</si>
  <si>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</si>
  <si>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</si>
  <si>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</si>
  <si>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</si>
  <si>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</si>
  <si>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</si>
  <si>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</si>
  <si>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</si>
  <si>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</si>
  <si>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</si>
  <si>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</si>
  <si>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</si>
  <si>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</si>
  <si>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</si>
  <si>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</si>
  <si>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</si>
  <si>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</si>
  <si>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</si>
  <si>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</si>
  <si>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</si>
  <si>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</si>
  <si>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</si>
  <si>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</si>
  <si>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</si>
  <si>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</si>
  <si>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</si>
  <si>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</si>
  <si>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</si>
  <si>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</si>
  <si>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</si>
  <si>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</si>
  <si>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</si>
  <si>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</si>
  <si>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</si>
  <si>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</si>
  <si>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</si>
  <si>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</si>
  <si>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</si>
  <si>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</si>
  <si>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</si>
  <si>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</si>
  <si>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</si>
  <si>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</si>
  <si>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</si>
  <si>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</si>
  <si>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</si>
  <si>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</si>
  <si>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</si>
  <si>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</si>
  <si>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</si>
  <si>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</si>
  <si>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</si>
  <si>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</si>
  <si>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</si>
  <si>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</si>
  <si>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</si>
  <si>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</si>
  <si>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</si>
  <si>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</si>
  <si>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</si>
  <si>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</si>
  <si>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</si>
  <si>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</si>
  <si>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</si>
  <si>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</si>
  <si>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</si>
  <si>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</si>
  <si>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</si>
  <si>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</si>
  <si>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</si>
  <si>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</si>
  <si>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</si>
  <si>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</si>
  <si>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</si>
  <si>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</si>
  <si>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</si>
  <si>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</si>
  <si>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</si>
  <si>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</si>
  <si>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</si>
  <si>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</si>
  <si>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</si>
  <si>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</si>
  <si>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</si>
  <si>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</si>
  <si>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</si>
  <si>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</si>
  <si>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</si>
  <si>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</si>
  <si>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</si>
  <si>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</si>
  <si>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</si>
  <si>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</si>
  <si>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</si>
  <si>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</si>
  <si>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</si>
  <si>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</si>
  <si>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</si>
  <si>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</si>
  <si>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</si>
  <si>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</si>
  <si>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</si>
  <si>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</si>
  <si>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</si>
  <si>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</si>
  <si>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</si>
  <si>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</si>
  <si>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</si>
  <si>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</si>
  <si>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</si>
  <si>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</si>
  <si>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</si>
  <si>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</si>
  <si>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</si>
  <si>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</si>
  <si>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</si>
  <si>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</si>
  <si>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</si>
  <si>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</si>
  <si>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</si>
  <si>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</si>
  <si>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</si>
  <si>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</si>
  <si>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</si>
  <si>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</si>
  <si>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</si>
  <si>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</si>
  <si>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</si>
  <si>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</si>
  <si>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</si>
  <si>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</si>
  <si>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</si>
  <si>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</si>
  <si>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</si>
  <si>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</si>
  <si>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</si>
  <si>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</si>
  <si>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</si>
  <si>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</si>
  <si>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</si>
  <si>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</si>
  <si>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</si>
  <si>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</si>
  <si>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</si>
  <si>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</si>
  <si>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</si>
  <si>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</si>
  <si>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</si>
  <si>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</si>
  <si>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</si>
  <si>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</si>
  <si>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</si>
  <si>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</si>
  <si>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</si>
  <si>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</si>
  <si>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</si>
  <si>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</si>
  <si>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</si>
  <si>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</si>
  <si>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</si>
  <si>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</si>
  <si>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</si>
  <si>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</si>
  <si>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</si>
  <si>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</si>
  <si>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</si>
  <si>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</si>
  <si>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</si>
  <si>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</si>
  <si>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</si>
  <si>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</si>
  <si>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</si>
  <si>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</si>
  <si>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</si>
  <si>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</si>
  <si>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</si>
  <si>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</si>
  <si>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</si>
  <si>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</si>
  <si>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</si>
  <si>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</si>
  <si>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</si>
  <si>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</si>
  <si>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</si>
  <si>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</si>
  <si>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</si>
  <si>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</si>
  <si>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</si>
  <si>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</si>
  <si>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</si>
  <si>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</si>
  <si>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</si>
  <si>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</si>
  <si>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</si>
  <si>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</si>
  <si>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</si>
  <si>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</si>
  <si>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</si>
  <si>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</si>
  <si>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</si>
  <si>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</si>
  <si>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</si>
  <si>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</si>
  <si>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</si>
  <si>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</si>
  <si>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</si>
  <si>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</si>
  <si>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</si>
  <si>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</si>
  <si>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</si>
  <si>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</si>
  <si>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</si>
  <si>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</si>
  <si>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</si>
  <si>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</si>
  <si>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</si>
  <si>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</si>
  <si>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</si>
  <si>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</si>
  <si>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</si>
  <si>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</si>
  <si>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</si>
  <si>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</si>
  <si>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</si>
  <si>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</si>
  <si>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</si>
  <si>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</si>
  <si>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</si>
  <si>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</si>
  <si>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</si>
  <si>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</si>
  <si>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</si>
  <si>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</si>
  <si>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</si>
  <si>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</si>
  <si>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</si>
  <si>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</si>
  <si>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</si>
  <si>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</si>
  <si>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</si>
  <si>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</si>
  <si>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</si>
  <si>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</si>
  <si>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</si>
  <si>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</si>
  <si>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</si>
  <si>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</si>
  <si>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</si>
  <si>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</si>
  <si>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</si>
  <si>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</si>
  <si>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</si>
  <si>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</si>
  <si>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</si>
  <si>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</si>
  <si>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</si>
  <si>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</si>
  <si>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</si>
  <si>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</si>
  <si>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</si>
  <si>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</si>
  <si>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</si>
  <si>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</si>
  <si>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</si>
  <si>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</si>
  <si>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</si>
  <si>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</si>
  <si>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</si>
  <si>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</si>
  <si>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</si>
  <si>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</si>
  <si>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</si>
  <si>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</si>
  <si>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</si>
  <si>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</si>
  <si>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</si>
  <si>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</si>
  <si>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</si>
  <si>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</si>
  <si>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</si>
  <si>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</si>
  <si>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</si>
  <si>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</si>
  <si>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</si>
  <si>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</si>
  <si>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</si>
  <si>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</si>
  <si>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</si>
  <si>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</si>
  <si>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</si>
  <si>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</si>
  <si>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</si>
  <si>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</si>
  <si>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</si>
  <si>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</si>
  <si>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</si>
  <si>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</si>
  <si>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</si>
  <si>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</si>
  <si>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</si>
  <si>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</si>
  <si>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</si>
  <si>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</si>
  <si>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</si>
  <si>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</si>
  <si>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</si>
  <si>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</si>
  <si>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</si>
  <si>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</si>
  <si>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</si>
  <si>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</si>
  <si>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</si>
  <si>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</si>
  <si>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</si>
  <si>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</si>
  <si>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</si>
  <si>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</si>
  <si>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</si>
  <si>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</si>
  <si>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</si>
  <si>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</si>
  <si>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</si>
  <si>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</si>
  <si>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</si>
  <si>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</si>
  <si>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</si>
  <si>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</si>
  <si>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</si>
  <si>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</si>
  <si>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</si>
  <si>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</si>
  <si>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</si>
  <si>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</si>
  <si>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</si>
  <si>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</si>
  <si>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</si>
  <si>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</si>
  <si>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</si>
  <si>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</si>
  <si>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</si>
  <si>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</si>
  <si>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</si>
  <si>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</si>
  <si>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</si>
  <si>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</si>
  <si>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</si>
  <si>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</si>
  <si>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</si>
  <si>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</si>
  <si>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</si>
  <si>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</si>
  <si>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</si>
  <si>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</si>
  <si>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</si>
  <si>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</si>
  <si>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</si>
  <si>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</si>
  <si>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</si>
  <si>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</si>
  <si>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</si>
  <si>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</si>
  <si>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</si>
  <si>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</si>
  <si>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</si>
  <si>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</si>
  <si>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</si>
  <si>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</si>
  <si>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</si>
  <si>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</si>
  <si>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</si>
  <si>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</si>
  <si>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</si>
  <si>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</si>
  <si>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</si>
  <si>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</si>
  <si>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</si>
  <si>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</si>
  <si>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</si>
  <si>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</si>
  <si>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</si>
  <si>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</si>
  <si>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</si>
  <si>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</si>
  <si>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</si>
  <si>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</si>
  <si>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</si>
  <si>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</si>
  <si>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</si>
  <si>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</si>
  <si>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</si>
  <si>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</si>
  <si>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</si>
  <si>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</si>
  <si>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</si>
  <si>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</si>
  <si>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</si>
  <si>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</si>
  <si>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</si>
  <si>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</si>
  <si>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</si>
  <si>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</si>
  <si>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</si>
  <si>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</si>
  <si>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</si>
  <si>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</si>
  <si>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</si>
  <si>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</si>
  <si>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</si>
  <si>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</si>
  <si>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</si>
  <si>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</si>
  <si>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</si>
  <si>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</si>
  <si>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</si>
  <si>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</si>
  <si>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</si>
  <si>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</si>
  <si>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</si>
  <si>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</si>
  <si>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</si>
  <si>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</si>
  <si>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</si>
  <si>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</si>
  <si>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</si>
  <si>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</si>
  <si>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</si>
  <si>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</si>
  <si>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</si>
  <si>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</si>
  <si>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</si>
  <si>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</si>
  <si>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</si>
  <si>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</si>
  <si>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</si>
  <si>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</si>
  <si>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</si>
  <si>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</si>
  <si>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</si>
  <si>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</si>
  <si>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</si>
  <si>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</si>
  <si>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</si>
  <si>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</si>
  <si>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</si>
  <si>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</si>
  <si>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</si>
  <si>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</si>
  <si>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</si>
  <si>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</si>
  <si>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</si>
  <si>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</si>
  <si>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</si>
  <si>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</si>
  <si>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</si>
  <si>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</si>
  <si>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</si>
  <si>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</si>
  <si>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</si>
  <si>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</si>
  <si>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</si>
  <si>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</si>
  <si>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</si>
  <si>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</si>
  <si>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</si>
  <si>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</si>
  <si>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</si>
  <si>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</si>
  <si>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</si>
  <si>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</si>
  <si>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</si>
  <si>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</si>
  <si>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</si>
  <si>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</si>
  <si>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</si>
  <si>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</si>
  <si>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</si>
  <si>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</si>
  <si>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</si>
  <si>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</si>
  <si>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</si>
  <si>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</si>
  <si>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</si>
  <si>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</si>
  <si>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</si>
  <si>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</si>
  <si>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</si>
  <si>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</si>
  <si>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</si>
  <si>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</si>
  <si>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</si>
  <si>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</si>
  <si>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</si>
  <si>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</si>
  <si>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</si>
  <si>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</si>
  <si>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</si>
  <si>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</si>
  <si>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</si>
  <si>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</si>
  <si>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</si>
  <si>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</si>
  <si>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</si>
  <si>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</si>
  <si>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</si>
  <si>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</si>
  <si>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</si>
  <si>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</si>
  <si>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</si>
  <si>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</si>
  <si>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</si>
  <si>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</si>
  <si>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</si>
  <si>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</si>
  <si>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</si>
  <si>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</si>
  <si>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</si>
  <si>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</si>
  <si>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</si>
  <si>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</si>
  <si>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</si>
  <si>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</si>
  <si>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</si>
  <si>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</si>
  <si>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</si>
  <si>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</si>
  <si>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</si>
  <si>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</si>
  <si>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</si>
  <si>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</si>
  <si>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</si>
  <si>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</si>
  <si>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</si>
  <si>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</si>
  <si>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</si>
  <si>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</si>
  <si>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</si>
  <si>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</si>
  <si>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</si>
  <si>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</si>
  <si>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</si>
  <si>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</si>
  <si>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</si>
  <si>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</si>
  <si>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</si>
  <si>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</si>
  <si>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</si>
  <si>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</si>
  <si>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</si>
  <si>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</si>
  <si>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</si>
  <si>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</si>
  <si>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</si>
  <si>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</si>
  <si>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</si>
  <si>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</si>
  <si>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</si>
  <si>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</si>
  <si>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</si>
  <si>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</si>
  <si>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</si>
  <si>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</si>
  <si>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</si>
  <si>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</si>
  <si>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</si>
  <si>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</si>
  <si>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</si>
  <si>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</si>
  <si>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</si>
  <si>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</si>
  <si>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</si>
  <si>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</si>
  <si>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</si>
  <si>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</si>
  <si>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</si>
  <si>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</si>
  <si>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</si>
  <si>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</si>
  <si>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</si>
  <si>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</si>
  <si>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</si>
  <si>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</si>
  <si>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</si>
  <si>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</si>
  <si>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</si>
  <si>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</si>
  <si>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</si>
  <si>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</si>
  <si>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</si>
  <si>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</si>
  <si>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</si>
  <si>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</si>
  <si>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</si>
  <si>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</si>
  <si>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</si>
  <si>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</si>
  <si>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</si>
  <si>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</si>
  <si>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</si>
  <si>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</si>
  <si>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</si>
  <si>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</si>
  <si>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</si>
  <si>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</si>
  <si>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</si>
  <si>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</si>
  <si>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</si>
  <si>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</si>
  <si>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</si>
  <si>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</si>
  <si>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</si>
  <si>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</si>
  <si>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</si>
  <si>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</si>
  <si>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</si>
  <si>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</si>
  <si>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</si>
  <si>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</si>
  <si>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</si>
  <si>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</si>
  <si>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</si>
  <si>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</si>
  <si>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</si>
  <si>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</si>
  <si>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</si>
  <si>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</si>
  <si>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</si>
  <si>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</si>
  <si>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</si>
  <si>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</si>
  <si>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</si>
  <si>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</si>
  <si>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</si>
  <si>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</si>
  <si>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</si>
  <si>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</si>
  <si>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</si>
  <si>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</si>
  <si>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</si>
  <si>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</si>
  <si>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</si>
  <si>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</si>
  <si>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</si>
  <si>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</si>
  <si>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</si>
  <si>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</si>
  <si>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</si>
  <si>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</si>
  <si>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</si>
  <si>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</si>
  <si>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</si>
  <si>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</si>
  <si>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</si>
  <si>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</si>
  <si>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</si>
  <si>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</si>
  <si>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</si>
  <si>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</si>
  <si>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</si>
  <si>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</si>
  <si>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</si>
  <si>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</si>
  <si>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</si>
  <si>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</si>
  <si>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</si>
  <si>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</si>
  <si>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</si>
  <si>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</si>
  <si>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</si>
  <si>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</si>
  <si>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</si>
  <si>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</si>
  <si>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</si>
  <si>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</si>
  <si>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</si>
  <si>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</si>
  <si>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</si>
  <si>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</si>
  <si>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</si>
  <si>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</si>
  <si>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</si>
  <si>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</si>
  <si>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</si>
  <si>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</si>
  <si>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</si>
  <si>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</si>
  <si>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</si>
  <si>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</si>
  <si>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</si>
  <si>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</si>
  <si>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</si>
  <si>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</si>
  <si>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</si>
  <si>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</si>
  <si>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</si>
  <si>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</si>
  <si>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</si>
  <si>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</si>
  <si>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</si>
  <si>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</si>
  <si>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</si>
  <si>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</si>
  <si>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</si>
  <si>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</si>
  <si>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</si>
  <si>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</si>
  <si>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</si>
  <si>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</si>
  <si>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</si>
  <si>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</si>
  <si>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</si>
  <si>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</si>
  <si>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</si>
  <si>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</si>
  <si>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</si>
  <si>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</si>
  <si>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</si>
  <si>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</si>
  <si>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</si>
  <si>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</si>
  <si>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</si>
  <si>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</si>
  <si>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</si>
  <si>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</si>
  <si>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</si>
  <si>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</si>
  <si>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</si>
  <si>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</si>
  <si>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</si>
  <si>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</si>
  <si>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</si>
  <si>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</si>
  <si>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</si>
  <si>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</si>
  <si>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</si>
  <si>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</si>
  <si>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</si>
  <si>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</si>
  <si>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</si>
  <si>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</si>
  <si>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</si>
  <si>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</si>
  <si>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</si>
  <si>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</si>
  <si>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</si>
  <si>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</si>
  <si>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</si>
  <si>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</si>
  <si>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</si>
  <si>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</si>
  <si>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</si>
  <si>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</si>
  <si>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</si>
  <si>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</si>
  <si>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</si>
  <si>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</si>
  <si>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</si>
  <si>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</si>
  <si>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</si>
  <si>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</si>
  <si>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</si>
  <si>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</si>
  <si>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</si>
  <si>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</si>
  <si>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</si>
  <si>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</si>
  <si>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</si>
  <si>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</si>
  <si>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</si>
  <si>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</si>
  <si>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</si>
  <si>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</si>
  <si>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</si>
  <si>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</si>
  <si>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</si>
  <si>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</si>
  <si>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</si>
  <si>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</si>
  <si>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</si>
  <si>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</si>
  <si>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</si>
  <si>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</si>
  <si>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</si>
  <si>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</si>
  <si>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</si>
  <si>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</si>
  <si>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</si>
  <si>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</si>
  <si>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</si>
  <si>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</si>
  <si>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</si>
  <si>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</si>
  <si>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</si>
  <si>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</si>
  <si>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</si>
  <si>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</si>
  <si>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</si>
  <si>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</si>
  <si>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</si>
  <si>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</si>
  <si>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</si>
  <si>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</si>
  <si>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</si>
  <si>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</si>
  <si>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</si>
  <si>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</si>
  <si>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</si>
  <si>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</si>
  <si>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</si>
  <si>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</si>
  <si>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</si>
  <si>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</si>
  <si>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</si>
  <si>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</si>
  <si>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</si>
  <si>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</si>
  <si>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</si>
  <si>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</si>
  <si>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</si>
  <si>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</si>
  <si>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</si>
  <si>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</si>
  <si>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</si>
  <si>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</si>
  <si>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</si>
  <si>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</si>
  <si>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</si>
  <si>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</si>
  <si>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</si>
  <si>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</si>
  <si>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</si>
  <si>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</si>
  <si>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</si>
  <si>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</si>
  <si>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</si>
  <si>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</si>
  <si>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</si>
  <si>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</si>
  <si>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</si>
  <si>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</si>
  <si>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</si>
  <si>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</si>
  <si>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</si>
  <si>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</si>
  <si>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</si>
  <si>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</si>
  <si>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</si>
  <si>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</si>
  <si>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</si>
  <si>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</si>
  <si>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</si>
  <si>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</si>
  <si>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</si>
  <si>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</si>
  <si>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</si>
  <si>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</si>
  <si>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</si>
  <si>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</si>
  <si>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</si>
  <si>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</si>
  <si>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</si>
  <si>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</si>
  <si>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</si>
  <si>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</si>
  <si>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</si>
  <si>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</si>
  <si>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</si>
  <si>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</si>
  <si>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</si>
  <si>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</si>
  <si>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</si>
  <si>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</si>
  <si>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</si>
  <si>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</si>
  <si>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</si>
  <si>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</si>
  <si>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</si>
  <si>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</si>
  <si>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</si>
  <si>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</si>
  <si>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</si>
  <si>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</si>
  <si>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</si>
  <si>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</si>
  <si>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</si>
  <si>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</si>
  <si>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</si>
  <si>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</si>
  <si>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</si>
  <si>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</si>
  <si>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</si>
  <si>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</si>
  <si>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</si>
  <si>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</si>
  <si>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</si>
  <si>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</si>
  <si>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</si>
  <si>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</si>
  <si>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</si>
  <si>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</si>
  <si>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</si>
  <si>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</si>
  <si>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</si>
  <si>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</si>
  <si>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</si>
  <si>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</si>
  <si>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</si>
  <si>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</si>
  <si>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</si>
  <si>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</si>
  <si>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</si>
  <si>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</si>
  <si>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</si>
  <si>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</si>
  <si>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</si>
  <si>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</si>
  <si>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</si>
  <si>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</si>
  <si>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</si>
  <si>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</si>
  <si>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</si>
  <si>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</si>
  <si>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</si>
  <si>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</si>
  <si>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</si>
  <si>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</si>
  <si>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</si>
  <si>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</si>
  <si>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</si>
  <si>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</si>
  <si>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</si>
  <si>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</si>
  <si>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</si>
  <si>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</si>
  <si>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</si>
  <si>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</si>
  <si>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</si>
  <si>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</si>
  <si>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</si>
  <si>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</si>
  <si>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</si>
  <si>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</si>
  <si>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</si>
  <si>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</si>
  <si>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</si>
  <si>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</si>
  <si>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</si>
  <si>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</si>
  <si>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</si>
  <si>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</si>
  <si>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</si>
  <si>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</si>
  <si>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</si>
  <si>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</si>
  <si>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</si>
  <si>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</si>
  <si>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</si>
  <si>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</si>
  <si>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</si>
  <si>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</si>
  <si>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</si>
  <si>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</si>
  <si>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</si>
  <si>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</si>
  <si>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</si>
  <si>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</si>
  <si>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</si>
  <si>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</si>
  <si>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</si>
  <si>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</si>
  <si>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</si>
  <si>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</si>
  <si>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</si>
  <si>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</si>
  <si>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</si>
  <si>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</si>
  <si>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</si>
  <si>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</si>
  <si>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</si>
  <si>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</si>
  <si>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</si>
  <si>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</si>
  <si>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</si>
  <si>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</si>
  <si>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</si>
  <si>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</si>
  <si>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</si>
  <si>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</si>
  <si>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</si>
  <si>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</si>
  <si>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</si>
  <si>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</si>
  <si>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</si>
  <si>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</si>
  <si>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</si>
  <si>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</si>
  <si>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</si>
  <si>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</si>
  <si>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</si>
  <si>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</si>
  <si>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</si>
  <si>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</si>
  <si>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</si>
  <si>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</si>
  <si>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</si>
  <si>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</si>
  <si>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</si>
  <si>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</si>
  <si>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</si>
  <si>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</si>
  <si>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</si>
  <si>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</si>
  <si>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</si>
  <si>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</si>
  <si>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</si>
  <si>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</si>
  <si>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</si>
  <si>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</si>
  <si>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</si>
  <si>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</si>
  <si>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</si>
  <si>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</si>
  <si>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</si>
  <si>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</si>
  <si>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</si>
  <si>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</si>
  <si>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</si>
  <si>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</si>
  <si>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</si>
  <si>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</si>
  <si>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</si>
  <si>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</si>
  <si>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</si>
  <si>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</si>
  <si>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</si>
  <si>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</si>
  <si>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</si>
  <si>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</si>
  <si>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</si>
  <si>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</si>
  <si>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</si>
  <si>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</si>
  <si>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</si>
  <si>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</si>
  <si>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</si>
  <si>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</si>
  <si>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</si>
  <si>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</si>
  <si>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</si>
  <si>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</si>
  <si>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</si>
  <si>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</si>
  <si>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</si>
  <si>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</si>
  <si>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</si>
  <si>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</si>
  <si>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</si>
  <si>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</si>
  <si>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</si>
  <si>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</si>
  <si>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</si>
  <si>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</si>
  <si>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</si>
  <si>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</si>
  <si>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</si>
  <si>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</si>
  <si>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</si>
  <si>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</si>
  <si>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</si>
  <si>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</si>
  <si>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</si>
  <si>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</si>
  <si>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</si>
  <si>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</si>
  <si>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</si>
  <si>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</si>
  <si>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</si>
  <si>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</si>
  <si>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</si>
  <si>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</si>
  <si>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</si>
  <si>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</si>
  <si>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</si>
  <si>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</si>
  <si>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</si>
  <si>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</si>
  <si>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</si>
  <si>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</si>
  <si>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</si>
  <si>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</si>
  <si>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</si>
  <si>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</si>
  <si>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</si>
  <si>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</si>
  <si>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</si>
  <si>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</si>
  <si>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</si>
  <si>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</si>
  <si>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</si>
  <si>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</si>
  <si>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</si>
  <si>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</si>
  <si>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</si>
  <si>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</si>
  <si>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</si>
  <si>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</si>
  <si>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</si>
  <si>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</si>
  <si>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</si>
  <si>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</si>
  <si>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</si>
  <si>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</si>
  <si>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</si>
  <si>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</si>
  <si>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</si>
  <si>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</si>
  <si>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</si>
  <si>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</si>
  <si>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</si>
  <si>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</si>
  <si>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</si>
  <si>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</si>
  <si>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</si>
  <si>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</si>
  <si>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</si>
  <si>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</si>
  <si>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</si>
  <si>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</si>
  <si>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</si>
  <si>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</si>
  <si>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</si>
  <si>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</si>
  <si>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</si>
  <si>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</si>
  <si>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</si>
  <si>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</si>
  <si>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</si>
  <si>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</si>
  <si>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</si>
  <si>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</si>
  <si>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</si>
  <si>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</si>
  <si>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</si>
  <si>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</si>
  <si>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</si>
  <si>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</si>
  <si>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</si>
  <si>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</si>
  <si>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</si>
  <si>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</si>
  <si>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</si>
  <si>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</si>
  <si>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</si>
  <si>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</si>
  <si>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</si>
  <si>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</si>
  <si>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</si>
  <si>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</si>
  <si>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</si>
  <si>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</si>
  <si>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</si>
  <si>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</si>
  <si>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</si>
  <si>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</si>
  <si>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</si>
  <si>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</si>
  <si>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</si>
  <si>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</si>
  <si>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</si>
  <si>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</si>
  <si>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</si>
  <si>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</si>
  <si>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</si>
  <si>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</si>
  <si>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</si>
  <si>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</si>
  <si>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</si>
  <si>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</si>
  <si>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</si>
  <si>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</si>
  <si>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</si>
  <si>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</si>
  <si>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</si>
  <si>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</si>
  <si>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</si>
  <si>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</si>
  <si>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</si>
  <si>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</si>
  <si>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</si>
  <si>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</si>
  <si>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</si>
  <si>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</si>
  <si>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</si>
  <si>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</si>
  <si>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</si>
  <si>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</si>
  <si>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</si>
  <si>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</si>
  <si>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</si>
  <si>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</si>
  <si>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</si>
  <si>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</si>
  <si>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</si>
  <si>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</si>
  <si>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</si>
  <si>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</si>
  <si>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</si>
  <si>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</si>
  <si>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</si>
  <si>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</si>
  <si>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</si>
  <si>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</si>
  <si>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</si>
  <si>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</si>
  <si>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</si>
  <si>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</si>
  <si>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</si>
  <si>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</si>
  <si>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</si>
  <si>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</si>
  <si>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</si>
  <si>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</si>
  <si>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</si>
  <si>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</si>
  <si>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</si>
  <si>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</si>
  <si>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</si>
  <si>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</si>
  <si>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</si>
  <si>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</si>
  <si>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</si>
  <si>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</si>
  <si>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</si>
  <si>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</si>
  <si>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</si>
  <si>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</si>
  <si>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</si>
  <si>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</si>
  <si>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</si>
  <si>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</si>
  <si>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</si>
  <si>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</si>
  <si>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</si>
  <si>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</si>
  <si>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</si>
  <si>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</si>
  <si>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</si>
  <si>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</si>
  <si>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</si>
  <si>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</si>
  <si>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</si>
  <si>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</si>
  <si>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</si>
  <si>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</si>
  <si>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</si>
  <si>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</si>
  <si>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</si>
  <si>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</si>
  <si>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</si>
  <si>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</si>
  <si>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</si>
  <si>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</si>
  <si>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</si>
  <si>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</si>
  <si>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</si>
  <si>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</si>
  <si>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</si>
  <si>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</si>
  <si>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</si>
  <si>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</si>
  <si>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</si>
  <si>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</si>
  <si>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</si>
  <si>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</si>
  <si>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</si>
  <si>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</si>
  <si>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</si>
  <si>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</si>
  <si>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</si>
  <si>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</si>
  <si>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</si>
  <si>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</si>
  <si>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</si>
  <si>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</si>
  <si>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</si>
  <si>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</si>
  <si>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</si>
  <si>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</si>
  <si>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</si>
  <si>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</si>
  <si>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</si>
  <si>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</si>
  <si>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</si>
  <si>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</si>
  <si>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</si>
  <si>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</si>
  <si>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</si>
  <si>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</si>
  <si>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</si>
  <si>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</si>
  <si>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</si>
  <si>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</si>
  <si>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</si>
  <si>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</si>
  <si>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</si>
  <si>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</si>
  <si>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</si>
  <si>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</si>
  <si>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</si>
  <si>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</si>
  <si>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</si>
  <si>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</si>
  <si>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</si>
  <si>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</si>
  <si>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</si>
  <si>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</si>
  <si>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</si>
  <si>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</si>
  <si>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</si>
  <si>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</si>
  <si>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</si>
  <si>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</si>
  <si>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</si>
  <si>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</si>
  <si>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</si>
  <si>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</si>
  <si>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</si>
  <si>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</si>
  <si>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</si>
  <si>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</si>
  <si>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</si>
  <si>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</si>
  <si>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</si>
  <si>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</si>
  <si>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</si>
  <si>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</si>
  <si>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</si>
  <si>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</si>
  <si>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</si>
  <si>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</si>
  <si>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</si>
  <si>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</si>
  <si>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</si>
  <si>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</si>
  <si>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</si>
  <si>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</si>
  <si>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</si>
  <si>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</si>
  <si>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</si>
  <si>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</si>
  <si>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</si>
  <si>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</si>
  <si>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</si>
  <si>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</si>
  <si>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</si>
  <si>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</si>
  <si>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</si>
  <si>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</si>
  <si>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</si>
  <si>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</si>
  <si>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</si>
  <si>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</si>
  <si>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</si>
  <si>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</si>
  <si>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</si>
  <si>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</si>
  <si>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</si>
  <si>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</si>
  <si>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</si>
  <si>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</si>
  <si>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</si>
  <si>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</si>
  <si>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</si>
  <si>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</si>
  <si>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</si>
  <si>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</si>
  <si>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</si>
  <si>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</si>
  <si>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</si>
  <si>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</si>
  <si>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</si>
  <si>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</si>
  <si>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</si>
  <si>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</si>
  <si>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</si>
  <si>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</si>
  <si>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</si>
  <si>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</si>
  <si>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</si>
  <si>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</si>
  <si>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</si>
  <si>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</si>
  <si>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</si>
  <si>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</si>
  <si>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</si>
  <si>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</si>
  <si>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</si>
  <si>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</si>
  <si>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</si>
  <si>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</si>
  <si>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</si>
  <si>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</si>
  <si>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</si>
  <si>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</si>
  <si>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</si>
  <si>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</si>
  <si>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</si>
  <si>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</si>
  <si>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</si>
  <si>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</si>
  <si>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</si>
  <si>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</si>
  <si>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</si>
  <si>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</si>
  <si>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</si>
  <si>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</si>
  <si>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</si>
  <si>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</si>
  <si>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</si>
  <si>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</si>
  <si>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</si>
  <si>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</si>
  <si>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</si>
  <si>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</si>
  <si>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</si>
  <si>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</si>
  <si>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</si>
  <si>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</si>
  <si>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</si>
  <si>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</si>
  <si>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</si>
  <si>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</si>
  <si>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</si>
  <si>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</si>
  <si>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</si>
  <si>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</si>
  <si>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</si>
  <si>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</si>
  <si>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</si>
  <si>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</si>
  <si>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</si>
  <si>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</si>
  <si>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</si>
  <si>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</si>
  <si>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</si>
  <si>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</si>
  <si>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</si>
  <si>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</si>
  <si>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</si>
  <si>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</si>
  <si>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</si>
  <si>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</si>
  <si>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</si>
  <si>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</si>
  <si>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</si>
  <si>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</si>
  <si>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</si>
  <si>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</si>
  <si>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</si>
  <si>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</si>
  <si>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</si>
  <si>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</si>
  <si>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</si>
  <si>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</si>
  <si>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</si>
  <si>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</si>
  <si>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</si>
  <si>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</si>
  <si>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</si>
  <si>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</si>
  <si>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</si>
  <si>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</si>
  <si>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</si>
  <si>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</si>
  <si>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</si>
  <si>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</si>
  <si>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</si>
  <si>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</si>
  <si>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</si>
  <si>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</si>
  <si>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</si>
  <si>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</si>
  <si>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</si>
  <si>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</si>
  <si>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</si>
  <si>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</si>
  <si>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</si>
  <si>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</si>
  <si>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</si>
  <si>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</si>
  <si>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</si>
  <si>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</si>
  <si>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</si>
  <si>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</si>
  <si>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</si>
  <si>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</si>
  <si>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</si>
  <si>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</si>
  <si>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</si>
  <si>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</si>
  <si>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</si>
  <si>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</si>
  <si>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</si>
  <si>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</si>
  <si>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</si>
  <si>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</si>
  <si>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</si>
  <si>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</si>
  <si>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</si>
  <si>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</si>
  <si>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</si>
  <si>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</si>
  <si>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</si>
  <si>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</si>
  <si>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</si>
  <si>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</si>
  <si>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</si>
  <si>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</si>
  <si>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</si>
  <si>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</si>
  <si>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</si>
  <si>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</si>
  <si>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</si>
  <si>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</si>
  <si>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</si>
  <si>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</si>
  <si>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</si>
  <si>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</si>
  <si>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</si>
  <si>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</si>
  <si>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</si>
  <si>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</si>
  <si>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</si>
  <si>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</si>
  <si>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</si>
  <si>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</si>
  <si>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</si>
  <si>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</si>
  <si>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</si>
  <si>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</si>
  <si>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</si>
  <si>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</si>
  <si>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</si>
  <si>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</si>
  <si>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</si>
  <si>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</si>
  <si>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</si>
  <si>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</si>
  <si>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</si>
  <si>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</si>
  <si>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</si>
  <si>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</si>
  <si>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</si>
  <si>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</si>
  <si>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</si>
  <si>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</si>
  <si>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</si>
  <si>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</si>
  <si>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</si>
  <si>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</si>
  <si>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</si>
  <si>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</si>
  <si>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</si>
  <si>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</si>
  <si>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</si>
  <si>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</si>
  <si>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</si>
  <si>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</si>
  <si>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</si>
  <si>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</si>
  <si>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</si>
  <si>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</si>
  <si>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</si>
  <si>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</si>
  <si>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</si>
  <si>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</si>
  <si>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</si>
  <si>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</si>
  <si>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</si>
  <si>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</si>
  <si>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</si>
  <si>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</si>
  <si>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</si>
  <si>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</si>
  <si>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</si>
  <si>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</si>
  <si>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</si>
  <si>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</si>
  <si>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</si>
  <si>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</si>
  <si>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</si>
  <si>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</si>
  <si>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</si>
  <si>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</si>
  <si>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</si>
  <si>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</si>
  <si>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</si>
  <si>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</si>
  <si>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</si>
  <si>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</si>
  <si>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</si>
  <si>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</si>
  <si>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</si>
  <si>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</si>
  <si>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</si>
  <si>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</si>
  <si>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</si>
  <si>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</si>
  <si>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</si>
  <si>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</si>
  <si>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</si>
  <si>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</si>
  <si>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</si>
  <si>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</si>
  <si>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</si>
  <si>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</si>
  <si>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</si>
  <si>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</si>
  <si>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</si>
  <si>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</si>
  <si>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</si>
  <si>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</si>
  <si>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</si>
  <si>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</si>
  <si>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</si>
  <si>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</si>
  <si>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</si>
  <si>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</si>
  <si>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</si>
  <si>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</si>
  <si>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</si>
  <si>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</si>
  <si>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</si>
  <si>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</si>
  <si>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</si>
  <si>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</si>
  <si>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</si>
  <si>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</si>
  <si>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</si>
  <si>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</si>
  <si>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</si>
  <si>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</si>
  <si>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</si>
  <si>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</si>
  <si>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</si>
  <si>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</si>
  <si>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</si>
  <si>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</si>
  <si>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</si>
  <si>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</si>
  <si>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</si>
  <si>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</si>
  <si>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</si>
  <si>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</si>
  <si>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</si>
  <si>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</si>
  <si>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</si>
  <si>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</si>
  <si>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</si>
  <si>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</si>
  <si>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</si>
  <si>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</si>
  <si>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</si>
  <si>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</si>
  <si>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</si>
  <si>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</si>
  <si>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</si>
  <si>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</si>
  <si>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</si>
  <si>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</si>
  <si>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</si>
  <si>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</si>
  <si>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</si>
  <si>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</si>
  <si>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</si>
  <si>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</si>
  <si>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</si>
  <si>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</si>
  <si>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</si>
  <si>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</si>
  <si>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</si>
  <si>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</si>
  <si>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</si>
  <si>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</si>
  <si>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</si>
  <si>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</si>
  <si>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</si>
  <si>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</si>
  <si>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</si>
  <si>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</si>
  <si>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</si>
  <si>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</si>
  <si>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</si>
  <si>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</si>
  <si>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</si>
  <si>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</si>
  <si>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</si>
  <si>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</si>
  <si>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</si>
  <si>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</si>
  <si>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</si>
  <si>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</si>
  <si>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</si>
  <si>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</si>
  <si>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</si>
  <si>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</si>
  <si>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</si>
  <si>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</si>
  <si>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</si>
  <si>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</si>
  <si>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</si>
  <si>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</si>
  <si>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</si>
  <si>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</si>
  <si>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</si>
  <si>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</si>
  <si>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</si>
  <si>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</si>
  <si>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</si>
  <si>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</si>
  <si>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</si>
  <si>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</si>
  <si>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</si>
  <si>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</si>
  <si>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</si>
  <si>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</si>
  <si>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</si>
  <si>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</si>
  <si>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</si>
  <si>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</si>
  <si>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</si>
  <si>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</si>
  <si>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</si>
  <si>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</si>
  <si>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</si>
  <si>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</si>
  <si>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</si>
  <si>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</si>
  <si>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</si>
  <si>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</si>
  <si>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</si>
  <si>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</si>
  <si>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</si>
  <si>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</si>
  <si>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</si>
  <si>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</si>
  <si>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</si>
  <si>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</si>
  <si>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</si>
  <si>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</si>
  <si>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</si>
  <si>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</si>
  <si>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</si>
  <si>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</si>
  <si>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</si>
  <si>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</si>
  <si>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</si>
  <si>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</si>
  <si>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</si>
  <si>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</si>
  <si>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</si>
  <si>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</si>
  <si>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</si>
  <si>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</si>
  <si>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</si>
  <si>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</si>
  <si>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</si>
  <si>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</si>
  <si>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</si>
  <si>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</si>
  <si>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</si>
  <si>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</si>
  <si>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</si>
  <si>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</si>
  <si>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</si>
  <si>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</si>
  <si>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</si>
  <si>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</si>
  <si>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</si>
  <si>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</si>
  <si>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</si>
  <si>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</si>
  <si>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</si>
  <si>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</si>
  <si>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</si>
  <si>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</si>
  <si>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</si>
  <si>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</si>
  <si>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</si>
  <si>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</si>
  <si>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</si>
  <si>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</si>
  <si>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</si>
  <si>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</si>
  <si>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</si>
  <si>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</si>
  <si>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</si>
  <si>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</si>
  <si>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</si>
  <si>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</si>
  <si>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</si>
  <si>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</si>
  <si>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</si>
  <si>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</si>
  <si>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</si>
  <si>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</si>
  <si>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</si>
  <si>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</si>
  <si>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</si>
  <si>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</si>
  <si>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</si>
  <si>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</si>
  <si>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</si>
  <si>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</si>
  <si>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</si>
  <si>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</si>
  <si>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</si>
  <si>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</si>
  <si>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</si>
  <si>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</si>
  <si>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</si>
  <si>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</si>
  <si>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</si>
  <si>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</si>
  <si>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</si>
  <si>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</si>
  <si>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</si>
  <si>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</si>
  <si>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</si>
  <si>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</si>
  <si>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</si>
  <si>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</si>
  <si>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</si>
  <si>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</si>
  <si>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</si>
  <si>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</si>
  <si>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</si>
  <si>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</si>
  <si>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</si>
  <si>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</si>
  <si>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</si>
  <si>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</si>
  <si>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</si>
  <si>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</si>
  <si>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</si>
  <si>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</si>
  <si>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</si>
  <si>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</si>
  <si>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</si>
  <si>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</si>
  <si>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</si>
  <si>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</si>
  <si>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</si>
  <si>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</si>
  <si>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</si>
  <si>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</si>
  <si>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</si>
  <si>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</si>
  <si>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</si>
  <si>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</si>
  <si>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</si>
  <si>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</si>
  <si>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</si>
  <si>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</si>
  <si>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</si>
  <si>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</si>
  <si>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</si>
  <si>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</si>
  <si>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</si>
  <si>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</si>
  <si>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</si>
  <si>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</si>
  <si>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</si>
  <si>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</si>
  <si>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</si>
  <si>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</si>
  <si>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</si>
  <si>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</si>
  <si>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</si>
  <si>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</si>
  <si>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</si>
  <si>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</si>
  <si>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</si>
  <si>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</si>
  <si>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</si>
  <si>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</si>
  <si>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</si>
  <si>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</si>
  <si>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</si>
  <si>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</si>
  <si>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</si>
  <si>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</si>
  <si>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</si>
  <si>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</si>
  <si>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</si>
  <si>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</si>
  <si>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</si>
  <si>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</si>
  <si>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</si>
  <si>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</si>
  <si>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</si>
  <si>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</si>
  <si>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</si>
  <si>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</si>
  <si>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</si>
  <si>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</si>
  <si>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</si>
  <si>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</si>
  <si>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</si>
  <si>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</si>
  <si>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</si>
  <si>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</si>
  <si>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</si>
  <si>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</si>
  <si>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</si>
  <si>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</si>
  <si>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</si>
  <si>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</si>
  <si>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</si>
  <si>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</si>
  <si>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</si>
  <si>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</si>
  <si>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</si>
  <si>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</si>
  <si>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</si>
  <si>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</si>
  <si>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</si>
  <si>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</si>
  <si>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</si>
  <si>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</si>
  <si>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</si>
  <si>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</si>
  <si>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</si>
  <si>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</si>
  <si>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</si>
  <si>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</si>
  <si>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</si>
  <si>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</si>
  <si>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</si>
  <si>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</si>
  <si>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</si>
  <si>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</si>
  <si>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</si>
  <si>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</si>
  <si>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</si>
  <si>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</si>
  <si>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</si>
  <si>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</si>
  <si>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</si>
  <si>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</si>
  <si>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</si>
  <si>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</si>
  <si>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</si>
  <si>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</si>
  <si>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</si>
  <si>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</si>
  <si>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</si>
  <si>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</si>
  <si>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</si>
  <si>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</si>
  <si>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</si>
  <si>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</si>
  <si>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</si>
  <si>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</si>
  <si>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</si>
  <si>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</si>
  <si>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</si>
  <si>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</si>
  <si>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</si>
  <si>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</si>
  <si>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</si>
  <si>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</si>
  <si>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</si>
  <si>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</si>
  <si>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</si>
  <si>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</si>
  <si>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</si>
  <si>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</si>
  <si>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</si>
  <si>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</si>
  <si>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</si>
  <si>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</si>
  <si>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</si>
  <si>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</si>
  <si>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</si>
  <si>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</si>
  <si>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</si>
  <si>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</si>
  <si>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</si>
  <si>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</si>
  <si>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</si>
  <si>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</si>
  <si>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</si>
  <si>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</si>
  <si>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</si>
  <si>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</si>
  <si>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</si>
  <si>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</si>
  <si>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</si>
  <si>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</si>
  <si>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</si>
  <si>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</si>
  <si>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</si>
  <si>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</si>
  <si>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</si>
  <si>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</si>
  <si>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</si>
  <si>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</si>
  <si>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</si>
  <si>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</si>
  <si>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</si>
  <si>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</si>
  <si>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</si>
  <si>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</si>
  <si>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</si>
  <si>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</si>
  <si>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</si>
  <si>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</si>
  <si>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</si>
  <si>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</si>
  <si>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</si>
  <si>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</si>
  <si>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</si>
  <si>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</si>
  <si>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</si>
  <si>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</si>
  <si>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</si>
  <si>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</si>
  <si>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</si>
  <si>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</si>
  <si>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</si>
  <si>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</si>
  <si>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</si>
  <si>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</si>
  <si>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</si>
  <si>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</si>
  <si>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</si>
  <si>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</si>
  <si>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</si>
  <si>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</si>
  <si>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</si>
  <si>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</si>
  <si>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</si>
  <si>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</si>
  <si>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</si>
  <si>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</si>
  <si>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</si>
  <si>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</si>
  <si>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</si>
  <si>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</si>
  <si>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</si>
  <si>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</si>
  <si>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</si>
  <si>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</si>
  <si>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</si>
  <si>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</si>
  <si>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</si>
  <si>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</si>
  <si>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</si>
  <si>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</si>
  <si>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</si>
  <si>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</si>
  <si>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</si>
  <si>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</si>
  <si>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</si>
  <si>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</si>
  <si>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</si>
  <si>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</si>
  <si>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</si>
  <si>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</si>
  <si>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</si>
  <si>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</si>
  <si>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</si>
  <si>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</si>
  <si>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</si>
  <si>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</si>
  <si>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</si>
  <si>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</si>
  <si>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</si>
  <si>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</si>
  <si>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</si>
  <si>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</si>
  <si>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</si>
  <si>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</si>
  <si>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</si>
  <si>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</si>
  <si>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</si>
  <si>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</si>
  <si>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</si>
  <si>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</si>
  <si>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</si>
  <si>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</si>
  <si>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</si>
  <si>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</si>
  <si>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</si>
  <si>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</si>
  <si>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</si>
  <si>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</si>
  <si>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</si>
  <si>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</si>
  <si>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</si>
  <si>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</si>
  <si>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</si>
  <si>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</si>
  <si>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</si>
  <si>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</si>
  <si>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</si>
  <si>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</si>
  <si>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</si>
  <si>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</si>
  <si>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</si>
  <si>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</si>
  <si>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</si>
  <si>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</si>
  <si>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</si>
  <si>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</si>
  <si>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</si>
  <si>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</si>
  <si>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</si>
  <si>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</si>
  <si>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</si>
  <si>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</si>
  <si>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</si>
  <si>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</si>
  <si>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</si>
  <si>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</si>
  <si>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</si>
  <si>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</si>
  <si>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</si>
  <si>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</si>
  <si>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</si>
  <si>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</si>
  <si>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</si>
  <si>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</si>
  <si>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</si>
  <si>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</si>
  <si>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</si>
  <si>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</si>
  <si>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</si>
  <si>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</si>
  <si>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</si>
  <si>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</si>
  <si>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</si>
  <si>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</si>
  <si>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</si>
  <si>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</si>
  <si>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</si>
  <si>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</si>
  <si>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</si>
  <si>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</si>
  <si>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</si>
  <si>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</si>
  <si>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</si>
  <si>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</si>
  <si>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</si>
  <si>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</si>
  <si>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</si>
  <si>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</si>
  <si>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</si>
  <si>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</si>
  <si>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</si>
  <si>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</si>
  <si>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</si>
  <si>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</si>
  <si>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</si>
  <si>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</si>
  <si>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</si>
  <si>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</si>
  <si>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</si>
  <si>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</si>
  <si>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</si>
  <si>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</si>
  <si>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</si>
  <si>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</si>
  <si>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</si>
  <si>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</si>
  <si>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</si>
  <si>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</si>
  <si>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</si>
  <si>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</si>
  <si>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</si>
  <si>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</si>
  <si>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</si>
  <si>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</si>
  <si>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</si>
  <si>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</si>
  <si>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</si>
  <si>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</si>
  <si>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</si>
  <si>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</si>
  <si>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</si>
  <si>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</si>
  <si>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</si>
  <si>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</si>
  <si>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</si>
  <si>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</si>
  <si>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</si>
  <si>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</si>
  <si>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</si>
  <si>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</si>
  <si>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</si>
  <si>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</si>
  <si>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</si>
  <si>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</si>
  <si>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</si>
  <si>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</si>
  <si>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</si>
  <si>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</si>
  <si>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</si>
  <si>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</si>
  <si>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</si>
  <si>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</si>
  <si>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</si>
  <si>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</si>
  <si>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</si>
  <si>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</si>
  <si>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</si>
  <si>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</si>
  <si>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</si>
  <si>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</si>
  <si>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</si>
  <si>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</si>
  <si>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</si>
  <si>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</si>
  <si>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</si>
  <si>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</si>
  <si>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</si>
  <si>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</si>
  <si>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</si>
  <si>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</si>
  <si>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</si>
  <si>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</si>
  <si>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</si>
  <si>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</si>
  <si>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</si>
  <si>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</si>
  <si>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</si>
  <si>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</si>
  <si>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</si>
  <si>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</si>
  <si>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</si>
  <si>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</si>
  <si>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</si>
  <si>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</si>
  <si>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</si>
  <si>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</si>
  <si>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</si>
  <si>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</si>
  <si>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</si>
  <si>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</si>
  <si>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</si>
  <si>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</si>
  <si>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</si>
  <si>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</si>
  <si>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</si>
  <si>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</si>
  <si>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</si>
  <si>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</si>
  <si>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</si>
  <si>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</si>
  <si>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</si>
  <si>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</si>
  <si>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</si>
  <si>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</si>
  <si>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</si>
  <si>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</si>
  <si>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</si>
  <si>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</si>
  <si>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</si>
  <si>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</si>
  <si>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</si>
  <si>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</si>
  <si>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</si>
  <si>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</si>
  <si>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</si>
  <si>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</si>
  <si>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</si>
  <si>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</si>
  <si>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</si>
  <si>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</si>
  <si>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</si>
  <si>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</si>
  <si>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</si>
  <si>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REVISAR</t>
  </si>
  <si>
    <t>2026-005 / 2026-026 / 2026-040</t>
  </si>
  <si>
    <t>OK</t>
  </si>
  <si>
    <t>2026-002 / 2026-018 / 2026-023</t>
  </si>
  <si>
    <t>2026-039 / 2026-047</t>
  </si>
  <si>
    <t>2026-015 / 2026-016 / 2026-024</t>
  </si>
  <si>
    <t>2026-011 / 2026-012 / 2026-019</t>
  </si>
  <si>
    <t>CORRIGIR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</si>
</sst>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0" fontId="15" fillId="8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9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Ações InCompany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offee Break-style" pivot="0" count="3" xr9:uid="{00000000-0011-0000-FFFF-FFFF02000000}">
      <tableStyleElement type="headerRow" dxfId="62"/>
      <tableStyleElement type="firstRowStripe" dxfId="61"/>
      <tableStyleElement type="secondRowStripe" dxfId="60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11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3125</v>
      </c>
    </row>
    <row r="2" spans="1:23" ht="22.5" customHeight="1" x14ac:dyDescent="0.25">
      <c r="A2" s="313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17">
        <v>2026</v>
      </c>
    </row>
    <row r="3" spans="1:23" ht="22.5" customHeight="1" x14ac:dyDescent="0.25">
      <c r="A3" s="314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724</v>
      </c>
    </row>
    <row r="5" spans="1:23" ht="22.5" customHeight="1" x14ac:dyDescent="0.25">
      <c r="A5" s="314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3131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3092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3094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2320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3095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2329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3098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3099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3100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3101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3102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2323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2324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2325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2326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2327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3104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3105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3107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2330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3108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2331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2334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3109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2332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2333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3110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3111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3112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3113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3114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2344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3115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2343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2342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3117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3118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3119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3120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3121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3122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2425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3123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3124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3132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338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9" priority="3">
      <formula>LEN(TRIM(L1))=0</formula>
    </cfRule>
  </conditionalFormatting>
  <conditionalFormatting sqref="L1:M2001">
    <cfRule type="containsBlanks" dxfId="58" priority="6">
      <formula>LEN(TRIM(L1))=0</formula>
    </cfRule>
  </conditionalFormatting>
  <conditionalFormatting sqref="L1:M2001">
    <cfRule type="containsBlanks" dxfId="57" priority="7">
      <formula>LEN(TRIM(L1))=0</formula>
    </cfRule>
  </conditionalFormatting>
  <conditionalFormatting sqref="L2001">
    <cfRule type="containsBlanks" dxfId="56" priority="1">
      <formula>LEN(TRIM(L2001))=0</formula>
    </cfRule>
    <cfRule type="containsBlanks" dxfId="55" priority="2">
      <formula>LEN(TRIM(L2001))=0</formula>
    </cfRule>
    <cfRule type="containsBlanks" dxfId="54" priority="5">
      <formula>LEN(TRIM(L2001))=0</formula>
    </cfRule>
  </conditionalFormatting>
  <conditionalFormatting sqref="C2:C2001">
    <cfRule type="expression" dxfId="53" priority="8">
      <formula>TRIM(C2)="Realizado"</formula>
    </cfRule>
    <cfRule type="expression" dxfId="52" priority="9">
      <formula>TRIM(C2)="Cancelado"</formula>
    </cfRule>
    <cfRule type="expression" dxfId="51" priority="10">
      <formula>TRIM(C2)="Adiado"</formula>
    </cfRule>
    <cfRule type="expression" dxfId="50" priority="11">
      <formula>AND(TRIM(C2)="A realizar",ISODD(ROW(C2)))</formula>
    </cfRule>
  </conditionalFormatting>
  <conditionalFormatting sqref="A2:A2001">
    <cfRule type="expression" dxfId="49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09" t="s">
        <v>2328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2345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2346</v>
      </c>
      <c r="B4" s="323"/>
      <c r="D4" s="324" t="s">
        <v>2347</v>
      </c>
      <c r="E4" s="325"/>
      <c r="G4" s="119" t="s">
        <v>2348</v>
      </c>
    </row>
    <row r="5" spans="1:7" ht="54.95" customHeight="1" thickBot="1" x14ac:dyDescent="0.75">
      <c r="A5" s="109">
        <f>COUNTIF('Ações InCompany'!B:B,2026)</f>
        <v>69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2350</v>
      </c>
      <c r="B8" s="319"/>
      <c r="D8" s="319" t="s">
        <v>2351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19" t="s">
        <v>2360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2411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2412</v>
      </c>
    </row>
    <row r="4" spans="1:8" ht="21.95" customHeight="1" x14ac:dyDescent="0.25">
      <c r="A4" s="327" t="s">
        <v>2413</v>
      </c>
      <c r="B4" s="328"/>
      <c r="D4" s="327" t="s">
        <v>2414</v>
      </c>
      <c r="E4" s="328"/>
      <c r="G4" s="327" t="s">
        <v>2415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2421</v>
      </c>
      <c r="B1" s="332"/>
      <c r="C1" s="332"/>
      <c r="D1" s="332"/>
      <c r="E1" s="332"/>
      <c r="F1" s="332"/>
    </row>
    <row r="2" spans="1:7" x14ac:dyDescent="0.25">
      <c r="A2" s="333" t="s">
        <v>2422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L65"/>
  <sheetViews>
    <sheetView tabSelected="1" topLeftCell="B1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</cols>
  <sheetData>
    <row r="1" spans="1:12" x14ac:dyDescent="0.25">
      <c r="A1" s="339" t="s">
        <v>3133</v>
      </c>
      <c r="B1" s="339" t="s">
        <v>3134</v>
      </c>
      <c r="C1" s="339" t="s">
        <v>3135</v>
      </c>
      <c r="D1" s="339" t="s">
        <v>3136</v>
      </c>
      <c r="E1" s="339" t="s">
        <v>3137</v>
      </c>
      <c r="F1" s="339" t="s">
        <v>3138</v>
      </c>
      <c r="G1" s="339" t="s">
        <v>10</v>
      </c>
      <c r="H1" s="339" t="s">
        <v>3139</v>
      </c>
      <c r="I1" s="339" t="s">
        <v>3140</v>
      </c>
      <c r="J1" s="339" t="s">
        <v>3141</v>
      </c>
      <c r="K1" s="339" t="s">
        <v>3142</v>
      </c>
      <c r="L1" s="339" t="s">
        <v>3143</v>
      </c>
    </row>
    <row r="2" spans="1:12" x14ac:dyDescent="0.25">
      <c r="A2" t="str">
        <f>"X"&amp;3</f>
        <v>X3</v>
      </c>
      <c r="B2" t="str">
        <f>'GECC 2026'!X3</f>
        <v>2026-021</v>
      </c>
      <c r="C2" t="str">
        <f>'GECC 2026'!Y3</f>
        <v>Paulo José Góes Daltro</v>
      </c>
      <c r="D2">
        <f>'GECC 2026'!Z3</f>
        <v>0</v>
      </c>
      <c r="E2">
        <f>'GECC 2026'!AA3</f>
        <v>0</v>
      </c>
      <c r="F2" t="str">
        <f>IFERROR(INDEX(Tabela2[Curso],MATCH(B2,Tabela2[ID],0)),"")</f>
        <v>Curso de Fundamentos básicos de controle externo no TCDF</v>
      </c>
      <c r="G2" t="str">
        <f>IFERROR(INDEX(Tabela2[Modalidade],MATCH(B2,Tabela2[ID],0)),"")</f>
        <v>Instrutoria Interna</v>
      </c>
      <c r="H2" t="str">
        <f>IFERROR(INDEX(Tabela2[Instrutor],MATCH(B2,Tabela2[ID],0)),"")</f>
        <v>Cinthia Thais de Carvalho Luz Thomazi; Reinaldo Alencar; Rogério Ribeiro; Rômulo Miranda Alvim; Gabriel Heller</v>
      </c>
      <c r="I2" t="str">
        <f>IF(C2="","",IF(ISNUMBER(SEARCH(C2,H2)),"sim","NÃO"))</f>
        <v>NÃO</v>
      </c>
      <c r="J2" t="s">
        <v>3144</v>
      </c>
      <c r="K2" t="s">
        <v>3145</v>
      </c>
      <c r="L2" t="str">
        <f>IF(K2="","",IFERROR(INDEX(Tabela2[Curso],MATCH(K2,Tabela2[ID],0)),""))</f>
        <v/>
      </c>
    </row>
    <row r="3" spans="1:12" x14ac:dyDescent="0.25">
      <c r="A3" t="str">
        <f>"X"&amp;4</f>
        <v>X4</v>
      </c>
      <c r="B3" t="str">
        <f>'GECC 2026'!X4</f>
        <v>2026-024</v>
      </c>
      <c r="C3" t="str">
        <f>'GECC 2026'!Y4</f>
        <v>Paulo José Góes Daltro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NÃO</v>
      </c>
      <c r="J3" t="s">
        <v>3144</v>
      </c>
      <c r="K3" t="s">
        <v>3145</v>
      </c>
      <c r="L3" t="str">
        <f>IF(K3="","",IFERROR(INDEX(Tabela2[Curso],MATCH(K3,Tabela2[ID],0)),""))</f>
        <v/>
      </c>
    </row>
    <row r="4" spans="1:12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3146</v>
      </c>
      <c r="L4" t="str">
        <f>IF(K4="","",IFERROR(INDEX(Tabela2[Curso],MATCH(K4,Tabela2[ID],0)),""))</f>
        <v/>
      </c>
    </row>
    <row r="5" spans="1:12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3146</v>
      </c>
      <c r="L5" t="str">
        <f>IF(K5="","",IFERROR(INDEX(Tabela2[Curso],MATCH(K5,Tabela2[ID],0)),""))</f>
        <v/>
      </c>
    </row>
    <row r="6" spans="1:12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3146</v>
      </c>
      <c r="L6" t="str">
        <f>IF(K6="","",IFERROR(INDEX(Tabela2[Curso],MATCH(K6,Tabela2[ID],0)),""))</f>
        <v/>
      </c>
    </row>
    <row r="7" spans="1:12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3146</v>
      </c>
      <c r="L7" t="str">
        <f>IF(K7="","",IFERROR(INDEX(Tabela2[Curso],MATCH(K7,Tabela2[ID],0)),""))</f>
        <v/>
      </c>
    </row>
    <row r="8" spans="1:12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3146</v>
      </c>
      <c r="L8" t="str">
        <f>IF(K8="","",IFERROR(INDEX(Tabela2[Curso],MATCH(K8,Tabela2[ID],0)),""))</f>
        <v/>
      </c>
    </row>
    <row r="9" spans="1:12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3146</v>
      </c>
      <c r="L9" t="str">
        <f>IF(K9="","",IFERROR(INDEX(Tabela2[Curso],MATCH(K9,Tabela2[ID],0)),""))</f>
        <v/>
      </c>
    </row>
    <row r="10" spans="1:12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3146</v>
      </c>
      <c r="L10" t="str">
        <f>IF(K10="","",IFERROR(INDEX(Tabela2[Curso],MATCH(K10,Tabela2[ID],0)),""))</f>
        <v/>
      </c>
    </row>
    <row r="11" spans="1:12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3146</v>
      </c>
      <c r="L11" t="str">
        <f>IF(K11="","",IFERROR(INDEX(Tabela2[Curso],MATCH(K11,Tabela2[ID],0)),""))</f>
        <v/>
      </c>
    </row>
    <row r="12" spans="1:12" x14ac:dyDescent="0.25">
      <c r="A12" t="str">
        <f>"X"&amp;13</f>
        <v>X13</v>
      </c>
      <c r="B12" t="str">
        <f>'GECC 2026'!X13</f>
        <v>2026-020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 xml:space="preserve">Alura </v>
      </c>
      <c r="G12" t="str">
        <f>IFERROR(INDEX(Tabela2[Modalidade],MATCH(B12,Tabela2[ID],0)),"")</f>
        <v>Instrutoria Externa</v>
      </c>
      <c r="H12">
        <f>IFERROR(INDEX(Tabela2[Instrutor],MATCH(B12,Tabela2[ID],0)),"")</f>
        <v>0</v>
      </c>
      <c r="I12" t="str">
        <f>IF(C12="","",IF(ISNUMBER(SEARCH(C12,H12)),"sim","NÃO"))</f>
        <v>NÃO</v>
      </c>
      <c r="J12" t="s">
        <v>3144</v>
      </c>
      <c r="K12" t="s">
        <v>3147</v>
      </c>
      <c r="L12" t="str">
        <f>IF(K12="","",IFERROR(INDEX(Tabela2[Curso],MATCH(K12,Tabela2[ID],0)),""))</f>
        <v/>
      </c>
    </row>
    <row r="13" spans="1:12" x14ac:dyDescent="0.25">
      <c r="A13" t="str">
        <f>"X"&amp;14</f>
        <v>X14</v>
      </c>
      <c r="B13" t="str">
        <f>'GECC 2026'!X14</f>
        <v>2026-020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 xml:space="preserve">Alura </v>
      </c>
      <c r="G13" t="str">
        <f>IFERROR(INDEX(Tabela2[Modalidade],MATCH(B13,Tabela2[ID],0)),"")</f>
        <v>Instrutoria Externa</v>
      </c>
      <c r="H13">
        <f>IFERROR(INDEX(Tabela2[Instrutor],MATCH(B13,Tabela2[ID],0)),"")</f>
        <v>0</v>
      </c>
      <c r="I13" t="str">
        <f>IF(C13="","",IF(ISNUMBER(SEARCH(C13,H13)),"sim","NÃO"))</f>
        <v>NÃO</v>
      </c>
      <c r="J13" t="s">
        <v>3144</v>
      </c>
      <c r="K13" t="s">
        <v>3147</v>
      </c>
      <c r="L13" t="str">
        <f>IF(K13="","",IFERROR(INDEX(Tabela2[Curso],MATCH(K13,Tabela2[ID],0)),""))</f>
        <v/>
      </c>
    </row>
    <row r="14" spans="1:12" x14ac:dyDescent="0.25">
      <c r="A14" t="str">
        <f>"X"&amp;15</f>
        <v>X15</v>
      </c>
      <c r="B14" t="str">
        <f>'GECC 2026'!X15</f>
        <v>2026-020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 xml:space="preserve">Alura </v>
      </c>
      <c r="G14" t="str">
        <f>IFERROR(INDEX(Tabela2[Modalidade],MATCH(B14,Tabela2[ID],0)),"")</f>
        <v>Instrutoria Externa</v>
      </c>
      <c r="H14">
        <f>IFERROR(INDEX(Tabela2[Instrutor],MATCH(B14,Tabela2[ID],0)),"")</f>
        <v>0</v>
      </c>
      <c r="I14" t="str">
        <f>IF(C14="","",IF(ISNUMBER(SEARCH(C14,H14)),"sim","NÃO"))</f>
        <v>NÃO</v>
      </c>
      <c r="J14" t="s">
        <v>3144</v>
      </c>
      <c r="K14" t="s">
        <v>3147</v>
      </c>
      <c r="L14" t="str">
        <f>IF(K14="","",IFERROR(INDEX(Tabela2[Curso],MATCH(K14,Tabela2[ID],0)),""))</f>
        <v/>
      </c>
    </row>
    <row r="15" spans="1:12" x14ac:dyDescent="0.25">
      <c r="A15" t="str">
        <f>"X"&amp;16</f>
        <v>X16</v>
      </c>
      <c r="B15" t="str">
        <f>'GECC 2026'!X16</f>
        <v>2026-020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 xml:space="preserve">Alura </v>
      </c>
      <c r="G15" t="str">
        <f>IFERROR(INDEX(Tabela2[Modalidade],MATCH(B15,Tabela2[ID],0)),"")</f>
        <v>Instrutoria Externa</v>
      </c>
      <c r="H15">
        <f>IFERROR(INDEX(Tabela2[Instrutor],MATCH(B15,Tabela2[ID],0)),"")</f>
        <v>0</v>
      </c>
      <c r="I15" t="str">
        <f>IF(C15="","",IF(ISNUMBER(SEARCH(C15,H15)),"sim","NÃO"))</f>
        <v>NÃO</v>
      </c>
      <c r="J15" t="s">
        <v>3144</v>
      </c>
      <c r="K15" t="s">
        <v>3147</v>
      </c>
      <c r="L15" t="str">
        <f>IF(K15="","",IFERROR(INDEX(Tabela2[Curso],MATCH(K15,Tabela2[ID],0)),""))</f>
        <v/>
      </c>
    </row>
    <row r="16" spans="1:12" x14ac:dyDescent="0.25">
      <c r="A16" t="str">
        <f>"X"&amp;17</f>
        <v>X17</v>
      </c>
      <c r="B16" t="str">
        <f>'GECC 2026'!X17</f>
        <v>2026-020</v>
      </c>
      <c r="C16" t="str">
        <f>'GECC 2026'!Y17</f>
        <v>Priscila Nolasco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 xml:space="preserve">Alura </v>
      </c>
      <c r="G16" t="str">
        <f>IFERROR(INDEX(Tabela2[Modalidade],MATCH(B16,Tabela2[ID],0)),"")</f>
        <v>Instrutoria Externa</v>
      </c>
      <c r="H16">
        <f>IFERROR(INDEX(Tabela2[Instrutor],MATCH(B16,Tabela2[ID],0)),"")</f>
        <v>0</v>
      </c>
      <c r="I16" t="str">
        <f>IF(C16="","",IF(ISNUMBER(SEARCH(C16,H16)),"sim","NÃO"))</f>
        <v>NÃO</v>
      </c>
      <c r="J16" t="s">
        <v>3144</v>
      </c>
      <c r="K16" t="s">
        <v>3147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Indio Artiaga do Brasil Rabelo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NÃO</v>
      </c>
      <c r="J24" t="s">
        <v>3144</v>
      </c>
      <c r="K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Leonardo de Melo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NÃO</v>
      </c>
      <c r="J25" t="s">
        <v>3144</v>
      </c>
      <c r="K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Arthur Wú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NÃO</v>
      </c>
      <c r="J26" t="s">
        <v>3144</v>
      </c>
      <c r="K26" t="s">
        <v>3149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Gustavo Takahashi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NÃO</v>
      </c>
      <c r="J27" t="s">
        <v>3144</v>
      </c>
      <c r="K27" t="s">
        <v>3149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Arthur Wú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NÃO</v>
      </c>
      <c r="J28" t="s">
        <v>3144</v>
      </c>
      <c r="K28" t="s">
        <v>3149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Gustavo Takahashi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NÃO</v>
      </c>
      <c r="J29" t="s">
        <v>3144</v>
      </c>
      <c r="K29" t="s">
        <v>3149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Diversos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NÃO</v>
      </c>
      <c r="J30" t="s">
        <v>3144</v>
      </c>
      <c r="K30" t="s">
        <v>3150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2026-037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Introdução à Engenharia de Prompt - SEE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Arthur Wú; Gustavo Takahashi</v>
      </c>
      <c r="I31" t="str">
        <f>IF(C31="","",IF(ISNUMBER(SEARCH(C31,H31)),"sim","NÃO"))</f>
        <v>NÃO</v>
      </c>
      <c r="J31" t="s">
        <v>3151</v>
      </c>
      <c r="K31" t="s">
        <v>2312</v>
      </c>
      <c r="L31" t="str">
        <f>IF(K31="","",IFERROR(INDEX(Tabela2[Curso],MATCH(K31,Tabela2[ID],0)),""))</f>
        <v>Curso de Fundamentos básicos de controle externo no TCDF</v>
      </c>
    </row>
    <row r="32" spans="1:12" x14ac:dyDescent="0.25">
      <c r="A32" t="str">
        <f>"X"&amp;33</f>
        <v>X33</v>
      </c>
      <c r="B32" t="str">
        <f>'GECC 2026'!X33</f>
        <v>2026-037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Introdução à Engenharia de Prompt - SEE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Arthur Wú; Gustavo Takahashi</v>
      </c>
      <c r="I32" t="str">
        <f>IF(C32="","",IF(ISNUMBER(SEARCH(C32,H32)),"sim","NÃO"))</f>
        <v>NÃO</v>
      </c>
      <c r="J32" t="s">
        <v>3151</v>
      </c>
      <c r="K32" t="s">
        <v>2312</v>
      </c>
      <c r="L32" t="str">
        <f>IF(K32="","",IFERROR(INDEX(Tabela2[Curso],MATCH(K32,Tabela2[ID],0)),""))</f>
        <v>Curso de Fundamentos básicos de controle externo no TCDF</v>
      </c>
    </row>
    <row r="33" spans="1:12" x14ac:dyDescent="0.25">
      <c r="A33" t="str">
        <f>"X"&amp;34</f>
        <v>X34</v>
      </c>
      <c r="B33" t="str">
        <f>'GECC 2026'!X34</f>
        <v>2026-037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Introdução à Engenharia de Prompt - SEE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Arthur Wú; Gustavo Takahashi</v>
      </c>
      <c r="I33" t="str">
        <f>IF(C33="","",IF(ISNUMBER(SEARCH(C33,H33)),"sim","NÃO"))</f>
        <v>NÃO</v>
      </c>
      <c r="J33" t="s">
        <v>3151</v>
      </c>
      <c r="K33" t="s">
        <v>2312</v>
      </c>
      <c r="L33" t="str">
        <f>IF(K33="","",IFERROR(INDEX(Tabela2[Curso],MATCH(K33,Tabela2[ID],0)),""))</f>
        <v>Curso de Fundamentos básicos de controle externo no TCDF</v>
      </c>
    </row>
    <row r="34" spans="1:12" x14ac:dyDescent="0.25">
      <c r="A34" t="str">
        <f>"X"&amp;35</f>
        <v>X35</v>
      </c>
      <c r="B34" t="str">
        <f>'GECC 2026'!X35</f>
        <v>2026-037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Introdução à Engenharia de Prompt - SEE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Arthur Wú; Gustavo Takahashi</v>
      </c>
      <c r="I34" t="str">
        <f>IF(C34="","",IF(ISNUMBER(SEARCH(C34,H34)),"sim","NÃO"))</f>
        <v>NÃO</v>
      </c>
      <c r="J34" t="s">
        <v>3151</v>
      </c>
      <c r="K34" t="s">
        <v>2312</v>
      </c>
      <c r="L34" t="str">
        <f>IF(K34="","",IFERROR(INDEX(Tabela2[Curso],MATCH(K34,Tabela2[ID],0)),""))</f>
        <v>Curso de Fundamentos básicos de controle externo no TCDF</v>
      </c>
    </row>
    <row r="35" spans="1:12" x14ac:dyDescent="0.25">
      <c r="A35" t="str">
        <f>"X"&amp;36</f>
        <v>X36</v>
      </c>
      <c r="B35" t="str">
        <f>'GECC 2026'!X36</f>
        <v>2026-037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Introdução à Engenharia de Prompt - SEE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Arthur Wú; Gustavo Takahashi</v>
      </c>
      <c r="I35" t="str">
        <f>IF(C35="","",IF(ISNUMBER(SEARCH(C35,H35)),"sim","NÃO"))</f>
        <v>NÃO</v>
      </c>
      <c r="J35" t="s">
        <v>3151</v>
      </c>
      <c r="K35" t="s">
        <v>2312</v>
      </c>
      <c r="L35" t="str">
        <f>IF(K35="","",IFERROR(INDEX(Tabela2[Curso],MATCH(K35,Tabela2[ID],0)),""))</f>
        <v>Curso de Fundamentos básicos de controle externo no TCDF</v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2026-042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Curso de Formação para Conselheiros de Saúde do DF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Tarsila Firmino Ely</v>
      </c>
      <c r="I38" t="str">
        <f>IF(C38="","",IF(ISNUMBER(SEARCH(C38,H38)),"sim","NÃO"))</f>
        <v>NÃO</v>
      </c>
      <c r="J38" t="s">
        <v>3151</v>
      </c>
      <c r="K38" t="s">
        <v>3104</v>
      </c>
      <c r="L38" t="str">
        <f>IF(K38="","",IFERROR(INDEX(Tabela2[Curso],MATCH(K38,Tabela2[ID],0)),""))</f>
        <v>Introdução ao processo de controle externo - EAD</v>
      </c>
    </row>
    <row r="39" spans="1:12" x14ac:dyDescent="0.25">
      <c r="A39" t="str">
        <f>"X"&amp;40</f>
        <v>X40</v>
      </c>
      <c r="B39" t="str">
        <f>'GECC 2026'!X40</f>
        <v>2026-044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31º SEMAT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39" t="str">
        <f>IF(C39="","",IF(ISNUMBER(SEARCH(C39,H39)),"sim","NÃO"))</f>
        <v>NÃO</v>
      </c>
      <c r="J39" t="s">
        <v>3144</v>
      </c>
      <c r="K39" t="s">
        <v>3150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Flávio José Fonseca de Souza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NÃO</v>
      </c>
      <c r="J40" t="s">
        <v>3151</v>
      </c>
      <c r="K40" t="s">
        <v>2425</v>
      </c>
      <c r="L40" t="str">
        <f>IF(K40="","",IFERROR(INDEX(Tabela2[Curso],MATCH(K40,Tabela2[ID],0)),""))</f>
        <v>Contratações de TIC com base na jurisprudência do TCDF - EAD</v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Felipe da Costa Malaquias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NÃO</v>
      </c>
      <c r="J41" t="s">
        <v>3151</v>
      </c>
      <c r="K41" t="s">
        <v>2425</v>
      </c>
      <c r="L41" t="str">
        <f>IF(K41="","",IFERROR(INDEX(Tabela2[Curso],MATCH(K41,Tabela2[ID],0)),""))</f>
        <v>Contratações de TIC com base na jurisprudência do TCDF - EAD</v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Arthur Wú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NÃO</v>
      </c>
      <c r="J42" t="s">
        <v>3144</v>
      </c>
      <c r="K42" t="s">
        <v>3149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Gustavo Takahashi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NÃO</v>
      </c>
      <c r="J43" t="s">
        <v>3144</v>
      </c>
      <c r="K43" t="s">
        <v>3149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2026-045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Escola de Instrutores - Design Instrucional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Paulo José Góes Daltro</v>
      </c>
      <c r="I44" t="str">
        <f>IF(C44="","",IF(ISNUMBER(SEARCH(C44,H44)),"sim","NÃO"))</f>
        <v>NÃO</v>
      </c>
      <c r="J44" t="s">
        <v>3151</v>
      </c>
      <c r="K44" t="s">
        <v>2331</v>
      </c>
      <c r="L44" t="str">
        <f>IF(K44="","",IFERROR(INDEX(Tabela2[Curso],MATCH(K44,Tabela2[ID],0)),""))</f>
        <v>31º SEMAT</v>
      </c>
    </row>
    <row r="45" spans="1:12" x14ac:dyDescent="0.25">
      <c r="A45" t="str">
        <f>"X"&amp;46</f>
        <v>X46</v>
      </c>
      <c r="B45" t="str">
        <f>'GECC 2026'!X46</f>
        <v>2026-045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Escola de Instrutores - Design Instrucional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Paulo José Góes Daltro</v>
      </c>
      <c r="I45" t="str">
        <f>IF(C45="","",IF(ISNUMBER(SEARCH(C45,H45)),"sim","NÃO"))</f>
        <v>NÃO</v>
      </c>
      <c r="J45" t="s">
        <v>3151</v>
      </c>
      <c r="K45" t="s">
        <v>2331</v>
      </c>
      <c r="L45" t="str">
        <f>IF(K45="","",IFERROR(INDEX(Tabela2[Curso],MATCH(K45,Tabela2[ID],0)),""))</f>
        <v>31º SEMAT</v>
      </c>
    </row>
    <row r="46" spans="1:12" x14ac:dyDescent="0.25">
      <c r="A46" t="str">
        <f>"X"&amp;47</f>
        <v>X47</v>
      </c>
      <c r="B46" t="str">
        <f>'GECC 2026'!X47</f>
        <v>2026-045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Escola de Instrutores - Design Instrucional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Paulo José Góes Daltro</v>
      </c>
      <c r="I46" t="str">
        <f>IF(C46="","",IF(ISNUMBER(SEARCH(C46,H46)),"sim","NÃO"))</f>
        <v>NÃO</v>
      </c>
      <c r="J46" t="s">
        <v>3151</v>
      </c>
      <c r="K46" t="s">
        <v>2331</v>
      </c>
      <c r="L46" t="str">
        <f>IF(K46="","",IFERROR(INDEX(Tabela2[Curso],MATCH(K46,Tabela2[ID],0)),""))</f>
        <v>31º SEMAT</v>
      </c>
    </row>
    <row r="47" spans="1:12" x14ac:dyDescent="0.25">
      <c r="A47" t="str">
        <f>"X"&amp;48</f>
        <v>X48</v>
      </c>
      <c r="B47" t="str">
        <f>'GECC 2026'!X48</f>
        <v>2026-045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Escola de Instrutores - Design Instrucional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Paulo José Góes Daltro</v>
      </c>
      <c r="I47" t="str">
        <f>IF(C47="","",IF(ISNUMBER(SEARCH(C47,H47)),"sim","NÃO"))</f>
        <v>NÃO</v>
      </c>
      <c r="J47" t="s">
        <v>3151</v>
      </c>
      <c r="K47" t="s">
        <v>2331</v>
      </c>
      <c r="L47" t="str">
        <f>IF(K47="","",IFERROR(INDEX(Tabela2[Curso],MATCH(K47,Tabela2[ID],0)),""))</f>
        <v>31º SEMAT</v>
      </c>
    </row>
    <row r="48" spans="1:12" x14ac:dyDescent="0.25">
      <c r="A48" t="str">
        <f>"X"&amp;49</f>
        <v>X49</v>
      </c>
      <c r="B48" t="str">
        <f>'GECC 2026'!X49</f>
        <v>2026-045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Escola de Instrutores - Design Instrucional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Paulo José Góes Daltro</v>
      </c>
      <c r="I48" t="str">
        <f>IF(C48="","",IF(ISNUMBER(SEARCH(C48,H48)),"sim","NÃO"))</f>
        <v>NÃO</v>
      </c>
      <c r="J48" t="s">
        <v>3151</v>
      </c>
      <c r="K48" t="s">
        <v>2331</v>
      </c>
      <c r="L48" t="str">
        <f>IF(K48="","",IFERROR(INDEX(Tabela2[Curso],MATCH(K48,Tabela2[ID],0)),""))</f>
        <v>31º SEMAT</v>
      </c>
    </row>
    <row r="49" spans="1:12" x14ac:dyDescent="0.25">
      <c r="A49" t="str">
        <f>"X"&amp;50</f>
        <v>X50</v>
      </c>
      <c r="B49" t="str">
        <f>'GECC 2026'!X50</f>
        <v>2026-045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Escola de Instrutores - Design Instrucional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Paulo José Góes Daltro</v>
      </c>
      <c r="I49" t="str">
        <f>IF(C49="","",IF(ISNUMBER(SEARCH(C49,H49)),"sim","NÃO"))</f>
        <v>NÃO</v>
      </c>
      <c r="J49" t="s">
        <v>3151</v>
      </c>
      <c r="K49" t="s">
        <v>2331</v>
      </c>
      <c r="L49" t="str">
        <f>IF(K49="","",IFERROR(INDEX(Tabela2[Curso],MATCH(K49,Tabela2[ID],0)),""))</f>
        <v>31º SEMAT</v>
      </c>
    </row>
    <row r="50" spans="1:12" x14ac:dyDescent="0.25">
      <c r="A50" t="str">
        <f>"X"&amp;51</f>
        <v>X51</v>
      </c>
      <c r="B50" t="str">
        <f>'GECC 2026'!X51</f>
        <v>2026-045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Escola de Instrutores - Design Instrucional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Paulo José Góes Daltro</v>
      </c>
      <c r="I50" t="str">
        <f>IF(C50="","",IF(ISNUMBER(SEARCH(C50,H50)),"sim","NÃO"))</f>
        <v>NÃO</v>
      </c>
      <c r="J50" t="s">
        <v>3151</v>
      </c>
      <c r="K50" t="s">
        <v>2331</v>
      </c>
      <c r="L50" t="str">
        <f>IF(K50="","",IFERROR(INDEX(Tabela2[Curso],MATCH(K50,Tabela2[ID],0)),""))</f>
        <v>31º SEMAT</v>
      </c>
    </row>
    <row r="51" spans="1:12" x14ac:dyDescent="0.25">
      <c r="A51" t="str">
        <f>"X"&amp;52</f>
        <v>X52</v>
      </c>
      <c r="B51" t="str">
        <f>'GECC 2026'!X52</f>
        <v>2026-045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Escola de Instrutores - Design Instrucional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Paulo José Góes Daltro</v>
      </c>
      <c r="I51" t="str">
        <f>IF(C51="","",IF(ISNUMBER(SEARCH(C51,H51)),"sim","NÃO"))</f>
        <v>NÃO</v>
      </c>
      <c r="J51" t="s">
        <v>3151</v>
      </c>
      <c r="K51" t="s">
        <v>2331</v>
      </c>
      <c r="L51" t="str">
        <f>IF(K51="","",IFERROR(INDEX(Tabela2[Curso],MATCH(K51,Tabela2[ID],0)),""))</f>
        <v>31º SEMAT</v>
      </c>
    </row>
    <row r="52" spans="1:12" x14ac:dyDescent="0.25">
      <c r="A52" t="str">
        <f>"X"&amp;53</f>
        <v>X53</v>
      </c>
      <c r="B52" t="str">
        <f>'GECC 2026'!X53</f>
        <v>2026-045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Escola de Instrutores - Design Instrucional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Paulo José Góes Daltro</v>
      </c>
      <c r="I52" t="str">
        <f>IF(C52="","",IF(ISNUMBER(SEARCH(C52,H52)),"sim","NÃO"))</f>
        <v>NÃO</v>
      </c>
      <c r="J52" t="s">
        <v>3151</v>
      </c>
      <c r="K52" t="s">
        <v>2331</v>
      </c>
      <c r="L52" t="str">
        <f>IF(K52="","",IFERROR(INDEX(Tabela2[Curso],MATCH(K52,Tabela2[ID],0)),""))</f>
        <v>31º SEMAT</v>
      </c>
    </row>
    <row r="53" spans="1:12" x14ac:dyDescent="0.25">
      <c r="A53" t="str">
        <f>"X"&amp;54</f>
        <v>X54</v>
      </c>
      <c r="B53" t="str">
        <f>'GECC 2026'!X54</f>
        <v>2026-045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Escola de Instrutores - Design Instrucional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Paulo José Góes Daltro</v>
      </c>
      <c r="I53" t="str">
        <f>IF(C53="","",IF(ISNUMBER(SEARCH(C53,H53)),"sim","NÃO"))</f>
        <v>NÃO</v>
      </c>
      <c r="J53" t="s">
        <v>3151</v>
      </c>
      <c r="K53" t="s">
        <v>2331</v>
      </c>
      <c r="L53" t="str">
        <f>IF(K53="","",IFERROR(INDEX(Tabela2[Curso],MATCH(K53,Tabela2[ID],0)),""))</f>
        <v>31º SEMAT</v>
      </c>
    </row>
    <row r="54" spans="1:12" x14ac:dyDescent="0.25">
      <c r="A54" t="str">
        <f>"X"&amp;55</f>
        <v>X55</v>
      </c>
      <c r="B54" t="str">
        <f>'GECC 2026'!X55</f>
        <v>2026-057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Curso de formação sobre "Programa de Descentralização Progressiva das Ações de Saúde - PDPAS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Tarsila Firmino Ely; Sara Cristina Lins Ramos; Carina de Souza Mariuba Herthel; Elvis Aaron Teixeira dos Santos Lima</v>
      </c>
      <c r="I54" t="str">
        <f>IF(C54="","",IF(ISNUMBER(SEARCH(C54,H54)),"sim","NÃO"))</f>
        <v>NÃO</v>
      </c>
      <c r="J54" t="s">
        <v>3151</v>
      </c>
      <c r="K54" t="s">
        <v>3113</v>
      </c>
      <c r="L54" t="str">
        <f>IF(K54="","",IFERROR(INDEX(Tabela2[Curso],MATCH(K54,Tabela2[ID],0)),""))</f>
        <v>Encontro Técnico– SEMAT: Concessões e Fiscalização de Pessoal</v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Leonardo de Melo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NÃO</v>
      </c>
      <c r="J55" t="s">
        <v>3144</v>
      </c>
      <c r="K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2026-056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TCendo o Futuro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Adriana Cuoco Portugal; Cinthia Thais de Carvalho Luz Thomazi; Fernanda Viana de Souza; Luiz Felipe Tenório de Lima Gondim; Priscila Nolasco de Oliveira</v>
      </c>
      <c r="I56" t="str">
        <f>IF(C56="","",IF(ISNUMBER(SEARCH(C56,H56)),"sim","NÃO"))</f>
        <v>NÃO</v>
      </c>
      <c r="J56" t="s">
        <v>3151</v>
      </c>
      <c r="K56" t="s">
        <v>2298</v>
      </c>
      <c r="L56" t="str">
        <f>IF(K56="","",IFERROR(INDEX(Tabela2[Curso],MATCH(K56,Tabela2[ID],0)),""))</f>
        <v>Curso de formação sobre "Programa de Descentralização Progressiva das Ações de Saúde - PDPAS</v>
      </c>
    </row>
    <row r="57" spans="1:12" x14ac:dyDescent="0.25">
      <c r="A57" t="str">
        <f>"X"&amp;58</f>
        <v>X58</v>
      </c>
      <c r="B57" t="str">
        <f>'GECC 2026'!X58</f>
        <v>2026-056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TCendo o Futuro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Adriana Cuoco Portugal; Cinthia Thais de Carvalho Luz Thomazi; Fernanda Viana de Souza; Luiz Felipe Tenório de Lima Gondim; Priscila Nolasco de Oliveira</v>
      </c>
      <c r="I57" t="str">
        <f>IF(C57="","",IF(ISNUMBER(SEARCH(C57,H57)),"sim","NÃO"))</f>
        <v>NÃO</v>
      </c>
      <c r="J57" t="s">
        <v>3151</v>
      </c>
      <c r="K57" t="s">
        <v>2298</v>
      </c>
      <c r="L57" t="str">
        <f>IF(K57="","",IFERROR(INDEX(Tabela2[Curso],MATCH(K57,Tabela2[ID],0)),""))</f>
        <v>Curso de formação sobre "Programa de Descentralização Progressiva das Ações de Saúde - PDPAS</v>
      </c>
    </row>
    <row r="58" spans="1:12" x14ac:dyDescent="0.25">
      <c r="A58" t="str">
        <f>"X"&amp;59</f>
        <v>X59</v>
      </c>
      <c r="B58" t="str">
        <f>'GECC 2026'!X59</f>
        <v>2026-056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TCendo o Futuro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Adriana Cuoco Portugal; Cinthia Thais de Carvalho Luz Thomazi; Fernanda Viana de Souza; Luiz Felipe Tenório de Lima Gondim; Priscila Nolasco de Oliveira</v>
      </c>
      <c r="I58" t="str">
        <f>IF(C58="","",IF(ISNUMBER(SEARCH(C58,H58)),"sim","NÃO"))</f>
        <v>NÃO</v>
      </c>
      <c r="J58" t="s">
        <v>3151</v>
      </c>
      <c r="K58" t="s">
        <v>2298</v>
      </c>
      <c r="L58" t="str">
        <f>IF(K58="","",IFERROR(INDEX(Tabela2[Curso],MATCH(K58,Tabela2[ID],0)),""))</f>
        <v>Curso de formação sobre "Programa de Descentralização Progressiva das Ações de Saúde - PDPAS</v>
      </c>
    </row>
    <row r="59" spans="1:12" x14ac:dyDescent="0.25">
      <c r="A59" t="str">
        <f>"X"&amp;60</f>
        <v>X60</v>
      </c>
      <c r="B59" t="str">
        <f>'GECC 2026'!X60</f>
        <v>2026-056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TCendo o Futuro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Adriana Cuoco Portugal; Cinthia Thais de Carvalho Luz Thomazi; Fernanda Viana de Souza; Luiz Felipe Tenório de Lima Gondim; Priscila Nolasco de Oliveira</v>
      </c>
      <c r="I59" t="str">
        <f>IF(C59="","",IF(ISNUMBER(SEARCH(C59,H59)),"sim","NÃO"))</f>
        <v>NÃO</v>
      </c>
      <c r="J59" t="s">
        <v>3151</v>
      </c>
      <c r="K59" t="s">
        <v>2298</v>
      </c>
      <c r="L59" t="str">
        <f>IF(K59="","",IFERROR(INDEX(Tabela2[Curso],MATCH(K59,Tabela2[ID],0)),""))</f>
        <v>Curso de formação sobre "Programa de Descentralização Progressiva das Ações de Saúde - PDPAS</v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2026-07-30T16:21:40Z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