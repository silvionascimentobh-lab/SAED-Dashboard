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16" documentId="8_{454372C2-A99E-4E47-A759-72B38925853E}" xr6:coauthVersionLast="47" xr6:coauthVersionMax="47" xr10:uidLastSave="{5DDFC601-7969-4226-9795-B2C8C7943221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B8" i="27" l="1"/>
  <c r="A8" i="27"/>
  <c r="L4" i="20"/>
  <c r="R4" i="20" s="1" a="1"/>
  <c r="R4" i="20" l="1"/>
  <c r="S4" i="20" s="1" a="1"/>
  <c r="S4" i="20" s="1"/>
  <c r="T4" i="20" l="1" a="1"/>
  <c r="T4" i="20" s="1"/>
  <c r="A2" i="20" l="1" a="1"/>
  <c r="A5" i="23" s="1" a="1"/>
  <c r="A2" i="20" l="1"/>
  <c r="E105" i="23"/>
  <c r="D48" i="23"/>
  <c r="F34" i="23"/>
  <c r="C31" i="23"/>
  <c r="B27" i="23"/>
  <c r="E36" i="23"/>
  <c r="E24" i="23"/>
  <c r="C44" i="23"/>
  <c r="B41" i="23"/>
  <c r="B33" i="23"/>
  <c r="D20" i="23"/>
  <c r="D45" i="23"/>
  <c r="F16" i="23"/>
  <c r="F48" i="23"/>
  <c r="E29" i="23"/>
  <c r="B35" i="23"/>
  <c r="B44" i="23"/>
  <c r="D43" i="23"/>
  <c r="E45" i="23"/>
  <c r="E48" i="23"/>
  <c r="B36" i="23"/>
  <c r="B39" i="23"/>
  <c r="E11" i="23"/>
  <c r="D31" i="23"/>
  <c r="D35" i="23"/>
  <c r="D10" i="23"/>
  <c r="D47" i="23"/>
  <c r="B26" i="23"/>
  <c r="D18" i="23"/>
  <c r="E8" i="23"/>
  <c r="F6" i="23"/>
  <c r="D8" i="23"/>
  <c r="F47" i="23"/>
  <c r="B14" i="23"/>
  <c r="B51" i="23"/>
  <c r="E28" i="23"/>
  <c r="B47" i="23"/>
  <c r="C39" i="23"/>
  <c r="E50" i="23"/>
  <c r="D27" i="23"/>
  <c r="D14" i="23"/>
  <c r="D50" i="23"/>
  <c r="D38" i="23"/>
  <c r="E35" i="23"/>
  <c r="F50" i="23"/>
  <c r="D6" i="23"/>
  <c r="C8" i="23"/>
  <c r="D46" i="23"/>
  <c r="F23" i="23"/>
  <c r="F49" i="23"/>
  <c r="E21" i="23"/>
  <c r="F22" i="23"/>
  <c r="C17" i="23"/>
  <c r="B37" i="23"/>
  <c r="C34" i="23"/>
  <c r="F36" i="23"/>
  <c r="C48" i="23"/>
  <c r="D11" i="23"/>
  <c r="E40" i="23"/>
  <c r="C19" i="23"/>
  <c r="F44" i="23"/>
  <c r="F28" i="23"/>
  <c r="C28" i="23"/>
  <c r="F24" i="23"/>
  <c r="F10" i="23"/>
  <c r="B15" i="23"/>
  <c r="B45" i="23"/>
  <c r="F25" i="23"/>
  <c r="B31" i="23"/>
  <c r="D42" i="23"/>
  <c r="E43" i="23"/>
  <c r="E22" i="23"/>
  <c r="B25" i="23"/>
  <c r="C18" i="23"/>
  <c r="C10" i="23"/>
  <c r="B20" i="23"/>
  <c r="F45" i="23"/>
  <c r="D16" i="23"/>
  <c r="E51" i="23"/>
  <c r="B46" i="23"/>
  <c r="C25" i="23"/>
  <c r="F8" i="23"/>
  <c r="F19" i="23"/>
  <c r="E46" i="23"/>
  <c r="C47" i="23"/>
  <c r="B28" i="23"/>
  <c r="F12" i="23"/>
  <c r="D13" i="23"/>
  <c r="D15" i="23"/>
  <c r="F37" i="23"/>
  <c r="F35" i="23"/>
  <c r="E37" i="23"/>
  <c r="F29" i="23"/>
  <c r="C40" i="23"/>
  <c r="D36" i="23"/>
  <c r="F39" i="23"/>
  <c r="D34" i="23"/>
  <c r="C23" i="23"/>
  <c r="F30" i="23"/>
  <c r="C24" i="23"/>
  <c r="B10" i="23"/>
  <c r="B12" i="23"/>
  <c r="E39" i="23"/>
  <c r="C14" i="23"/>
  <c r="C49" i="23"/>
  <c r="B42" i="23"/>
  <c r="E7" i="23"/>
  <c r="F51" i="23"/>
  <c r="D23" i="23"/>
  <c r="B6" i="23"/>
  <c r="D40" i="23"/>
  <c r="B24" i="23"/>
  <c r="F18" i="23"/>
  <c r="C27" i="23"/>
  <c r="E18" i="23"/>
  <c r="F33" i="23"/>
  <c r="C36" i="23"/>
  <c r="E30" i="23"/>
  <c r="B17" i="23"/>
  <c r="B38" i="23"/>
  <c r="B19" i="23"/>
  <c r="F7" i="23"/>
  <c r="D21" i="23"/>
  <c r="E38" i="23"/>
  <c r="C13" i="23"/>
  <c r="C16" i="23"/>
  <c r="B13" i="23"/>
  <c r="F43" i="23"/>
  <c r="F32" i="23"/>
  <c r="E6" i="23"/>
  <c r="D39" i="23"/>
  <c r="F20" i="23"/>
  <c r="C26" i="23"/>
  <c r="B30" i="23"/>
  <c r="C50" i="23"/>
  <c r="E27" i="23"/>
  <c r="D25" i="23"/>
  <c r="D44" i="23"/>
  <c r="B50" i="23"/>
  <c r="D30" i="23"/>
  <c r="E42" i="23"/>
  <c r="B8" i="23"/>
  <c r="E32" i="23"/>
  <c r="C30" i="23"/>
  <c r="C9" i="23"/>
  <c r="B32" i="23"/>
  <c r="D26" i="23"/>
  <c r="E44" i="23"/>
  <c r="B23" i="23"/>
  <c r="B48" i="23"/>
  <c r="C32" i="23"/>
  <c r="D37" i="23"/>
  <c r="B18" i="23"/>
  <c r="C46" i="23"/>
  <c r="B40" i="23"/>
  <c r="E23" i="23"/>
  <c r="F15" i="23"/>
  <c r="C45" i="23"/>
  <c r="C33" i="23"/>
  <c r="C43" i="23"/>
  <c r="E10" i="23"/>
  <c r="F11" i="23"/>
  <c r="F17" i="23"/>
  <c r="B21" i="23"/>
  <c r="E20" i="23"/>
  <c r="C38" i="23"/>
  <c r="E13" i="23"/>
  <c r="D41" i="23"/>
  <c r="C12" i="23"/>
  <c r="F26" i="23"/>
  <c r="D12" i="23"/>
  <c r="C11" i="23"/>
  <c r="D22" i="23"/>
  <c r="E33" i="23"/>
  <c r="F46" i="23"/>
  <c r="C7" i="23"/>
  <c r="C22" i="23"/>
  <c r="E15" i="23"/>
  <c r="D28" i="23"/>
  <c r="B7" i="23"/>
  <c r="D24" i="23"/>
  <c r="E41" i="23"/>
  <c r="D7" i="23"/>
  <c r="E34" i="23"/>
  <c r="C42" i="23"/>
  <c r="D51" i="23"/>
  <c r="E47" i="23"/>
  <c r="E17" i="23"/>
  <c r="C37" i="23"/>
  <c r="B34" i="23"/>
  <c r="E25" i="23"/>
  <c r="C21" i="23"/>
  <c r="F42" i="23"/>
  <c r="C6" i="23"/>
  <c r="D19" i="23"/>
  <c r="F14" i="23"/>
  <c r="C51" i="23"/>
  <c r="E26" i="23"/>
  <c r="F41" i="23"/>
  <c r="D32" i="23"/>
  <c r="B11" i="23"/>
  <c r="F31" i="23"/>
  <c r="B9" i="23"/>
  <c r="E19" i="23"/>
  <c r="B22" i="23"/>
  <c r="F40" i="23"/>
  <c r="B16" i="23"/>
  <c r="E12" i="23"/>
  <c r="E9" i="23"/>
  <c r="B29" i="23"/>
  <c r="C29" i="23"/>
  <c r="C20" i="23"/>
  <c r="D9" i="23"/>
  <c r="E14" i="23"/>
  <c r="F9" i="23"/>
  <c r="C41" i="23"/>
  <c r="F27" i="23"/>
  <c r="C15" i="23"/>
  <c r="D33" i="23"/>
  <c r="E16" i="23"/>
  <c r="C35" i="23"/>
  <c r="F13" i="23"/>
  <c r="E31" i="23"/>
  <c r="D49" i="23"/>
  <c r="F38" i="23"/>
  <c r="B49" i="23"/>
  <c r="D17" i="23"/>
  <c r="E49" i="23"/>
  <c r="D29" i="23"/>
  <c r="F21" i="23"/>
  <c r="B43" i="23"/>
  <c r="A5" i="23"/>
  <c r="E5" i="23" l="1"/>
  <c r="C5" i="23"/>
  <c r="C105" i="23" s="1"/>
  <c r="D5" i="23"/>
  <c r="G5" i="23"/>
  <c r="F5" i="23"/>
  <c r="F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<sst xmlns="http://schemas.openxmlformats.org/spreadsheetml/2006/main" count="6239" uniqueCount="2408">
  <si>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</si>
  <si>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</si>
  <si>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</si>
  <si>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</si>
  <si>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</si>
  <si>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</si>
  <si>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</si>
  <si>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</si>
  <si>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</si>
  <si>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</si>
  <si>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</si>
  <si>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</si>
  <si>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</si>
  <si>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</si>
  <si>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</si>
  <si>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</si>
  <si>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</si>
  <si>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</si>
  <si>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</si>
  <si>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</si>
  <si>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</si>
  <si>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</si>
  <si>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</si>
  <si>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</si>
  <si>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</si>
  <si>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</si>
  <si>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</si>
  <si>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</si>
  <si>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</si>
  <si>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</si>
  <si>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</si>
  <si>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</si>
  <si>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</si>
  <si>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</si>
  <si>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</si>
  <si>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</si>
  <si>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</si>
  <si>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</si>
  <si>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</si>
  <si>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</si>
  <si>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</si>
  <si>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</si>
  <si>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</si>
  <si>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</si>
  <si>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</si>
  <si>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</si>
  <si>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</si>
  <si>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</si>
  <si>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</si>
  <si>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</si>
  <si>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</si>
  <si>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</si>
  <si>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</si>
  <si>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</si>
  <si>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</si>
  <si>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</si>
  <si>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</si>
  <si>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</si>
  <si>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</si>
  <si>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</si>
  <si>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</si>
  <si>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</si>
  <si>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</si>
  <si>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</si>
  <si>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</si>
  <si>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</si>
  <si>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</si>
  <si>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</si>
  <si>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</si>
  <si>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</si>
  <si>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</si>
  <si>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</si>
  <si>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</si>
  <si>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</si>
  <si>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</si>
  <si>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</si>
  <si>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</si>
  <si>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</si>
  <si>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</si>
  <si>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</si>
  <si>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</si>
  <si>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</si>
  <si>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</si>
  <si>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</si>
  <si>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</si>
  <si>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</si>
  <si>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</si>
  <si>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</si>
  <si>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</si>
  <si>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</si>
  <si>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</si>
  <si>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</si>
  <si>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</si>
  <si>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</si>
  <si>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</si>
  <si>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</si>
  <si>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</si>
  <si>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</si>
  <si>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</si>
  <si>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</si>
  <si>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</si>
  <si>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</si>
  <si>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</si>
  <si>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</si>
  <si>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</si>
  <si>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</si>
  <si>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</si>
  <si>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</si>
  <si>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</si>
  <si>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</si>
  <si>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</si>
  <si>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</si>
  <si>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</si>
  <si>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</si>
  <si>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</si>
  <si>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</si>
  <si>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</si>
  <si>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</si>
  <si>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</si>
  <si>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</si>
  <si>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</si>
  <si>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</si>
  <si>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</si>
  <si>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</si>
  <si>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</si>
  <si>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</si>
  <si>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</si>
  <si>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</si>
  <si>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</si>
  <si>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</si>
  <si>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</si>
  <si>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</si>
  <si>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</si>
  <si>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</si>
  <si>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</si>
  <si>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</si>
  <si>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</si>
  <si>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</si>
  <si>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</si>
  <si>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</si>
  <si>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</si>
  <si>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</si>
  <si>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</si>
  <si>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</si>
  <si>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</si>
  <si>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</si>
  <si>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</si>
  <si>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</si>
  <si>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</si>
  <si>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</si>
  <si>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</si>
  <si>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</si>
  <si>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</si>
  <si>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</si>
  <si>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</si>
  <si>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</si>
  <si>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</si>
  <si>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</si>
  <si>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</si>
  <si>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</si>
  <si>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</si>
  <si>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</si>
  <si>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</si>
  <si>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</si>
  <si>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</si>
  <si>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</si>
  <si>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</si>
  <si>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</si>
  <si>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</si>
  <si>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</si>
  <si>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</si>
  <si>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</si>
  <si>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</si>
  <si>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</si>
  <si>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</si>
  <si>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</si>
  <si>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</si>
  <si>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</si>
  <si>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</si>
  <si>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</si>
  <si>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</si>
  <si>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</si>
  <si>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</si>
  <si>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</si>
  <si>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</si>
  <si>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</si>
  <si>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</si>
  <si>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</si>
  <si>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</si>
  <si>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</si>
  <si>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</si>
  <si>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</si>
  <si>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</si>
  <si>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</si>
  <si>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</si>
  <si>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</si>
  <si>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</si>
  <si>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</si>
  <si>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</si>
  <si>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</si>
  <si>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</si>
  <si>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</si>
  <si>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</si>
  <si>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</si>
  <si>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</si>
  <si>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</si>
  <si>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</si>
  <si>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</si>
  <si>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</si>
  <si>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</si>
  <si>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</si>
  <si>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</si>
  <si>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</si>
  <si>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</si>
  <si>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</si>
  <si>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</si>
  <si>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</si>
  <si>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</si>
  <si>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</si>
  <si>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</si>
  <si>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</si>
  <si>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</si>
  <si>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</si>
  <si>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</si>
  <si>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</si>
  <si>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</si>
  <si>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</si>
  <si>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</si>
  <si>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</si>
  <si>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</si>
  <si>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</si>
  <si>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</si>
  <si>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</si>
  <si>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</si>
  <si>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</si>
  <si>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</si>
  <si>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</si>
  <si>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</si>
  <si>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</si>
  <si>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</si>
  <si>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</si>
  <si>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</si>
  <si>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</si>
  <si>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</si>
  <si>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</si>
  <si>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</si>
  <si>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</si>
  <si>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</si>
  <si>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</si>
  <si>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</si>
  <si>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</si>
  <si>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</si>
  <si>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</si>
  <si>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</si>
  <si>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</si>
  <si>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</si>
  <si>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</si>
  <si>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</si>
  <si>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</si>
  <si>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</si>
  <si>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</si>
  <si>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</si>
  <si>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</si>
  <si>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</si>
  <si>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</si>
  <si>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</si>
  <si>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</si>
  <si>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</si>
  <si>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</si>
  <si>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</si>
  <si>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</si>
  <si>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</si>
  <si>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</si>
  <si>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</si>
  <si>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</si>
  <si>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</si>
  <si>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</si>
  <si>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</si>
  <si>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</si>
  <si>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</si>
  <si>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</si>
  <si>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</si>
  <si>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</si>
  <si>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</si>
  <si>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</si>
  <si>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</si>
  <si>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</si>
  <si>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</si>
  <si>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</si>
  <si>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</si>
  <si>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</si>
  <si>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</si>
  <si>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</si>
  <si>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</si>
  <si>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</si>
  <si>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</si>
  <si>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</si>
  <si>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</si>
  <si>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</si>
  <si>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</si>
  <si>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</si>
  <si>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</si>
  <si>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</si>
  <si>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</si>
  <si>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</si>
  <si>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</si>
  <si>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</si>
  <si>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</si>
  <si>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</si>
  <si>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</si>
  <si>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</si>
  <si>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</si>
  <si>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</si>
  <si>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</si>
  <si>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</si>
  <si>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</si>
  <si>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</si>
  <si>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</si>
  <si>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</si>
  <si>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</si>
  <si>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</si>
  <si>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</si>
  <si>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</si>
  <si>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</si>
  <si>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</si>
  <si>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</si>
  <si>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</si>
  <si>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</si>
  <si>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</si>
  <si>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</si>
  <si>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</si>
  <si>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</si>
  <si>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</si>
  <si>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</si>
  <si>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</si>
  <si>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</si>
  <si>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</si>
  <si>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</si>
  <si>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</si>
  <si>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</si>
  <si>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</si>
  <si>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</si>
  <si>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</si>
  <si>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</si>
  <si>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</si>
  <si>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</si>
  <si>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</si>
  <si>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</si>
  <si>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</si>
  <si>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</si>
  <si>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</si>
  <si>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</si>
  <si>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</si>
  <si>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</si>
  <si>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</si>
  <si>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</si>
  <si>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</si>
  <si>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</si>
  <si>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</si>
  <si>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</si>
  <si>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</si>
  <si>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</si>
  <si>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</si>
  <si>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</si>
  <si>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</si>
  <si>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</si>
  <si>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</si>
  <si>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</si>
  <si>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</si>
  <si>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</si>
  <si>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</si>
  <si>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</si>
  <si>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</si>
  <si>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</si>
  <si>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</si>
  <si>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</si>
  <si>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</si>
  <si>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</si>
  <si>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</si>
  <si>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</si>
  <si>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</si>
  <si>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</si>
  <si>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</si>
  <si>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</si>
  <si>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</si>
  <si>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</si>
  <si>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</si>
  <si>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</si>
  <si>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</si>
  <si>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</si>
  <si>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</si>
  <si>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</si>
  <si>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</si>
  <si>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</si>
  <si>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</si>
  <si>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</si>
  <si>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</si>
  <si>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</si>
  <si>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</si>
  <si>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</si>
  <si>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</si>
  <si>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</si>
  <si>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</si>
  <si>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</si>
  <si>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</si>
  <si>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</si>
  <si>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</si>
  <si>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</si>
  <si>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</si>
  <si>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</si>
  <si>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</si>
  <si>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</si>
  <si>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</si>
  <si>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</si>
  <si>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</si>
  <si>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</si>
  <si>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</si>
  <si>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</si>
  <si>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</si>
  <si>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</si>
  <si>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</si>
  <si>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</si>
  <si>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</si>
  <si>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</si>
  <si>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</si>
  <si>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</si>
  <si>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</si>
  <si>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</si>
  <si>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</si>
  <si>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</si>
  <si>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</si>
  <si>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</si>
  <si>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</si>
  <si>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</si>
  <si>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</si>
  <si>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</si>
  <si>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</si>
  <si>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</si>
  <si>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</si>
  <si>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</si>
  <si>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</si>
  <si>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</si>
  <si>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</si>
  <si>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</si>
  <si>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</si>
  <si>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</si>
  <si>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</si>
  <si>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</si>
  <si>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</si>
  <si>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</si>
  <si>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</si>
  <si>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</si>
  <si>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</si>
  <si>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</si>
  <si>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</si>
  <si>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</si>
  <si>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</si>
  <si>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</si>
  <si>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</si>
  <si>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</si>
  <si>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</si>
  <si>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</si>
  <si>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</si>
  <si>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</si>
  <si>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</si>
  <si>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</si>
  <si>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</si>
  <si>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</si>
  <si>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</si>
  <si>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</si>
  <si>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</si>
  <si>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</si>
  <si>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</si>
  <si>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</si>
  <si>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</si>
  <si>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</si>
  <si>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</si>
  <si>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</si>
  <si>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</si>
  <si>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</si>
  <si>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</si>
  <si>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</si>
  <si>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</si>
  <si>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</si>
  <si>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</si>
  <si>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</si>
  <si>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</si>
  <si>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</si>
  <si>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</si>
  <si>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</si>
  <si>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</si>
  <si>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</si>
  <si>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</si>
  <si>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</si>
  <si>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</si>
  <si>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</si>
  <si>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</si>
  <si>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</si>
  <si>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</si>
  <si>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</si>
  <si>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</si>
  <si>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</si>
  <si>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</si>
  <si>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</si>
  <si>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</si>
  <si>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</si>
  <si>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</si>
  <si>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</si>
  <si>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</si>
  <si>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</si>
  <si>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</si>
  <si>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</si>
  <si>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</si>
  <si>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</si>
  <si>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</si>
  <si>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</si>
  <si>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</si>
  <si>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</si>
  <si>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</si>
  <si>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</si>
  <si>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</si>
  <si>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</si>
  <si>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</si>
  <si>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</si>
  <si>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</si>
  <si>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</si>
  <si>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</si>
  <si>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</si>
  <si>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</si>
  <si>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</si>
  <si>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</si>
  <si>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</si>
  <si>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</si>
  <si>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</si>
  <si>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</si>
  <si>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</si>
  <si>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</si>
  <si>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</si>
  <si>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</si>
  <si>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</si>
  <si>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</si>
  <si>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</si>
  <si>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</si>
  <si>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</si>
  <si>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</si>
  <si>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</si>
  <si>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</si>
  <si>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</si>
  <si>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</si>
  <si>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</si>
  <si>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</si>
  <si>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</si>
  <si>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</si>
  <si>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</si>
  <si>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</si>
  <si>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</si>
  <si>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</si>
  <si>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</si>
  <si>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</si>
  <si>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</si>
  <si>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</si>
  <si>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</si>
  <si>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</si>
  <si>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</si>
  <si>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</si>
  <si>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</si>
  <si>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</si>
  <si>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</si>
  <si>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</si>
  <si>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</si>
  <si>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</si>
  <si>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</si>
  <si>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</si>
  <si>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</si>
  <si>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</si>
  <si>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</si>
  <si>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</si>
  <si>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</si>
  <si>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</si>
  <si>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</si>
  <si>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</si>
  <si>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</si>
  <si>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</si>
  <si>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</si>
  <si>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</si>
  <si>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</si>
  <si>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</si>
  <si>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</si>
  <si>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</si>
  <si>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</si>
  <si>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</si>
  <si>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</si>
  <si>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</si>
  <si>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</si>
  <si>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</si>
  <si>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</si>
  <si>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</si>
  <si>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</si>
  <si>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</si>
  <si>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</si>
  <si>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</si>
  <si>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</si>
  <si>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</si>
  <si>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</si>
  <si>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</si>
  <si>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</si>
  <si>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</si>
  <si>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</si>
  <si>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</si>
  <si>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</si>
  <si>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</si>
  <si>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</si>
  <si>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</si>
  <si>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</si>
  <si>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</si>
  <si>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</si>
  <si>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</si>
  <si>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</si>
  <si>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</si>
  <si>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</si>
  <si>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</si>
  <si>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</si>
  <si>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</si>
  <si>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</si>
  <si>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</si>
  <si>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</si>
  <si>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</si>
  <si>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</si>
  <si>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</si>
  <si>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</si>
  <si>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</si>
  <si>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</si>
  <si>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</si>
  <si>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</si>
  <si>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</si>
  <si>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</si>
  <si>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</si>
  <si>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</si>
  <si>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</si>
  <si>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</si>
  <si>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</si>
  <si>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</si>
  <si>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</si>
  <si>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</si>
  <si>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</si>
  <si>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</si>
  <si>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</si>
  <si>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</si>
  <si>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</si>
  <si>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</si>
  <si>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</si>
  <si>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</si>
  <si>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</si>
  <si>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</si>
  <si>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</si>
  <si>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</si>
  <si>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</si>
  <si>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</si>
  <si>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</si>
  <si>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</si>
  <si>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</si>
  <si>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</si>
  <si>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</si>
  <si>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</si>
  <si>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</si>
  <si>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</si>
  <si>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</si>
  <si>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</si>
  <si>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</si>
  <si>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</si>
  <si>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</si>
  <si>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</si>
  <si>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</si>
  <si>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</si>
  <si>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</si>
  <si>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</si>
  <si>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</si>
  <si>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</si>
  <si>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</si>
  <si>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</si>
  <si>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</si>
  <si>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</si>
  <si>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</si>
  <si>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</si>
  <si>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</si>
  <si>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</si>
  <si>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</si>
  <si>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</si>
  <si>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</si>
  <si>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</si>
  <si>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</si>
  <si>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</si>
  <si>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</si>
  <si>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</si>
  <si>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</si>
  <si>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</si>
  <si>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</si>
  <si>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</si>
  <si>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</si>
  <si>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</si>
  <si>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</si>
  <si>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</si>
  <si>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</si>
  <si>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</si>
  <si>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</si>
  <si>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</si>
  <si>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</si>
  <si>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</si>
  <si>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</si>
  <si>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</si>
  <si>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</si>
  <si>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</si>
  <si>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</si>
  <si>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</si>
  <si>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</si>
  <si>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</si>
  <si>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</si>
  <si>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</si>
  <si>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</si>
  <si>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</si>
  <si>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</si>
  <si>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</si>
  <si>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</si>
  <si>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</si>
  <si>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</si>
  <si>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</si>
  <si>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</si>
  <si>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</si>
  <si>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</si>
  <si>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</si>
  <si>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</si>
  <si>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</si>
  <si>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</si>
  <si>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</si>
  <si>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</si>
  <si>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</si>
  <si>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</si>
  <si>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</si>
  <si>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</si>
  <si>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</si>
  <si>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</si>
  <si>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</si>
  <si>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</si>
  <si>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</si>
  <si>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</si>
  <si>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</si>
  <si>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</si>
  <si>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</si>
  <si>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</si>
  <si>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</si>
  <si>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</si>
  <si>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</si>
  <si>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</si>
  <si>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</si>
  <si>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</si>
  <si>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</si>
  <si>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</si>
  <si>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</si>
  <si>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</si>
  <si>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</si>
  <si>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</si>
  <si>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</si>
  <si>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</si>
  <si>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</si>
  <si>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</si>
  <si>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</si>
  <si>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</si>
  <si>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</si>
  <si>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</si>
  <si>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</si>
  <si>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</si>
  <si>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</si>
  <si>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</si>
  <si>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</si>
  <si>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</si>
  <si>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</si>
  <si>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</si>
  <si>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</si>
  <si>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</si>
  <si>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</si>
  <si>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</si>
  <si>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</si>
  <si>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</si>
  <si>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</si>
  <si>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</si>
  <si>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</si>
  <si>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</si>
  <si>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</si>
  <si>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</si>
  <si>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</si>
  <si>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</si>
  <si>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</si>
  <si>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</si>
  <si>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</si>
  <si>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</si>
  <si>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</si>
  <si>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</si>
  <si>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</si>
  <si>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</si>
  <si>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</si>
  <si>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</si>
  <si>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</si>
  <si>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</si>
  <si>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</si>
  <si>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</si>
  <si>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</si>
  <si>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</si>
  <si>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</si>
  <si>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</si>
  <si>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</si>
  <si>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</si>
  <si>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</si>
  <si>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</si>
  <si>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</si>
  <si>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</si>
  <si>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</si>
  <si>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</si>
  <si>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</si>
  <si>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</si>
  <si>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</si>
  <si>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</si>
  <si>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</si>
  <si>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</si>
  <si>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</si>
  <si>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</si>
  <si>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</si>
  <si>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</si>
  <si>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</si>
  <si>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</si>
  <si>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</si>
  <si>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</si>
  <si>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</si>
  <si>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</si>
  <si>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</si>
  <si>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</si>
  <si>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</si>
  <si>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</si>
  <si>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</si>
  <si>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</si>
  <si>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</si>
  <si>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</si>
  <si>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</si>
  <si>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</si>
  <si>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</si>
  <si>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</si>
  <si>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</si>
  <si>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</si>
  <si>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</si>
  <si>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</si>
  <si>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</si>
  <si>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</si>
  <si>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</si>
  <si>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</si>
  <si>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</si>
  <si>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</si>
  <si>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</si>
  <si>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</si>
  <si>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</si>
  <si>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</si>
  <si>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</si>
  <si>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</si>
  <si>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</si>
  <si>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</si>
  <si>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</si>
  <si>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</si>
  <si>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</si>
  <si>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</si>
  <si>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</si>
  <si>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</si>
  <si>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</si>
  <si>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</si>
  <si>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</si>
  <si>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</si>
  <si>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</si>
  <si>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</si>
  <si>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</si>
  <si>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</si>
  <si>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</si>
  <si>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</si>
  <si>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</si>
  <si>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</si>
  <si>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</si>
  <si>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</si>
  <si>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</si>
  <si>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</si>
  <si>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</si>
  <si>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</si>
  <si>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</si>
  <si>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</si>
  <si>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</si>
  <si>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</si>
  <si>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</si>
  <si>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</si>
  <si>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</si>
  <si>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</si>
  <si>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</si>
  <si>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</si>
  <si>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</si>
  <si>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</si>
  <si>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</si>
  <si>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</si>
  <si>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</si>
  <si>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</si>
  <si>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</si>
  <si>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</si>
  <si>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</si>
  <si>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</si>
  <si>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</si>
  <si>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</si>
  <si>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</si>
  <si>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</si>
  <si>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</si>
  <si>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</si>
  <si>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</si>
  <si>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</si>
  <si>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</si>
  <si>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</si>
  <si>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</si>
  <si>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</si>
  <si>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</si>
  <si>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</si>
  <si>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</si>
  <si>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</si>
  <si>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</si>
  <si>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</si>
  <si>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</si>
  <si>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</si>
  <si>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</si>
  <si>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</si>
  <si>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</si>
  <si>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</si>
  <si>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</si>
  <si>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</si>
  <si>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</si>
  <si>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</si>
  <si>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</si>
  <si>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</si>
  <si>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</si>
  <si>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</si>
  <si>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</si>
  <si>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</si>
  <si>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</si>
  <si>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</si>
  <si>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</si>
  <si>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</si>
  <si>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</si>
  <si>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</si>
  <si>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</si>
  <si>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</si>
  <si>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</si>
  <si>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</si>
  <si>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</si>
  <si>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</si>
  <si>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</si>
  <si>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</si>
  <si>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</si>
  <si>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</si>
  <si>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</si>
  <si>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</si>
  <si>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</si>
  <si>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</si>
  <si>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</si>
  <si>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</si>
  <si>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</si>
  <si>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</si>
  <si>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</si>
  <si>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</si>
  <si>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</si>
  <si>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</si>
  <si>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</si>
  <si>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</si>
  <si>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</si>
  <si>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</si>
  <si>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</si>
  <si>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</si>
  <si>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</si>
  <si>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</si>
  <si>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</si>
  <si>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</si>
  <si>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</si>
  <si>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</si>
  <si>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</si>
  <si>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</si>
  <si>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</si>
  <si>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</si>
  <si>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</si>
  <si>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</si>
  <si>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</si>
  <si>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</si>
  <si>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</si>
  <si>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</si>
  <si>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</si>
  <si>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</si>
  <si>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</si>
  <si>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</si>
  <si>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</si>
  <si>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</si>
  <si>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</si>
  <si>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</si>
  <si>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</si>
  <si>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</si>
  <si>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</si>
  <si>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</si>
  <si>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</si>
  <si>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</si>
  <si>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</si>
  <si>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</si>
  <si>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</si>
  <si>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</si>
  <si>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</si>
  <si>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</si>
  <si>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</si>
  <si>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</si>
  <si>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</si>
  <si>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</si>
  <si>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</si>
  <si>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</si>
  <si>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</si>
  <si>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</si>
  <si>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</si>
  <si>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</si>
  <si>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</si>
  <si>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</si>
  <si>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</si>
  <si>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</si>
  <si>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</si>
  <si>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</si>
  <si>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</si>
  <si>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</si>
  <si>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</si>
  <si>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</si>
  <si>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</si>
  <si>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</si>
  <si>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</si>
  <si>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</si>
  <si>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</si>
  <si>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</si>
  <si>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</si>
  <si>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</si>
  <si>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</si>
  <si>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</si>
  <si>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</si>
  <si>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</si>
  <si>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</si>
  <si>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</si>
  <si>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</si>
  <si>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</si>
  <si>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</si>
  <si>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</si>
  <si>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</si>
  <si>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</si>
  <si>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</si>
  <si>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</si>
  <si>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</si>
  <si>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</si>
  <si>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</si>
  <si>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</si>
  <si>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</si>
  <si>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</si>
  <si>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</si>
  <si>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</si>
  <si>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</si>
  <si>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</si>
  <si>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</si>
  <si>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</si>
  <si>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</si>
  <si>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</si>
  <si>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</si>
  <si>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</si>
  <si>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</si>
  <si>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</si>
  <si>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</si>
  <si>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</si>
  <si>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</si>
  <si>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</si>
  <si>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</si>
  <si>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</si>
  <si>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</si>
  <si>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</si>
  <si>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</si>
  <si>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</si>
  <si>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</si>
  <si>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</si>
  <si>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</si>
  <si>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</si>
  <si>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</si>
  <si>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</si>
  <si>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</si>
  <si>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</si>
  <si>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</si>
  <si>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</si>
  <si>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</si>
  <si>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</si>
  <si>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</si>
  <si>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</si>
  <si>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</si>
  <si>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</si>
  <si>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</si>
  <si>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</si>
  <si>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</si>
  <si>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</si>
  <si>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</si>
  <si>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</si>
  <si>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</si>
  <si>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</si>
  <si>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</si>
  <si>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</si>
  <si>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</si>
  <si>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</si>
  <si>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</si>
  <si>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</si>
  <si>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</si>
  <si>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</si>
  <si>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</si>
  <si>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</si>
  <si>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</si>
  <si>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</si>
  <si>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</si>
  <si>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</si>
  <si>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</si>
  <si>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</si>
  <si>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</si>
  <si>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</si>
  <si>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</si>
  <si>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</si>
  <si>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</si>
  <si>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</si>
  <si>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</si>
  <si>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</si>
  <si>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</si>
  <si>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</si>
  <si>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</si>
  <si>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</si>
  <si>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</si>
  <si>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</si>
  <si>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</si>
  <si>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</si>
  <si>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</si>
  <si>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</si>
  <si>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</si>
  <si>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</si>
  <si>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</si>
  <si>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</si>
  <si>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</si>
  <si>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</si>
  <si>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</si>
  <si>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</si>
  <si>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</si>
  <si>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</si>
  <si>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</si>
  <si>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</si>
  <si>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</si>
  <si>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</si>
  <si>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</si>
  <si>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</si>
  <si>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</si>
  <si>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</si>
  <si>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</si>
  <si>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</si>
  <si>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</si>
  <si>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</si>
  <si>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</si>
  <si>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</si>
  <si>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</si>
  <si>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</si>
  <si>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</si>
  <si>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</si>
  <si>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</si>
  <si>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</si>
  <si>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</si>
  <si>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</si>
  <si>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</si>
  <si>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</si>
  <si>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</si>
  <si>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</si>
  <si>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</si>
  <si>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</si>
  <si>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</si>
  <si>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</si>
  <si>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</si>
  <si>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</si>
  <si>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</si>
  <si>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</si>
  <si>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</si>
  <si>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</si>
  <si>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</si>
  <si>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</si>
  <si>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</si>
  <si>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</si>
  <si>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</si>
  <si>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</si>
  <si>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</si>
  <si>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</si>
  <si>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</si>
  <si>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</si>
  <si>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</si>
  <si>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</si>
  <si>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</si>
  <si>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</si>
  <si>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</si>
  <si>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</si>
  <si>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</si>
  <si>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</si>
  <si>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</si>
  <si>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</si>
  <si>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</si>
  <si>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</si>
  <si>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</si>
  <si>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</si>
  <si>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</si>
  <si>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</si>
  <si>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</si>
  <si>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</si>
  <si>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</si>
  <si>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</si>
  <si>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</si>
  <si>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</si>
  <si>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</si>
  <si>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</si>
  <si>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</si>
  <si>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</si>
  <si>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</si>
  <si>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</si>
  <si>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</si>
  <si>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</si>
  <si>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</si>
  <si>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</si>
  <si>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</si>
  <si>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</si>
  <si>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</si>
  <si>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</si>
  <si>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</si>
  <si>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</si>
  <si>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</si>
  <si>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</si>
  <si>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</si>
  <si>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</si>
  <si>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</si>
  <si>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</si>
  <si>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</si>
  <si>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</si>
  <si>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</si>
  <si>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</si>
  <si>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</si>
  <si>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</si>
  <si>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</si>
  <si>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</si>
  <si>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</si>
  <si>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</si>
  <si>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</si>
  <si>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</si>
  <si>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</si>
  <si>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</si>
  <si>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</si>
  <si>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</si>
  <si>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</si>
  <si>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</si>
  <si>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</si>
  <si>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</si>
  <si>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</si>
  <si>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</si>
  <si>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</si>
  <si>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</si>
  <si>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</si>
  <si>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</si>
  <si>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</si>
  <si>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</si>
  <si>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</si>
  <si>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</si>
  <si>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</si>
  <si>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</si>
  <si>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</si>
  <si>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</si>
  <si>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</si>
  <si>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</si>
  <si>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</si>
  <si>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</si>
  <si>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</si>
  <si>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</si>
  <si>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</si>
  <si>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</si>
  <si>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</si>
  <si>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</si>
  <si>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</si>
  <si>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</si>
  <si>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</si>
  <si>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</si>
  <si>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</si>
  <si>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</si>
  <si>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</si>
  <si>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</si>
  <si>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</si>
  <si>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</si>
  <si>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</si>
  <si>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</si>
  <si>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</si>
  <si>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</si>
  <si>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</si>
  <si>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</si>
  <si>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</si>
  <si>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</si>
  <si>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</si>
  <si>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</si>
  <si>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</si>
  <si>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</si>
  <si>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</si>
  <si>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</si>
  <si>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</si>
  <si>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</si>
  <si>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</si>
  <si>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</si>
  <si>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</si>
  <si>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</si>
  <si>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</si>
  <si>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</si>
  <si>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</si>
  <si>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</si>
  <si>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</si>
  <si>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</si>
  <si>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</si>
  <si>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</si>
  <si>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</si>
  <si>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</si>
  <si>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</si>
  <si>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</si>
  <si>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</si>
  <si>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</si>
  <si>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</si>
  <si>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</si>
  <si>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</si>
  <si>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</si>
  <si>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</si>
  <si>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</si>
  <si>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</si>
  <si>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</si>
  <si>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</si>
  <si>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</si>
  <si>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</si>
  <si>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</si>
  <si>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</si>
  <si>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</si>
  <si>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</si>
  <si>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</si>
  <si>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</si>
  <si>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</si>
  <si>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</si>
  <si>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</si>
  <si>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</si>
  <si>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</si>
  <si>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</si>
  <si>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</si>
  <si>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</si>
  <si>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</si>
  <si>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</si>
  <si>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</si>
  <si>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</si>
  <si>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</si>
  <si>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</si>
  <si>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</si>
  <si>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</si>
  <si>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</si>
  <si>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</si>
  <si>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</si>
  <si>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</si>
  <si>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</si>
  <si>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</si>
  <si>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</si>
  <si>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</si>
  <si>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</si>
  <si>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</si>
  <si>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</si>
  <si>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</si>
  <si>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</si>
  <si>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</si>
  <si>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</si>
  <si>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</si>
  <si>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</si>
  <si>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</si>
  <si>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</si>
  <si>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</si>
  <si>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</si>
  <si>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</si>
  <si>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</si>
  <si>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</si>
  <si>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</si>
  <si>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</si>
  <si>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</si>
  <si>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</si>
  <si>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</si>
  <si>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</si>
  <si>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</si>
  <si>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</si>
  <si>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</si>
  <si>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</si>
  <si>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</si>
  <si>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</si>
  <si>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</si>
  <si>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</si>
  <si>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</si>
  <si>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</si>
  <si>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</si>
  <si>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</si>
  <si>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</si>
  <si>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</si>
  <si>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</si>
  <si>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</si>
  <si>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</si>
  <si>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</si>
  <si>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</si>
  <si>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</si>
  <si>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</si>
  <si>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</si>
  <si>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</si>
  <si>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</si>
  <si>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</si>
  <si>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</si>
  <si>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</si>
  <si>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</si>
  <si>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</si>
  <si>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</si>
  <si>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</si>
  <si>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</si>
  <si>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</si>
  <si>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</si>
  <si>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</si>
  <si>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</si>
  <si>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</si>
  <si>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</si>
  <si>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</si>
  <si>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</si>
  <si>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</si>
  <si>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</si>
  <si>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</si>
  <si>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</si>
  <si>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</si>
  <si>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</si>
  <si>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</si>
  <si>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</si>
  <si>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</si>
  <si>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</si>
  <si>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</si>
  <si>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</si>
  <si>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</si>
  <si>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</si>
  <si>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</si>
  <si>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</si>
  <si>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</si>
  <si>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</si>
  <si>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</si>
  <si>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</si>
  <si>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</si>
  <si>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</si>
  <si>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</si>
  <si>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</si>
  <si>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</si>
  <si>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</si>
  <si>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</si>
  <si>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</si>
  <si>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</si>
  <si>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</si>
  <si>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</si>
  <si>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</si>
  <si>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</si>
  <si>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</si>
  <si>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</si>
  <si>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</si>
  <si>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</si>
  <si>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</si>
  <si>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</si>
  <si>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</si>
  <si>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</si>
  <si>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</si>
  <si>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</si>
  <si>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</si>
  <si>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</si>
  <si>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</si>
  <si>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</si>
  <si>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</si>
  <si>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</si>
  <si>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</si>
  <si>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</si>
  <si>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</si>
  <si>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</si>
  <si>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</si>
  <si>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</si>
  <si>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</si>
  <si>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</si>
  <si>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</si>
  <si>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</si>
  <si>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</si>
  <si>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</si>
  <si>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</si>
  <si>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</si>
  <si>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</si>
  <si>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</si>
  <si>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</si>
  <si>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</si>
  <si>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</si>
  <si>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</si>
  <si>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</si>
  <si>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</si>
  <si>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</si>
  <si>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</si>
  <si>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</si>
  <si>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</si>
  <si>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</si>
  <si>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</si>
  <si>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</si>
  <si>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</si>
  <si>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</si>
  <si>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</si>
  <si>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</si>
  <si>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</si>
  <si>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</si>
  <si>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</si>
  <si>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</si>
  <si>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</si>
  <si>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</si>
  <si>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</si>
  <si>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</si>
  <si>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</si>
  <si>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</si>
  <si>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</si>
  <si>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</si>
  <si>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</si>
  <si>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</si>
  <si>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</si>
  <si>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</si>
  <si>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</si>
  <si>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</si>
  <si>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</si>
  <si>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</si>
  <si>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</si>
  <si>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</si>
  <si>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</si>
  <si>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</si>
  <si>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</si>
  <si>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</si>
  <si>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</si>
  <si>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</si>
  <si>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</si>
  <si>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</si>
  <si>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</si>
  <si>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</si>
  <si>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</si>
  <si>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</si>
  <si>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</si>
  <si>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</si>
  <si>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</si>
  <si>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</si>
  <si>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</si>
  <si>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</si>
  <si>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</si>
  <si>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</si>
  <si>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</si>
  <si>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</si>
  <si>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</si>
  <si>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</si>
  <si>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</si>
  <si>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</si>
  <si>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</si>
  <si>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</si>
  <si>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</si>
  <si>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</si>
  <si>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</si>
  <si>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</si>
  <si>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</si>
  <si>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</si>
  <si>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</si>
  <si>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</si>
  <si>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</si>
  <si>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</si>
  <si>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</si>
  <si>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</si>
  <si>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</si>
  <si>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</si>
  <si>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</si>
  <si>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</si>
  <si>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</si>
  <si>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</si>
  <si>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</si>
  <si>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</si>
  <si>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</si>
  <si>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</si>
  <si>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</si>
  <si>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</si>
  <si>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</si>
  <si>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</si>
  <si>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</si>
  <si>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</si>
  <si>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</si>
  <si>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</si>
  <si>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</si>
  <si>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</si>
  <si>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</si>
  <si>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</si>
  <si>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</si>
  <si>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</si>
  <si>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</si>
  <si>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</si>
  <si>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</si>
  <si>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</si>
  <si>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</si>
  <si>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</si>
  <si>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</si>
  <si>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</si>
  <si>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</si>
  <si>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</si>
  <si>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</si>
  <si>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</si>
  <si>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</si>
  <si>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</si>
  <si>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</si>
  <si>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</si>
  <si>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</si>
  <si>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</si>
  <si>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</si>
  <si>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</si>
  <si>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</si>
  <si>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</si>
  <si>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</si>
  <si>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</si>
  <si>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</si>
  <si>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</si>
  <si>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</si>
  <si>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</si>
  <si>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</si>
  <si>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</si>
  <si>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</si>
  <si>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</si>
  <si>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</si>
  <si>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</si>
  <si>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</si>
  <si>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</si>
  <si>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</si>
  <si>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</si>
  <si>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</si>
  <si>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</si>
  <si>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</si>
  <si>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</si>
  <si>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</si>
  <si>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</si>
  <si>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</si>
  <si>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</si>
  <si>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</si>
  <si>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</si>
  <si>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</si>
  <si>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</si>
  <si>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</si>
  <si>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</si>
  <si>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</si>
  <si>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</si>
  <si>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</si>
  <si>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</si>
  <si>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</si>
  <si>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</si>
  <si>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</si>
  <si>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</si>
  <si>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</si>
  <si>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</si>
  <si>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</si>
  <si>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</si>
  <si>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</si>
  <si>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</si>
  <si>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</si>
  <si>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</si>
  <si>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</si>
  <si>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</si>
  <si>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</si>
  <si>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</si>
  <si>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</si>
  <si>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</si>
  <si>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</si>
  <si>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</si>
  <si>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</si>
  <si>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</si>
  <si>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</si>
  <si>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</si>
  <si>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</si>
  <si>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</si>
  <si>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</si>
  <si>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</si>
  <si>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</si>
  <si>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</si>
  <si>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</si>
  <si>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</si>
  <si>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</si>
  <si>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</si>
  <si>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</si>
  <si>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</si>
  <si>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</si>
  <si>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</si>
  <si>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</si>
  <si>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</si>
  <si>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</si>
  <si>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</si>
  <si>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</si>
  <si>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</si>
  <si>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</si>
  <si>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</si>
  <si>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</si>
  <si>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</si>
  <si>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</si>
  <si>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</si>
  <si>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</si>
  <si>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</si>
  <si>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</si>
  <si>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</si>
  <si>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</si>
  <si>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</si>
  <si>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</si>
  <si>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</si>
  <si>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</si>
  <si>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</si>
  <si>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</si>
  <si>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</si>
  <si>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</si>
  <si>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</si>
  <si>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</si>
  <si>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</si>
  <si>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</si>
  <si>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</si>
  <si>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</si>
  <si>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</si>
  <si>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</si>
  <si>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</si>
  <si>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</si>
  <si>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</si>
  <si>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</si>
  <si>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</si>
  <si>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</si>
  <si>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</si>
  <si>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</si>
  <si>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</si>
  <si>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</si>
  <si>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</si>
  <si>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</si>
  <si>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</si>
  <si>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</si>
  <si>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</si>
  <si>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</si>
  <si>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</si>
  <si>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</si>
  <si>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</si>
  <si>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</si>
  <si>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</si>
  <si>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</si>
  <si>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</si>
  <si>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</si>
  <si>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</si>
  <si>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</si>
  <si>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</si>
  <si>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</si>
  <si>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</si>
  <si>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</si>
  <si>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</si>
  <si>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</si>
  <si>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</si>
  <si>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</si>
  <si>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</si>
  <si>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</si>
  <si>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</si>
  <si>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</si>
  <si>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</si>
  <si>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</si>
  <si>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</si>
  <si>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</si>
  <si>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</si>
  <si>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</si>
  <si>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</si>
  <si>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</si>
  <si>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</si>
  <si>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</si>
  <si>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</si>
  <si>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</si>
  <si>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</si>
  <si>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</si>
  <si>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</si>
  <si>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</si>
  <si>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</si>
  <si>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</si>
  <si>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</si>
  <si>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</si>
  <si>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</si>
  <si>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</si>
  <si>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</si>
  <si>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</si>
  <si>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</si>
  <si>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</si>
  <si>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</si>
  <si>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</si>
  <si>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</si>
  <si>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</si>
  <si>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</si>
  <si>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</si>
  <si>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</si>
  <si>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</si>
  <si>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</si>
  <si>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</si>
  <si>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</si>
  <si>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</si>
  <si>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</si>
  <si>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</si>
  <si>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</si>
  <si>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</si>
  <si>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</si>
  <si>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</si>
  <si>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</si>
  <si>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</si>
  <si>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</si>
  <si>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</si>
  <si>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</si>
  <si>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</si>
  <si>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</si>
  <si>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</si>
  <si>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</si>
  <si>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</si>
  <si>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</si>
  <si>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</si>
  <si>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</si>
  <si>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</si>
  <si>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</si>
  <si>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</si>
  <si>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</si>
  <si>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</si>
  <si>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</si>
  <si>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</si>
  <si>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</si>
  <si>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</si>
  <si>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</si>
  <si>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</si>
  <si>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</si>
  <si>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</si>
  <si>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</si>
  <si>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</si>
  <si>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</si>
  <si>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</si>
  <si>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</si>
  <si>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</si>
  <si>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</si>
  <si>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</si>
  <si>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</si>
  <si>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</si>
  <si>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</si>
  <si>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</si>
  <si>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</si>
  <si>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</si>
  <si>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</si>
  <si>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</si>
  <si>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</si>
  <si>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</si>
  <si>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</si>
  <si>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</si>
  <si>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</si>
  <si>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</si>
  <si>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</si>
  <si>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</si>
  <si>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</si>
  <si>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</si>
  <si>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</si>
  <si>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</si>
  <si>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</si>
  <si>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</si>
  <si>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</si>
  <si>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</si>
  <si>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</si>
  <si>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</si>
  <si>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</si>
  <si>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</si>
  <si>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</si>
  <si>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</si>
  <si>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</si>
  <si>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</si>
  <si>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</si>
  <si>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</si>
  <si>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</si>
  <si>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</si>
  <si>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</si>
  <si>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</si>
  <si>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</si>
  <si>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</si>
  <si>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</si>
  <si>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</si>
  <si>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</si>
  <si>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</si>
  <si>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</si>
  <si>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</si>
  <si>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</si>
  <si>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</si>
  <si>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</si>
  <si>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</si>
  <si>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</si>
  <si>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</si>
  <si>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</si>
  <si>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</si>
  <si>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</si>
  <si>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</si>
  <si>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</si>
  <si>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</si>
  <si>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</si>
  <si>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</si>
  <si>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</si>
  <si>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</si>
  <si>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</si>
  <si>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</si>
  <si>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</si>
  <si>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</si>
  <si>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</si>
  <si>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</si>
  <si>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</si>
  <si>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</si>
  <si>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</si>
  <si>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</si>
  <si>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</si>
  <si>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</si>
  <si>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</si>
  <si>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</si>
  <si>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</si>
  <si>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</si>
  <si>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</si>
  <si>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</si>
  <si>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</si>
  <si>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</si>
  <si>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</si>
  <si>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</si>
  <si>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</si>
  <si>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</si>
  <si>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</si>
  <si>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</si>
  <si>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</si>
  <si>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</si>
  <si>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</si>
  <si>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</si>
  <si>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</si>
  <si>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</si>
  <si>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</si>
  <si>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</si>
  <si>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</si>
  <si>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</si>
  <si>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</si>
  <si>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</si>
  <si>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</si>
  <si>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</si>
  <si>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</si>
  <si>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</si>
  <si>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</si>
  <si>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</si>
  <si>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</si>
  <si>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</si>
  <si>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</si>
  <si>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</si>
  <si>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</si>
  <si>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</si>
  <si>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</si>
  <si>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</si>
  <si>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</si>
  <si>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</si>
  <si>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</si>
  <si>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</si>
  <si>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</si>
  <si>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</si>
  <si>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</si>
  <si>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</si>
  <si>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</si>
  <si>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</si>
  <si>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</si>
  <si>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</si>
  <si>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</si>
  <si>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</si>
  <si>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</si>
  <si>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</si>
  <si>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</si>
  <si>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</si>
  <si>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</si>
  <si>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</si>
  <si>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</si>
  <si>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</si>
  <si>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</si>
  <si>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</si>
  <si>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</si>
  <si>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</si>
  <si>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</si>
  <si>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</si>
  <si>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</si>
  <si>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</si>
  <si>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</si>
  <si>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</si>
  <si>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</si>
  <si>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</si>
  <si>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</si>
  <si>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</si>
  <si>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</si>
  <si>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</si>
  <si>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</si>
  <si>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</si>
  <si>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</si>
  <si>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</si>
  <si>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</si>
  <si>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</si>
  <si>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</si>
  <si>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</si>
  <si>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</si>
  <si>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</si>
  <si>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</si>
  <si>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</si>
  <si>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</si>
  <si>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</si>
  <si>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</si>
  <si>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</si>
  <si>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</si>
  <si>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</si>
  <si>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</si>
  <si>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</si>
  <si>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</si>
  <si>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</si>
  <si>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</si>
  <si>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</si>
  <si>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</si>
  <si>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</si>
  <si>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</si>
  <si>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</si>
  <si>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</si>
  <si>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</si>
  <si>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</si>
  <si>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</si>
  <si>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</si>
  <si>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</si>
  <si>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</si>
  <si>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</si>
  <si>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</si>
  <si>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</si>
  <si>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</si>
  <si>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</si>
  <si>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</si>
  <si>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</si>
  <si>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</si>
  <si>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</si>
  <si>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</si>
  <si>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</si>
  <si>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</si>
  <si>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</si>
  <si>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</si>
  <si>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</si>
  <si>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</si>
  <si>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</si>
  <si>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</si>
  <si>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</si>
  <si>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</si>
  <si>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</si>
  <si>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</si>
  <si>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</si>
  <si>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</si>
  <si>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</si>
  <si>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</si>
  <si>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</si>
  <si>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</si>
  <si>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</si>
  <si>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</si>
  <si>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</si>
  <si>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</si>
  <si>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</si>
  <si>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</si>
  <si>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</si>
  <si>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</si>
  <si>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</si>
  <si>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</si>
  <si>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</si>
  <si>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</si>
  <si>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</si>
  <si>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</si>
  <si>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</si>
  <si>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</si>
  <si>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</si>
  <si>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</si>
  <si>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</si>
  <si>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</si>
  <si>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</si>
  <si>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</si>
  <si>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</si>
  <si>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</si>
  <si>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</si>
  <si>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</si>
  <si>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</si>
  <si>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</si>
  <si>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</si>
  <si>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</si>
  <si>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</si>
  <si>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</si>
  <si>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</si>
  <si>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</si>
  <si>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</si>
  <si>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</si>
  <si>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</si>
  <si>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</si>
  <si>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</si>
  <si>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</si>
  <si>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</si>
  <si>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</si>
  <si>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</si>
  <si>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</si>
  <si>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</si>
  <si>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</si>
  <si>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</si>
  <si>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</si>
  <si>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</si>
  <si>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</si>
  <si>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</si>
  <si>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</si>
  <si>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</si>
  <si>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</si>
  <si>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</si>
  <si>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</si>
  <si>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</si>
  <si>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</si>
  <si>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</si>
  <si>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</si>
  <si>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</si>
  <si>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</si>
  <si>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</si>
  <si>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</si>
  <si>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</si>
  <si>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</si>
  <si>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</si>
  <si>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</si>
  <si>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</si>
  <si>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</si>
  <si>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</si>
  <si>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</si>
  <si>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</si>
  <si>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</si>
  <si>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</si>
  <si>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</si>
  <si>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</si>
  <si>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</si>
  <si>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</si>
  <si>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</si>
  <si>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</si>
  <si>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</si>
  <si>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</si>
  <si>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</si>
  <si>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</si>
  <si>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</si>
  <si>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</si>
  <si>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</si>
  <si>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</si>
  <si>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</si>
  <si>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</si>
  <si>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</si>
  <si>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</si>
  <si>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</si>
  <si>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</si>
  <si>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</si>
  <si>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</si>
  <si>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</si>
  <si>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</si>
  <si>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</si>
  <si>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</si>
  <si>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</si>
  <si>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</si>
  <si>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</si>
  <si>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</si>
  <si>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</si>
  <si>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</si>
  <si>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</si>
  <si>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</si>
  <si>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</si>
  <si>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</si>
  <si>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</si>
  <si>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</si>
  <si>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</si>
  <si>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</si>
  <si>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</si>
  <si>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</si>
  <si>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</si>
  <si>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</si>
  <si>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</si>
  <si>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</si>
  <si>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</si>
  <si>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</si>
  <si>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</si>
  <si>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</si>
  <si>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</si>
  <si>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</si>
  <si>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</si>
  <si>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</si>
  <si>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</si>
  <si>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</si>
  <si>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</si>
  <si>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</si>
  <si>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</si>
  <si>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</si>
  <si>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</si>
  <si>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</si>
  <si>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</si>
  <si>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</si>
  <si>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</si>
  <si>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</si>
  <si>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</si>
  <si>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</si>
  <si>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</si>
  <si>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</si>
  <si>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</si>
  <si>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</si>
  <si>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</si>
  <si>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</si>
  <si>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</si>
  <si>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</si>
  <si>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</si>
  <si>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</si>
  <si>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</si>
  <si>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</si>
  <si>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</si>
  <si>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</si>
  <si>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</si>
  <si>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</si>
  <si>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</si>
  <si>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</si>
  <si>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</si>
  <si>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</si>
  <si>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</si>
  <si>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</si>
  <si>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</si>
  <si>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</si>
  <si>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</si>
  <si>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</si>
  <si>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</si>
  <si>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</si>
  <si>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</si>
  <si>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</si>
  <si>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</si>
  <si>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</si>
  <si>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</si>
  <si>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</si>
  <si>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</si>
  <si>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</si>
  <si>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</si>
  <si>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</si>
  <si>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</si>
  <si>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</si>
  <si>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</si>
  <si>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</si>
  <si>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</si>
  <si>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</si>
  <si>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</si>
  <si>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</si>
  <si>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</si>
  <si>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</si>
  <si>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</si>
  <si>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</si>
  <si>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</si>
  <si>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</si>
  <si>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</si>
  <si>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</si>
  <si>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</si>
  <si>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</si>
  <si>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</si>
  <si>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</si>
  <si>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</si>
  <si>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</si>
  <si>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</si>
  <si>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</si>
  <si>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</si>
  <si>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</si>
  <si>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</si>
  <si>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</si>
  <si>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</si>
  <si>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</si>
  <si>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</si>
  <si>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</si>
  <si>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</si>
  <si>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</si>
  <si>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</si>
  <si>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</si>
  <si>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</si>
  <si>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</si>
  <si>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</si>
  <si>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</si>
  <si>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</si>
  <si>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</si>
  <si>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</si>
  <si>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</si>
  <si>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</si>
  <si>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</si>
  <si>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</si>
  <si>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</si>
  <si>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</si>
  <si>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</si>
  <si>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</si>
  <si>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</si>
  <si>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</si>
  <si>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</si>
  <si>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</si>
  <si>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</si>
  <si>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</si>
  <si>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</si>
  <si>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</si>
  <si>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</si>
  <si>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</si>
  <si>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</si>
  <si>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</si>
  <si>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</si>
  <si>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</si>
  <si>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</si>
  <si>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</si>
  <si>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</si>
  <si>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</si>
  <si>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</si>
  <si>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</si>
  <si>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</si>
  <si>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</si>
  <si>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</si>
  <si>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</si>
  <si>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</si>
  <si>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</si>
  <si>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</si>
  <si>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</si>
  <si>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</si>
  <si>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</si>
  <si>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</si>
  <si>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</si>
  <si>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</si>
  <si>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</si>
  <si>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</si>
  <si>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</si>
  <si>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</si>
  <si>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</si>
  <si>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</si>
  <si>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</si>
  <si>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</si>
  <si>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</si>
  <si>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</si>
  <si>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</si>
  <si>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</si>
  <si>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</si>
  <si>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</si>
  <si>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</si>
  <si>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</si>
  <si>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</si>
  <si>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</si>
  <si>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</si>
  <si>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</si>
  <si>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</si>
  <si>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</si>
  <si>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</si>
  <si>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</si>
  <si>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</si>
  <si>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</si>
  <si>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</si>
  <si>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</si>
  <si>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</si>
  <si>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</si>
  <si>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</si>
  <si>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</si>
  <si>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</si>
  <si>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</si>
  <si>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</si>
  <si>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</si>
  <si>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</si>
  <si>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</si>
  <si>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</si>
  <si>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</si>
  <si>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</si>
  <si>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</si>
  <si>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</si>
  <si>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</si>
  <si>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</si>
  <si>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</si>
  <si>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</si>
  <si>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</si>
  <si>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</si>
  <si>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</si>
  <si>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</si>
  <si>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</si>
  <si>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</si>
  <si>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</si>
  <si>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</si>
  <si>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</si>
  <si>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</si>
  <si>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</si>
  <si>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</si>
  <si>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</si>
  <si>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</si>
  <si>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</si>
  <si>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</si>
  <si>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</si>
  <si>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</si>
  <si>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</si>
  <si>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</si>
  <si>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</si>
  <si>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</si>
  <si>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</si>
  <si>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</si>
  <si>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</si>
  <si>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</si>
  <si>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</si>
  <si>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</si>
  <si>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</si>
  <si>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</si>
  <si>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</si>
  <si>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</si>
  <si>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</si>
  <si>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</si>
  <si>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</si>
  <si>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</si>
  <si>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</si>
  <si>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</si>
  <si>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</si>
  <si>
    <t>Escola de Instrutores: Avaliação de Aprendizagem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</si>
</sst>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49" fontId="41" fillId="22" borderId="22" xfId="0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52" dataDxfId="51" totalsRowDxfId="50" totalsRowBorderDxfId="49">
  <autoFilter ref="B1:T684" xr:uid="{D1BD5F14-CD6F-4B62-85D2-128A9D3B5FF1}">
    <filterColumn colId="0">
      <filters>
        <filter val="2026"/>
      </filters>
    </filterColumn>
    <filterColumn colId="1">
      <filters>
        <filter val="Realizado"/>
      </filters>
    </filterColumn>
  </autoFilter>
  <sortState xmlns:xlrd2="http://schemas.microsoft.com/office/spreadsheetml/2017/richdata2" ref="B2:T682">
    <sortCondition ref="I1:I684"/>
  </sortState>
  <tableColumns count="19">
    <tableColumn id="2" xr3:uid="{19532738-24D5-4BD5-BE04-C19DCC5894A1}" name="Ano" dataDxfId="48" totalsRowDxfId="47"/>
    <tableColumn id="3" xr3:uid="{8DE0B36A-F0DC-47A1-A74E-F4BE63A4FB1D}" name="Status Evento" dataDxfId="46" totalsRowDxfId="45"/>
    <tableColumn id="4" xr3:uid="{C1159FBD-CCD0-4CA2-BB8C-598E3AB5DDD8}" name="Processo" dataDxfId="44" totalsRowDxfId="43"/>
    <tableColumn id="5" xr3:uid="{A32670A4-BE4F-480D-8DE9-8FF18024C829}" name="Curso" dataDxfId="42" totalsRowDxfId="41"/>
    <tableColumn id="8" xr3:uid="{905DEA0A-D099-47EA-972D-1012D71C7792}" name="Público-Alvo" dataDxfId="40" totalsRowDxfId="39"/>
    <tableColumn id="9" xr3:uid="{7DC0A0BE-8030-47CA-AF56-2C13C9FF7AE5}" name="Programa" dataDxfId="38" totalsRowDxfId="37"/>
    <tableColumn id="11" xr3:uid="{2B799ACD-69E4-46A5-9A4F-F7E3D7A47CE9}" name="Data TXT" dataDxfId="36" totalsRowDxfId="35"/>
    <tableColumn id="12" xr3:uid="{62016C67-3729-4C41-B72D-09D6616B7474}" name="Início" dataDxfId="34" totalsRowDxfId="33"/>
    <tableColumn id="13" xr3:uid="{E4F20518-0042-40C0-B590-B7616F2843A5}" name="Término" dataDxfId="32" totalsRowDxfId="31"/>
    <tableColumn id="14" xr3:uid="{4D6C4412-CFEE-4506-830E-F79FD008371B}" name="Modalidade" dataDxfId="30" totalsRowDxfId="29"/>
    <tableColumn id="15" xr3:uid="{12EC931A-E71B-4AEB-B20B-0F9EA63D0C71}" name="Valor instrutoria" dataDxfId="28" totalsRowDxfId="27" dataCellStyle="Moeda"/>
    <tableColumn id="17" xr3:uid="{8FCDFADA-4FA3-41E0-86FF-E623116BAFEB}" name="Nota Av. Reação" dataDxfId="26" totalsRowDxfId="25"/>
    <tableColumn id="19" xr3:uid="{316EB379-BB97-4F60-9566-576B25A26B0E}" name="Qtd Vagas" dataDxfId="24" totalsRowDxfId="23"/>
    <tableColumn id="20" xr3:uid="{59A9FB16-6726-411C-88B5-8165DD520DA3}" name="P. Servidores" dataDxfId="22" totalsRowDxfId="21"/>
    <tableColumn id="21" xr3:uid="{0246E091-ADCD-4F62-8F95-84B21E8A7BE1}" name="P. Jurisdicionados" dataDxfId="20" totalsRowDxfId="19"/>
    <tableColumn id="22" xr3:uid="{1B6DBD6D-C072-4600-81C1-69D6F4422D7D}" name="P. Sociedade" dataDxfId="18" totalsRowDxfId="17"/>
    <tableColumn id="23" xr3:uid="{109F7E4E-776C-4249-88BE-FEC3A375D7D9}" name="Total Part." dataDxfId="16" totalsRowDxfId="15"/>
    <tableColumn id="24" xr3:uid="{C67AA4C6-834C-4EBB-839B-EF0CDD50F649}" name="C.H." dataDxfId="14" totalsRowDxfId="13"/>
    <tableColumn id="26" xr3:uid="{973608F6-3E97-493C-AC61-980F73C13CD6}" name="Instrutor" dataDxfId="12" totalsRowDxfId="1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topLeftCell="E1" zoomScaleNormal="100" workbookViewId="0">
      <pane ySplit="1" topLeftCell="A672" activePane="bottomLeft" state="frozen"/>
      <selection pane="bottomLeft" activeCell="B685" sqref="A685:XFD685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2.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2.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2.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2.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2.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2.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2.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2.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2.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2.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2.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2.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2.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2.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2.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2.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2.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2.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2.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2.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2.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2.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2.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2.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2.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2.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2.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2.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2.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2.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2.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2.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2.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2.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2.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2.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2.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2.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2.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2.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2.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2.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2.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2.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2.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2.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2.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2.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2.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2.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2.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2.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2.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2.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2.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2.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2.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2.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2.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2.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2.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2.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2.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2.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2.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2.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2.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2.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2.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2.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2.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2.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2.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2.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2.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2.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2.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2.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2.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2.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2.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2.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2.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2.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2.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2.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2.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2.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2.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2.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2.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2.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2.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2.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2.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2.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2.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2.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2.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2.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2.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2.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2.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2.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2.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2.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2.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2.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2.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2.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2.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2.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2.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2.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2.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2.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2.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2.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2.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2.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2.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2.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2.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2.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2.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2.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2.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2.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2.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2.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2.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2.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2.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2.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2.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2.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2.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2.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2.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2.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2.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2.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2.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2.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2.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2.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2.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2.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2.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2.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2.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2.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2.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2.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2.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2.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2.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2.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2.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2.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2.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2.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2.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2.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2.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2.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2.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2.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2.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2.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2.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2.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2.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2.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2.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2.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2.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2.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2.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2.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2.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2.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2.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2.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2.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2.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2.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2.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2.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2.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2.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2.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2.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2.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2.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2.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2.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2.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2.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2.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2.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2.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2.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2.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2.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2.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2.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2.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2.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2.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2.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2.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2.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2.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2.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2.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2.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2.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2.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2.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2.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2.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2.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2.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2.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2.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2.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2.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2.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2.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2.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2.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2.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2.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2.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2.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2.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2.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2.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2.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2.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2.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2.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2.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2.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2.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2.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2.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2.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2.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2.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2.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2.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2.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2.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2.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2.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2.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2.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2.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2.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2.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2.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2.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2.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2.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2.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2.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2.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2.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2.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2.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2.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2.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2.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2.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2.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2.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2.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2.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2.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2.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2.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2.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2.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2.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2.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2.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2.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2.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2.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2.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2.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2.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2.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2.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2.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2.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2.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2.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2.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2.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2.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2.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2.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2.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2.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2.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2.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2.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2.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2.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2.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2.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2.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2.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2.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2.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2.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2.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2.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2.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2.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2.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2.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2.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2.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2.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2.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2.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2.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2.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2.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2.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2.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2.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2.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2.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2.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2.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2.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2.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2.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2.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2.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2.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2.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2.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2.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2.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2.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2.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2.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2.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2.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2.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2.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2.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2.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2.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2.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2.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2.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2.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2.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2.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2.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2.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2.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2.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2.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2.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2.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2.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2.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2.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2.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2.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2.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2.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2.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2.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2.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2.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2.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449" si="6">SUM(O386:Q386)</f>
        <v>49</v>
      </c>
      <c r="S386" s="22">
        <v>2</v>
      </c>
      <c r="T386" s="20" t="s">
        <v>1230</v>
      </c>
    </row>
    <row r="387" spans="1:20" ht="22.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2.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2.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2.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2.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2.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2.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2.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2.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2.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2.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2.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2.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2.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2.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2.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2.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2.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2.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2.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2.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2.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2.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2.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2.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2.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2.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2.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2.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2407</v>
      </c>
      <c r="F415" s="31" t="s">
        <v>22</v>
      </c>
      <c r="G415" s="21" t="s">
        <v>34</v>
      </c>
      <c r="H415" s="38" t="s">
        <v>1320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2.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1321</v>
      </c>
      <c r="E416" s="27" t="s">
        <v>1322</v>
      </c>
      <c r="F416" s="29" t="s">
        <v>22</v>
      </c>
      <c r="G416" s="20" t="s">
        <v>157</v>
      </c>
      <c r="H416" s="36" t="s">
        <v>1323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2.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1324</v>
      </c>
      <c r="E417" s="30" t="s">
        <v>1325</v>
      </c>
      <c r="F417" s="31" t="s">
        <v>66</v>
      </c>
      <c r="G417" s="21" t="s">
        <v>59</v>
      </c>
      <c r="H417" s="38" t="s">
        <v>1320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1326</v>
      </c>
    </row>
    <row r="418" spans="1:20" ht="22.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1327</v>
      </c>
      <c r="E418" s="27" t="s">
        <v>1328</v>
      </c>
      <c r="F418" s="29" t="s">
        <v>22</v>
      </c>
      <c r="G418" s="20" t="s">
        <v>23</v>
      </c>
      <c r="H418" s="36" t="s">
        <v>1329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1330</v>
      </c>
    </row>
    <row r="419" spans="1:20" ht="22.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1331</v>
      </c>
      <c r="F419" s="31" t="s">
        <v>22</v>
      </c>
      <c r="G419" s="21" t="s">
        <v>1316</v>
      </c>
      <c r="H419" s="38" t="s">
        <v>1332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1333</v>
      </c>
    </row>
    <row r="420" spans="1:20" ht="22.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1334</v>
      </c>
      <c r="E420" s="27" t="s">
        <v>1335</v>
      </c>
      <c r="F420" s="29" t="s">
        <v>22</v>
      </c>
      <c r="G420" s="20" t="s">
        <v>157</v>
      </c>
      <c r="H420" s="36" t="s">
        <v>1336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1337</v>
      </c>
    </row>
    <row r="421" spans="1:20" ht="22.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1338</v>
      </c>
      <c r="F421" s="31" t="s">
        <v>51</v>
      </c>
      <c r="G421" s="21" t="s">
        <v>59</v>
      </c>
      <c r="H421" s="38" t="s">
        <v>1339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2.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1340</v>
      </c>
      <c r="E422" s="27" t="s">
        <v>1341</v>
      </c>
      <c r="F422" s="29" t="s">
        <v>22</v>
      </c>
      <c r="G422" s="20" t="s">
        <v>34</v>
      </c>
      <c r="H422" s="36" t="s">
        <v>1342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1343</v>
      </c>
    </row>
    <row r="423" spans="1:20" ht="22.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1334</v>
      </c>
      <c r="E423" s="30" t="s">
        <v>1344</v>
      </c>
      <c r="F423" s="31" t="s">
        <v>22</v>
      </c>
      <c r="G423" s="21" t="s">
        <v>157</v>
      </c>
      <c r="H423" s="38" t="s">
        <v>1345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1337</v>
      </c>
    </row>
    <row r="424" spans="1:20" ht="22.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1346</v>
      </c>
      <c r="E424" s="27" t="s">
        <v>1347</v>
      </c>
      <c r="F424" s="29" t="s">
        <v>22</v>
      </c>
      <c r="G424" s="20" t="s">
        <v>157</v>
      </c>
      <c r="H424" s="36" t="s">
        <v>1348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2.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1349</v>
      </c>
      <c r="F425" s="31" t="s">
        <v>51</v>
      </c>
      <c r="G425" s="21" t="s">
        <v>59</v>
      </c>
      <c r="H425" s="38" t="s">
        <v>1350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2.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1351</v>
      </c>
      <c r="E426" s="27" t="s">
        <v>1352</v>
      </c>
      <c r="F426" s="29" t="s">
        <v>22</v>
      </c>
      <c r="G426" s="20" t="s">
        <v>353</v>
      </c>
      <c r="H426" s="36" t="s">
        <v>1353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1354</v>
      </c>
    </row>
    <row r="427" spans="1:20" ht="22.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1355</v>
      </c>
      <c r="E427" s="30" t="s">
        <v>1356</v>
      </c>
      <c r="F427" s="31" t="s">
        <v>22</v>
      </c>
      <c r="G427" s="21" t="s">
        <v>34</v>
      </c>
      <c r="H427" s="38" t="s">
        <v>1357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1358</v>
      </c>
    </row>
    <row r="428" spans="1:20" ht="22.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1359</v>
      </c>
      <c r="E428" s="27" t="s">
        <v>1360</v>
      </c>
      <c r="F428" s="29" t="s">
        <v>66</v>
      </c>
      <c r="G428" s="20" t="s">
        <v>59</v>
      </c>
      <c r="H428" s="36" t="s">
        <v>1361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2.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1359</v>
      </c>
      <c r="E429" s="30" t="s">
        <v>1362</v>
      </c>
      <c r="F429" s="31" t="s">
        <v>66</v>
      </c>
      <c r="G429" s="21" t="s">
        <v>59</v>
      </c>
      <c r="H429" s="38" t="s">
        <v>1361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2.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1359</v>
      </c>
      <c r="E430" s="27" t="s">
        <v>1363</v>
      </c>
      <c r="F430" s="29" t="s">
        <v>66</v>
      </c>
      <c r="G430" s="20" t="s">
        <v>59</v>
      </c>
      <c r="H430" s="36" t="s">
        <v>1361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2.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1359</v>
      </c>
      <c r="E431" s="30" t="s">
        <v>1364</v>
      </c>
      <c r="F431" s="31" t="s">
        <v>66</v>
      </c>
      <c r="G431" s="21" t="s">
        <v>59</v>
      </c>
      <c r="H431" s="38" t="s">
        <v>1361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2.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1359</v>
      </c>
      <c r="E432" s="27" t="s">
        <v>1365</v>
      </c>
      <c r="F432" s="29" t="s">
        <v>66</v>
      </c>
      <c r="G432" s="20" t="s">
        <v>59</v>
      </c>
      <c r="H432" s="36" t="s">
        <v>1361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2.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1351</v>
      </c>
      <c r="E433" s="30" t="s">
        <v>1366</v>
      </c>
      <c r="F433" s="31" t="s">
        <v>22</v>
      </c>
      <c r="G433" s="21" t="s">
        <v>353</v>
      </c>
      <c r="H433" s="38" t="s">
        <v>1367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1354</v>
      </c>
    </row>
    <row r="434" spans="1:20" ht="22.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1368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2.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1369</v>
      </c>
      <c r="F435" s="31" t="s">
        <v>66</v>
      </c>
      <c r="G435" s="21" t="s">
        <v>59</v>
      </c>
      <c r="H435" s="38" t="s">
        <v>1370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2.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1371</v>
      </c>
      <c r="E436" s="27" t="s">
        <v>1372</v>
      </c>
      <c r="F436" s="29" t="s">
        <v>22</v>
      </c>
      <c r="G436" s="20" t="s">
        <v>34</v>
      </c>
      <c r="H436" s="36" t="s">
        <v>1373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1374</v>
      </c>
    </row>
    <row r="437" spans="1:20" ht="22.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1371</v>
      </c>
      <c r="E437" s="30" t="s">
        <v>1375</v>
      </c>
      <c r="F437" s="31" t="s">
        <v>22</v>
      </c>
      <c r="G437" s="21" t="s">
        <v>34</v>
      </c>
      <c r="H437" s="38" t="s">
        <v>1376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1374</v>
      </c>
    </row>
    <row r="438" spans="1:20" ht="22.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1371</v>
      </c>
      <c r="E438" s="27" t="s">
        <v>1377</v>
      </c>
      <c r="F438" s="29" t="s">
        <v>22</v>
      </c>
      <c r="G438" s="20" t="s">
        <v>34</v>
      </c>
      <c r="H438" s="36" t="s">
        <v>1378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1374</v>
      </c>
    </row>
    <row r="439" spans="1:20" ht="22.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1371</v>
      </c>
      <c r="E439" s="30" t="s">
        <v>1377</v>
      </c>
      <c r="F439" s="31" t="s">
        <v>22</v>
      </c>
      <c r="G439" s="21" t="s">
        <v>34</v>
      </c>
      <c r="H439" s="38" t="s">
        <v>1379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1374</v>
      </c>
    </row>
    <row r="440" spans="1:20" ht="22.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1380</v>
      </c>
      <c r="E440" s="27" t="s">
        <v>1381</v>
      </c>
      <c r="F440" s="29" t="s">
        <v>66</v>
      </c>
      <c r="G440" s="20" t="s">
        <v>59</v>
      </c>
      <c r="H440" s="36" t="s">
        <v>1382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2.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1383</v>
      </c>
      <c r="E441" s="30" t="s">
        <v>1384</v>
      </c>
      <c r="F441" s="31" t="s">
        <v>22</v>
      </c>
      <c r="G441" s="21" t="s">
        <v>157</v>
      </c>
      <c r="H441" s="38" t="s">
        <v>1385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2.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1386</v>
      </c>
      <c r="E442" s="27" t="s">
        <v>1387</v>
      </c>
      <c r="F442" s="29" t="s">
        <v>22</v>
      </c>
      <c r="G442" s="20" t="s">
        <v>30</v>
      </c>
      <c r="H442" s="36" t="s">
        <v>1388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1389</v>
      </c>
    </row>
    <row r="443" spans="1:20" ht="22.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1390</v>
      </c>
      <c r="E443" s="30" t="s">
        <v>1391</v>
      </c>
      <c r="F443" s="31" t="s">
        <v>51</v>
      </c>
      <c r="G443" s="21" t="s">
        <v>59</v>
      </c>
      <c r="H443" s="38" t="s">
        <v>1392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2.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1393</v>
      </c>
      <c r="E444" s="27" t="s">
        <v>1394</v>
      </c>
      <c r="F444" s="29" t="s">
        <v>22</v>
      </c>
      <c r="G444" s="20" t="s">
        <v>157</v>
      </c>
      <c r="H444" s="36" t="s">
        <v>1395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2.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1396</v>
      </c>
      <c r="E445" s="30" t="s">
        <v>1397</v>
      </c>
      <c r="F445" s="31" t="s">
        <v>66</v>
      </c>
      <c r="G445" s="21" t="s">
        <v>59</v>
      </c>
      <c r="H445" s="38" t="s">
        <v>1398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2.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1351</v>
      </c>
      <c r="E446" s="27" t="s">
        <v>1399</v>
      </c>
      <c r="F446" s="29" t="s">
        <v>22</v>
      </c>
      <c r="G446" s="20" t="s">
        <v>353</v>
      </c>
      <c r="H446" s="36" t="s">
        <v>1400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1354</v>
      </c>
    </row>
    <row r="447" spans="1:20" ht="22.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1401</v>
      </c>
      <c r="E447" s="30" t="s">
        <v>1402</v>
      </c>
      <c r="F447" s="31" t="s">
        <v>51</v>
      </c>
      <c r="G447" s="21" t="s">
        <v>23</v>
      </c>
      <c r="H447" s="38" t="s">
        <v>1403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1326</v>
      </c>
    </row>
    <row r="448" spans="1:20" ht="22.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1355</v>
      </c>
      <c r="E448" s="27" t="s">
        <v>1404</v>
      </c>
      <c r="F448" s="29" t="s">
        <v>22</v>
      </c>
      <c r="G448" s="20" t="s">
        <v>34</v>
      </c>
      <c r="H448" s="36" t="s">
        <v>1403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1358</v>
      </c>
    </row>
    <row r="449" spans="1:20" ht="22.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1405</v>
      </c>
      <c r="E449" s="30" t="s">
        <v>1406</v>
      </c>
      <c r="F449" s="31" t="s">
        <v>22</v>
      </c>
      <c r="G449" s="21" t="s">
        <v>283</v>
      </c>
      <c r="H449" s="38" t="s">
        <v>1407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2.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1327</v>
      </c>
      <c r="E450" s="27" t="s">
        <v>1408</v>
      </c>
      <c r="F450" s="29" t="s">
        <v>22</v>
      </c>
      <c r="G450" s="20" t="s">
        <v>23</v>
      </c>
      <c r="H450" s="36" t="s">
        <v>1409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1330</v>
      </c>
    </row>
    <row r="451" spans="1:20" ht="22.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1351</v>
      </c>
      <c r="E451" s="30" t="s">
        <v>1410</v>
      </c>
      <c r="F451" s="31" t="s">
        <v>22</v>
      </c>
      <c r="G451" s="21" t="s">
        <v>353</v>
      </c>
      <c r="H451" s="38" t="s">
        <v>1411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1354</v>
      </c>
    </row>
    <row r="452" spans="1:20" ht="22.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1412</v>
      </c>
      <c r="E452" s="27" t="s">
        <v>1413</v>
      </c>
      <c r="F452" s="29" t="s">
        <v>22</v>
      </c>
      <c r="G452" s="20" t="s">
        <v>353</v>
      </c>
      <c r="H452" s="36" t="s">
        <v>1414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2.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1327</v>
      </c>
      <c r="E453" s="30" t="s">
        <v>1415</v>
      </c>
      <c r="F453" s="31" t="s">
        <v>22</v>
      </c>
      <c r="G453" s="21" t="s">
        <v>23</v>
      </c>
      <c r="H453" s="38" t="s">
        <v>1416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2.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1405</v>
      </c>
      <c r="E454" s="27" t="s">
        <v>1417</v>
      </c>
      <c r="F454" s="29" t="s">
        <v>22</v>
      </c>
      <c r="G454" s="20" t="s">
        <v>283</v>
      </c>
      <c r="H454" s="36" t="s">
        <v>1418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1419</v>
      </c>
    </row>
    <row r="455" spans="1:20" ht="22.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1351</v>
      </c>
      <c r="E455" s="30" t="s">
        <v>1420</v>
      </c>
      <c r="F455" s="31" t="s">
        <v>22</v>
      </c>
      <c r="G455" s="21" t="s">
        <v>353</v>
      </c>
      <c r="H455" s="38" t="s">
        <v>1418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1354</v>
      </c>
    </row>
    <row r="456" spans="1:20" ht="22.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1421</v>
      </c>
      <c r="F456" s="29" t="s">
        <v>22</v>
      </c>
      <c r="G456" s="20" t="s">
        <v>157</v>
      </c>
      <c r="H456" s="57" t="s">
        <v>1418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2.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1422</v>
      </c>
      <c r="E457" s="30" t="s">
        <v>1423</v>
      </c>
      <c r="F457" s="31" t="s">
        <v>22</v>
      </c>
      <c r="G457" s="21" t="s">
        <v>34</v>
      </c>
      <c r="H457" s="38" t="s">
        <v>1424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1358</v>
      </c>
    </row>
    <row r="458" spans="1:20" ht="22.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1425</v>
      </c>
      <c r="E458" s="27" t="s">
        <v>1426</v>
      </c>
      <c r="F458" s="29" t="s">
        <v>22</v>
      </c>
      <c r="G458" s="20" t="s">
        <v>283</v>
      </c>
      <c r="H458" s="36" t="s">
        <v>1427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2.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1428</v>
      </c>
      <c r="E459" s="30" t="s">
        <v>1429</v>
      </c>
      <c r="F459" s="31" t="s">
        <v>51</v>
      </c>
      <c r="G459" s="21" t="s">
        <v>59</v>
      </c>
      <c r="H459" s="38" t="s">
        <v>1430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1431</v>
      </c>
    </row>
    <row r="460" spans="1:20" ht="22.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1432</v>
      </c>
      <c r="E460" s="27" t="s">
        <v>1433</v>
      </c>
      <c r="F460" s="29" t="s">
        <v>22</v>
      </c>
      <c r="G460" s="20" t="s">
        <v>56</v>
      </c>
      <c r="H460" s="36" t="s">
        <v>1434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2.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1351</v>
      </c>
      <c r="E461" s="30" t="s">
        <v>1435</v>
      </c>
      <c r="F461" s="31" t="s">
        <v>22</v>
      </c>
      <c r="G461" s="21" t="s">
        <v>353</v>
      </c>
      <c r="H461" s="263" t="s">
        <v>1436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1354</v>
      </c>
    </row>
    <row r="462" spans="1:20" ht="22.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1437</v>
      </c>
      <c r="E462" s="27" t="s">
        <v>1438</v>
      </c>
      <c r="F462" s="29" t="s">
        <v>22</v>
      </c>
      <c r="G462" s="20" t="s">
        <v>34</v>
      </c>
      <c r="H462" s="262" t="s">
        <v>1439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1440</v>
      </c>
    </row>
    <row r="463" spans="1:20" ht="22.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1441</v>
      </c>
      <c r="E463" s="30" t="s">
        <v>1442</v>
      </c>
      <c r="F463" s="31" t="s">
        <v>22</v>
      </c>
      <c r="G463" s="21" t="s">
        <v>23</v>
      </c>
      <c r="H463" s="38" t="s">
        <v>1443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2.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1351</v>
      </c>
      <c r="E464" s="27" t="s">
        <v>1444</v>
      </c>
      <c r="F464" s="29" t="s">
        <v>22</v>
      </c>
      <c r="G464" s="20" t="s">
        <v>353</v>
      </c>
      <c r="H464" s="36" t="s">
        <v>1445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1354</v>
      </c>
    </row>
    <row r="465" spans="1:20" ht="22.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1446</v>
      </c>
      <c r="E465" s="30" t="s">
        <v>1447</v>
      </c>
      <c r="F465" s="31" t="s">
        <v>22</v>
      </c>
      <c r="G465" s="21" t="s">
        <v>23</v>
      </c>
      <c r="H465" s="38" t="s">
        <v>1448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1449</v>
      </c>
    </row>
    <row r="466" spans="1:20" ht="22.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1450</v>
      </c>
      <c r="E466" s="27" t="s">
        <v>1451</v>
      </c>
      <c r="F466" s="29" t="s">
        <v>66</v>
      </c>
      <c r="G466" s="20" t="s">
        <v>56</v>
      </c>
      <c r="H466" s="36" t="s">
        <v>1452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2.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1450</v>
      </c>
      <c r="E467" s="30" t="s">
        <v>1453</v>
      </c>
      <c r="F467" s="85" t="s">
        <v>22</v>
      </c>
      <c r="G467" s="21" t="s">
        <v>56</v>
      </c>
      <c r="H467" s="38" t="s">
        <v>1454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2.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1455</v>
      </c>
      <c r="E468" s="27" t="s">
        <v>1456</v>
      </c>
      <c r="F468" s="29" t="s">
        <v>22</v>
      </c>
      <c r="G468" s="20" t="s">
        <v>34</v>
      </c>
      <c r="H468" s="36" t="s">
        <v>1457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1458</v>
      </c>
    </row>
    <row r="469" spans="1:20" ht="22.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1351</v>
      </c>
      <c r="E469" s="30" t="s">
        <v>1459</v>
      </c>
      <c r="F469" s="31" t="s">
        <v>22</v>
      </c>
      <c r="G469" s="21" t="s">
        <v>353</v>
      </c>
      <c r="H469" s="38" t="s">
        <v>1460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1354</v>
      </c>
    </row>
    <row r="470" spans="1:20" ht="22.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1351</v>
      </c>
      <c r="E470" s="27" t="s">
        <v>1461</v>
      </c>
      <c r="F470" s="29" t="s">
        <v>22</v>
      </c>
      <c r="G470" s="20" t="s">
        <v>353</v>
      </c>
      <c r="H470" s="36" t="s">
        <v>1462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1354</v>
      </c>
    </row>
    <row r="471" spans="1:20" ht="22.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1463</v>
      </c>
      <c r="E471" s="30" t="s">
        <v>1464</v>
      </c>
      <c r="F471" s="31" t="s">
        <v>51</v>
      </c>
      <c r="G471" s="21" t="s">
        <v>59</v>
      </c>
      <c r="H471" s="38" t="s">
        <v>1465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2.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1466</v>
      </c>
      <c r="E472" s="27" t="s">
        <v>1467</v>
      </c>
      <c r="F472" s="29" t="s">
        <v>51</v>
      </c>
      <c r="G472" s="20" t="s">
        <v>59</v>
      </c>
      <c r="H472" s="36" t="s">
        <v>1468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1469</v>
      </c>
    </row>
    <row r="473" spans="1:20" ht="22.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1470</v>
      </c>
      <c r="E473" s="30" t="s">
        <v>1471</v>
      </c>
      <c r="F473" s="31" t="s">
        <v>51</v>
      </c>
      <c r="G473" s="21" t="s">
        <v>59</v>
      </c>
      <c r="H473" s="38" t="s">
        <v>1472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1473</v>
      </c>
    </row>
    <row r="474" spans="1:20" ht="22.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1474</v>
      </c>
      <c r="E474" s="27" t="s">
        <v>1475</v>
      </c>
      <c r="F474" s="29" t="s">
        <v>51</v>
      </c>
      <c r="G474" s="20" t="s">
        <v>59</v>
      </c>
      <c r="H474" s="36" t="s">
        <v>1476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1477</v>
      </c>
    </row>
    <row r="475" spans="1:20" ht="22.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1478</v>
      </c>
      <c r="E475" s="30" t="s">
        <v>1479</v>
      </c>
      <c r="F475" s="31" t="s">
        <v>22</v>
      </c>
      <c r="G475" s="21" t="s">
        <v>34</v>
      </c>
      <c r="H475" s="38" t="s">
        <v>1480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1481</v>
      </c>
    </row>
    <row r="476" spans="1:20" ht="22.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1482</v>
      </c>
      <c r="E476" s="27" t="s">
        <v>1483</v>
      </c>
      <c r="F476" s="29" t="s">
        <v>51</v>
      </c>
      <c r="G476" s="20" t="s">
        <v>59</v>
      </c>
      <c r="H476" s="36" t="s">
        <v>1484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1485</v>
      </c>
    </row>
    <row r="477" spans="1:20" ht="22.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1486</v>
      </c>
      <c r="E477" s="30" t="s">
        <v>1487</v>
      </c>
      <c r="F477" s="31" t="s">
        <v>51</v>
      </c>
      <c r="G477" s="21" t="s">
        <v>59</v>
      </c>
      <c r="H477" s="38" t="s">
        <v>1488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2.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1489</v>
      </c>
      <c r="E478" s="27" t="s">
        <v>1490</v>
      </c>
      <c r="F478" s="29" t="s">
        <v>22</v>
      </c>
      <c r="G478" s="20" t="s">
        <v>23</v>
      </c>
      <c r="H478" s="36" t="s">
        <v>1491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1449</v>
      </c>
    </row>
    <row r="479" spans="1:20" ht="22.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1492</v>
      </c>
      <c r="E479" s="30" t="s">
        <v>1493</v>
      </c>
      <c r="F479" s="31" t="s">
        <v>66</v>
      </c>
      <c r="G479" s="21" t="s">
        <v>59</v>
      </c>
      <c r="H479" s="38" t="s">
        <v>1494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1495</v>
      </c>
    </row>
    <row r="480" spans="1:20" ht="22.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1496</v>
      </c>
      <c r="E480" s="27" t="s">
        <v>1497</v>
      </c>
      <c r="F480" s="29" t="s">
        <v>51</v>
      </c>
      <c r="G480" s="20" t="s">
        <v>59</v>
      </c>
      <c r="H480" s="36" t="s">
        <v>1498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2.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1355</v>
      </c>
      <c r="E481" s="30" t="s">
        <v>1499</v>
      </c>
      <c r="F481" s="31" t="s">
        <v>22</v>
      </c>
      <c r="G481" s="21" t="s">
        <v>34</v>
      </c>
      <c r="H481" s="38" t="s">
        <v>1500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1501</v>
      </c>
    </row>
    <row r="482" spans="1:20" ht="22.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1502</v>
      </c>
      <c r="E482" s="27" t="s">
        <v>1503</v>
      </c>
      <c r="F482" s="29" t="s">
        <v>22</v>
      </c>
      <c r="G482" s="20" t="s">
        <v>34</v>
      </c>
      <c r="H482" s="36" t="s">
        <v>1504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1505</v>
      </c>
    </row>
    <row r="483" spans="1:20" ht="22.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1506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2.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1486</v>
      </c>
      <c r="E484" s="27" t="s">
        <v>1507</v>
      </c>
      <c r="F484" s="29" t="s">
        <v>51</v>
      </c>
      <c r="G484" s="20" t="s">
        <v>59</v>
      </c>
      <c r="H484" s="36" t="s">
        <v>1508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2.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1351</v>
      </c>
      <c r="E485" s="30" t="s">
        <v>1509</v>
      </c>
      <c r="F485" s="31" t="s">
        <v>22</v>
      </c>
      <c r="G485" s="21" t="s">
        <v>353</v>
      </c>
      <c r="H485" s="38" t="s">
        <v>1510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1354</v>
      </c>
    </row>
    <row r="486" spans="1:20" ht="22.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1346</v>
      </c>
      <c r="E486" s="27" t="s">
        <v>1347</v>
      </c>
      <c r="F486" s="29" t="s">
        <v>22</v>
      </c>
      <c r="G486" s="20" t="s">
        <v>157</v>
      </c>
      <c r="H486" s="36" t="s">
        <v>1511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2.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1512</v>
      </c>
      <c r="E487" s="30" t="s">
        <v>1513</v>
      </c>
      <c r="F487" s="31" t="s">
        <v>22</v>
      </c>
      <c r="G487" s="21" t="s">
        <v>30</v>
      </c>
      <c r="H487" s="38" t="s">
        <v>1514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2.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1351</v>
      </c>
      <c r="E488" s="27" t="s">
        <v>1515</v>
      </c>
      <c r="F488" s="29" t="s">
        <v>22</v>
      </c>
      <c r="G488" s="20" t="s">
        <v>353</v>
      </c>
      <c r="H488" s="36" t="s">
        <v>1516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1354</v>
      </c>
    </row>
    <row r="489" spans="1:20" ht="22.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1517</v>
      </c>
      <c r="F489" s="31" t="s">
        <v>51</v>
      </c>
      <c r="G489" s="45" t="s">
        <v>59</v>
      </c>
      <c r="H489" s="59" t="s">
        <v>1518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2.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1492</v>
      </c>
      <c r="E490" s="65" t="s">
        <v>1519</v>
      </c>
      <c r="F490" s="66" t="s">
        <v>66</v>
      </c>
      <c r="G490" s="67" t="s">
        <v>59</v>
      </c>
      <c r="H490" s="68" t="s">
        <v>1518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1495</v>
      </c>
    </row>
    <row r="491" spans="1:20" ht="22.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1520</v>
      </c>
      <c r="E491" s="58" t="s">
        <v>1521</v>
      </c>
      <c r="F491" s="74" t="s">
        <v>22</v>
      </c>
      <c r="G491" s="45" t="s">
        <v>56</v>
      </c>
      <c r="H491" s="59" t="s">
        <v>1522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1523</v>
      </c>
    </row>
    <row r="492" spans="1:20" ht="22.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1524</v>
      </c>
      <c r="E492" s="65" t="s">
        <v>1525</v>
      </c>
      <c r="F492" s="66" t="s">
        <v>51</v>
      </c>
      <c r="G492" s="67" t="s">
        <v>59</v>
      </c>
      <c r="H492" s="68" t="s">
        <v>1526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1527</v>
      </c>
    </row>
    <row r="493" spans="1:20" ht="22.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1528</v>
      </c>
      <c r="E493" s="58" t="s">
        <v>1529</v>
      </c>
      <c r="F493" s="74" t="s">
        <v>22</v>
      </c>
      <c r="G493" s="45" t="s">
        <v>283</v>
      </c>
      <c r="H493" s="59" t="s">
        <v>1530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2.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1531</v>
      </c>
      <c r="E494" s="65" t="s">
        <v>1532</v>
      </c>
      <c r="F494" s="66" t="s">
        <v>22</v>
      </c>
      <c r="G494" s="67" t="s">
        <v>157</v>
      </c>
      <c r="H494" s="68" t="s">
        <v>1533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1534</v>
      </c>
    </row>
    <row r="495" spans="1:20" ht="22.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1535</v>
      </c>
      <c r="E495" s="58" t="s">
        <v>1536</v>
      </c>
      <c r="F495" s="74" t="s">
        <v>22</v>
      </c>
      <c r="G495" s="45" t="s">
        <v>157</v>
      </c>
      <c r="H495" s="59" t="s">
        <v>1537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2.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1538</v>
      </c>
      <c r="E496" s="65" t="s">
        <v>1539</v>
      </c>
      <c r="F496" s="66" t="s">
        <v>22</v>
      </c>
      <c r="G496" s="67" t="s">
        <v>157</v>
      </c>
      <c r="H496" s="68" t="s">
        <v>1540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1541</v>
      </c>
    </row>
    <row r="497" spans="1:20" ht="22.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1455</v>
      </c>
      <c r="E497" s="58" t="s">
        <v>1542</v>
      </c>
      <c r="F497" s="74" t="s">
        <v>51</v>
      </c>
      <c r="G497" s="45" t="s">
        <v>59</v>
      </c>
      <c r="H497" s="59" t="s">
        <v>1543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1458</v>
      </c>
    </row>
    <row r="498" spans="1:20" ht="22.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1355</v>
      </c>
      <c r="E498" s="65" t="s">
        <v>1544</v>
      </c>
      <c r="F498" s="66" t="s">
        <v>22</v>
      </c>
      <c r="G498" s="67" t="s">
        <v>34</v>
      </c>
      <c r="H498" s="68" t="s">
        <v>1545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1358</v>
      </c>
    </row>
    <row r="499" spans="1:20" ht="22.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1546</v>
      </c>
      <c r="E499" s="58" t="s">
        <v>1547</v>
      </c>
      <c r="F499" s="74" t="s">
        <v>66</v>
      </c>
      <c r="G499" s="45" t="s">
        <v>59</v>
      </c>
      <c r="H499" s="59" t="s">
        <v>1548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1549</v>
      </c>
    </row>
    <row r="500" spans="1:20" ht="22.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1550</v>
      </c>
      <c r="E500" s="65" t="s">
        <v>1551</v>
      </c>
      <c r="F500" s="66" t="s">
        <v>22</v>
      </c>
      <c r="G500" s="67" t="s">
        <v>157</v>
      </c>
      <c r="H500" s="68" t="s">
        <v>1552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1553</v>
      </c>
    </row>
    <row r="501" spans="1:20" ht="22.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1351</v>
      </c>
      <c r="E501" s="58" t="s">
        <v>1554</v>
      </c>
      <c r="F501" s="74" t="s">
        <v>22</v>
      </c>
      <c r="G501" s="45" t="s">
        <v>353</v>
      </c>
      <c r="H501" s="59" t="s">
        <v>1555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1354</v>
      </c>
    </row>
    <row r="502" spans="1:20" ht="22.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1556</v>
      </c>
      <c r="E502" s="65" t="s">
        <v>1557</v>
      </c>
      <c r="F502" s="66" t="s">
        <v>51</v>
      </c>
      <c r="G502" s="67" t="s">
        <v>59</v>
      </c>
      <c r="H502" s="68" t="s">
        <v>1558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1559</v>
      </c>
    </row>
    <row r="503" spans="1:20" ht="22.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1560</v>
      </c>
      <c r="E503" s="58" t="s">
        <v>1561</v>
      </c>
      <c r="F503" s="74" t="s">
        <v>51</v>
      </c>
      <c r="G503" s="45" t="s">
        <v>59</v>
      </c>
      <c r="H503" s="59" t="s">
        <v>1562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2.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1563</v>
      </c>
      <c r="E504" s="65" t="s">
        <v>1564</v>
      </c>
      <c r="F504" s="66" t="s">
        <v>22</v>
      </c>
      <c r="G504" s="67" t="s">
        <v>30</v>
      </c>
      <c r="H504" s="68" t="s">
        <v>1565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1389</v>
      </c>
    </row>
    <row r="505" spans="1:20" ht="22.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1566</v>
      </c>
      <c r="E505" s="58" t="s">
        <v>1567</v>
      </c>
      <c r="F505" s="74" t="s">
        <v>22</v>
      </c>
      <c r="G505" s="45" t="s">
        <v>157</v>
      </c>
      <c r="H505" s="38" t="s">
        <v>1568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1569</v>
      </c>
    </row>
    <row r="506" spans="1:20" ht="22.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1351</v>
      </c>
      <c r="E506" s="27" t="s">
        <v>1570</v>
      </c>
      <c r="F506" s="29" t="s">
        <v>22</v>
      </c>
      <c r="G506" s="20" t="s">
        <v>353</v>
      </c>
      <c r="H506" s="36" t="s">
        <v>1571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1354</v>
      </c>
    </row>
    <row r="507" spans="1:20" ht="22.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1572</v>
      </c>
      <c r="E507" s="30" t="s">
        <v>1573</v>
      </c>
      <c r="F507" s="74" t="s">
        <v>22</v>
      </c>
      <c r="G507" s="45" t="s">
        <v>34</v>
      </c>
      <c r="H507" s="38" t="s">
        <v>1574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1575</v>
      </c>
    </row>
    <row r="508" spans="1:20" ht="22.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1576</v>
      </c>
      <c r="E508" s="27" t="s">
        <v>1577</v>
      </c>
      <c r="F508" s="29" t="s">
        <v>22</v>
      </c>
      <c r="G508" s="20" t="s">
        <v>353</v>
      </c>
      <c r="H508" s="36" t="s">
        <v>1574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2.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1578</v>
      </c>
      <c r="E509" s="75" t="s">
        <v>1579</v>
      </c>
      <c r="F509" s="31" t="s">
        <v>22</v>
      </c>
      <c r="G509" s="21" t="s">
        <v>157</v>
      </c>
      <c r="H509" s="38" t="s">
        <v>1574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1580</v>
      </c>
    </row>
    <row r="510" spans="1:20" ht="22.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1492</v>
      </c>
      <c r="E510" s="27" t="s">
        <v>1581</v>
      </c>
      <c r="F510" s="29" t="s">
        <v>66</v>
      </c>
      <c r="G510" s="20" t="s">
        <v>59</v>
      </c>
      <c r="H510" s="36" t="s">
        <v>1582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1495</v>
      </c>
    </row>
    <row r="511" spans="1:20" ht="22.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1583</v>
      </c>
      <c r="E511" s="75" t="s">
        <v>1584</v>
      </c>
      <c r="F511" s="31" t="s">
        <v>22</v>
      </c>
      <c r="G511" s="21" t="s">
        <v>157</v>
      </c>
      <c r="H511" s="38" t="s">
        <v>1585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1586</v>
      </c>
    </row>
    <row r="512" spans="1:20" ht="22.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1587</v>
      </c>
      <c r="E512" s="27" t="s">
        <v>1588</v>
      </c>
      <c r="F512" s="66" t="s">
        <v>51</v>
      </c>
      <c r="G512" s="20" t="s">
        <v>59</v>
      </c>
      <c r="H512" s="36" t="s">
        <v>1589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1590</v>
      </c>
    </row>
    <row r="513" spans="1:20" ht="22.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1591</v>
      </c>
      <c r="E513" s="30" t="s">
        <v>1592</v>
      </c>
      <c r="F513" s="74" t="s">
        <v>22</v>
      </c>
      <c r="G513" s="45" t="s">
        <v>34</v>
      </c>
      <c r="H513" s="38" t="s">
        <v>1593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1594</v>
      </c>
    </row>
    <row r="514" spans="1:20" ht="22.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1512</v>
      </c>
      <c r="E514" s="27" t="s">
        <v>1595</v>
      </c>
      <c r="F514" s="66" t="s">
        <v>22</v>
      </c>
      <c r="G514" s="67" t="s">
        <v>30</v>
      </c>
      <c r="H514" s="36" t="s">
        <v>1596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2.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1597</v>
      </c>
      <c r="E515" s="30" t="s">
        <v>1598</v>
      </c>
      <c r="F515" s="74" t="s">
        <v>66</v>
      </c>
      <c r="G515" s="45" t="s">
        <v>59</v>
      </c>
      <c r="H515" s="38" t="s">
        <v>1599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1600</v>
      </c>
    </row>
    <row r="516" spans="1:20" ht="22.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1601</v>
      </c>
      <c r="E516" s="27" t="s">
        <v>1602</v>
      </c>
      <c r="F516" s="66" t="s">
        <v>22</v>
      </c>
      <c r="G516" s="67" t="s">
        <v>34</v>
      </c>
      <c r="H516" s="36" t="s">
        <v>1603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2.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1351</v>
      </c>
      <c r="E517" s="30" t="s">
        <v>1604</v>
      </c>
      <c r="F517" s="74" t="s">
        <v>22</v>
      </c>
      <c r="G517" s="45" t="s">
        <v>353</v>
      </c>
      <c r="H517" s="38" t="s">
        <v>1605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1606</v>
      </c>
    </row>
    <row r="518" spans="1:20" ht="22.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1607</v>
      </c>
      <c r="E518" s="27" t="s">
        <v>1608</v>
      </c>
      <c r="F518" s="29" t="s">
        <v>51</v>
      </c>
      <c r="G518" s="67" t="s">
        <v>59</v>
      </c>
      <c r="H518" s="36" t="s">
        <v>1609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1610</v>
      </c>
    </row>
    <row r="519" spans="1:20" ht="22.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1611</v>
      </c>
      <c r="E519" s="30" t="s">
        <v>1612</v>
      </c>
      <c r="F519" s="74" t="s">
        <v>51</v>
      </c>
      <c r="G519" s="45" t="s">
        <v>59</v>
      </c>
      <c r="H519" s="38" t="s">
        <v>1613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2.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1614</v>
      </c>
      <c r="E520" s="27" t="s">
        <v>1615</v>
      </c>
      <c r="F520" s="66" t="s">
        <v>22</v>
      </c>
      <c r="G520" s="20" t="s">
        <v>34</v>
      </c>
      <c r="H520" s="36" t="s">
        <v>1616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2.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1617</v>
      </c>
      <c r="E521" s="30" t="s">
        <v>1618</v>
      </c>
      <c r="F521" s="74" t="s">
        <v>51</v>
      </c>
      <c r="G521" s="21" t="s">
        <v>59</v>
      </c>
      <c r="H521" s="38" t="s">
        <v>1619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2.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1620</v>
      </c>
      <c r="E522" s="27" t="s">
        <v>1621</v>
      </c>
      <c r="F522" s="29" t="s">
        <v>22</v>
      </c>
      <c r="G522" s="20" t="s">
        <v>34</v>
      </c>
      <c r="H522" s="36" t="s">
        <v>1622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2.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1601</v>
      </c>
      <c r="E523" s="30" t="s">
        <v>1623</v>
      </c>
      <c r="F523" s="74" t="s">
        <v>22</v>
      </c>
      <c r="G523" s="21" t="s">
        <v>34</v>
      </c>
      <c r="H523" s="38" t="s">
        <v>1622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1624</v>
      </c>
    </row>
    <row r="524" spans="1:20" ht="22.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1351</v>
      </c>
      <c r="E524" s="27" t="s">
        <v>1625</v>
      </c>
      <c r="F524" s="29" t="s">
        <v>22</v>
      </c>
      <c r="G524" s="20" t="s">
        <v>353</v>
      </c>
      <c r="H524" s="36" t="s">
        <v>1626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2.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1556</v>
      </c>
      <c r="E525" s="30" t="s">
        <v>1627</v>
      </c>
      <c r="F525" s="74" t="s">
        <v>51</v>
      </c>
      <c r="G525" s="21" t="s">
        <v>59</v>
      </c>
      <c r="H525" s="38" t="s">
        <v>1628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1629</v>
      </c>
    </row>
    <row r="526" spans="1:20" ht="22.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1560</v>
      </c>
      <c r="E526" s="27" t="s">
        <v>1630</v>
      </c>
      <c r="F526" s="29" t="s">
        <v>51</v>
      </c>
      <c r="G526" s="20" t="s">
        <v>59</v>
      </c>
      <c r="H526" s="36" t="s">
        <v>1628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2.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1631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1632</v>
      </c>
    </row>
    <row r="528" spans="1:20" ht="22.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1633</v>
      </c>
      <c r="E528" s="27" t="s">
        <v>1634</v>
      </c>
      <c r="F528" s="29" t="s">
        <v>22</v>
      </c>
      <c r="G528" s="20" t="s">
        <v>34</v>
      </c>
      <c r="H528" s="36" t="s">
        <v>1635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1636</v>
      </c>
    </row>
    <row r="529" spans="1:20" ht="22.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1637</v>
      </c>
      <c r="E529" s="30" t="s">
        <v>1638</v>
      </c>
      <c r="F529" s="31" t="s">
        <v>22</v>
      </c>
      <c r="G529" s="21" t="s">
        <v>23</v>
      </c>
      <c r="H529" s="38" t="s">
        <v>1639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2.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1640</v>
      </c>
      <c r="E530" s="27" t="s">
        <v>1641</v>
      </c>
      <c r="F530" s="29" t="s">
        <v>51</v>
      </c>
      <c r="G530" s="20" t="s">
        <v>59</v>
      </c>
      <c r="H530" s="36" t="s">
        <v>1642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2.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1428</v>
      </c>
      <c r="E531" s="30" t="s">
        <v>1643</v>
      </c>
      <c r="F531" s="31" t="s">
        <v>51</v>
      </c>
      <c r="G531" s="21" t="s">
        <v>59</v>
      </c>
      <c r="H531" s="38" t="s">
        <v>1644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1431</v>
      </c>
    </row>
    <row r="532" spans="1:20" ht="22.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1645</v>
      </c>
      <c r="E532" s="27" t="s">
        <v>1646</v>
      </c>
      <c r="F532" s="29" t="s">
        <v>22</v>
      </c>
      <c r="G532" s="20" t="s">
        <v>157</v>
      </c>
      <c r="H532" s="36" t="s">
        <v>1647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1648</v>
      </c>
    </row>
    <row r="533" spans="1:20" ht="22.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1351</v>
      </c>
      <c r="E533" s="30" t="s">
        <v>1649</v>
      </c>
      <c r="F533" s="31" t="s">
        <v>22</v>
      </c>
      <c r="G533" s="21" t="s">
        <v>353</v>
      </c>
      <c r="H533" s="38" t="s">
        <v>1650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1354</v>
      </c>
    </row>
    <row r="534" spans="1:20" ht="22.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1651</v>
      </c>
      <c r="E534" s="27" t="s">
        <v>1652</v>
      </c>
      <c r="F534" s="29" t="s">
        <v>66</v>
      </c>
      <c r="G534" s="20" t="s">
        <v>59</v>
      </c>
      <c r="H534" s="36" t="s">
        <v>1650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1653</v>
      </c>
    </row>
    <row r="535" spans="1:20" ht="22.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1492</v>
      </c>
      <c r="E535" s="30" t="s">
        <v>1654</v>
      </c>
      <c r="F535" s="31" t="s">
        <v>66</v>
      </c>
      <c r="G535" s="21" t="s">
        <v>59</v>
      </c>
      <c r="H535" s="38" t="s">
        <v>1655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1495</v>
      </c>
    </row>
    <row r="536" spans="1:20" ht="22.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1656</v>
      </c>
      <c r="E536" s="27" t="s">
        <v>1657</v>
      </c>
      <c r="F536" s="29" t="s">
        <v>22</v>
      </c>
      <c r="G536" s="20" t="s">
        <v>30</v>
      </c>
      <c r="H536" s="36" t="s">
        <v>1658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2.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1659</v>
      </c>
      <c r="E537" s="30" t="s">
        <v>1660</v>
      </c>
      <c r="F537" s="31" t="s">
        <v>51</v>
      </c>
      <c r="G537" s="21" t="s">
        <v>59</v>
      </c>
      <c r="H537" s="24" t="s">
        <v>1661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2.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1662</v>
      </c>
      <c r="E538" s="27" t="s">
        <v>1657</v>
      </c>
      <c r="F538" s="29" t="s">
        <v>22</v>
      </c>
      <c r="G538" s="20" t="s">
        <v>30</v>
      </c>
      <c r="H538" s="36" t="s">
        <v>1663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2.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1664</v>
      </c>
      <c r="E539" s="30" t="s">
        <v>1665</v>
      </c>
      <c r="F539" s="31" t="s">
        <v>51</v>
      </c>
      <c r="G539" s="21" t="s">
        <v>59</v>
      </c>
      <c r="H539" s="38" t="s">
        <v>1666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2.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1667</v>
      </c>
      <c r="E540" s="27" t="s">
        <v>1668</v>
      </c>
      <c r="F540" s="29" t="s">
        <v>22</v>
      </c>
      <c r="G540" s="20" t="s">
        <v>283</v>
      </c>
      <c r="H540" s="36" t="s">
        <v>1669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2.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1670</v>
      </c>
      <c r="E541" s="30" t="s">
        <v>1671</v>
      </c>
      <c r="F541" s="31" t="s">
        <v>22</v>
      </c>
      <c r="G541" s="21" t="s">
        <v>23</v>
      </c>
      <c r="H541" s="24" t="s">
        <v>1672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1449</v>
      </c>
    </row>
    <row r="542" spans="1:20" ht="22.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1673</v>
      </c>
      <c r="E542" s="27" t="s">
        <v>1674</v>
      </c>
      <c r="F542" s="29" t="s">
        <v>66</v>
      </c>
      <c r="G542" s="20" t="s">
        <v>59</v>
      </c>
      <c r="H542" s="22" t="s">
        <v>1675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1326</v>
      </c>
    </row>
    <row r="543" spans="1:20" ht="22.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1676</v>
      </c>
      <c r="E543" s="30" t="s">
        <v>1677</v>
      </c>
      <c r="F543" s="31" t="s">
        <v>22</v>
      </c>
      <c r="G543" s="21" t="s">
        <v>34</v>
      </c>
      <c r="H543" s="38" t="s">
        <v>1678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1358</v>
      </c>
    </row>
    <row r="544" spans="1:20" ht="22.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1679</v>
      </c>
      <c r="E544" s="27" t="s">
        <v>1680</v>
      </c>
      <c r="F544" s="29" t="s">
        <v>22</v>
      </c>
      <c r="G544" s="20" t="s">
        <v>1316</v>
      </c>
      <c r="H544" s="36" t="s">
        <v>1681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1333</v>
      </c>
    </row>
    <row r="545" spans="1:20" ht="22.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1682</v>
      </c>
      <c r="E545" s="30" t="s">
        <v>1683</v>
      </c>
      <c r="F545" s="31" t="s">
        <v>51</v>
      </c>
      <c r="G545" s="21" t="s">
        <v>59</v>
      </c>
      <c r="H545" s="24" t="s">
        <v>1684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2.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1685</v>
      </c>
      <c r="E546" s="27" t="s">
        <v>1686</v>
      </c>
      <c r="F546" s="29" t="s">
        <v>22</v>
      </c>
      <c r="G546" s="20" t="s">
        <v>34</v>
      </c>
      <c r="H546" s="36" t="s">
        <v>1687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2.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1688</v>
      </c>
      <c r="E547" s="30" t="s">
        <v>1689</v>
      </c>
      <c r="F547" s="31" t="s">
        <v>22</v>
      </c>
      <c r="G547" s="21" t="s">
        <v>23</v>
      </c>
      <c r="H547" s="24" t="s">
        <v>1690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1523</v>
      </c>
    </row>
    <row r="548" spans="1:20" ht="22.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1691</v>
      </c>
      <c r="E548" s="27" t="s">
        <v>1692</v>
      </c>
      <c r="F548" s="29" t="s">
        <v>66</v>
      </c>
      <c r="G548" s="20" t="s">
        <v>59</v>
      </c>
      <c r="H548" s="36" t="s">
        <v>1693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2.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1694</v>
      </c>
      <c r="E549" s="30" t="s">
        <v>1695</v>
      </c>
      <c r="F549" s="31" t="s">
        <v>51</v>
      </c>
      <c r="G549" s="21" t="s">
        <v>59</v>
      </c>
      <c r="H549" s="38" t="s">
        <v>1696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2.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1697</v>
      </c>
      <c r="E550" s="27" t="s">
        <v>1698</v>
      </c>
      <c r="F550" s="29" t="s">
        <v>22</v>
      </c>
      <c r="G550" s="20" t="s">
        <v>34</v>
      </c>
      <c r="H550" s="36" t="s">
        <v>1699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1700</v>
      </c>
    </row>
    <row r="551" spans="1:20" ht="22.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1701</v>
      </c>
      <c r="E551" s="30" t="s">
        <v>1702</v>
      </c>
      <c r="F551" s="31" t="s">
        <v>22</v>
      </c>
      <c r="G551" s="21" t="s">
        <v>23</v>
      </c>
      <c r="H551" s="76" t="s">
        <v>1703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1704</v>
      </c>
    </row>
    <row r="552" spans="1:20" ht="22.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1705</v>
      </c>
      <c r="E552" s="27" t="s">
        <v>1706</v>
      </c>
      <c r="F552" s="29" t="s">
        <v>66</v>
      </c>
      <c r="G552" s="20" t="s">
        <v>59</v>
      </c>
      <c r="H552" s="36" t="s">
        <v>1707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2.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1688</v>
      </c>
      <c r="E553" s="30" t="s">
        <v>1708</v>
      </c>
      <c r="F553" s="31" t="s">
        <v>51</v>
      </c>
      <c r="G553" s="21" t="s">
        <v>59</v>
      </c>
      <c r="H553" s="21" t="s">
        <v>1709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1523</v>
      </c>
    </row>
    <row r="554" spans="1:20" ht="22.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1710</v>
      </c>
      <c r="E554" s="27" t="s">
        <v>1711</v>
      </c>
      <c r="F554" s="29" t="s">
        <v>22</v>
      </c>
      <c r="G554" s="20" t="s">
        <v>30</v>
      </c>
      <c r="H554" s="20" t="s">
        <v>1712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2.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1713</v>
      </c>
      <c r="E555" s="30" t="s">
        <v>1714</v>
      </c>
      <c r="F555" s="31" t="s">
        <v>66</v>
      </c>
      <c r="G555" s="21" t="s">
        <v>59</v>
      </c>
      <c r="H555" s="38" t="s">
        <v>1715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1632</v>
      </c>
    </row>
    <row r="556" spans="1:20" ht="22.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1716</v>
      </c>
      <c r="F556" s="29" t="s">
        <v>66</v>
      </c>
      <c r="G556" s="20" t="s">
        <v>59</v>
      </c>
      <c r="H556" s="36" t="s">
        <v>1717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1718</v>
      </c>
    </row>
    <row r="557" spans="1:20" ht="22.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1719</v>
      </c>
      <c r="E557" s="30" t="s">
        <v>1720</v>
      </c>
      <c r="F557" s="31" t="s">
        <v>66</v>
      </c>
      <c r="G557" s="21" t="s">
        <v>59</v>
      </c>
      <c r="H557" s="38" t="s">
        <v>1721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1632</v>
      </c>
    </row>
    <row r="558" spans="1:20" ht="22.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1722</v>
      </c>
      <c r="E558" s="27" t="s">
        <v>1723</v>
      </c>
      <c r="F558" s="29" t="s">
        <v>22</v>
      </c>
      <c r="G558" s="20" t="s">
        <v>283</v>
      </c>
      <c r="H558" s="36" t="s">
        <v>1724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2.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1659</v>
      </c>
      <c r="E559" s="30" t="s">
        <v>1019</v>
      </c>
      <c r="F559" s="31" t="s">
        <v>51</v>
      </c>
      <c r="G559" s="21" t="s">
        <v>59</v>
      </c>
      <c r="H559" s="38" t="s">
        <v>1725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2.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1726</v>
      </c>
      <c r="E560" s="27" t="s">
        <v>1727</v>
      </c>
      <c r="F560" s="29" t="s">
        <v>22</v>
      </c>
      <c r="G560" s="20" t="s">
        <v>23</v>
      </c>
      <c r="H560" s="36" t="s">
        <v>1728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1729</v>
      </c>
    </row>
    <row r="561" spans="1:20" ht="22.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1730</v>
      </c>
      <c r="E561" s="30" t="s">
        <v>1731</v>
      </c>
      <c r="F561" s="31" t="s">
        <v>22</v>
      </c>
      <c r="G561" s="21" t="s">
        <v>34</v>
      </c>
      <c r="H561" s="38" t="s">
        <v>1732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1733</v>
      </c>
    </row>
    <row r="562" spans="1:20" ht="22.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1734</v>
      </c>
      <c r="E562" s="27" t="s">
        <v>1735</v>
      </c>
      <c r="F562" s="29" t="s">
        <v>51</v>
      </c>
      <c r="G562" s="20" t="s">
        <v>59</v>
      </c>
      <c r="H562" s="36" t="s">
        <v>1736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2.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1737</v>
      </c>
      <c r="E563" s="30" t="s">
        <v>1630</v>
      </c>
      <c r="F563" s="31" t="s">
        <v>51</v>
      </c>
      <c r="G563" s="21" t="s">
        <v>59</v>
      </c>
      <c r="H563" s="38" t="s">
        <v>1738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2.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1739</v>
      </c>
      <c r="E564" s="27" t="s">
        <v>1740</v>
      </c>
      <c r="F564" s="29" t="s">
        <v>51</v>
      </c>
      <c r="G564" s="20" t="s">
        <v>59</v>
      </c>
      <c r="H564" s="77" t="s">
        <v>1741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1629</v>
      </c>
    </row>
    <row r="565" spans="1:20" ht="22.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1742</v>
      </c>
      <c r="E565" s="30" t="s">
        <v>1743</v>
      </c>
      <c r="F565" s="31" t="s">
        <v>22</v>
      </c>
      <c r="G565" s="21" t="s">
        <v>30</v>
      </c>
      <c r="H565" s="38" t="s">
        <v>1744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1745</v>
      </c>
    </row>
    <row r="566" spans="1:20" ht="22.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1746</v>
      </c>
      <c r="E566" s="27" t="s">
        <v>1747</v>
      </c>
      <c r="F566" s="29" t="s">
        <v>51</v>
      </c>
      <c r="G566" s="20" t="s">
        <v>30</v>
      </c>
      <c r="H566" s="36" t="s">
        <v>1748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1749</v>
      </c>
    </row>
    <row r="567" spans="1:20" ht="22.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1697</v>
      </c>
      <c r="E567" s="30" t="s">
        <v>1750</v>
      </c>
      <c r="F567" s="31" t="s">
        <v>22</v>
      </c>
      <c r="G567" s="21" t="s">
        <v>34</v>
      </c>
      <c r="H567" s="38" t="s">
        <v>1751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1700</v>
      </c>
    </row>
    <row r="568" spans="1:20" ht="22.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1739</v>
      </c>
      <c r="E568" s="27" t="s">
        <v>1752</v>
      </c>
      <c r="F568" s="29" t="s">
        <v>51</v>
      </c>
      <c r="G568" s="20" t="s">
        <v>59</v>
      </c>
      <c r="H568" s="77" t="s">
        <v>1753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1629</v>
      </c>
    </row>
    <row r="569" spans="1:20" ht="22.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1754</v>
      </c>
      <c r="E569" s="30" t="s">
        <v>1755</v>
      </c>
      <c r="F569" s="31" t="s">
        <v>51</v>
      </c>
      <c r="G569" s="21" t="s">
        <v>59</v>
      </c>
      <c r="H569" s="38" t="s">
        <v>1756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2.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1757</v>
      </c>
      <c r="E570" s="27" t="s">
        <v>1758</v>
      </c>
      <c r="F570" s="29" t="s">
        <v>22</v>
      </c>
      <c r="G570" s="20" t="s">
        <v>34</v>
      </c>
      <c r="H570" s="36" t="s">
        <v>1759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1358</v>
      </c>
    </row>
    <row r="571" spans="1:20" ht="22.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1760</v>
      </c>
      <c r="E571" s="30" t="s">
        <v>1761</v>
      </c>
      <c r="F571" s="31" t="s">
        <v>22</v>
      </c>
      <c r="G571" s="46" t="s">
        <v>157</v>
      </c>
      <c r="H571" s="38" t="s">
        <v>1762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1763</v>
      </c>
    </row>
    <row r="572" spans="1:20" ht="22.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1764</v>
      </c>
      <c r="E572" s="27" t="s">
        <v>1765</v>
      </c>
      <c r="F572" s="29" t="s">
        <v>22</v>
      </c>
      <c r="G572" s="54" t="s">
        <v>157</v>
      </c>
      <c r="H572" s="36" t="s">
        <v>1766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2.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1767</v>
      </c>
      <c r="E573" s="30" t="s">
        <v>1311</v>
      </c>
      <c r="F573" s="31" t="s">
        <v>51</v>
      </c>
      <c r="G573" s="21" t="s">
        <v>59</v>
      </c>
      <c r="H573" s="38" t="s">
        <v>1768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2.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1769</v>
      </c>
      <c r="E574" s="27" t="s">
        <v>1770</v>
      </c>
      <c r="F574" s="29" t="s">
        <v>22</v>
      </c>
      <c r="G574" s="20" t="s">
        <v>353</v>
      </c>
      <c r="H574" s="36" t="s">
        <v>1771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2.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1694</v>
      </c>
      <c r="E575" s="30" t="s">
        <v>1772</v>
      </c>
      <c r="F575" s="31" t="s">
        <v>51</v>
      </c>
      <c r="G575" s="21" t="s">
        <v>59</v>
      </c>
      <c r="H575" s="38" t="s">
        <v>1773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2.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1774</v>
      </c>
      <c r="E576" s="27" t="s">
        <v>1775</v>
      </c>
      <c r="F576" s="29" t="s">
        <v>66</v>
      </c>
      <c r="G576" s="20" t="s">
        <v>59</v>
      </c>
      <c r="H576" s="36" t="s">
        <v>1776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1632</v>
      </c>
    </row>
    <row r="577" spans="1:20" ht="22.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1777</v>
      </c>
      <c r="E577" s="30" t="s">
        <v>1778</v>
      </c>
      <c r="F577" s="31" t="s">
        <v>22</v>
      </c>
      <c r="G577" s="46" t="s">
        <v>157</v>
      </c>
      <c r="H577" s="38" t="s">
        <v>1779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1780</v>
      </c>
    </row>
    <row r="578" spans="1:20" ht="22.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1781</v>
      </c>
      <c r="E578" s="27" t="s">
        <v>1782</v>
      </c>
      <c r="F578" s="29" t="s">
        <v>66</v>
      </c>
      <c r="G578" s="20" t="s">
        <v>59</v>
      </c>
      <c r="H578" s="36" t="s">
        <v>1783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1784</v>
      </c>
    </row>
    <row r="579" spans="1:20" ht="22.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1781</v>
      </c>
      <c r="E579" s="30" t="s">
        <v>1785</v>
      </c>
      <c r="F579" s="31" t="s">
        <v>66</v>
      </c>
      <c r="G579" s="21" t="s">
        <v>59</v>
      </c>
      <c r="H579" s="76" t="s">
        <v>1786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1784</v>
      </c>
    </row>
    <row r="580" spans="1:20" ht="22.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1787</v>
      </c>
      <c r="E580" s="27" t="s">
        <v>1788</v>
      </c>
      <c r="F580" s="29" t="s">
        <v>22</v>
      </c>
      <c r="G580" s="20" t="s">
        <v>34</v>
      </c>
      <c r="H580" s="36" t="s">
        <v>1789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1790</v>
      </c>
    </row>
    <row r="581" spans="1:20" ht="22.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1791</v>
      </c>
      <c r="E581" s="30" t="s">
        <v>1792</v>
      </c>
      <c r="F581" s="31" t="s">
        <v>22</v>
      </c>
      <c r="G581" s="46" t="s">
        <v>56</v>
      </c>
      <c r="H581" s="38" t="s">
        <v>1793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1590</v>
      </c>
    </row>
    <row r="582" spans="1:20" ht="22.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1794</v>
      </c>
      <c r="E582" s="27" t="s">
        <v>1795</v>
      </c>
      <c r="F582" s="29" t="s">
        <v>22</v>
      </c>
      <c r="G582" s="20" t="s">
        <v>353</v>
      </c>
      <c r="H582" s="36" t="s">
        <v>1796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2.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1679</v>
      </c>
      <c r="E583" s="30" t="s">
        <v>1797</v>
      </c>
      <c r="F583" s="31" t="s">
        <v>22</v>
      </c>
      <c r="G583" s="21" t="s">
        <v>1316</v>
      </c>
      <c r="H583" s="38" t="s">
        <v>1798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1333</v>
      </c>
    </row>
    <row r="584" spans="1:20" ht="22.5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1799</v>
      </c>
      <c r="E584" s="27" t="s">
        <v>1800</v>
      </c>
      <c r="F584" s="29" t="s">
        <v>66</v>
      </c>
      <c r="G584" s="20" t="s">
        <v>59</v>
      </c>
      <c r="H584" s="36" t="s">
        <v>1801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1632</v>
      </c>
    </row>
    <row r="585" spans="1:20" ht="22.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1802</v>
      </c>
      <c r="E585" s="30" t="s">
        <v>1803</v>
      </c>
      <c r="F585" s="31" t="s">
        <v>22</v>
      </c>
      <c r="G585" s="46" t="s">
        <v>56</v>
      </c>
      <c r="H585" s="38" t="s">
        <v>1804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2.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1805</v>
      </c>
      <c r="E586" s="27" t="s">
        <v>1547</v>
      </c>
      <c r="F586" s="29" t="s">
        <v>66</v>
      </c>
      <c r="G586" s="20" t="s">
        <v>59</v>
      </c>
      <c r="H586" s="36" t="s">
        <v>1806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9" si="10">SUM(O586:Q586)</f>
        <v>30</v>
      </c>
      <c r="S586" s="22">
        <v>3</v>
      </c>
      <c r="T586" s="264" t="s">
        <v>1549</v>
      </c>
    </row>
    <row r="587" spans="1:20" ht="22.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1757</v>
      </c>
      <c r="E587" s="30" t="s">
        <v>1807</v>
      </c>
      <c r="F587" s="31" t="s">
        <v>22</v>
      </c>
      <c r="G587" s="21" t="s">
        <v>34</v>
      </c>
      <c r="H587" s="38" t="s">
        <v>1808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1358</v>
      </c>
    </row>
    <row r="588" spans="1:20" ht="22.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1809</v>
      </c>
      <c r="E588" s="27" t="s">
        <v>1810</v>
      </c>
      <c r="F588" s="29" t="s">
        <v>22</v>
      </c>
      <c r="G588" s="20" t="s">
        <v>283</v>
      </c>
      <c r="H588" s="36" t="s">
        <v>1811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1812</v>
      </c>
    </row>
    <row r="589" spans="1:20" ht="22.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1813</v>
      </c>
      <c r="E589" s="30" t="s">
        <v>1814</v>
      </c>
      <c r="F589" s="31" t="s">
        <v>22</v>
      </c>
      <c r="G589" s="46" t="s">
        <v>56</v>
      </c>
      <c r="H589" s="38" t="s">
        <v>1815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2.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1816</v>
      </c>
      <c r="E590" s="27" t="s">
        <v>1817</v>
      </c>
      <c r="F590" s="29" t="s">
        <v>22</v>
      </c>
      <c r="G590" s="54" t="s">
        <v>56</v>
      </c>
      <c r="H590" s="36" t="s">
        <v>1818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1819</v>
      </c>
    </row>
    <row r="591" spans="1:20" ht="22.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1820</v>
      </c>
      <c r="E591" s="30" t="s">
        <v>1821</v>
      </c>
      <c r="F591" s="31" t="s">
        <v>66</v>
      </c>
      <c r="G591" s="21" t="s">
        <v>59</v>
      </c>
      <c r="H591" s="38" t="s">
        <v>1822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2.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1823</v>
      </c>
      <c r="E592" s="27" t="s">
        <v>1824</v>
      </c>
      <c r="F592" s="29" t="s">
        <v>22</v>
      </c>
      <c r="G592" s="20" t="s">
        <v>30</v>
      </c>
      <c r="H592" s="36" t="s">
        <v>1825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1826</v>
      </c>
    </row>
    <row r="593" spans="1:20" ht="22.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1827</v>
      </c>
      <c r="E593" s="30" t="s">
        <v>1828</v>
      </c>
      <c r="F593" s="31" t="s">
        <v>22</v>
      </c>
      <c r="G593" s="21" t="s">
        <v>34</v>
      </c>
      <c r="H593" s="78" t="s">
        <v>1829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1830</v>
      </c>
    </row>
    <row r="594" spans="1:20" ht="22.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1831</v>
      </c>
      <c r="E594" s="27" t="s">
        <v>1832</v>
      </c>
      <c r="F594" s="29" t="s">
        <v>51</v>
      </c>
      <c r="G594" s="20" t="s">
        <v>59</v>
      </c>
      <c r="H594" s="36" t="s">
        <v>1833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1834</v>
      </c>
    </row>
    <row r="595" spans="1:20" ht="22.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1835</v>
      </c>
      <c r="E595" s="30" t="s">
        <v>1836</v>
      </c>
      <c r="F595" s="31" t="s">
        <v>66</v>
      </c>
      <c r="G595" s="21" t="s">
        <v>59</v>
      </c>
      <c r="H595" s="38" t="s">
        <v>1837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2.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1838</v>
      </c>
      <c r="E596" s="65" t="s">
        <v>1652</v>
      </c>
      <c r="F596" s="29" t="s">
        <v>66</v>
      </c>
      <c r="G596" s="67" t="s">
        <v>59</v>
      </c>
      <c r="H596" s="68" t="s">
        <v>1839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1840</v>
      </c>
    </row>
    <row r="597" spans="1:20" ht="22.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1841</v>
      </c>
      <c r="E597" s="30" t="s">
        <v>1842</v>
      </c>
      <c r="F597" s="31" t="s">
        <v>51</v>
      </c>
      <c r="G597" s="21" t="s">
        <v>59</v>
      </c>
      <c r="H597" s="38" t="s">
        <v>1843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2.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1844</v>
      </c>
      <c r="E598" s="65" t="s">
        <v>1845</v>
      </c>
      <c r="F598" s="66" t="s">
        <v>66</v>
      </c>
      <c r="G598" s="67" t="s">
        <v>59</v>
      </c>
      <c r="H598" s="68" t="s">
        <v>1846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1847</v>
      </c>
    </row>
    <row r="599" spans="1:20" ht="22.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1848</v>
      </c>
      <c r="E599" s="58" t="s">
        <v>1849</v>
      </c>
      <c r="F599" s="74" t="s">
        <v>22</v>
      </c>
      <c r="G599" s="80" t="s">
        <v>56</v>
      </c>
      <c r="H599" s="59" t="s">
        <v>1850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1851</v>
      </c>
    </row>
    <row r="600" spans="1:20" ht="22.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1852</v>
      </c>
      <c r="E600" s="65" t="s">
        <v>1853</v>
      </c>
      <c r="F600" s="66" t="s">
        <v>51</v>
      </c>
      <c r="G600" s="67" t="s">
        <v>59</v>
      </c>
      <c r="H600" s="262" t="s">
        <v>1854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1855</v>
      </c>
    </row>
    <row r="601" spans="1:20" ht="22.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1823</v>
      </c>
      <c r="E601" s="58" t="s">
        <v>1856</v>
      </c>
      <c r="F601" s="74" t="s">
        <v>22</v>
      </c>
      <c r="G601" s="45" t="s">
        <v>30</v>
      </c>
      <c r="H601" s="59" t="s">
        <v>1857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1826</v>
      </c>
    </row>
    <row r="602" spans="1:20" ht="22.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1858</v>
      </c>
      <c r="E602" s="27" t="s">
        <v>1859</v>
      </c>
      <c r="F602" s="66" t="s">
        <v>22</v>
      </c>
      <c r="G602" s="79" t="s">
        <v>56</v>
      </c>
      <c r="H602" s="36" t="s">
        <v>1860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1523</v>
      </c>
    </row>
    <row r="603" spans="1:20" ht="22.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1861</v>
      </c>
      <c r="E603" s="30" t="s">
        <v>1862</v>
      </c>
      <c r="F603" s="74" t="s">
        <v>22</v>
      </c>
      <c r="G603" s="45" t="s">
        <v>56</v>
      </c>
      <c r="H603" s="76" t="s">
        <v>1863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2.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1864</v>
      </c>
      <c r="E604" s="27" t="s">
        <v>1865</v>
      </c>
      <c r="F604" s="66" t="s">
        <v>22</v>
      </c>
      <c r="G604" s="67" t="s">
        <v>34</v>
      </c>
      <c r="H604" s="77" t="s">
        <v>1866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1867</v>
      </c>
    </row>
    <row r="605" spans="1:20" ht="22.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1831</v>
      </c>
      <c r="E605" s="30" t="s">
        <v>1868</v>
      </c>
      <c r="F605" s="31" t="s">
        <v>51</v>
      </c>
      <c r="G605" s="21" t="s">
        <v>59</v>
      </c>
      <c r="H605" s="38" t="s">
        <v>1869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1870</v>
      </c>
    </row>
    <row r="606" spans="1:20" ht="22.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1871</v>
      </c>
      <c r="E606" s="27" t="s">
        <v>1872</v>
      </c>
      <c r="F606" s="29" t="s">
        <v>22</v>
      </c>
      <c r="G606" s="54" t="s">
        <v>157</v>
      </c>
      <c r="H606" s="36" t="s">
        <v>1873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1874</v>
      </c>
    </row>
    <row r="607" spans="1:20" ht="22.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1871</v>
      </c>
      <c r="E607" s="30" t="s">
        <v>1875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1876</v>
      </c>
    </row>
    <row r="608" spans="1:20" ht="22.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1877</v>
      </c>
      <c r="E608" s="27" t="s">
        <v>1878</v>
      </c>
      <c r="F608" s="29" t="s">
        <v>22</v>
      </c>
      <c r="G608" s="54" t="s">
        <v>157</v>
      </c>
      <c r="H608" s="36" t="s">
        <v>1879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2.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1880</v>
      </c>
      <c r="E609" s="30" t="s">
        <v>1881</v>
      </c>
      <c r="F609" s="31" t="s">
        <v>22</v>
      </c>
      <c r="G609" s="21" t="s">
        <v>23</v>
      </c>
      <c r="H609" s="38" t="s">
        <v>1882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1883</v>
      </c>
    </row>
    <row r="610" spans="1:20" ht="22.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1805</v>
      </c>
      <c r="E610" s="82" t="s">
        <v>1884</v>
      </c>
      <c r="F610" s="29" t="s">
        <v>66</v>
      </c>
      <c r="G610" s="20" t="s">
        <v>59</v>
      </c>
      <c r="H610" s="36" t="s">
        <v>1885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1549</v>
      </c>
    </row>
    <row r="611" spans="1:20" ht="22.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1886</v>
      </c>
      <c r="E611" s="30" t="s">
        <v>1887</v>
      </c>
      <c r="F611" s="74" t="s">
        <v>22</v>
      </c>
      <c r="G611" s="45" t="s">
        <v>34</v>
      </c>
      <c r="H611" s="38" t="s">
        <v>1888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1889</v>
      </c>
    </row>
    <row r="612" spans="1:20" ht="22.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1890</v>
      </c>
      <c r="E612" s="27" t="s">
        <v>1891</v>
      </c>
      <c r="F612" s="83" t="s">
        <v>22</v>
      </c>
      <c r="G612" s="54" t="s">
        <v>157</v>
      </c>
      <c r="H612" s="36" t="s">
        <v>1892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1893</v>
      </c>
    </row>
    <row r="613" spans="1:20" ht="22.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1890</v>
      </c>
      <c r="E613" s="30" t="s">
        <v>1894</v>
      </c>
      <c r="F613" s="31" t="s">
        <v>22</v>
      </c>
      <c r="G613" s="21" t="s">
        <v>157</v>
      </c>
      <c r="H613" s="24" t="s">
        <v>1892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1895</v>
      </c>
    </row>
    <row r="614" spans="1:20" ht="22.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1896</v>
      </c>
      <c r="E614" s="27" t="s">
        <v>1897</v>
      </c>
      <c r="F614" s="29" t="s">
        <v>51</v>
      </c>
      <c r="G614" s="20" t="s">
        <v>59</v>
      </c>
      <c r="H614" s="36" t="s">
        <v>1898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2.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1899</v>
      </c>
      <c r="E615" s="75" t="s">
        <v>1900</v>
      </c>
      <c r="F615" s="31" t="s">
        <v>51</v>
      </c>
      <c r="G615" s="21" t="s">
        <v>59</v>
      </c>
      <c r="H615" s="38" t="s">
        <v>1901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2.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1852</v>
      </c>
      <c r="E616" s="82" t="s">
        <v>1902</v>
      </c>
      <c r="F616" s="29" t="s">
        <v>51</v>
      </c>
      <c r="G616" s="20" t="s">
        <v>59</v>
      </c>
      <c r="H616" s="36" t="s">
        <v>1903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1855</v>
      </c>
    </row>
    <row r="617" spans="1:20" ht="22.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1904</v>
      </c>
      <c r="E617" s="30" t="s">
        <v>1905</v>
      </c>
      <c r="F617" s="31" t="s">
        <v>51</v>
      </c>
      <c r="G617" s="21" t="s">
        <v>59</v>
      </c>
      <c r="H617" s="38" t="s">
        <v>1906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1907</v>
      </c>
    </row>
    <row r="618" spans="1:20" ht="22.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1908</v>
      </c>
      <c r="E618" s="27" t="s">
        <v>1909</v>
      </c>
      <c r="F618" s="29" t="s">
        <v>51</v>
      </c>
      <c r="G618" s="20" t="s">
        <v>59</v>
      </c>
      <c r="H618" s="36" t="s">
        <v>1910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1911</v>
      </c>
    </row>
    <row r="619" spans="1:20" ht="22.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1912</v>
      </c>
      <c r="E619" s="30" t="s">
        <v>1913</v>
      </c>
      <c r="F619" s="31" t="s">
        <v>51</v>
      </c>
      <c r="G619" s="21" t="s">
        <v>59</v>
      </c>
      <c r="H619" s="38" t="s">
        <v>1910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1477</v>
      </c>
    </row>
    <row r="620" spans="1:20" ht="22.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1914</v>
      </c>
      <c r="E620" s="27" t="s">
        <v>1915</v>
      </c>
      <c r="F620" s="29" t="s">
        <v>51</v>
      </c>
      <c r="G620" s="20" t="s">
        <v>59</v>
      </c>
      <c r="H620" s="36" t="s">
        <v>1916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1590</v>
      </c>
    </row>
    <row r="621" spans="1:20" ht="22.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1917</v>
      </c>
      <c r="E621" s="30" t="s">
        <v>1918</v>
      </c>
      <c r="F621" s="31" t="s">
        <v>22</v>
      </c>
      <c r="G621" s="46" t="s">
        <v>157</v>
      </c>
      <c r="H621" s="38" t="s">
        <v>1919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1920</v>
      </c>
    </row>
    <row r="622" spans="1:20" ht="22.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1809</v>
      </c>
      <c r="E622" s="27" t="s">
        <v>1921</v>
      </c>
      <c r="F622" s="29" t="s">
        <v>22</v>
      </c>
      <c r="G622" s="20" t="s">
        <v>283</v>
      </c>
      <c r="H622" s="36" t="s">
        <v>1922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1812</v>
      </c>
    </row>
    <row r="623" spans="1:20" ht="22.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1923</v>
      </c>
      <c r="E623" s="30" t="s">
        <v>1924</v>
      </c>
      <c r="F623" s="31" t="s">
        <v>22</v>
      </c>
      <c r="G623" s="21" t="s">
        <v>34</v>
      </c>
      <c r="H623" s="38" t="s">
        <v>1925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1926</v>
      </c>
    </row>
    <row r="624" spans="1:20" ht="22.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1781</v>
      </c>
      <c r="E624" s="27" t="s">
        <v>1927</v>
      </c>
      <c r="F624" s="83" t="s">
        <v>66</v>
      </c>
      <c r="G624" s="54" t="s">
        <v>59</v>
      </c>
      <c r="H624" s="36" t="s">
        <v>1928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1784</v>
      </c>
    </row>
    <row r="625" spans="1:20" ht="22.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1838</v>
      </c>
      <c r="E625" s="30" t="s">
        <v>1929</v>
      </c>
      <c r="F625" s="31" t="s">
        <v>66</v>
      </c>
      <c r="G625" s="21" t="s">
        <v>59</v>
      </c>
      <c r="H625" s="38" t="s">
        <v>1930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1840</v>
      </c>
    </row>
    <row r="626" spans="1:20" ht="22.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1781</v>
      </c>
      <c r="E626" s="27" t="s">
        <v>1931</v>
      </c>
      <c r="F626" s="29" t="s">
        <v>66</v>
      </c>
      <c r="G626" s="54" t="s">
        <v>59</v>
      </c>
      <c r="H626" s="36" t="s">
        <v>1930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1784</v>
      </c>
    </row>
    <row r="627" spans="1:20" ht="22.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1932</v>
      </c>
      <c r="E627" s="30" t="s">
        <v>1933</v>
      </c>
      <c r="F627" s="84" t="s">
        <v>22</v>
      </c>
      <c r="G627" s="46" t="s">
        <v>157</v>
      </c>
      <c r="H627" s="38" t="s">
        <v>1934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2.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1935</v>
      </c>
      <c r="E628" s="27" t="s">
        <v>1936</v>
      </c>
      <c r="F628" s="29" t="s">
        <v>22</v>
      </c>
      <c r="G628" s="20" t="s">
        <v>34</v>
      </c>
      <c r="H628" s="36" t="s">
        <v>1937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1938</v>
      </c>
      <c r="T628" s="20" t="s">
        <v>1939</v>
      </c>
    </row>
    <row r="629" spans="1:20" ht="22.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1940</v>
      </c>
      <c r="E629" s="30" t="s">
        <v>1941</v>
      </c>
      <c r="F629" s="31" t="s">
        <v>51</v>
      </c>
      <c r="G629" s="21" t="s">
        <v>59</v>
      </c>
      <c r="H629" s="38" t="s">
        <v>1942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1943</v>
      </c>
    </row>
    <row r="630" spans="1:20" ht="22.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1944</v>
      </c>
      <c r="E630" s="27" t="s">
        <v>1945</v>
      </c>
      <c r="F630" s="29" t="s">
        <v>66</v>
      </c>
      <c r="G630" s="20" t="s">
        <v>59</v>
      </c>
      <c r="H630" s="36" t="s">
        <v>1946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2.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1858</v>
      </c>
      <c r="E631" s="30" t="s">
        <v>1947</v>
      </c>
      <c r="F631" s="31" t="s">
        <v>22</v>
      </c>
      <c r="G631" s="46" t="s">
        <v>56</v>
      </c>
      <c r="H631" s="38" t="s">
        <v>1948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1523</v>
      </c>
    </row>
    <row r="632" spans="1:20" ht="22.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1949</v>
      </c>
      <c r="E632" s="82" t="s">
        <v>1950</v>
      </c>
      <c r="F632" s="29" t="s">
        <v>22</v>
      </c>
      <c r="G632" s="20" t="s">
        <v>34</v>
      </c>
      <c r="H632" s="77" t="s">
        <v>1951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1952</v>
      </c>
    </row>
    <row r="633" spans="1:20" ht="22.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1953</v>
      </c>
      <c r="E633" s="30" t="s">
        <v>1954</v>
      </c>
      <c r="F633" s="31" t="s">
        <v>51</v>
      </c>
      <c r="G633" s="21" t="s">
        <v>59</v>
      </c>
      <c r="H633" s="38" t="s">
        <v>1955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1847</v>
      </c>
    </row>
    <row r="634" spans="1:20" ht="22.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1956</v>
      </c>
      <c r="E634" s="27" t="s">
        <v>1957</v>
      </c>
      <c r="F634" s="83" t="s">
        <v>22</v>
      </c>
      <c r="G634" s="54" t="s">
        <v>157</v>
      </c>
      <c r="H634" s="36" t="s">
        <v>1958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2.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1746</v>
      </c>
      <c r="E635" s="30" t="s">
        <v>1959</v>
      </c>
      <c r="F635" s="31" t="s">
        <v>51</v>
      </c>
      <c r="G635" s="21" t="s">
        <v>30</v>
      </c>
      <c r="H635" s="38" t="s">
        <v>1960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1749</v>
      </c>
    </row>
    <row r="636" spans="1:20" ht="22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1961</v>
      </c>
      <c r="E636" s="82" t="s">
        <v>1962</v>
      </c>
      <c r="F636" s="29" t="s">
        <v>51</v>
      </c>
      <c r="G636" s="20" t="s">
        <v>59</v>
      </c>
      <c r="H636" s="36" t="s">
        <v>1963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1964</v>
      </c>
    </row>
    <row r="637" spans="1:20" ht="22.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1965</v>
      </c>
      <c r="E637" s="30" t="s">
        <v>1966</v>
      </c>
      <c r="F637" s="31" t="s">
        <v>66</v>
      </c>
      <c r="G637" s="21" t="s">
        <v>59</v>
      </c>
      <c r="H637" s="263" t="s">
        <v>1967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1968</v>
      </c>
    </row>
    <row r="638" spans="1:20" ht="22.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1969</v>
      </c>
      <c r="E638" s="27" t="s">
        <v>1970</v>
      </c>
      <c r="F638" s="29" t="s">
        <v>22</v>
      </c>
      <c r="G638" s="20" t="s">
        <v>30</v>
      </c>
      <c r="H638" s="36" t="s">
        <v>1971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1938</v>
      </c>
      <c r="T638" s="20" t="s">
        <v>1939</v>
      </c>
    </row>
    <row r="639" spans="1:20" ht="22.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1972</v>
      </c>
      <c r="E639" s="30" t="s">
        <v>1973</v>
      </c>
      <c r="F639" s="31" t="s">
        <v>66</v>
      </c>
      <c r="G639" s="46" t="s">
        <v>59</v>
      </c>
      <c r="H639" s="38" t="s">
        <v>1974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2.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1975</v>
      </c>
      <c r="E640" s="27" t="s">
        <v>1976</v>
      </c>
      <c r="F640" s="83" t="s">
        <v>22</v>
      </c>
      <c r="G640" s="54" t="s">
        <v>157</v>
      </c>
      <c r="H640" s="36" t="s">
        <v>1977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2.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1978</v>
      </c>
      <c r="E641" s="30" t="s">
        <v>1836</v>
      </c>
      <c r="F641" s="31" t="s">
        <v>66</v>
      </c>
      <c r="G641" s="78" t="s">
        <v>59</v>
      </c>
      <c r="H641" s="76" t="s">
        <v>1979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1980</v>
      </c>
    </row>
    <row r="642" spans="1:20" ht="22.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1981</v>
      </c>
      <c r="E642" s="27" t="s">
        <v>1714</v>
      </c>
      <c r="F642" s="29" t="s">
        <v>66</v>
      </c>
      <c r="G642" s="20" t="s">
        <v>59</v>
      </c>
      <c r="H642" s="36" t="s">
        <v>1982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1632</v>
      </c>
    </row>
    <row r="643" spans="1:20" ht="22.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1781</v>
      </c>
      <c r="E643" s="30" t="s">
        <v>1983</v>
      </c>
      <c r="F643" s="31" t="s">
        <v>66</v>
      </c>
      <c r="G643" s="21" t="s">
        <v>59</v>
      </c>
      <c r="H643" s="38" t="s">
        <v>1984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1784</v>
      </c>
    </row>
    <row r="644" spans="1:20" ht="22.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1985</v>
      </c>
      <c r="E644" s="27" t="s">
        <v>1927</v>
      </c>
      <c r="F644" s="29" t="s">
        <v>66</v>
      </c>
      <c r="G644" s="20" t="s">
        <v>59</v>
      </c>
      <c r="H644" s="36" t="s">
        <v>1984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1986</v>
      </c>
    </row>
    <row r="645" spans="1:20" ht="22.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1987</v>
      </c>
      <c r="E645" s="30" t="s">
        <v>1988</v>
      </c>
      <c r="F645" s="84" t="s">
        <v>22</v>
      </c>
      <c r="G645" s="46" t="s">
        <v>157</v>
      </c>
      <c r="H645" s="38" t="s">
        <v>1989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1968</v>
      </c>
    </row>
    <row r="646" spans="1:20" ht="22.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1877</v>
      </c>
      <c r="E646" s="27" t="s">
        <v>1990</v>
      </c>
      <c r="F646" s="29" t="s">
        <v>22</v>
      </c>
      <c r="G646" s="54" t="s">
        <v>157</v>
      </c>
      <c r="H646" s="36" t="s">
        <v>1991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2.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1992</v>
      </c>
      <c r="E647" s="30" t="s">
        <v>1683</v>
      </c>
      <c r="F647" s="31" t="s">
        <v>51</v>
      </c>
      <c r="G647" s="21" t="s">
        <v>59</v>
      </c>
      <c r="H647" s="76" t="s">
        <v>1993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1527</v>
      </c>
    </row>
    <row r="648" spans="1:20" ht="22.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1994</v>
      </c>
      <c r="E648" s="27" t="s">
        <v>1995</v>
      </c>
      <c r="F648" s="29" t="s">
        <v>51</v>
      </c>
      <c r="G648" s="20" t="s">
        <v>59</v>
      </c>
      <c r="H648" s="262" t="s">
        <v>1996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1855</v>
      </c>
    </row>
    <row r="649" spans="1:20" ht="22.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1997</v>
      </c>
      <c r="E649" s="30" t="s">
        <v>1998</v>
      </c>
      <c r="F649" s="31" t="s">
        <v>22</v>
      </c>
      <c r="G649" s="46" t="s">
        <v>157</v>
      </c>
      <c r="H649" s="263" t="s">
        <v>1999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2000</v>
      </c>
    </row>
    <row r="650" spans="1:20" ht="22.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2001</v>
      </c>
      <c r="E650" s="82" t="s">
        <v>2002</v>
      </c>
      <c r="F650" s="29" t="s">
        <v>22</v>
      </c>
      <c r="G650" s="20" t="s">
        <v>34</v>
      </c>
      <c r="H650" s="36" t="s">
        <v>2003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2004</v>
      </c>
    </row>
    <row r="651" spans="1:20" ht="22.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2005</v>
      </c>
      <c r="E651" s="30" t="s">
        <v>2006</v>
      </c>
      <c r="F651" s="31" t="s">
        <v>22</v>
      </c>
      <c r="G651" s="21" t="s">
        <v>23</v>
      </c>
      <c r="H651" s="76" t="s">
        <v>2007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2008</v>
      </c>
    </row>
    <row r="652" spans="1:20" ht="22.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2009</v>
      </c>
      <c r="E652" s="82" t="s">
        <v>2010</v>
      </c>
      <c r="F652" s="29" t="s">
        <v>66</v>
      </c>
      <c r="G652" s="20" t="s">
        <v>59</v>
      </c>
      <c r="H652" s="77" t="s">
        <v>2007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2011</v>
      </c>
      <c r="D653" s="24" t="s">
        <v>2012</v>
      </c>
      <c r="E653" s="30" t="s">
        <v>1657</v>
      </c>
      <c r="F653" s="31" t="s">
        <v>22</v>
      </c>
      <c r="G653" s="21" t="s">
        <v>30</v>
      </c>
      <c r="H653" s="38" t="s">
        <v>2013</v>
      </c>
      <c r="I653" s="39">
        <v>45915</v>
      </c>
      <c r="J653" s="39">
        <v>46280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2.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2014</v>
      </c>
      <c r="E654" s="27" t="s">
        <v>2015</v>
      </c>
      <c r="F654" s="29" t="s">
        <v>22</v>
      </c>
      <c r="G654" s="20" t="s">
        <v>34</v>
      </c>
      <c r="H654" s="77" t="s">
        <v>2016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1358</v>
      </c>
    </row>
    <row r="655" spans="1:20" ht="22.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2017</v>
      </c>
      <c r="E655" s="30" t="s">
        <v>2018</v>
      </c>
      <c r="F655" s="31" t="s">
        <v>22</v>
      </c>
      <c r="G655" s="21" t="s">
        <v>157</v>
      </c>
      <c r="H655" s="38" t="s">
        <v>2019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2.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2020</v>
      </c>
      <c r="E656" s="27" t="s">
        <v>2021</v>
      </c>
      <c r="F656" s="29" t="s">
        <v>66</v>
      </c>
      <c r="G656" s="20" t="s">
        <v>59</v>
      </c>
      <c r="H656" s="50" t="s">
        <v>2022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2.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2023</v>
      </c>
      <c r="E657" s="30" t="s">
        <v>1612</v>
      </c>
      <c r="F657" s="31" t="s">
        <v>51</v>
      </c>
      <c r="G657" s="21" t="s">
        <v>59</v>
      </c>
      <c r="H657" s="38" t="s">
        <v>2024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2.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2025</v>
      </c>
      <c r="E658" s="27" t="s">
        <v>2026</v>
      </c>
      <c r="F658" s="29" t="s">
        <v>22</v>
      </c>
      <c r="G658" s="20" t="s">
        <v>157</v>
      </c>
      <c r="H658" s="36" t="s">
        <v>2027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2028</v>
      </c>
    </row>
    <row r="659" spans="1:20" ht="22.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2029</v>
      </c>
      <c r="E659" s="30" t="s">
        <v>2030</v>
      </c>
      <c r="F659" s="31" t="s">
        <v>22</v>
      </c>
      <c r="G659" s="21" t="s">
        <v>34</v>
      </c>
      <c r="H659" s="76" t="s">
        <v>2031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2032</v>
      </c>
    </row>
    <row r="660" spans="1:20" ht="22.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2033</v>
      </c>
      <c r="E660" s="27" t="s">
        <v>2034</v>
      </c>
      <c r="F660" s="29" t="s">
        <v>51</v>
      </c>
      <c r="G660" s="20" t="s">
        <v>2035</v>
      </c>
      <c r="H660" s="36" t="s">
        <v>2036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2037</v>
      </c>
    </row>
    <row r="661" spans="1:20" ht="22.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2038</v>
      </c>
      <c r="E661" s="30" t="s">
        <v>2039</v>
      </c>
      <c r="F661" s="31" t="s">
        <v>22</v>
      </c>
      <c r="G661" s="46" t="s">
        <v>2040</v>
      </c>
      <c r="H661" s="38" t="s">
        <v>2041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2042</v>
      </c>
    </row>
    <row r="662" spans="1:20" ht="22.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2043</v>
      </c>
      <c r="E662" s="27" t="s">
        <v>2044</v>
      </c>
      <c r="F662" s="29" t="s">
        <v>51</v>
      </c>
      <c r="G662" s="20" t="s">
        <v>2035</v>
      </c>
      <c r="H662" s="165" t="s">
        <v>2045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2046</v>
      </c>
    </row>
    <row r="663" spans="1:20" ht="22.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2047</v>
      </c>
      <c r="E663" s="30" t="s">
        <v>2048</v>
      </c>
      <c r="F663" s="31" t="s">
        <v>51</v>
      </c>
      <c r="G663" s="21" t="s">
        <v>59</v>
      </c>
      <c r="H663" s="38" t="s">
        <v>2049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2.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2050</v>
      </c>
      <c r="E664" s="27" t="s">
        <v>2051</v>
      </c>
      <c r="F664" s="29" t="s">
        <v>22</v>
      </c>
      <c r="G664" s="54" t="s">
        <v>283</v>
      </c>
      <c r="H664" s="36" t="s">
        <v>2052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2053</v>
      </c>
    </row>
    <row r="665" spans="1:20" ht="22.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2054</v>
      </c>
      <c r="E665" s="30" t="s">
        <v>2055</v>
      </c>
      <c r="F665" s="31" t="s">
        <v>22</v>
      </c>
      <c r="G665" s="46" t="s">
        <v>2056</v>
      </c>
      <c r="H665" s="38" t="s">
        <v>2057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2058</v>
      </c>
    </row>
    <row r="666" spans="1:20" ht="22.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2047</v>
      </c>
      <c r="E666" s="27" t="s">
        <v>2059</v>
      </c>
      <c r="F666" s="29" t="s">
        <v>51</v>
      </c>
      <c r="G666" s="20" t="s">
        <v>59</v>
      </c>
      <c r="H666" s="36" t="s">
        <v>2060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2.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2061</v>
      </c>
      <c r="E667" s="30" t="s">
        <v>2062</v>
      </c>
      <c r="F667" s="31" t="s">
        <v>51</v>
      </c>
      <c r="G667" s="21" t="s">
        <v>59</v>
      </c>
      <c r="H667" s="24" t="s">
        <v>2063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22.5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2064</v>
      </c>
      <c r="E668" s="27" t="s">
        <v>2065</v>
      </c>
      <c r="F668" s="29" t="s">
        <v>51</v>
      </c>
      <c r="G668" s="20" t="s">
        <v>59</v>
      </c>
      <c r="H668" s="36" t="s">
        <v>2066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2.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2067</v>
      </c>
      <c r="E669" s="30" t="s">
        <v>2068</v>
      </c>
      <c r="F669" s="31" t="s">
        <v>51</v>
      </c>
      <c r="G669" s="167" t="s">
        <v>2035</v>
      </c>
      <c r="H669" s="168" t="s">
        <v>2069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2046</v>
      </c>
    </row>
    <row r="670" spans="1:20" ht="22.5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2070</v>
      </c>
      <c r="E670" s="173" t="s">
        <v>2071</v>
      </c>
      <c r="F670" s="29" t="s">
        <v>66</v>
      </c>
      <c r="G670" s="20" t="s">
        <v>2072</v>
      </c>
      <c r="H670" s="174" t="s">
        <v>2073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1600</v>
      </c>
    </row>
    <row r="671" spans="1:20" ht="22.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2054</v>
      </c>
      <c r="E671" s="30" t="s">
        <v>2074</v>
      </c>
      <c r="F671" s="31" t="s">
        <v>22</v>
      </c>
      <c r="G671" s="46" t="s">
        <v>2056</v>
      </c>
      <c r="H671" s="38" t="s">
        <v>2075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2" si="13">SUM(O671:Q671)</f>
        <v>22</v>
      </c>
      <c r="S671" s="24">
        <v>8</v>
      </c>
      <c r="T671" s="21" t="s">
        <v>2076</v>
      </c>
    </row>
    <row r="672" spans="1:20" ht="22.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2077</v>
      </c>
      <c r="E672" s="173" t="s">
        <v>2078</v>
      </c>
      <c r="F672" s="29" t="s">
        <v>22</v>
      </c>
      <c r="G672" s="54" t="s">
        <v>2056</v>
      </c>
      <c r="H672" s="174" t="s">
        <v>2079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2076</v>
      </c>
    </row>
    <row r="673" spans="1:20" ht="22.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2080</v>
      </c>
      <c r="E673" s="30" t="s">
        <v>2081</v>
      </c>
      <c r="F673" s="31" t="s">
        <v>22</v>
      </c>
      <c r="G673" s="21" t="s">
        <v>157</v>
      </c>
      <c r="H673" s="59" t="s">
        <v>2082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2083</v>
      </c>
    </row>
    <row r="674" spans="1:20" ht="22.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2084</v>
      </c>
      <c r="E674" s="27" t="s">
        <v>2371</v>
      </c>
      <c r="F674" s="29" t="s">
        <v>66</v>
      </c>
      <c r="G674" s="48" t="s">
        <v>2072</v>
      </c>
      <c r="H674" s="36" t="s">
        <v>2085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2086</v>
      </c>
    </row>
    <row r="675" spans="1:20" ht="22.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2084</v>
      </c>
      <c r="E675" s="27" t="s">
        <v>2372</v>
      </c>
      <c r="F675" s="29" t="s">
        <v>66</v>
      </c>
      <c r="G675" s="48" t="s">
        <v>2072</v>
      </c>
      <c r="H675" s="262" t="s">
        <v>2087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2086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2088</v>
      </c>
      <c r="D676" s="24" t="s">
        <v>2089</v>
      </c>
      <c r="E676" s="30" t="s">
        <v>2090</v>
      </c>
      <c r="F676" s="31" t="s">
        <v>22</v>
      </c>
      <c r="G676" s="21" t="s">
        <v>2040</v>
      </c>
      <c r="H676" s="38" t="s">
        <v>2091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2042</v>
      </c>
    </row>
    <row r="677" spans="1:20" ht="22.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2092</v>
      </c>
      <c r="E677" s="274" t="s">
        <v>2093</v>
      </c>
      <c r="F677" s="188" t="s">
        <v>22</v>
      </c>
      <c r="G677" s="194" t="s">
        <v>34</v>
      </c>
      <c r="H677" s="189" t="s">
        <v>2094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2.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2095</v>
      </c>
      <c r="E678" s="30" t="s">
        <v>2096</v>
      </c>
      <c r="F678" s="31" t="s">
        <v>22</v>
      </c>
      <c r="G678" s="45" t="s">
        <v>23</v>
      </c>
      <c r="H678" s="189" t="s">
        <v>2097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2098</v>
      </c>
    </row>
    <row r="679" spans="1:20" ht="22.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2099</v>
      </c>
      <c r="E679" s="275" t="s">
        <v>2100</v>
      </c>
      <c r="F679" s="29" t="s">
        <v>51</v>
      </c>
      <c r="G679" s="179" t="s">
        <v>2035</v>
      </c>
      <c r="H679" s="182" t="s">
        <v>2101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2037</v>
      </c>
    </row>
    <row r="680" spans="1:20" ht="22.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2099</v>
      </c>
      <c r="E680" s="272" t="s">
        <v>2105</v>
      </c>
      <c r="F680" s="31" t="s">
        <v>51</v>
      </c>
      <c r="G680" s="167" t="s">
        <v>2035</v>
      </c>
      <c r="H680" s="189" t="s">
        <v>2106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2037</v>
      </c>
    </row>
    <row r="681" spans="1:20" ht="22.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2107</v>
      </c>
      <c r="E681" s="164" t="s">
        <v>2108</v>
      </c>
      <c r="F681" s="29" t="s">
        <v>51</v>
      </c>
      <c r="G681" s="181" t="s">
        <v>2035</v>
      </c>
      <c r="H681" s="182" t="s">
        <v>2109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2.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2089</v>
      </c>
      <c r="E682" s="65" t="s">
        <v>2103</v>
      </c>
      <c r="F682" s="29" t="s">
        <v>22</v>
      </c>
      <c r="G682" s="67" t="s">
        <v>2040</v>
      </c>
      <c r="H682" s="68" t="s">
        <v>2104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2042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2102</v>
      </c>
      <c r="D683" s="186" t="s">
        <v>2110</v>
      </c>
      <c r="E683" s="187" t="s">
        <v>2111</v>
      </c>
      <c r="F683" s="31" t="s">
        <v>51</v>
      </c>
      <c r="G683" s="21" t="s">
        <v>59</v>
      </c>
      <c r="H683" s="189" t="s">
        <v>2112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ref="R683:R684" si="14">SUM(O683:Q683)</f>
        <v>0</v>
      </c>
      <c r="S683" s="186">
        <v>14</v>
      </c>
      <c r="T683" s="21" t="s">
        <v>365</v>
      </c>
    </row>
    <row r="684" spans="1:20" ht="22.5" hidden="1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2102</v>
      </c>
      <c r="D684" s="70" t="s">
        <v>2114</v>
      </c>
      <c r="E684" s="164" t="s">
        <v>2115</v>
      </c>
      <c r="F684" s="66" t="s">
        <v>66</v>
      </c>
      <c r="G684" s="67" t="s">
        <v>2072</v>
      </c>
      <c r="H684" s="68" t="s">
        <v>2406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4"/>
        <v>0</v>
      </c>
      <c r="S684" s="70">
        <v>32</v>
      </c>
      <c r="T684" s="67" t="s">
        <v>2116</v>
      </c>
    </row>
    <row r="685" spans="1:20" ht="22.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2102</v>
      </c>
      <c r="D685" s="209" t="s">
        <v>2117</v>
      </c>
      <c r="E685" s="210" t="s">
        <v>2118</v>
      </c>
      <c r="F685" s="211" t="s">
        <v>51</v>
      </c>
      <c r="G685" s="208" t="s">
        <v>59</v>
      </c>
      <c r="H685" s="212" t="s">
        <v>2119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5">IF(B685="","",SUM(O685:Q685))</f>
        <v>0</v>
      </c>
      <c r="S685" s="209">
        <v>14</v>
      </c>
      <c r="T685" s="21" t="s">
        <v>365</v>
      </c>
    </row>
    <row r="686" spans="1:20" ht="22.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2011</v>
      </c>
      <c r="D686" s="218" t="s">
        <v>2120</v>
      </c>
      <c r="E686" s="239" t="s">
        <v>2121</v>
      </c>
      <c r="F686" s="220" t="s">
        <v>22</v>
      </c>
      <c r="G686" s="217" t="s">
        <v>56</v>
      </c>
      <c r="H686" s="221" t="s">
        <v>2122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5"/>
        <v>0</v>
      </c>
      <c r="S686" s="218">
        <v>24</v>
      </c>
      <c r="T686" s="217" t="s">
        <v>2098</v>
      </c>
    </row>
    <row r="687" spans="1:20" ht="22.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2088</v>
      </c>
      <c r="D687" s="209" t="s">
        <v>2123</v>
      </c>
      <c r="E687" s="210" t="s">
        <v>2124</v>
      </c>
      <c r="F687" s="211" t="s">
        <v>22</v>
      </c>
      <c r="G687" s="208" t="s">
        <v>56</v>
      </c>
      <c r="H687" s="212" t="s">
        <v>2125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5"/>
        <v>0</v>
      </c>
      <c r="S687" s="209">
        <v>25</v>
      </c>
      <c r="T687" t="s">
        <v>2126</v>
      </c>
    </row>
    <row r="688" spans="1:20" ht="22.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2127</v>
      </c>
      <c r="E688" s="239" t="s">
        <v>2128</v>
      </c>
      <c r="F688" s="220" t="s">
        <v>66</v>
      </c>
      <c r="G688" s="217" t="s">
        <v>2072</v>
      </c>
      <c r="H688" s="221" t="s">
        <v>2129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289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1847</v>
      </c>
    </row>
    <row r="689" spans="1:20" ht="22.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2130</v>
      </c>
      <c r="E689" s="244" t="s">
        <v>2131</v>
      </c>
      <c r="F689" s="211" t="s">
        <v>22</v>
      </c>
      <c r="G689" s="208" t="s">
        <v>2056</v>
      </c>
      <c r="H689" s="246" t="s">
        <v>2132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5"/>
        <v>22</v>
      </c>
      <c r="S689" s="209">
        <v>8</v>
      </c>
      <c r="T689" s="105" t="s">
        <v>2076</v>
      </c>
    </row>
    <row r="690" spans="1:20" ht="22.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2130</v>
      </c>
      <c r="E690" s="245" t="s">
        <v>2133</v>
      </c>
      <c r="F690" s="220" t="s">
        <v>22</v>
      </c>
      <c r="G690" s="217" t="s">
        <v>2056</v>
      </c>
      <c r="H690" s="247" t="s">
        <v>2134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5"/>
        <v>24</v>
      </c>
      <c r="S690" s="218">
        <v>8</v>
      </c>
      <c r="T690" s="104" t="s">
        <v>2076</v>
      </c>
    </row>
    <row r="691" spans="1:20" ht="22.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2135</v>
      </c>
      <c r="E691" s="244" t="s">
        <v>2015</v>
      </c>
      <c r="F691" s="211" t="s">
        <v>22</v>
      </c>
      <c r="G691" s="208" t="s">
        <v>34</v>
      </c>
      <c r="H691" s="212" t="s">
        <v>2136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5"/>
        <v>21</v>
      </c>
      <c r="S691" s="209">
        <v>16</v>
      </c>
      <c r="T691" s="208" t="s">
        <v>1358</v>
      </c>
    </row>
    <row r="692" spans="1:20" ht="22.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2137</v>
      </c>
      <c r="E692" s="245" t="s">
        <v>2138</v>
      </c>
      <c r="F692" s="220" t="s">
        <v>22</v>
      </c>
      <c r="G692" s="217" t="s">
        <v>283</v>
      </c>
      <c r="H692" s="221" t="s">
        <v>2139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5"/>
        <v>30</v>
      </c>
      <c r="S692" s="218">
        <v>20</v>
      </c>
      <c r="T692" s="217" t="s">
        <v>365</v>
      </c>
    </row>
    <row r="693" spans="1:20" ht="22.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2140</v>
      </c>
      <c r="E693" s="244" t="s">
        <v>2373</v>
      </c>
      <c r="F693" s="211" t="s">
        <v>22</v>
      </c>
      <c r="G693" s="208" t="s">
        <v>23</v>
      </c>
      <c r="H693" s="212" t="s">
        <v>2141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5"/>
        <v>30</v>
      </c>
      <c r="S693" s="209">
        <v>12</v>
      </c>
      <c r="T693" s="208" t="s">
        <v>2142</v>
      </c>
    </row>
    <row r="694" spans="1:20" ht="22.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2102</v>
      </c>
      <c r="D694" s="218" t="s">
        <v>2143</v>
      </c>
      <c r="E694" s="219" t="s">
        <v>2144</v>
      </c>
      <c r="F694" s="220" t="s">
        <v>51</v>
      </c>
      <c r="G694" s="217" t="s">
        <v>2035</v>
      </c>
      <c r="H694" s="221" t="s">
        <v>2145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5"/>
        <v>0</v>
      </c>
      <c r="S694" s="218">
        <v>85</v>
      </c>
      <c r="T694" s="217" t="s">
        <v>2037</v>
      </c>
    </row>
    <row r="695" spans="1:20" ht="22.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2011</v>
      </c>
      <c r="D695" s="209" t="s">
        <v>2146</v>
      </c>
      <c r="E695" s="210" t="s">
        <v>2147</v>
      </c>
      <c r="F695" s="211" t="s">
        <v>66</v>
      </c>
      <c r="G695" s="260" t="s">
        <v>2072</v>
      </c>
      <c r="H695" s="212" t="s">
        <v>2148</v>
      </c>
      <c r="I695" s="213">
        <v>46223</v>
      </c>
      <c r="J695" s="213">
        <v>46227</v>
      </c>
      <c r="K695" s="209" t="s">
        <v>32</v>
      </c>
      <c r="L695" s="26">
        <v>11334.44</v>
      </c>
      <c r="M695" s="214"/>
      <c r="N695" s="215">
        <v>30</v>
      </c>
      <c r="O695" s="216"/>
      <c r="P695" s="216"/>
      <c r="Q695" s="216"/>
      <c r="R695" s="216">
        <f t="shared" si="15"/>
        <v>0</v>
      </c>
      <c r="S695" s="209">
        <v>20</v>
      </c>
      <c r="T695" s="208" t="s">
        <v>324</v>
      </c>
    </row>
    <row r="696" spans="1:20" ht="22.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2149</v>
      </c>
      <c r="E696" s="219" t="s">
        <v>2150</v>
      </c>
      <c r="F696" s="220" t="s">
        <v>66</v>
      </c>
      <c r="G696" s="269" t="s">
        <v>2072</v>
      </c>
      <c r="H696" s="221" t="s">
        <v>2151</v>
      </c>
      <c r="I696" s="222">
        <v>46167</v>
      </c>
      <c r="J696" s="222">
        <v>46171</v>
      </c>
      <c r="K696" s="218" t="s">
        <v>32</v>
      </c>
      <c r="L696" s="223"/>
      <c r="M696" s="214"/>
      <c r="O696" s="224"/>
      <c r="P696" s="224"/>
      <c r="Q696" s="224">
        <v>25</v>
      </c>
      <c r="R696" s="224">
        <f t="shared" si="15"/>
        <v>25</v>
      </c>
      <c r="S696" s="218">
        <v>4</v>
      </c>
      <c r="T696" s="217" t="s">
        <v>784</v>
      </c>
    </row>
    <row r="697" spans="1:20" ht="22.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2152</v>
      </c>
      <c r="E697" s="210" t="s">
        <v>2153</v>
      </c>
      <c r="F697" s="211" t="s">
        <v>66</v>
      </c>
      <c r="G697" s="260" t="s">
        <v>2072</v>
      </c>
      <c r="H697" s="212" t="s">
        <v>2154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25">
        <v>25</v>
      </c>
      <c r="O697" s="216"/>
      <c r="P697" s="216"/>
      <c r="Q697" s="216">
        <v>50</v>
      </c>
      <c r="R697" s="216">
        <f t="shared" si="15"/>
        <v>50</v>
      </c>
      <c r="S697" s="209">
        <v>3</v>
      </c>
      <c r="T697" s="208" t="s">
        <v>2155</v>
      </c>
    </row>
    <row r="698" spans="1:20" ht="22.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2102</v>
      </c>
      <c r="D698" s="218" t="s">
        <v>2156</v>
      </c>
      <c r="E698" s="219" t="s">
        <v>2157</v>
      </c>
      <c r="F698" s="220" t="s">
        <v>22</v>
      </c>
      <c r="G698" s="217" t="s">
        <v>23</v>
      </c>
      <c r="H698" s="221" t="s">
        <v>2145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5"/>
        <v>0</v>
      </c>
      <c r="S698" s="218">
        <v>16</v>
      </c>
      <c r="T698" s="217" t="s">
        <v>425</v>
      </c>
    </row>
    <row r="699" spans="1:20" ht="22.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2113</v>
      </c>
      <c r="D699" s="209" t="s">
        <v>2158</v>
      </c>
      <c r="E699" s="210" t="s">
        <v>2159</v>
      </c>
      <c r="F699" s="211" t="s">
        <v>22</v>
      </c>
      <c r="G699" s="208" t="s">
        <v>56</v>
      </c>
      <c r="H699" s="212" t="s">
        <v>2145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5"/>
        <v>0</v>
      </c>
      <c r="S699" s="209">
        <v>10</v>
      </c>
      <c r="T699" s="208" t="s">
        <v>2161</v>
      </c>
    </row>
    <row r="700" spans="1:20" ht="22.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20</v>
      </c>
      <c r="D700" s="218" t="s">
        <v>2162</v>
      </c>
      <c r="E700" s="219" t="s">
        <v>2163</v>
      </c>
      <c r="F700" s="220" t="s">
        <v>51</v>
      </c>
      <c r="G700" s="217" t="s">
        <v>59</v>
      </c>
      <c r="H700" s="221" t="s">
        <v>2164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5"/>
        <v>0</v>
      </c>
      <c r="S700" s="218">
        <v>4</v>
      </c>
      <c r="T700" s="217" t="s">
        <v>365</v>
      </c>
    </row>
    <row r="701" spans="1:20" ht="22.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2102</v>
      </c>
      <c r="D701" s="209" t="s">
        <v>2165</v>
      </c>
      <c r="E701" s="210" t="s">
        <v>2166</v>
      </c>
      <c r="F701" s="211" t="s">
        <v>51</v>
      </c>
      <c r="G701" s="208" t="s">
        <v>59</v>
      </c>
      <c r="H701" s="212" t="s">
        <v>2167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5"/>
        <v>0</v>
      </c>
      <c r="S701" s="209">
        <v>8</v>
      </c>
      <c r="T701" s="208" t="s">
        <v>2168</v>
      </c>
    </row>
    <row r="702" spans="1:20" ht="22.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2169</v>
      </c>
      <c r="E702" s="245" t="s">
        <v>2170</v>
      </c>
      <c r="F702" s="220" t="s">
        <v>22</v>
      </c>
      <c r="G702" s="217" t="s">
        <v>23</v>
      </c>
      <c r="H702" s="221" t="s">
        <v>2171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5"/>
        <v>20</v>
      </c>
      <c r="S702" s="218">
        <v>12</v>
      </c>
      <c r="T702" s="217" t="s">
        <v>2172</v>
      </c>
    </row>
    <row r="703" spans="1:20" ht="22.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2102</v>
      </c>
      <c r="D703" s="209" t="s">
        <v>2173</v>
      </c>
      <c r="E703" s="210" t="s">
        <v>2174</v>
      </c>
      <c r="F703" s="211" t="s">
        <v>51</v>
      </c>
      <c r="G703" s="208" t="s">
        <v>59</v>
      </c>
      <c r="H703" s="212" t="s">
        <v>2145</v>
      </c>
      <c r="I703" s="212" t="s">
        <v>2175</v>
      </c>
      <c r="J703" s="212" t="s">
        <v>2176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5"/>
        <v>0</v>
      </c>
      <c r="S703" s="209">
        <v>17.45</v>
      </c>
      <c r="T703" s="208" t="s">
        <v>2177</v>
      </c>
    </row>
    <row r="704" spans="1:20" ht="22.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2178</v>
      </c>
      <c r="E704" s="245" t="s">
        <v>2179</v>
      </c>
      <c r="F704" s="220" t="s">
        <v>51</v>
      </c>
      <c r="G704" s="217" t="s">
        <v>59</v>
      </c>
      <c r="H704" s="221" t="s">
        <v>2180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5"/>
        <v>28</v>
      </c>
      <c r="S704" s="218">
        <v>8</v>
      </c>
      <c r="T704" s="104" t="s">
        <v>2076</v>
      </c>
    </row>
    <row r="705" spans="1:21" ht="22.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2102</v>
      </c>
      <c r="D705" s="209" t="s">
        <v>2084</v>
      </c>
      <c r="E705" s="244" t="s">
        <v>2181</v>
      </c>
      <c r="F705" s="211" t="s">
        <v>66</v>
      </c>
      <c r="G705" s="260" t="s">
        <v>2072</v>
      </c>
      <c r="H705" s="276" t="s">
        <v>2182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5"/>
        <v>0</v>
      </c>
      <c r="S705" s="209">
        <v>4</v>
      </c>
      <c r="T705" s="43" t="s">
        <v>2183</v>
      </c>
    </row>
    <row r="706" spans="1:21" ht="22.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2102</v>
      </c>
      <c r="D706" s="209" t="s">
        <v>2084</v>
      </c>
      <c r="E706" s="290" t="s">
        <v>2181</v>
      </c>
      <c r="F706" s="220" t="s">
        <v>66</v>
      </c>
      <c r="G706" s="269" t="s">
        <v>2072</v>
      </c>
      <c r="H706" s="277" t="s">
        <v>2184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5"/>
        <v>0</v>
      </c>
      <c r="S706" s="218">
        <v>4</v>
      </c>
      <c r="T706" s="278" t="s">
        <v>2185</v>
      </c>
    </row>
    <row r="707" spans="1:21" ht="22.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2102</v>
      </c>
      <c r="D707" s="209" t="s">
        <v>2084</v>
      </c>
      <c r="E707" s="210" t="s">
        <v>2181</v>
      </c>
      <c r="F707" s="211" t="s">
        <v>66</v>
      </c>
      <c r="G707" s="260" t="s">
        <v>2072</v>
      </c>
      <c r="H707" s="276" t="s">
        <v>2186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5"/>
        <v>0</v>
      </c>
      <c r="S707" s="209">
        <v>4</v>
      </c>
      <c r="T707" s="278" t="s">
        <v>2185</v>
      </c>
    </row>
    <row r="708" spans="1:21" ht="22.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2102</v>
      </c>
      <c r="D708" s="209" t="s">
        <v>2084</v>
      </c>
      <c r="E708" s="290" t="s">
        <v>2181</v>
      </c>
      <c r="F708" s="220" t="s">
        <v>66</v>
      </c>
      <c r="G708" s="269" t="s">
        <v>2072</v>
      </c>
      <c r="H708" s="277" t="s">
        <v>2187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5"/>
        <v>0</v>
      </c>
      <c r="S708" s="218">
        <v>4</v>
      </c>
      <c r="T708" s="278" t="s">
        <v>2185</v>
      </c>
    </row>
    <row r="709" spans="1:21" ht="22.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2102</v>
      </c>
      <c r="D709" s="209" t="s">
        <v>2188</v>
      </c>
      <c r="E709" s="210" t="s">
        <v>2189</v>
      </c>
      <c r="F709" s="211" t="s">
        <v>22</v>
      </c>
      <c r="G709" s="208" t="s">
        <v>2056</v>
      </c>
      <c r="H709" s="212" t="s">
        <v>2145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5"/>
        <v>78</v>
      </c>
      <c r="S709" s="209"/>
      <c r="T709" s="208"/>
      <c r="U709" s="282"/>
    </row>
    <row r="710" spans="1:21" ht="22.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2102</v>
      </c>
      <c r="D710" s="218" t="s">
        <v>2190</v>
      </c>
      <c r="E710" s="290" t="s">
        <v>2191</v>
      </c>
      <c r="F710" s="220" t="s">
        <v>51</v>
      </c>
      <c r="G710" s="217" t="s">
        <v>59</v>
      </c>
      <c r="H710" s="221" t="s">
        <v>2160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5"/>
        <v>0</v>
      </c>
      <c r="S710" s="218">
        <v>8</v>
      </c>
      <c r="T710" s="259" t="s">
        <v>2192</v>
      </c>
    </row>
    <row r="711" spans="1:21" ht="22.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2102</v>
      </c>
      <c r="D711" s="209" t="s">
        <v>2084</v>
      </c>
      <c r="E711" s="210" t="s">
        <v>2181</v>
      </c>
      <c r="F711" s="211" t="s">
        <v>66</v>
      </c>
      <c r="G711" s="260" t="s">
        <v>2072</v>
      </c>
      <c r="H711" s="212" t="s">
        <v>2193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5"/>
        <v>0</v>
      </c>
      <c r="S711" s="209">
        <v>4</v>
      </c>
      <c r="T711" s="278" t="s">
        <v>2185</v>
      </c>
    </row>
    <row r="712" spans="1:21" ht="22.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2102</v>
      </c>
      <c r="D712" s="218" t="s">
        <v>2084</v>
      </c>
      <c r="E712" s="290" t="s">
        <v>2181</v>
      </c>
      <c r="F712" s="220" t="s">
        <v>66</v>
      </c>
      <c r="G712" s="269" t="s">
        <v>2072</v>
      </c>
      <c r="H712" s="221" t="s">
        <v>2194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5"/>
        <v>0</v>
      </c>
      <c r="S712" s="218">
        <v>4</v>
      </c>
      <c r="T712" s="278" t="s">
        <v>2185</v>
      </c>
    </row>
    <row r="713" spans="1:21" ht="22.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2102</v>
      </c>
      <c r="D713" s="209" t="s">
        <v>2374</v>
      </c>
      <c r="E713" s="244" t="s">
        <v>2399</v>
      </c>
      <c r="F713" s="211" t="s">
        <v>51</v>
      </c>
      <c r="G713" s="208" t="s">
        <v>59</v>
      </c>
      <c r="H713" s="212" t="s">
        <v>2375</v>
      </c>
      <c r="I713" s="213">
        <v>46247</v>
      </c>
      <c r="J713" s="213">
        <v>46247</v>
      </c>
      <c r="K713" s="209" t="s">
        <v>32</v>
      </c>
      <c r="L713" s="223">
        <v>1770</v>
      </c>
      <c r="M713" s="214"/>
      <c r="N713" s="215">
        <v>50</v>
      </c>
      <c r="O713" s="216"/>
      <c r="P713" s="216"/>
      <c r="Q713" s="216"/>
      <c r="R713" s="216">
        <f t="shared" si="15"/>
        <v>0</v>
      </c>
      <c r="S713" s="209">
        <v>4</v>
      </c>
      <c r="T713" s="208" t="s">
        <v>2377</v>
      </c>
    </row>
    <row r="714" spans="1:21" ht="22.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2102</v>
      </c>
      <c r="D714" s="218" t="s">
        <v>2378</v>
      </c>
      <c r="E714" s="245" t="s">
        <v>2380</v>
      </c>
      <c r="F714" s="220" t="s">
        <v>51</v>
      </c>
      <c r="G714" s="217" t="s">
        <v>59</v>
      </c>
      <c r="H714" s="221" t="s">
        <v>2381</v>
      </c>
      <c r="I714" s="222">
        <v>46246</v>
      </c>
      <c r="J714" s="222">
        <v>46246</v>
      </c>
      <c r="K714" s="218" t="s">
        <v>32</v>
      </c>
      <c r="L714" s="223">
        <v>2347</v>
      </c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1477</v>
      </c>
    </row>
    <row r="715" spans="1:21" ht="22.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2102</v>
      </c>
      <c r="D715" s="209" t="s">
        <v>2379</v>
      </c>
      <c r="E715" s="244" t="s">
        <v>2400</v>
      </c>
      <c r="F715" s="211" t="s">
        <v>51</v>
      </c>
      <c r="G715" s="208" t="s">
        <v>59</v>
      </c>
      <c r="H715" s="212" t="s">
        <v>2382</v>
      </c>
      <c r="I715" s="213">
        <v>46244</v>
      </c>
      <c r="J715" s="213">
        <v>46244</v>
      </c>
      <c r="K715" s="209" t="s">
        <v>32</v>
      </c>
      <c r="L715" s="223">
        <v>1990</v>
      </c>
      <c r="M715" s="214"/>
      <c r="N715" s="215">
        <v>20</v>
      </c>
      <c r="O715" s="216"/>
      <c r="P715" s="216"/>
      <c r="Q715" s="216"/>
      <c r="R715" s="216">
        <f t="shared" si="15"/>
        <v>0</v>
      </c>
      <c r="S715" s="209">
        <v>4</v>
      </c>
      <c r="T715" s="208" t="s">
        <v>1847</v>
      </c>
    </row>
    <row r="716" spans="1:21" ht="22.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2102</v>
      </c>
      <c r="D716" s="218" t="s">
        <v>2384</v>
      </c>
      <c r="E716" s="245" t="s">
        <v>2401</v>
      </c>
      <c r="F716" s="220" t="s">
        <v>51</v>
      </c>
      <c r="G716" s="217" t="s">
        <v>59</v>
      </c>
      <c r="H716" s="221" t="s">
        <v>2382</v>
      </c>
      <c r="I716" s="222">
        <v>46244</v>
      </c>
      <c r="J716" s="222">
        <v>46244</v>
      </c>
      <c r="K716" s="218" t="s">
        <v>32</v>
      </c>
      <c r="L716" s="223">
        <v>3520</v>
      </c>
      <c r="M716" s="214"/>
      <c r="N716" s="225">
        <v>30</v>
      </c>
      <c r="O716" s="224"/>
      <c r="P716" s="224"/>
      <c r="Q716" s="224"/>
      <c r="R716" s="224">
        <f t="shared" si="15"/>
        <v>0</v>
      </c>
      <c r="S716" s="218">
        <v>4</v>
      </c>
      <c r="T716" s="217" t="s">
        <v>2386</v>
      </c>
    </row>
    <row r="717" spans="1:21" ht="22.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2102</v>
      </c>
      <c r="D717" s="209" t="s">
        <v>2387</v>
      </c>
      <c r="E717" s="244" t="s">
        <v>2402</v>
      </c>
      <c r="F717" s="211" t="s">
        <v>51</v>
      </c>
      <c r="G717" s="208" t="s">
        <v>59</v>
      </c>
      <c r="H717" s="212" t="s">
        <v>2388</v>
      </c>
      <c r="I717" s="213">
        <v>46245</v>
      </c>
      <c r="J717" s="213">
        <v>46245</v>
      </c>
      <c r="K717" s="209" t="s">
        <v>32</v>
      </c>
      <c r="L717" s="223">
        <v>3520</v>
      </c>
      <c r="M717" s="214"/>
      <c r="N717" s="215">
        <v>30</v>
      </c>
      <c r="O717" s="216"/>
      <c r="P717" s="216"/>
      <c r="Q717" s="216"/>
      <c r="R717" s="216">
        <f t="shared" si="15"/>
        <v>0</v>
      </c>
      <c r="S717" s="209">
        <v>4</v>
      </c>
      <c r="T717" s="208" t="s">
        <v>1855</v>
      </c>
    </row>
    <row r="718" spans="1:21" ht="22.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2102</v>
      </c>
      <c r="D718" s="218" t="s">
        <v>2389</v>
      </c>
      <c r="E718" s="245" t="s">
        <v>2403</v>
      </c>
      <c r="F718" s="220" t="s">
        <v>51</v>
      </c>
      <c r="G718" s="217" t="s">
        <v>59</v>
      </c>
      <c r="H718" s="221" t="s">
        <v>2381</v>
      </c>
      <c r="I718" s="222">
        <v>46246</v>
      </c>
      <c r="J718" s="222">
        <v>46246</v>
      </c>
      <c r="K718" s="218" t="s">
        <v>32</v>
      </c>
      <c r="L718" s="223">
        <v>3520</v>
      </c>
      <c r="M718" s="214"/>
      <c r="N718" s="225">
        <v>30</v>
      </c>
      <c r="O718" s="224"/>
      <c r="P718" s="224"/>
      <c r="Q718" s="224"/>
      <c r="R718" s="224">
        <f t="shared" si="15"/>
        <v>0</v>
      </c>
      <c r="S718" s="218">
        <v>4</v>
      </c>
      <c r="T718" s="217" t="s">
        <v>2391</v>
      </c>
    </row>
    <row r="719" spans="1:21" ht="22.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2102</v>
      </c>
      <c r="D719" s="209" t="s">
        <v>2392</v>
      </c>
      <c r="E719" s="244" t="s">
        <v>2404</v>
      </c>
      <c r="F719" s="211" t="s">
        <v>51</v>
      </c>
      <c r="G719" s="208" t="s">
        <v>59</v>
      </c>
      <c r="H719" s="212" t="s">
        <v>2375</v>
      </c>
      <c r="I719" s="213">
        <v>46247</v>
      </c>
      <c r="J719" s="213">
        <v>46247</v>
      </c>
      <c r="K719" s="209" t="s">
        <v>32</v>
      </c>
      <c r="L719" s="223">
        <v>3520</v>
      </c>
      <c r="M719" s="214"/>
      <c r="N719" s="215">
        <v>30</v>
      </c>
      <c r="O719" s="216"/>
      <c r="P719" s="216"/>
      <c r="Q719" s="216"/>
      <c r="R719" s="216">
        <f t="shared" si="15"/>
        <v>0</v>
      </c>
      <c r="S719" s="209">
        <v>4</v>
      </c>
      <c r="T719" s="208" t="s">
        <v>2394</v>
      </c>
    </row>
    <row r="720" spans="1:21" ht="22.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2102</v>
      </c>
      <c r="D720" s="218" t="s">
        <v>2398</v>
      </c>
      <c r="E720" s="288" t="s">
        <v>2405</v>
      </c>
      <c r="F720" s="220" t="s">
        <v>51</v>
      </c>
      <c r="G720" s="217" t="s">
        <v>59</v>
      </c>
      <c r="H720" s="286" t="s">
        <v>2395</v>
      </c>
      <c r="I720" s="286" t="s">
        <v>2395</v>
      </c>
      <c r="J720" s="286" t="s">
        <v>2395</v>
      </c>
      <c r="K720" s="218" t="s">
        <v>32</v>
      </c>
      <c r="L720" s="223">
        <v>3520</v>
      </c>
      <c r="M720" s="214"/>
      <c r="N720" s="225">
        <v>30</v>
      </c>
      <c r="O720" s="224"/>
      <c r="P720" s="224"/>
      <c r="Q720" s="224"/>
      <c r="R720" s="287">
        <f t="shared" si="15"/>
        <v>0</v>
      </c>
      <c r="S720" s="218">
        <v>4</v>
      </c>
      <c r="T720" s="217" t="s">
        <v>2397</v>
      </c>
    </row>
    <row r="721" spans="1:20" ht="22.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5"/>
        <v/>
      </c>
      <c r="S721" s="209"/>
      <c r="T721" s="208"/>
    </row>
    <row r="722" spans="1:20" ht="22.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5"/>
        <v/>
      </c>
      <c r="S722" s="218"/>
      <c r="T722" s="217"/>
    </row>
    <row r="723" spans="1:20" ht="22.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5"/>
        <v/>
      </c>
      <c r="S723" s="209"/>
      <c r="T723" s="208"/>
    </row>
    <row r="724" spans="1:20" ht="22.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5"/>
        <v/>
      </c>
      <c r="S724" s="218"/>
      <c r="T724" s="217"/>
    </row>
    <row r="725" spans="1:20" ht="22.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5"/>
        <v/>
      </c>
      <c r="S725" s="209"/>
      <c r="T725" s="208"/>
    </row>
    <row r="726" spans="1:20" ht="22.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5"/>
        <v/>
      </c>
      <c r="S726" s="218"/>
      <c r="T726" s="217"/>
    </row>
    <row r="727" spans="1:20" ht="22.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5"/>
        <v/>
      </c>
      <c r="S727" s="209"/>
      <c r="T727" s="208"/>
    </row>
    <row r="728" spans="1:20" ht="22.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5"/>
        <v/>
      </c>
      <c r="S728" s="218"/>
      <c r="T728" s="217"/>
    </row>
    <row r="729" spans="1:20" ht="22.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5"/>
        <v/>
      </c>
      <c r="S729" s="209"/>
      <c r="T729" s="208"/>
    </row>
    <row r="730" spans="1:20" ht="22.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5"/>
        <v/>
      </c>
      <c r="S730" s="218"/>
      <c r="T730" s="217"/>
    </row>
    <row r="731" spans="1:20" ht="22.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5"/>
        <v/>
      </c>
      <c r="S731" s="209"/>
      <c r="T731" s="208"/>
    </row>
    <row r="732" spans="1:20" ht="22.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5"/>
        <v/>
      </c>
      <c r="S732" s="218"/>
      <c r="T732" s="217"/>
    </row>
    <row r="733" spans="1:20" ht="22.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5"/>
        <v/>
      </c>
      <c r="S733" s="209"/>
      <c r="T733" s="208"/>
    </row>
    <row r="734" spans="1:20" ht="22.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5"/>
        <v/>
      </c>
      <c r="S734" s="218"/>
      <c r="T734" s="217"/>
    </row>
    <row r="735" spans="1:20" ht="22.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5"/>
        <v/>
      </c>
      <c r="S735" s="209"/>
      <c r="T735" s="208"/>
    </row>
    <row r="736" spans="1:20" ht="22.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5"/>
        <v/>
      </c>
      <c r="S736" s="218"/>
      <c r="T736" s="217"/>
    </row>
    <row r="737" spans="1:20" ht="22.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5"/>
        <v/>
      </c>
      <c r="S737" s="209"/>
      <c r="T737" s="208"/>
    </row>
    <row r="738" spans="1:20" ht="22.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5"/>
        <v/>
      </c>
      <c r="S738" s="218"/>
      <c r="T738" s="217"/>
    </row>
    <row r="739" spans="1:20" ht="22.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5"/>
        <v/>
      </c>
      <c r="S739" s="209"/>
      <c r="T739" s="208"/>
    </row>
    <row r="740" spans="1:20" ht="22.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5"/>
        <v/>
      </c>
      <c r="S740" s="218"/>
      <c r="T740" s="217"/>
    </row>
    <row r="741" spans="1:20" ht="22.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5"/>
        <v/>
      </c>
      <c r="S741" s="209"/>
      <c r="T741" s="208"/>
    </row>
    <row r="742" spans="1:20" ht="22.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5"/>
        <v/>
      </c>
      <c r="S742" s="218"/>
      <c r="T742" s="217"/>
    </row>
    <row r="743" spans="1:20" ht="22.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5"/>
        <v/>
      </c>
      <c r="S743" s="209"/>
      <c r="T743" s="208"/>
    </row>
    <row r="744" spans="1:20" ht="22.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5"/>
        <v/>
      </c>
      <c r="S744" s="218"/>
      <c r="T744" s="217"/>
    </row>
    <row r="745" spans="1:20" ht="22.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5"/>
        <v/>
      </c>
      <c r="S745" s="209"/>
      <c r="T745" s="208"/>
    </row>
    <row r="746" spans="1:20" ht="22.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5"/>
        <v/>
      </c>
      <c r="S746" s="218"/>
      <c r="T746" s="217"/>
    </row>
    <row r="747" spans="1:20" ht="22.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5"/>
        <v/>
      </c>
      <c r="S747" s="209"/>
      <c r="T747" s="208"/>
    </row>
    <row r="748" spans="1:20" ht="22.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6">IF(B748="","",SUM(O748:Q748))</f>
        <v/>
      </c>
      <c r="S748" s="218"/>
      <c r="T748" s="217"/>
    </row>
    <row r="749" spans="1:20" ht="22.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9" priority="3">
      <formula>LEN(TRIM(L1))=0</formula>
    </cfRule>
  </conditionalFormatting>
  <conditionalFormatting sqref="M1:M2000 L1:L2000 L2000">
    <cfRule type="containsBlanks" dxfId="8" priority="6">
      <formula>LEN(TRIM(L1))=0</formula>
    </cfRule>
  </conditionalFormatting>
  <conditionalFormatting sqref="M1:M2000 L1:L2000 L1:M2000">
    <cfRule type="containsBlanks" dxfId="7" priority="7">
      <formula>LEN(TRIM(L1))=0</formula>
    </cfRule>
  </conditionalFormatting>
  <conditionalFormatting sqref="L2000">
    <cfRule type="containsBlanks" dxfId="6" priority="1">
      <formula>LEN(TRIM(L2000))=0</formula>
    </cfRule>
    <cfRule type="containsBlanks" dxfId="5" priority="2">
      <formula>LEN(TRIM(L2000))=0</formula>
    </cfRule>
    <cfRule type="containsBlanks" dxfId="4" priority="5">
      <formula>LEN(TRIM(L2000))=0</formula>
    </cfRule>
  </conditionalFormatting>
  <conditionalFormatting sqref="C2:C2000">
    <cfRule type="expression" dxfId="3" priority="8">
      <formula>TRIM(C2)="Realizado"</formula>
    </cfRule>
    <cfRule type="expression" dxfId="2" priority="9">
      <formula>TRIM(C2)="Cancelado"</formula>
    </cfRule>
    <cfRule type="expression" dxfId="1" priority="10">
      <formula>TRIM(C2)="Adiado"</formula>
    </cfRule>
    <cfRule type="expression" dxfId="0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2195</v>
      </c>
      <c r="F1" s="280" t="s">
        <v>2196</v>
      </c>
    </row>
    <row r="2" spans="1:6" x14ac:dyDescent="0.25">
      <c r="F2" s="281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81" t="s">
        <v>2200</v>
      </c>
    </row>
    <row r="4" spans="1:6" x14ac:dyDescent="0.25">
      <c r="A4">
        <v>1</v>
      </c>
      <c r="B4" t="s">
        <v>2201</v>
      </c>
      <c r="D4" t="s">
        <v>2202</v>
      </c>
      <c r="F4" s="281" t="s">
        <v>2203</v>
      </c>
    </row>
    <row r="5" spans="1:6" x14ac:dyDescent="0.25">
      <c r="A5">
        <v>2</v>
      </c>
      <c r="B5" t="s">
        <v>1889</v>
      </c>
      <c r="D5" t="s">
        <v>2202</v>
      </c>
      <c r="F5" s="281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81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2235</v>
      </c>
      <c r="C1" s="96" t="s">
        <v>2236</v>
      </c>
      <c r="D1" s="96" t="s">
        <v>4</v>
      </c>
      <c r="E1" s="96" t="s">
        <v>2237</v>
      </c>
      <c r="F1" s="96" t="s">
        <v>19</v>
      </c>
      <c r="G1" s="96" t="s">
        <v>2238</v>
      </c>
      <c r="H1" s="96" t="s">
        <v>2239</v>
      </c>
      <c r="I1" s="96" t="s">
        <v>2240</v>
      </c>
      <c r="J1" s="96" t="s">
        <v>2241</v>
      </c>
      <c r="L1" s="129" t="s">
        <v>2242</v>
      </c>
      <c r="M1" s="100">
        <v>2026</v>
      </c>
      <c r="U1" s="162" t="s">
        <v>2243</v>
      </c>
      <c r="V1" s="161"/>
      <c r="X1" s="159" t="s">
        <v>2244</v>
      </c>
      <c r="Y1" s="107"/>
      <c r="Z1" s="107"/>
      <c r="AA1" s="107"/>
      <c r="AC1" s="253" t="s">
        <v>2245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2246</v>
      </c>
      <c r="M2" s="283" t="s">
        <v>2247</v>
      </c>
      <c r="X2" s="160" t="s">
        <v>2235</v>
      </c>
      <c r="Y2" s="160" t="s">
        <v>19</v>
      </c>
      <c r="Z2" s="160" t="s">
        <v>2248</v>
      </c>
      <c r="AA2" s="160" t="s">
        <v>2249</v>
      </c>
      <c r="AC2" s="254" t="s">
        <v>1</v>
      </c>
      <c r="AD2" s="254" t="s">
        <v>2250</v>
      </c>
      <c r="AE2" s="254" t="s">
        <v>2251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2252</v>
      </c>
      <c r="M3" s="19" t="s">
        <v>2253</v>
      </c>
      <c r="N3" s="19" t="s">
        <v>2254</v>
      </c>
      <c r="O3" s="19" t="s">
        <v>2255</v>
      </c>
      <c r="P3" s="19" t="s">
        <v>2256</v>
      </c>
      <c r="Q3" s="19" t="s">
        <v>2257</v>
      </c>
      <c r="R3" s="19" t="s">
        <v>2258</v>
      </c>
      <c r="S3" s="19" t="s">
        <v>2259</v>
      </c>
      <c r="T3" s="19" t="s">
        <v>2260</v>
      </c>
      <c r="X3" t="s">
        <v>2261</v>
      </c>
      <c r="Y3" t="s">
        <v>2042</v>
      </c>
      <c r="Z3">
        <v>0</v>
      </c>
      <c r="AA3">
        <v>0</v>
      </c>
      <c r="AC3" s="248">
        <v>2026</v>
      </c>
      <c r="AD3" s="95" t="s">
        <v>1358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48">
        <v>2026</v>
      </c>
      <c r="AD5" s="95" t="s">
        <v>2264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48">
        <v>2026</v>
      </c>
      <c r="AD6" s="95" t="s">
        <v>2265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2266</v>
      </c>
      <c r="Y7" t="s">
        <v>2042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5" t="s">
        <v>2209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5" t="s">
        <v>2268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5" t="s">
        <v>2209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5" t="s">
        <v>2268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2270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2270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2270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2270</v>
      </c>
      <c r="Y21" s="95" t="s">
        <v>2209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2270</v>
      </c>
      <c r="Y22" s="95" t="s">
        <v>2268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2271</v>
      </c>
      <c r="Y23" s="95" t="s">
        <v>2058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Em andamento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2271</v>
      </c>
      <c r="Y24" s="95" t="s">
        <v>2215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2272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2272</v>
      </c>
      <c r="Y26" s="95" t="s">
        <v>2220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2273</v>
      </c>
      <c r="Y27" s="95" t="s">
        <v>2058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2273</v>
      </c>
      <c r="Y28" s="95" t="s">
        <v>2215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2274</v>
      </c>
      <c r="Y29" s="95" t="s">
        <v>2058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2274</v>
      </c>
      <c r="Y30" s="95" t="s">
        <v>2215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2275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Em andamento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2276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2276</v>
      </c>
      <c r="Y33" t="s">
        <v>2228</v>
      </c>
      <c r="Z33">
        <v>4</v>
      </c>
      <c r="AA33">
        <v>0.6</v>
      </c>
      <c r="AC33" s="250"/>
      <c r="AD33" s="251" t="s">
        <v>2277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2276</v>
      </c>
      <c r="Y34" t="s">
        <v>2229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2276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Realizado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2278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Em andamento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2282</v>
      </c>
      <c r="Y43" s="95" t="s">
        <v>2058</v>
      </c>
      <c r="AA43">
        <v>2.4</v>
      </c>
    </row>
    <row r="44" spans="1:31" x14ac:dyDescent="0.25">
      <c r="A44">
        <v>2026</v>
      </c>
      <c r="B44" t="str">
        <v>2026-030</v>
      </c>
      <c r="C44" t="str">
        <v>Em andamento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2282</v>
      </c>
      <c r="Y44" s="95" t="s">
        <v>2215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Em andamento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Realizado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3" t="s">
        <v>2292</v>
      </c>
      <c r="B1" s="293"/>
      <c r="C1" s="293"/>
      <c r="D1" s="293"/>
      <c r="E1" s="293"/>
      <c r="F1" s="293"/>
      <c r="G1" s="293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4" t="s">
        <v>2293</v>
      </c>
      <c r="B4" s="295"/>
      <c r="D4" s="296" t="s">
        <v>2294</v>
      </c>
      <c r="E4" s="297"/>
      <c r="G4" s="125" t="s">
        <v>2295</v>
      </c>
    </row>
    <row r="5" spans="1:7" ht="54.95" customHeight="1" thickBot="1" x14ac:dyDescent="0.75">
      <c r="A5" s="115">
        <f>COUNTIF('Ações InCompany'!B:B,2026)</f>
        <v>64</v>
      </c>
      <c r="B5" s="116" t="s">
        <v>2296</v>
      </c>
      <c r="D5" s="123">
        <f>COUNTIFS('Ações InCompany'!B:B,2026,'Ações InCompany'!C:C,"Realizado")</f>
        <v>36</v>
      </c>
      <c r="E5" s="124" t="s">
        <v>2296</v>
      </c>
      <c r="G5" s="126">
        <f>COUNTIFS('Ações InCompany'!B:B,2026,'Ações InCompany'!C:C,"A realizar")</f>
        <v>23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91" t="s">
        <v>2297</v>
      </c>
      <c r="B8" s="291"/>
      <c r="D8" s="291" t="s">
        <v>2298</v>
      </c>
      <c r="E8" s="291"/>
    </row>
    <row r="9" spans="1:7" ht="5.0999999999999996" customHeight="1" x14ac:dyDescent="0.25">
      <c r="A9" s="292"/>
      <c r="B9" s="292"/>
      <c r="D9" s="292"/>
      <c r="E9" s="292"/>
    </row>
    <row r="10" spans="1:7" ht="24.95" customHeight="1" x14ac:dyDescent="0.25">
      <c r="A10" s="108" t="s">
        <v>5</v>
      </c>
      <c r="B10" s="108" t="s">
        <v>2299</v>
      </c>
      <c r="D10" s="108" t="s">
        <v>2300</v>
      </c>
      <c r="E10" s="108" t="s">
        <v>2301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2302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13</v>
      </c>
      <c r="D12" s="111" t="s">
        <v>2303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2304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2305</v>
      </c>
      <c r="B14" s="114">
        <f>SUM(B11:B13)</f>
        <v>36</v>
      </c>
      <c r="D14" s="113" t="s">
        <v>2306</v>
      </c>
      <c r="E14" s="114">
        <f>SUM(E11:E13)</f>
        <v>1556</v>
      </c>
    </row>
    <row r="30" spans="1:5" ht="17.25" x14ac:dyDescent="0.3">
      <c r="A30" s="291" t="s">
        <v>2307</v>
      </c>
      <c r="B30" s="291"/>
      <c r="C30" s="291"/>
      <c r="D30" s="291"/>
      <c r="E30" s="291"/>
    </row>
    <row r="31" spans="1:5" ht="5.0999999999999996" customHeight="1" x14ac:dyDescent="0.25">
      <c r="A31" s="292"/>
      <c r="B31" s="292"/>
      <c r="C31" s="292"/>
      <c r="D31" s="292"/>
      <c r="E31" s="292"/>
    </row>
    <row r="32" spans="1:5" ht="24.95" customHeight="1" x14ac:dyDescent="0.25">
      <c r="A32" s="108" t="s">
        <v>6</v>
      </c>
      <c r="B32" s="108" t="s">
        <v>2308</v>
      </c>
      <c r="C32" s="108" t="s">
        <v>2309</v>
      </c>
      <c r="D32" s="108" t="s">
        <v>2310</v>
      </c>
      <c r="E32" s="108" t="s">
        <v>2311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7</v>
      </c>
      <c r="C33" s="127">
        <f>COUNTIFS('Ações InCompany'!B:B,2026,'Ações InCompany'!C:C,"A realizar",'Ações InCompany'!G:G,A33)</f>
        <v>13</v>
      </c>
      <c r="D33" s="117">
        <f t="shared" ref="D33:D44" si="0">B33+C33</f>
        <v>20</v>
      </c>
      <c r="E33" s="118">
        <f t="shared" ref="E33:E44" si="1">D33/$D$45</f>
        <v>0.33898305084745761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5.0847457627118647E-2</v>
      </c>
    </row>
    <row r="35" spans="1:5" ht="24" customHeight="1" x14ac:dyDescent="0.25">
      <c r="A35" s="109" t="s">
        <v>2056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0.10169491525423729</v>
      </c>
    </row>
    <row r="36" spans="1:5" ht="24" customHeight="1" x14ac:dyDescent="0.25">
      <c r="A36" s="111" t="s">
        <v>2040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3.3898305084745763E-2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3.3898305084745763E-2</v>
      </c>
    </row>
    <row r="38" spans="1:5" ht="24" customHeight="1" x14ac:dyDescent="0.25">
      <c r="A38" s="111" t="s">
        <v>2072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0.22033898305084745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6.7796610169491525E-2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0</v>
      </c>
      <c r="D40" s="153">
        <f>B40+C40</f>
        <v>0</v>
      </c>
      <c r="E40" s="158">
        <f>D40/$D$45</f>
        <v>0</v>
      </c>
    </row>
    <row r="41" spans="1:5" ht="24" customHeight="1" x14ac:dyDescent="0.25">
      <c r="A41" s="155" t="s">
        <v>2035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0.11864406779661017</v>
      </c>
    </row>
    <row r="42" spans="1:5" ht="24" customHeight="1" x14ac:dyDescent="0.25">
      <c r="A42" s="156" t="s">
        <v>2312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3.3898305084745763E-2</v>
      </c>
    </row>
    <row r="44" spans="1:5" ht="24" customHeight="1" x14ac:dyDescent="0.25">
      <c r="A44" s="148" t="s">
        <v>2313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2305</v>
      </c>
      <c r="B45" s="121">
        <f>SUM(B33:B44)</f>
        <v>36</v>
      </c>
      <c r="C45" s="121">
        <f>SUM(C33:C44)</f>
        <v>23</v>
      </c>
      <c r="D45" s="121">
        <f>SUM(D33:D44)</f>
        <v>59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58" t="s">
        <v>22</v>
      </c>
      <c r="B2" s="258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58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58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8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8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8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8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8" t="s">
        <v>2357</v>
      </c>
      <c r="B1" s="298"/>
      <c r="C1" s="298"/>
      <c r="D1" s="298"/>
      <c r="E1" s="298"/>
      <c r="F1" s="298"/>
      <c r="G1" s="298"/>
      <c r="H1" s="298"/>
    </row>
    <row r="2" spans="1:8" x14ac:dyDescent="0.25">
      <c r="A2" s="130" t="s">
        <v>2358</v>
      </c>
    </row>
    <row r="4" spans="1:8" ht="21.95" customHeight="1" x14ac:dyDescent="0.25">
      <c r="A4" s="299" t="s">
        <v>2359</v>
      </c>
      <c r="B4" s="300"/>
      <c r="D4" s="299" t="s">
        <v>2360</v>
      </c>
      <c r="E4" s="300"/>
      <c r="G4" s="299" t="s">
        <v>2361</v>
      </c>
      <c r="H4" s="300"/>
    </row>
    <row r="5" spans="1:8" ht="35.1" customHeight="1" x14ac:dyDescent="0.25">
      <c r="A5" s="303">
        <f>COUNTIF('Ações InCompany'!E:E,"*maratona*")</f>
        <v>13</v>
      </c>
      <c r="B5" s="302"/>
      <c r="D5" s="301">
        <f>SUM(H8:H100)</f>
        <v>1762</v>
      </c>
      <c r="E5" s="302"/>
      <c r="G5" s="301">
        <f>IFERROR(ROUND(D5/A5,0),"-")</f>
        <v>136</v>
      </c>
      <c r="H5" s="302"/>
    </row>
    <row r="6" spans="1:8" ht="9.9499999999999993" customHeight="1" x14ac:dyDescent="0.25"/>
    <row r="7" spans="1:8" ht="24.95" customHeight="1" thickBot="1" x14ac:dyDescent="0.3">
      <c r="A7" s="143" t="s">
        <v>2362</v>
      </c>
      <c r="B7" s="143" t="s">
        <v>2363</v>
      </c>
      <c r="C7" s="143" t="s">
        <v>1</v>
      </c>
      <c r="D7" s="143" t="s">
        <v>2364</v>
      </c>
      <c r="E7" s="143" t="s">
        <v>2365</v>
      </c>
      <c r="F7" s="143" t="s">
        <v>2236</v>
      </c>
      <c r="G7" s="143" t="s">
        <v>5</v>
      </c>
      <c r="H7" s="143" t="s">
        <v>2366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4" t="s">
        <v>2367</v>
      </c>
      <c r="B1" s="304"/>
      <c r="C1" s="304"/>
      <c r="D1" s="304"/>
      <c r="E1" s="304"/>
      <c r="F1" s="304"/>
    </row>
    <row r="2" spans="1:7" x14ac:dyDescent="0.25">
      <c r="A2" s="305" t="s">
        <v>2368</v>
      </c>
      <c r="B2" s="305"/>
      <c r="C2" s="305"/>
      <c r="D2" s="305"/>
      <c r="E2" s="305"/>
      <c r="F2" s="305"/>
    </row>
    <row r="4" spans="1:7" x14ac:dyDescent="0.25">
      <c r="A4" s="102" t="s">
        <v>19</v>
      </c>
      <c r="B4" s="102" t="s">
        <v>2239</v>
      </c>
      <c r="C4" s="102" t="s">
        <v>2240</v>
      </c>
      <c r="D4" s="102" t="s">
        <v>2369</v>
      </c>
      <c r="E4" s="102" t="s">
        <v>2241</v>
      </c>
      <c r="F4" s="102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2306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2026-07-21T17:47:21Z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