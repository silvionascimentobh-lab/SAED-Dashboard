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11" documentId="8_{454372C2-A99E-4E47-A759-72B38925853E}" xr6:coauthVersionLast="47" xr6:coauthVersionMax="47" xr10:uidLastSave="{1526DB8A-9423-403D-AD25-F456AC475192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A5" i="23" s="1" a="1"/>
  <c r="A2" i="20" l="1"/>
  <c r="E105" i="23"/>
  <c r="D48" i="23"/>
  <c r="F34" i="23"/>
  <c r="C31" i="23"/>
  <c r="B27" i="23"/>
  <c r="E36" i="23"/>
  <c r="E24" i="23"/>
  <c r="C44" i="23"/>
  <c r="B41" i="23"/>
  <c r="B33" i="23"/>
  <c r="D20" i="23"/>
  <c r="D45" i="23"/>
  <c r="F16" i="23"/>
  <c r="F48" i="23"/>
  <c r="E29" i="23"/>
  <c r="B35" i="23"/>
  <c r="B44" i="23"/>
  <c r="D43" i="23"/>
  <c r="E45" i="23"/>
  <c r="E48" i="23"/>
  <c r="B36" i="23"/>
  <c r="B39" i="23"/>
  <c r="E11" i="23"/>
  <c r="D31" i="23"/>
  <c r="D35" i="23"/>
  <c r="D10" i="23"/>
  <c r="D47" i="23"/>
  <c r="B26" i="23"/>
  <c r="D18" i="23"/>
  <c r="E8" i="23"/>
  <c r="F6" i="23"/>
  <c r="D8" i="23"/>
  <c r="F47" i="23"/>
  <c r="B14" i="23"/>
  <c r="B51" i="23"/>
  <c r="E28" i="23"/>
  <c r="B47" i="23"/>
  <c r="C39" i="23"/>
  <c r="E50" i="23"/>
  <c r="D27" i="23"/>
  <c r="D14" i="23"/>
  <c r="D50" i="23"/>
  <c r="D38" i="23"/>
  <c r="E35" i="23"/>
  <c r="F50" i="23"/>
  <c r="D6" i="23"/>
  <c r="C8" i="23"/>
  <c r="D46" i="23"/>
  <c r="F23" i="23"/>
  <c r="F49" i="23"/>
  <c r="E21" i="23"/>
  <c r="F22" i="23"/>
  <c r="C17" i="23"/>
  <c r="B37" i="23"/>
  <c r="C34" i="23"/>
  <c r="F36" i="23"/>
  <c r="C48" i="23"/>
  <c r="D11" i="23"/>
  <c r="E40" i="23"/>
  <c r="C19" i="23"/>
  <c r="F44" i="23"/>
  <c r="F28" i="23"/>
  <c r="C28" i="23"/>
  <c r="F24" i="23"/>
  <c r="F10" i="23"/>
  <c r="B15" i="23"/>
  <c r="B45" i="23"/>
  <c r="F25" i="23"/>
  <c r="B31" i="23"/>
  <c r="D42" i="23"/>
  <c r="E43" i="23"/>
  <c r="E22" i="23"/>
  <c r="B25" i="23"/>
  <c r="C18" i="23"/>
  <c r="C10" i="23"/>
  <c r="B20" i="23"/>
  <c r="F45" i="23"/>
  <c r="D16" i="23"/>
  <c r="E51" i="23"/>
  <c r="B46" i="23"/>
  <c r="C25" i="23"/>
  <c r="F8" i="23"/>
  <c r="F19" i="23"/>
  <c r="E46" i="23"/>
  <c r="C47" i="23"/>
  <c r="B28" i="23"/>
  <c r="F12" i="23"/>
  <c r="D13" i="23"/>
  <c r="D15" i="23"/>
  <c r="F37" i="23"/>
  <c r="F35" i="23"/>
  <c r="E37" i="23"/>
  <c r="F29" i="23"/>
  <c r="C40" i="23"/>
  <c r="D36" i="23"/>
  <c r="F39" i="23"/>
  <c r="D34" i="23"/>
  <c r="C23" i="23"/>
  <c r="F30" i="23"/>
  <c r="C24" i="23"/>
  <c r="B10" i="23"/>
  <c r="B12" i="23"/>
  <c r="E39" i="23"/>
  <c r="C14" i="23"/>
  <c r="C49" i="23"/>
  <c r="B42" i="23"/>
  <c r="E7" i="23"/>
  <c r="F51" i="23"/>
  <c r="D23" i="23"/>
  <c r="B6" i="23"/>
  <c r="D40" i="23"/>
  <c r="B24" i="23"/>
  <c r="F18" i="23"/>
  <c r="C27" i="23"/>
  <c r="E18" i="23"/>
  <c r="F33" i="23"/>
  <c r="C36" i="23"/>
  <c r="E30" i="23"/>
  <c r="B17" i="23"/>
  <c r="B38" i="23"/>
  <c r="B19" i="23"/>
  <c r="F7" i="23"/>
  <c r="D21" i="23"/>
  <c r="E38" i="23"/>
  <c r="C13" i="23"/>
  <c r="C16" i="23"/>
  <c r="B13" i="23"/>
  <c r="F43" i="23"/>
  <c r="F32" i="23"/>
  <c r="E6" i="23"/>
  <c r="D39" i="23"/>
  <c r="F20" i="23"/>
  <c r="C26" i="23"/>
  <c r="B30" i="23"/>
  <c r="C50" i="23"/>
  <c r="E27" i="23"/>
  <c r="D25" i="23"/>
  <c r="D44" i="23"/>
  <c r="B50" i="23"/>
  <c r="D30" i="23"/>
  <c r="E42" i="23"/>
  <c r="B8" i="23"/>
  <c r="E32" i="23"/>
  <c r="C30" i="23"/>
  <c r="C9" i="23"/>
  <c r="B32" i="23"/>
  <c r="D26" i="23"/>
  <c r="E44" i="23"/>
  <c r="B23" i="23"/>
  <c r="B48" i="23"/>
  <c r="C32" i="23"/>
  <c r="D37" i="23"/>
  <c r="B18" i="23"/>
  <c r="C46" i="23"/>
  <c r="B40" i="23"/>
  <c r="E23" i="23"/>
  <c r="F15" i="23"/>
  <c r="C45" i="23"/>
  <c r="C33" i="23"/>
  <c r="C43" i="23"/>
  <c r="E10" i="23"/>
  <c r="F11" i="23"/>
  <c r="F17" i="23"/>
  <c r="B21" i="23"/>
  <c r="E20" i="23"/>
  <c r="C38" i="23"/>
  <c r="E13" i="23"/>
  <c r="D41" i="23"/>
  <c r="C12" i="23"/>
  <c r="F26" i="23"/>
  <c r="D12" i="23"/>
  <c r="C11" i="23"/>
  <c r="D22" i="23"/>
  <c r="E33" i="23"/>
  <c r="F46" i="23"/>
  <c r="C7" i="23"/>
  <c r="C22" i="23"/>
  <c r="E15" i="23"/>
  <c r="D28" i="23"/>
  <c r="B7" i="23"/>
  <c r="D24" i="23"/>
  <c r="E41" i="23"/>
  <c r="D7" i="23"/>
  <c r="E34" i="23"/>
  <c r="C42" i="23"/>
  <c r="D51" i="23"/>
  <c r="E47" i="23"/>
  <c r="E17" i="23"/>
  <c r="C37" i="23"/>
  <c r="B34" i="23"/>
  <c r="E25" i="23"/>
  <c r="C21" i="23"/>
  <c r="F42" i="23"/>
  <c r="C6" i="23"/>
  <c r="D19" i="23"/>
  <c r="F14" i="23"/>
  <c r="C51" i="23"/>
  <c r="E26" i="23"/>
  <c r="F41" i="23"/>
  <c r="D32" i="23"/>
  <c r="B11" i="23"/>
  <c r="F31" i="23"/>
  <c r="B9" i="23"/>
  <c r="E19" i="23"/>
  <c r="B22" i="23"/>
  <c r="F40" i="23"/>
  <c r="B16" i="23"/>
  <c r="E12" i="23"/>
  <c r="E9" i="23"/>
  <c r="B29" i="23"/>
  <c r="C29" i="23"/>
  <c r="C20" i="23"/>
  <c r="D9" i="23"/>
  <c r="E14" i="23"/>
  <c r="F9" i="23"/>
  <c r="C41" i="23"/>
  <c r="F27" i="23"/>
  <c r="C15" i="23"/>
  <c r="D33" i="23"/>
  <c r="E16" i="23"/>
  <c r="C35" i="23"/>
  <c r="F13" i="23"/>
  <c r="E31" i="23"/>
  <c r="D49" i="23"/>
  <c r="F38" i="23"/>
  <c r="B49" i="23"/>
  <c r="D17" i="23"/>
  <c r="E49" i="23"/>
  <c r="D29" i="23"/>
  <c r="F21" i="23"/>
  <c r="B43" i="23"/>
  <c r="A5" i="23"/>
  <c r="E5" i="23" l="1"/>
  <c r="C5" i="23"/>
  <c r="C105" i="23" s="1"/>
  <c r="D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<sst xmlns="http://schemas.openxmlformats.org/spreadsheetml/2006/main" count="6239" uniqueCount="2408">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</sst>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49" fontId="41" fillId="22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>
      <filters>
        <filter val="2026"/>
      </filters>
    </filterColumn>
    <filterColumn colId="1">
      <filters>
        <filter val="Realizado"/>
      </filters>
    </filterColumn>
  </autoFilter>
  <sortState xmlns:xlrd2="http://schemas.microsoft.com/office/spreadsheetml/2017/richdata2" ref="B2:T682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B1" zoomScaleNormal="100" workbookViewId="0">
      <pane ySplit="1" topLeftCell="A668" activePane="bottomLeft" state="frozen"/>
      <selection pane="bottomLeft" activeCell="I681" sqref="I681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2.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>SUM(O2:Q2)</f>
        <v>20</v>
      </c>
      <c r="S2" s="22">
        <v>20</v>
      </c>
      <c r="T2" s="20"/>
    </row>
    <row r="3" spans="1:20" ht="22.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>SUM(O3:Q3)</f>
        <v>16</v>
      </c>
      <c r="S3" s="24">
        <v>16</v>
      </c>
      <c r="T3" s="21"/>
    </row>
    <row r="4" spans="1:20" ht="22.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>SUM(O4:Q4)</f>
        <v>24</v>
      </c>
      <c r="S4" s="22">
        <v>24</v>
      </c>
      <c r="T4" s="20"/>
    </row>
    <row r="5" spans="1:20" ht="22.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>SUM(O5:Q5)</f>
        <v>16</v>
      </c>
      <c r="S5" s="24">
        <v>16</v>
      </c>
      <c r="T5" s="21"/>
    </row>
    <row r="6" spans="1:20" ht="22.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>SUM(O6:Q6)</f>
        <v>40</v>
      </c>
      <c r="S6" s="22">
        <v>40</v>
      </c>
      <c r="T6" s="20"/>
    </row>
    <row r="7" spans="1:20" ht="22.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>SUM(O7:Q7)</f>
        <v>30</v>
      </c>
      <c r="S7" s="24">
        <v>30</v>
      </c>
      <c r="T7" s="21"/>
    </row>
    <row r="8" spans="1:20" ht="22.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>SUM(O8:Q8)</f>
        <v>24</v>
      </c>
      <c r="S8" s="22">
        <v>24</v>
      </c>
      <c r="T8" s="20"/>
    </row>
    <row r="9" spans="1:20" ht="22.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>SUM(O9:Q9)</f>
        <v>37</v>
      </c>
      <c r="S9" s="24">
        <v>8</v>
      </c>
      <c r="T9" s="21"/>
    </row>
    <row r="10" spans="1:20" ht="22.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>SUM(O10:Q10)</f>
        <v>58</v>
      </c>
      <c r="S10" s="22">
        <v>20</v>
      </c>
      <c r="T10" s="20"/>
    </row>
    <row r="11" spans="1:20" ht="22.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>SUM(O11:Q11)</f>
        <v>25</v>
      </c>
      <c r="S11" s="24">
        <v>20</v>
      </c>
      <c r="T11" s="21" t="s">
        <v>48</v>
      </c>
    </row>
    <row r="12" spans="1:20" ht="22.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>SUM(O12:Q12)</f>
        <v>85</v>
      </c>
      <c r="S12" s="22">
        <v>20</v>
      </c>
      <c r="T12" s="20" t="s">
        <v>53</v>
      </c>
    </row>
    <row r="13" spans="1:20" ht="22.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>SUM(O13:Q13)</f>
        <v>19</v>
      </c>
      <c r="S13" s="24">
        <v>40</v>
      </c>
      <c r="T13" s="21" t="s">
        <v>57</v>
      </c>
    </row>
    <row r="14" spans="1:20" ht="22.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>SUM(O14:Q14)</f>
        <v>89</v>
      </c>
      <c r="S14" s="22">
        <v>20</v>
      </c>
      <c r="T14" s="20" t="s">
        <v>61</v>
      </c>
    </row>
    <row r="15" spans="1:20" ht="22.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>SUM(O15:Q15)</f>
        <v>37</v>
      </c>
      <c r="S15" s="24">
        <v>30</v>
      </c>
      <c r="T15" s="21" t="s">
        <v>61</v>
      </c>
    </row>
    <row r="16" spans="1:20" ht="22.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>SUM(O16:Q16)</f>
        <v>0</v>
      </c>
      <c r="S16" s="22">
        <v>5</v>
      </c>
      <c r="T16" s="20"/>
    </row>
    <row r="17" spans="1:20" ht="22.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>SUM(O17:Q17)</f>
        <v>30</v>
      </c>
      <c r="S17" s="24">
        <v>16</v>
      </c>
      <c r="T17" s="21" t="s">
        <v>72</v>
      </c>
    </row>
    <row r="18" spans="1:20" ht="22.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>SUM(O18:Q18)</f>
        <v>30</v>
      </c>
      <c r="S18" s="22">
        <v>20</v>
      </c>
      <c r="T18" s="20" t="s">
        <v>76</v>
      </c>
    </row>
    <row r="19" spans="1:20" ht="22.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>SUM(O19:Q19)</f>
        <v>15</v>
      </c>
      <c r="S19" s="24">
        <v>8</v>
      </c>
      <c r="T19" s="21" t="s">
        <v>80</v>
      </c>
    </row>
    <row r="20" spans="1:20" ht="22.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>SUM(O20:Q20)</f>
        <v>14</v>
      </c>
      <c r="S20" s="22">
        <v>24</v>
      </c>
      <c r="T20" s="20" t="s">
        <v>84</v>
      </c>
    </row>
    <row r="21" spans="1:20" ht="22.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>SUM(O21:Q21)</f>
        <v>14</v>
      </c>
      <c r="S21" s="24">
        <v>20</v>
      </c>
      <c r="T21" s="21" t="s">
        <v>88</v>
      </c>
    </row>
    <row r="22" spans="1:20" ht="22.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>SUM(O22:Q22)</f>
        <v>49</v>
      </c>
      <c r="S22" s="22">
        <v>20</v>
      </c>
      <c r="T22" s="20" t="s">
        <v>92</v>
      </c>
    </row>
    <row r="23" spans="1:20" ht="22.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>SUM(O23:Q23)</f>
        <v>43</v>
      </c>
      <c r="S23" s="24">
        <v>8</v>
      </c>
      <c r="T23" s="21" t="s">
        <v>96</v>
      </c>
    </row>
    <row r="24" spans="1:20" ht="22.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>SUM(O24:Q24)</f>
        <v>25</v>
      </c>
      <c r="S24" s="22">
        <v>20</v>
      </c>
      <c r="T24" s="20" t="s">
        <v>100</v>
      </c>
    </row>
    <row r="25" spans="1:20" ht="22.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>SUM(O25:Q25)</f>
        <v>35</v>
      </c>
      <c r="S25" s="24">
        <v>20</v>
      </c>
      <c r="T25" s="21" t="s">
        <v>104</v>
      </c>
    </row>
    <row r="26" spans="1:20" ht="22.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>SUM(O26:Q26)</f>
        <v>35</v>
      </c>
      <c r="S26" s="22">
        <v>25</v>
      </c>
      <c r="T26" s="20" t="s">
        <v>108</v>
      </c>
    </row>
    <row r="27" spans="1:20" ht="22.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>SUM(O27:Q27)</f>
        <v>87</v>
      </c>
      <c r="S27" s="24"/>
      <c r="T27" s="21"/>
    </row>
    <row r="28" spans="1:20" ht="22.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>SUM(O28:Q28)</f>
        <v>46</v>
      </c>
      <c r="S28" s="22">
        <v>20</v>
      </c>
      <c r="T28" s="20" t="s">
        <v>113</v>
      </c>
    </row>
    <row r="29" spans="1:20" ht="22.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>SUM(O29:Q29)</f>
        <v>15</v>
      </c>
      <c r="S29" s="24">
        <v>20</v>
      </c>
      <c r="T29" s="32" t="s">
        <v>117</v>
      </c>
    </row>
    <row r="30" spans="1:20" ht="22.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>SUM(O30:Q30)</f>
        <v>54</v>
      </c>
      <c r="S30" s="22">
        <v>20</v>
      </c>
      <c r="T30" s="20" t="s">
        <v>92</v>
      </c>
    </row>
    <row r="31" spans="1:20" ht="22.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>SUM(O31:Q31)</f>
        <v>52</v>
      </c>
      <c r="S31" s="24">
        <v>0</v>
      </c>
      <c r="T31" s="21"/>
    </row>
    <row r="32" spans="1:20" ht="22.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>SUM(O32:Q32)</f>
        <v>46</v>
      </c>
      <c r="S32" s="22">
        <v>20</v>
      </c>
      <c r="T32" s="20" t="s">
        <v>113</v>
      </c>
    </row>
    <row r="33" spans="1:20" ht="22.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>SUM(O33:Q33)</f>
        <v>14</v>
      </c>
      <c r="S33" s="24">
        <v>8</v>
      </c>
      <c r="T33" s="21" t="s">
        <v>125</v>
      </c>
    </row>
    <row r="34" spans="1:20" ht="22.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>SUM(O34:Q34)</f>
        <v>25</v>
      </c>
      <c r="S34" s="22">
        <v>20</v>
      </c>
      <c r="T34" s="20"/>
    </row>
    <row r="35" spans="1:20" ht="22.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>SUM(O35:Q35)</f>
        <v>17</v>
      </c>
      <c r="S35" s="24">
        <v>20</v>
      </c>
      <c r="T35" s="21" t="s">
        <v>129</v>
      </c>
    </row>
    <row r="36" spans="1:20" ht="22.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>SUM(O36:Q36)</f>
        <v>75</v>
      </c>
      <c r="S36" s="22">
        <v>20</v>
      </c>
      <c r="T36" s="20" t="s">
        <v>61</v>
      </c>
    </row>
    <row r="37" spans="1:20" ht="22.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>SUM(O37:Q37)</f>
        <v>18</v>
      </c>
      <c r="S37" s="24">
        <v>3</v>
      </c>
      <c r="T37" s="32" t="s">
        <v>136</v>
      </c>
    </row>
    <row r="38" spans="1:20" ht="22.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>SUM(O38:Q38)</f>
        <v>33</v>
      </c>
      <c r="S38" s="22">
        <v>10</v>
      </c>
      <c r="T38" s="20" t="s">
        <v>140</v>
      </c>
    </row>
    <row r="39" spans="1:20" ht="22.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>SUM(O39:Q39)</f>
        <v>55</v>
      </c>
      <c r="S39" s="24">
        <v>20</v>
      </c>
      <c r="T39" s="21" t="s">
        <v>92</v>
      </c>
    </row>
    <row r="40" spans="1:20" ht="22.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>SUM(O40:Q40)</f>
        <v>45</v>
      </c>
      <c r="S40" s="22">
        <v>20</v>
      </c>
      <c r="T40" s="20" t="s">
        <v>147</v>
      </c>
    </row>
    <row r="41" spans="1:20" ht="22.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>SUM(O41:Q41)</f>
        <v>15</v>
      </c>
      <c r="S41" s="24">
        <v>20</v>
      </c>
      <c r="T41" s="21" t="s">
        <v>150</v>
      </c>
    </row>
    <row r="42" spans="1:20" ht="22.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>SUM(O42:Q42)</f>
        <v>21</v>
      </c>
      <c r="S42" s="22">
        <v>8</v>
      </c>
      <c r="T42" s="33" t="s">
        <v>154</v>
      </c>
    </row>
    <row r="43" spans="1:20" ht="22.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>SUM(O43:Q43)</f>
        <v>40</v>
      </c>
      <c r="S43" s="24">
        <v>9</v>
      </c>
      <c r="T43" s="21" t="s">
        <v>159</v>
      </c>
    </row>
    <row r="44" spans="1:20" ht="22.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>SUM(O44:Q44)</f>
        <v>45</v>
      </c>
      <c r="S44" s="22">
        <v>8</v>
      </c>
      <c r="T44" s="20" t="s">
        <v>163</v>
      </c>
    </row>
    <row r="45" spans="1:20" ht="22.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>SUM(O45:Q45)</f>
        <v>13</v>
      </c>
      <c r="S45" s="24">
        <v>20</v>
      </c>
      <c r="T45" s="32" t="s">
        <v>167</v>
      </c>
    </row>
    <row r="46" spans="1:20" ht="22.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>SUM(O46:Q46)</f>
        <v>35</v>
      </c>
      <c r="S46" s="22">
        <v>20</v>
      </c>
      <c r="T46" s="20" t="s">
        <v>171</v>
      </c>
    </row>
    <row r="47" spans="1:20" ht="22.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>SUM(O47:Q47)</f>
        <v>71</v>
      </c>
      <c r="S47" s="24">
        <v>20</v>
      </c>
      <c r="T47" s="21" t="s">
        <v>175</v>
      </c>
    </row>
    <row r="48" spans="1:20" ht="22.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>SUM(O48:Q48)</f>
        <v>329</v>
      </c>
      <c r="S48" s="22">
        <v>8</v>
      </c>
      <c r="T48" s="20" t="s">
        <v>180</v>
      </c>
    </row>
    <row r="49" spans="1:20" ht="22.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>SUM(O49:Q49)</f>
        <v>26</v>
      </c>
      <c r="S49" s="24">
        <v>20</v>
      </c>
      <c r="T49" s="21" t="s">
        <v>184</v>
      </c>
    </row>
    <row r="50" spans="1:20" ht="22.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>SUM(O50:Q50)</f>
        <v>35</v>
      </c>
      <c r="S50" s="22">
        <v>20</v>
      </c>
      <c r="T50" s="20" t="s">
        <v>188</v>
      </c>
    </row>
    <row r="51" spans="1:20" ht="22.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>SUM(O51:Q51)</f>
        <v>46</v>
      </c>
      <c r="S51" s="24">
        <v>20</v>
      </c>
      <c r="T51" s="21" t="s">
        <v>92</v>
      </c>
    </row>
    <row r="52" spans="1:20" ht="22.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>SUM(O52:Q52)</f>
        <v>52</v>
      </c>
      <c r="S52" s="22">
        <v>20</v>
      </c>
      <c r="T52" s="20" t="s">
        <v>92</v>
      </c>
    </row>
    <row r="53" spans="1:20" ht="22.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>SUM(O53:Q53)</f>
        <v>34</v>
      </c>
      <c r="S53" s="24">
        <v>20</v>
      </c>
      <c r="T53" s="21" t="s">
        <v>195</v>
      </c>
    </row>
    <row r="54" spans="1:20" ht="22.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>SUM(O54:Q54)</f>
        <v>27</v>
      </c>
      <c r="S54" s="22">
        <v>15</v>
      </c>
      <c r="T54" s="20" t="s">
        <v>199</v>
      </c>
    </row>
    <row r="55" spans="1:20" ht="22.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>SUM(O55:Q55)</f>
        <v>16</v>
      </c>
      <c r="S55" s="24">
        <v>20</v>
      </c>
      <c r="T55" s="21" t="s">
        <v>129</v>
      </c>
    </row>
    <row r="56" spans="1:20" ht="22.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>SUM(O56:Q56)</f>
        <v>55</v>
      </c>
      <c r="S56" s="22">
        <v>12</v>
      </c>
      <c r="T56" s="20" t="s">
        <v>206</v>
      </c>
    </row>
    <row r="57" spans="1:20" ht="22.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>SUM(O57:Q57)</f>
        <v>14</v>
      </c>
      <c r="S57" s="24">
        <v>20</v>
      </c>
      <c r="T57" s="32" t="s">
        <v>167</v>
      </c>
    </row>
    <row r="58" spans="1:20" ht="22.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>SUM(O58:Q58)</f>
        <v>47</v>
      </c>
      <c r="S58" s="22">
        <v>20</v>
      </c>
      <c r="T58" s="20" t="s">
        <v>212</v>
      </c>
    </row>
    <row r="59" spans="1:20" ht="22.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>SUM(O59:Q59)</f>
        <v>31</v>
      </c>
      <c r="S59" s="24">
        <v>20</v>
      </c>
      <c r="T59" s="21" t="s">
        <v>216</v>
      </c>
    </row>
    <row r="60" spans="1:20" ht="22.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>SUM(O60:Q60)</f>
        <v>28</v>
      </c>
      <c r="S60" s="22">
        <v>20</v>
      </c>
      <c r="T60" s="20" t="s">
        <v>92</v>
      </c>
    </row>
    <row r="61" spans="1:20" ht="22.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>SUM(O61:Q61)</f>
        <v>34</v>
      </c>
      <c r="S61" s="24">
        <v>20</v>
      </c>
      <c r="T61" s="21" t="s">
        <v>92</v>
      </c>
    </row>
    <row r="62" spans="1:20" ht="22.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>SUM(O62:Q62)</f>
        <v>60</v>
      </c>
      <c r="S62" s="22">
        <v>20</v>
      </c>
      <c r="T62" s="20" t="s">
        <v>224</v>
      </c>
    </row>
    <row r="63" spans="1:20" ht="22.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>SUM(O63:Q63)</f>
        <v>29</v>
      </c>
      <c r="S63" s="24">
        <v>26</v>
      </c>
      <c r="T63" s="21" t="s">
        <v>227</v>
      </c>
    </row>
    <row r="64" spans="1:20" ht="22.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>SUM(O64:Q64)</f>
        <v>26</v>
      </c>
      <c r="S64" s="22">
        <v>30</v>
      </c>
      <c r="T64" s="20" t="s">
        <v>129</v>
      </c>
    </row>
    <row r="65" spans="1:20" ht="22.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>SUM(O65:Q65)</f>
        <v>47</v>
      </c>
      <c r="S65" s="24">
        <v>20</v>
      </c>
      <c r="T65" s="21" t="s">
        <v>92</v>
      </c>
    </row>
    <row r="66" spans="1:20" ht="22.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>SUM(O66:Q66)</f>
        <v>20</v>
      </c>
      <c r="S66" s="22">
        <v>20</v>
      </c>
      <c r="T66" s="33" t="s">
        <v>167</v>
      </c>
    </row>
    <row r="67" spans="1:20" ht="22.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>SUM(O67:Q67)</f>
        <v>43</v>
      </c>
      <c r="S67" s="24">
        <v>20</v>
      </c>
      <c r="T67" s="21" t="s">
        <v>61</v>
      </c>
    </row>
    <row r="68" spans="1:20" ht="22.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>SUM(O68:Q68)</f>
        <v>15</v>
      </c>
      <c r="S68" s="22">
        <v>20</v>
      </c>
      <c r="T68" s="20" t="s">
        <v>195</v>
      </c>
    </row>
    <row r="69" spans="1:20" ht="22.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>SUM(O69:Q69)</f>
        <v>29</v>
      </c>
      <c r="S69" s="24">
        <v>20</v>
      </c>
      <c r="T69" s="21" t="s">
        <v>244</v>
      </c>
    </row>
    <row r="70" spans="1:20" ht="22.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>SUM(O70:Q70)</f>
        <v>46</v>
      </c>
      <c r="S70" s="22">
        <v>20</v>
      </c>
      <c r="T70" s="20" t="s">
        <v>92</v>
      </c>
    </row>
    <row r="71" spans="1:20" ht="22.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>SUM(O71:Q71)</f>
        <v>14</v>
      </c>
      <c r="S71" s="24">
        <v>26</v>
      </c>
      <c r="T71" s="21" t="s">
        <v>249</v>
      </c>
    </row>
    <row r="72" spans="1:20" ht="22.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>SUM(O72:Q72)</f>
        <v>12</v>
      </c>
      <c r="S72" s="22">
        <v>8</v>
      </c>
      <c r="T72" s="20" t="s">
        <v>125</v>
      </c>
    </row>
    <row r="73" spans="1:20" ht="22.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>SUM(O73:Q73)</f>
        <v>18</v>
      </c>
      <c r="S73" s="24">
        <v>20</v>
      </c>
      <c r="T73" s="32" t="s">
        <v>167</v>
      </c>
    </row>
    <row r="74" spans="1:20" ht="22.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>SUM(O74:Q74)</f>
        <v>30</v>
      </c>
      <c r="S74" s="22">
        <v>20</v>
      </c>
      <c r="T74" s="20" t="s">
        <v>72</v>
      </c>
    </row>
    <row r="75" spans="1:20" ht="22.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>SUM(O75:Q75)</f>
        <v>37</v>
      </c>
      <c r="S75" s="24">
        <v>20</v>
      </c>
      <c r="T75" s="21" t="s">
        <v>261</v>
      </c>
    </row>
    <row r="76" spans="1:20" ht="22.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>SUM(O76:Q76)</f>
        <v>47</v>
      </c>
      <c r="S76" s="22">
        <v>20</v>
      </c>
      <c r="T76" s="20" t="s">
        <v>212</v>
      </c>
    </row>
    <row r="77" spans="1:20" ht="22.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>SUM(O77:Q77)</f>
        <v>30</v>
      </c>
      <c r="S77" s="24">
        <v>16</v>
      </c>
      <c r="T77" s="21" t="s">
        <v>267</v>
      </c>
    </row>
    <row r="78" spans="1:20" ht="22.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>SUM(O78:Q78)</f>
        <v>19</v>
      </c>
      <c r="S78" s="22">
        <v>20</v>
      </c>
      <c r="T78" s="20" t="s">
        <v>216</v>
      </c>
    </row>
    <row r="79" spans="1:20" ht="22.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>SUM(O79:Q79)</f>
        <v>37</v>
      </c>
      <c r="S79" s="24">
        <v>16</v>
      </c>
      <c r="T79" s="21" t="s">
        <v>274</v>
      </c>
    </row>
    <row r="80" spans="1:20" ht="22.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>SUM(O80:Q80)</f>
        <v>19</v>
      </c>
      <c r="S80" s="22">
        <v>20</v>
      </c>
      <c r="T80" s="20" t="s">
        <v>216</v>
      </c>
    </row>
    <row r="81" spans="1:20" ht="22.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>SUM(O81:Q81)</f>
        <v>20</v>
      </c>
      <c r="S81" s="24">
        <v>20</v>
      </c>
      <c r="T81" s="21" t="s">
        <v>280</v>
      </c>
    </row>
    <row r="82" spans="1:20" ht="22.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>SUM(O82:Q82)</f>
        <v>50</v>
      </c>
      <c r="S82" s="22">
        <v>20</v>
      </c>
      <c r="T82" s="20" t="s">
        <v>285</v>
      </c>
    </row>
    <row r="83" spans="1:20" ht="22.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>SUM(O83:Q83)</f>
        <v>17</v>
      </c>
      <c r="S83" s="24">
        <v>20</v>
      </c>
      <c r="T83" s="21" t="s">
        <v>184</v>
      </c>
    </row>
    <row r="84" spans="1:20" ht="22.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>SUM(O84:Q84)</f>
        <v>25</v>
      </c>
      <c r="S84" s="22">
        <v>20</v>
      </c>
      <c r="T84" s="20" t="s">
        <v>61</v>
      </c>
    </row>
    <row r="85" spans="1:20" ht="22.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>SUM(O85:Q85)</f>
        <v>49</v>
      </c>
      <c r="S85" s="24">
        <v>20</v>
      </c>
      <c r="T85" s="21" t="s">
        <v>113</v>
      </c>
    </row>
    <row r="86" spans="1:20" ht="22.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>SUM(O86:Q86)</f>
        <v>34</v>
      </c>
      <c r="S86" s="22">
        <v>20</v>
      </c>
      <c r="T86" s="20" t="s">
        <v>61</v>
      </c>
    </row>
    <row r="87" spans="1:20" ht="22.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>SUM(O87:Q87)</f>
        <v>19</v>
      </c>
      <c r="S87" s="24">
        <v>20</v>
      </c>
      <c r="T87" s="32" t="s">
        <v>167</v>
      </c>
    </row>
    <row r="88" spans="1:20" ht="22.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>SUM(O88:Q88)</f>
        <v>312</v>
      </c>
      <c r="S88" s="22">
        <v>8</v>
      </c>
      <c r="T88" s="20" t="s">
        <v>301</v>
      </c>
    </row>
    <row r="89" spans="1:20" ht="22.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>SUM(O89:Q89)</f>
        <v>57</v>
      </c>
      <c r="S89" s="24">
        <v>20</v>
      </c>
      <c r="T89" s="21" t="s">
        <v>92</v>
      </c>
    </row>
    <row r="90" spans="1:20" ht="22.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>SUM(O90:Q90)</f>
        <v>50</v>
      </c>
      <c r="S90" s="22">
        <v>20</v>
      </c>
      <c r="T90" s="20" t="s">
        <v>92</v>
      </c>
    </row>
    <row r="91" spans="1:20" ht="22.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>SUM(O91:Q91)</f>
        <v>18</v>
      </c>
      <c r="S91" s="24">
        <v>20</v>
      </c>
      <c r="T91" s="21" t="s">
        <v>57</v>
      </c>
    </row>
    <row r="92" spans="1:20" ht="22.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>SUM(O92:Q92)</f>
        <v>18</v>
      </c>
      <c r="S92" s="22">
        <v>20</v>
      </c>
      <c r="T92" s="20" t="s">
        <v>314</v>
      </c>
    </row>
    <row r="93" spans="1:20" ht="22.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>SUM(O93:Q93)</f>
        <v>40</v>
      </c>
      <c r="S93" s="24">
        <v>20</v>
      </c>
      <c r="T93" s="21" t="s">
        <v>317</v>
      </c>
    </row>
    <row r="94" spans="1:20" ht="22.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>SUM(O94:Q94)</f>
        <v>37</v>
      </c>
      <c r="S94" s="22">
        <v>16</v>
      </c>
      <c r="T94" s="20" t="s">
        <v>321</v>
      </c>
    </row>
    <row r="95" spans="1:20" ht="22.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>SUM(O95:Q95)</f>
        <v>96</v>
      </c>
      <c r="S95" s="24">
        <v>20</v>
      </c>
      <c r="T95" s="32" t="s">
        <v>324</v>
      </c>
    </row>
    <row r="96" spans="1:20" ht="22.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>SUM(O96:Q96)</f>
        <v>19</v>
      </c>
      <c r="S96" s="22">
        <v>20</v>
      </c>
      <c r="T96" s="20" t="s">
        <v>88</v>
      </c>
    </row>
    <row r="97" spans="1:20" ht="22.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>SUM(O97:Q97)</f>
        <v>65</v>
      </c>
      <c r="S97" s="24">
        <v>20</v>
      </c>
      <c r="T97" s="21" t="s">
        <v>92</v>
      </c>
    </row>
    <row r="98" spans="1:20" ht="22.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>SUM(O98:Q98)</f>
        <v>19</v>
      </c>
      <c r="S98" s="22">
        <v>8</v>
      </c>
      <c r="T98" s="20" t="s">
        <v>88</v>
      </c>
    </row>
    <row r="99" spans="1:20" ht="22.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>SUM(O99:Q99)</f>
        <v>19</v>
      </c>
      <c r="S99" s="24">
        <v>16</v>
      </c>
      <c r="T99" s="21" t="s">
        <v>216</v>
      </c>
    </row>
    <row r="100" spans="1:20" ht="22.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>SUM(O100:Q100)</f>
        <v>20</v>
      </c>
      <c r="S100" s="22">
        <v>20</v>
      </c>
      <c r="T100" s="20" t="s">
        <v>88</v>
      </c>
    </row>
    <row r="101" spans="1:20" ht="22.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>SUM(O101:Q101)</f>
        <v>63</v>
      </c>
      <c r="S101" s="24">
        <v>20</v>
      </c>
      <c r="T101" s="21" t="s">
        <v>342</v>
      </c>
    </row>
    <row r="102" spans="1:20" ht="22.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>SUM(O102:Q102)</f>
        <v>18</v>
      </c>
      <c r="S102" s="22">
        <v>20</v>
      </c>
      <c r="T102" s="20" t="s">
        <v>150</v>
      </c>
    </row>
    <row r="103" spans="1:20" ht="22.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>SUM(O103:Q103)</f>
        <v>31</v>
      </c>
      <c r="S103" s="24">
        <v>20</v>
      </c>
      <c r="T103" s="21" t="s">
        <v>347</v>
      </c>
    </row>
    <row r="104" spans="1:20" ht="22.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>SUM(O104:Q104)</f>
        <v>59</v>
      </c>
      <c r="S104" s="22">
        <v>20</v>
      </c>
      <c r="T104" s="20" t="s">
        <v>212</v>
      </c>
    </row>
    <row r="105" spans="1:20" ht="22.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>SUM(O105:Q105)</f>
        <v>25</v>
      </c>
      <c r="S105" s="24">
        <v>24</v>
      </c>
      <c r="T105" s="21" t="s">
        <v>355</v>
      </c>
    </row>
    <row r="106" spans="1:20" ht="22.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>SUM(O106:Q106)</f>
        <v>34</v>
      </c>
      <c r="S106" s="22">
        <v>20</v>
      </c>
      <c r="T106" s="20" t="s">
        <v>359</v>
      </c>
    </row>
    <row r="107" spans="1:20" ht="22.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>SUM(O107:Q107)</f>
        <v>19</v>
      </c>
      <c r="S107" s="24">
        <v>16</v>
      </c>
      <c r="T107" s="21" t="s">
        <v>216</v>
      </c>
    </row>
    <row r="108" spans="1:20" ht="22.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>SUM(O108:Q108)</f>
        <v>353</v>
      </c>
      <c r="S108" s="22">
        <v>8</v>
      </c>
      <c r="T108" s="20" t="s">
        <v>365</v>
      </c>
    </row>
    <row r="109" spans="1:20" ht="22.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>SUM(O109:Q109)</f>
        <v>28</v>
      </c>
      <c r="S109" s="24">
        <v>20</v>
      </c>
      <c r="T109" s="21" t="s">
        <v>347</v>
      </c>
    </row>
    <row r="110" spans="1:20" ht="22.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>SUM(O110:Q110)</f>
        <v>215</v>
      </c>
      <c r="S110" s="22">
        <v>2</v>
      </c>
      <c r="T110" s="20" t="s">
        <v>371</v>
      </c>
    </row>
    <row r="111" spans="1:20" ht="22.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>SUM(O111:Q111)</f>
        <v>55</v>
      </c>
      <c r="S111" s="24">
        <v>47</v>
      </c>
      <c r="T111" s="21" t="s">
        <v>375</v>
      </c>
    </row>
    <row r="112" spans="1:20" ht="22.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>SUM(O112:Q112)</f>
        <v>11</v>
      </c>
      <c r="S112" s="22">
        <v>3.5</v>
      </c>
      <c r="T112" s="20" t="s">
        <v>379</v>
      </c>
    </row>
    <row r="113" spans="1:20" ht="22.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>SUM(O113:Q113)</f>
        <v>26</v>
      </c>
      <c r="S113" s="24">
        <v>14</v>
      </c>
      <c r="T113" s="21" t="s">
        <v>383</v>
      </c>
    </row>
    <row r="114" spans="1:20" ht="22.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>SUM(O114:Q114)</f>
        <v>8</v>
      </c>
      <c r="S114" s="22">
        <v>3.5</v>
      </c>
      <c r="T114" s="20" t="s">
        <v>386</v>
      </c>
    </row>
    <row r="115" spans="1:20" ht="22.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>SUM(O115:Q115)</f>
        <v>38</v>
      </c>
      <c r="S115" s="24">
        <v>4</v>
      </c>
      <c r="T115" s="21" t="s">
        <v>390</v>
      </c>
    </row>
    <row r="116" spans="1:20" ht="22.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>SUM(O116:Q116)</f>
        <v>18</v>
      </c>
      <c r="S116" s="22">
        <v>20</v>
      </c>
      <c r="T116" s="20" t="s">
        <v>394</v>
      </c>
    </row>
    <row r="117" spans="1:20" ht="22.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>SUM(O117:Q117)</f>
        <v>45</v>
      </c>
      <c r="S117" s="24">
        <v>18</v>
      </c>
      <c r="T117" s="21" t="s">
        <v>398</v>
      </c>
    </row>
    <row r="118" spans="1:20" ht="22.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>SUM(O118:Q118)</f>
        <v>45</v>
      </c>
      <c r="S118" s="22">
        <v>20</v>
      </c>
      <c r="T118" s="20" t="s">
        <v>402</v>
      </c>
    </row>
    <row r="119" spans="1:20" ht="22.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>SUM(O119:Q119)</f>
        <v>44</v>
      </c>
      <c r="S119" s="24">
        <v>12</v>
      </c>
      <c r="T119" s="21" t="s">
        <v>406</v>
      </c>
    </row>
    <row r="120" spans="1:20" ht="22.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>SUM(O120:Q120)</f>
        <v>50</v>
      </c>
      <c r="S120" s="22">
        <v>4</v>
      </c>
      <c r="T120" s="20" t="s">
        <v>410</v>
      </c>
    </row>
    <row r="121" spans="1:20" ht="22.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>SUM(O121:Q121)</f>
        <v>41</v>
      </c>
      <c r="S121" s="24">
        <v>12</v>
      </c>
      <c r="T121" s="21" t="s">
        <v>413</v>
      </c>
    </row>
    <row r="122" spans="1:20" ht="22.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>SUM(O122:Q122)</f>
        <v>44</v>
      </c>
      <c r="S122" s="22">
        <v>4</v>
      </c>
      <c r="T122" s="20" t="s">
        <v>410</v>
      </c>
    </row>
    <row r="123" spans="1:20" ht="22.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>SUM(O123:Q123)</f>
        <v>40</v>
      </c>
      <c r="S123" s="24">
        <v>4</v>
      </c>
      <c r="T123" s="21" t="s">
        <v>410</v>
      </c>
    </row>
    <row r="124" spans="1:20" ht="22.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>SUM(O124:Q124)</f>
        <v>12</v>
      </c>
      <c r="S124" s="22">
        <v>8</v>
      </c>
      <c r="T124" s="20" t="s">
        <v>421</v>
      </c>
    </row>
    <row r="125" spans="1:20" ht="22.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>SUM(O125:Q125)</f>
        <v>19</v>
      </c>
      <c r="S125" s="24">
        <v>12</v>
      </c>
      <c r="T125" s="21" t="s">
        <v>425</v>
      </c>
    </row>
    <row r="126" spans="1:20" ht="22.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>SUM(O126:Q126)</f>
        <v>14</v>
      </c>
      <c r="S126" s="22">
        <v>12</v>
      </c>
      <c r="T126" s="20" t="s">
        <v>429</v>
      </c>
    </row>
    <row r="127" spans="1:20" ht="22.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>SUM(O127:Q127)</f>
        <v>19</v>
      </c>
      <c r="S127" s="24">
        <v>12</v>
      </c>
      <c r="T127" s="21" t="s">
        <v>425</v>
      </c>
    </row>
    <row r="128" spans="1:20" ht="22.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>SUM(O128:Q128)</f>
        <v>9</v>
      </c>
      <c r="S128" s="22">
        <v>8</v>
      </c>
      <c r="T128" s="20" t="s">
        <v>421</v>
      </c>
    </row>
    <row r="129" spans="1:20" ht="22.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>SUM(O129:Q129)</f>
        <v>45</v>
      </c>
      <c r="S129" s="24">
        <v>4</v>
      </c>
      <c r="T129" s="21" t="s">
        <v>410</v>
      </c>
    </row>
    <row r="130" spans="1:20" ht="22.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>SUM(O130:Q130)</f>
        <v>25</v>
      </c>
      <c r="S130" s="22">
        <v>12</v>
      </c>
      <c r="T130" s="20" t="s">
        <v>425</v>
      </c>
    </row>
    <row r="131" spans="1:20" ht="22.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>SUM(O131:Q131)</f>
        <v>15</v>
      </c>
      <c r="S131" s="24">
        <v>12</v>
      </c>
      <c r="T131" s="21" t="s">
        <v>441</v>
      </c>
    </row>
    <row r="132" spans="1:20" ht="22.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>SUM(O132:Q132)</f>
        <v>26</v>
      </c>
      <c r="S132" s="22">
        <v>16</v>
      </c>
      <c r="T132" s="20" t="s">
        <v>359</v>
      </c>
    </row>
    <row r="133" spans="1:20" ht="22.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>SUM(O133:Q133)</f>
        <v>16</v>
      </c>
      <c r="S133" s="24">
        <v>8</v>
      </c>
      <c r="T133" s="21" t="s">
        <v>448</v>
      </c>
    </row>
    <row r="134" spans="1:20" ht="22.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>SUM(O134:Q134)</f>
        <v>15</v>
      </c>
      <c r="S134" s="22">
        <v>8</v>
      </c>
      <c r="T134" s="20" t="s">
        <v>451</v>
      </c>
    </row>
    <row r="135" spans="1:20" ht="22.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>SUM(O135:Q135)</f>
        <v>14</v>
      </c>
      <c r="S135" s="24">
        <v>12</v>
      </c>
      <c r="T135" s="21" t="s">
        <v>441</v>
      </c>
    </row>
    <row r="136" spans="1:20" ht="22.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>SUM(O136:Q136)</f>
        <v>182</v>
      </c>
      <c r="S136" s="22">
        <v>8</v>
      </c>
      <c r="T136" s="20" t="s">
        <v>457</v>
      </c>
    </row>
    <row r="137" spans="1:20" ht="22.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>SUM(O137:Q137)</f>
        <v>34</v>
      </c>
      <c r="S137" s="24">
        <v>16</v>
      </c>
      <c r="T137" s="21" t="s">
        <v>359</v>
      </c>
    </row>
    <row r="138" spans="1:20" ht="22.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>SUM(O138:Q138)</f>
        <v>17</v>
      </c>
      <c r="S138" s="22">
        <v>16</v>
      </c>
      <c r="T138" s="20" t="s">
        <v>463</v>
      </c>
    </row>
    <row r="139" spans="1:20" ht="22.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>SUM(O139:Q139)</f>
        <v>20</v>
      </c>
      <c r="S139" s="24">
        <v>20</v>
      </c>
      <c r="T139" s="21" t="s">
        <v>394</v>
      </c>
    </row>
    <row r="140" spans="1:20" ht="22.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>SUM(O140:Q140)</f>
        <v>40</v>
      </c>
      <c r="S140" s="22">
        <v>20</v>
      </c>
      <c r="T140" s="20" t="s">
        <v>468</v>
      </c>
    </row>
    <row r="141" spans="1:20" ht="22.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>SUM(O141:Q141)</f>
        <v>12</v>
      </c>
      <c r="S141" s="24">
        <v>12</v>
      </c>
      <c r="T141" s="21" t="s">
        <v>472</v>
      </c>
    </row>
    <row r="142" spans="1:20" ht="22.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>SUM(O142:Q142)</f>
        <v>12</v>
      </c>
      <c r="S142" s="22">
        <v>16</v>
      </c>
      <c r="T142" s="20" t="s">
        <v>476</v>
      </c>
    </row>
    <row r="143" spans="1:20" ht="22.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>SUM(O143:Q143)</f>
        <v>19</v>
      </c>
      <c r="S143" s="24">
        <v>12</v>
      </c>
      <c r="T143" s="21" t="s">
        <v>425</v>
      </c>
    </row>
    <row r="144" spans="1:20" ht="22.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>SUM(O144:Q144)</f>
        <v>12</v>
      </c>
      <c r="S144" s="22">
        <v>20</v>
      </c>
      <c r="T144" s="20" t="s">
        <v>61</v>
      </c>
    </row>
    <row r="145" spans="1:20" ht="22.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>SUM(O145:Q145)</f>
        <v>31</v>
      </c>
      <c r="S145" s="24">
        <v>12</v>
      </c>
      <c r="T145" s="21" t="s">
        <v>485</v>
      </c>
    </row>
    <row r="146" spans="1:20" ht="22.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>SUM(O146:Q146)</f>
        <v>27</v>
      </c>
      <c r="S146" s="22">
        <v>16</v>
      </c>
      <c r="T146" s="20" t="s">
        <v>359</v>
      </c>
    </row>
    <row r="147" spans="1:20" ht="22.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>SUM(O147:Q147)</f>
        <v>54</v>
      </c>
      <c r="S147" s="24">
        <v>1.5</v>
      </c>
      <c r="T147" s="21" t="s">
        <v>490</v>
      </c>
    </row>
    <row r="148" spans="1:20" ht="22.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>SUM(O148:Q148)</f>
        <v>9</v>
      </c>
      <c r="S148" s="22">
        <v>12</v>
      </c>
      <c r="T148" s="20" t="s">
        <v>494</v>
      </c>
    </row>
    <row r="149" spans="1:20" ht="22.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>SUM(O149:Q149)</f>
        <v>38</v>
      </c>
      <c r="S149" s="24">
        <v>4</v>
      </c>
      <c r="T149" s="21" t="s">
        <v>497</v>
      </c>
    </row>
    <row r="150" spans="1:20" ht="22.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>SUM(O150:Q150)</f>
        <v>62</v>
      </c>
      <c r="S150" s="22">
        <v>4</v>
      </c>
      <c r="T150" s="20" t="s">
        <v>497</v>
      </c>
    </row>
    <row r="151" spans="1:20" ht="22.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>SUM(O151:Q151)</f>
        <v>13</v>
      </c>
      <c r="S151" s="24">
        <v>16</v>
      </c>
      <c r="T151" s="21" t="s">
        <v>441</v>
      </c>
    </row>
    <row r="152" spans="1:20" ht="22.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>SUM(O152:Q152)</f>
        <v>8</v>
      </c>
      <c r="S152" s="22">
        <v>12</v>
      </c>
      <c r="T152" s="20" t="s">
        <v>494</v>
      </c>
    </row>
    <row r="153" spans="1:20" ht="22.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>SUM(O153:Q153)</f>
        <v>20</v>
      </c>
      <c r="S153" s="24">
        <v>20</v>
      </c>
      <c r="T153" s="21" t="s">
        <v>507</v>
      </c>
    </row>
    <row r="154" spans="1:20" ht="22.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>SUM(O154:Q154)</f>
        <v>74</v>
      </c>
      <c r="S154" s="22">
        <v>1.5</v>
      </c>
      <c r="T154" s="20" t="s">
        <v>511</v>
      </c>
    </row>
    <row r="155" spans="1:20" ht="22.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>SUM(O155:Q155)</f>
        <v>24</v>
      </c>
      <c r="S155" s="24">
        <v>20</v>
      </c>
      <c r="T155" s="21" t="s">
        <v>507</v>
      </c>
    </row>
    <row r="156" spans="1:20" ht="22.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>SUM(O156:Q156)</f>
        <v>21</v>
      </c>
      <c r="S156" s="22">
        <v>2</v>
      </c>
      <c r="T156" s="20" t="s">
        <v>517</v>
      </c>
    </row>
    <row r="157" spans="1:20" ht="22.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>SUM(O157:Q157)</f>
        <v>21</v>
      </c>
      <c r="S157" s="24">
        <v>20</v>
      </c>
      <c r="T157" s="21" t="s">
        <v>521</v>
      </c>
    </row>
    <row r="158" spans="1:20" ht="22.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>SUM(O158:Q158)</f>
        <v>13</v>
      </c>
      <c r="S158" s="22">
        <v>2</v>
      </c>
      <c r="T158" s="20" t="s">
        <v>525</v>
      </c>
    </row>
    <row r="159" spans="1:20" ht="22.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>SUM(O159:Q159)</f>
        <v>117</v>
      </c>
      <c r="S159" s="24">
        <v>14</v>
      </c>
      <c r="T159" s="21" t="s">
        <v>365</v>
      </c>
    </row>
    <row r="160" spans="1:20" ht="22.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>SUM(O160:Q160)</f>
        <v>20</v>
      </c>
      <c r="S160" s="22">
        <v>20</v>
      </c>
      <c r="T160" s="20" t="s">
        <v>521</v>
      </c>
    </row>
    <row r="161" spans="1:20" ht="22.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>SUM(O161:Q161)</f>
        <v>22</v>
      </c>
      <c r="S161" s="24">
        <v>24</v>
      </c>
      <c r="T161" s="21" t="s">
        <v>534</v>
      </c>
    </row>
    <row r="162" spans="1:20" ht="22.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>SUM(O162:Q162)</f>
        <v>21</v>
      </c>
      <c r="S162" s="22">
        <v>12</v>
      </c>
      <c r="T162" s="33" t="s">
        <v>167</v>
      </c>
    </row>
    <row r="163" spans="1:20" ht="22.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>SUM(O163:Q163)</f>
        <v>59</v>
      </c>
      <c r="S163" s="24">
        <v>1.5</v>
      </c>
      <c r="T163" s="21" t="s">
        <v>472</v>
      </c>
    </row>
    <row r="164" spans="1:20" ht="22.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>SUM(O164:Q164)</f>
        <v>24</v>
      </c>
      <c r="S164" s="22">
        <v>20</v>
      </c>
      <c r="T164" s="20" t="s">
        <v>521</v>
      </c>
    </row>
    <row r="165" spans="1:20" ht="22.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>SUM(O165:Q165)</f>
        <v>41</v>
      </c>
      <c r="S165" s="24">
        <v>1.5</v>
      </c>
      <c r="T165" s="21" t="s">
        <v>546</v>
      </c>
    </row>
    <row r="166" spans="1:20" ht="22.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>SUM(O166:Q166)</f>
        <v>35</v>
      </c>
      <c r="S166" s="22">
        <v>1.5</v>
      </c>
      <c r="T166" s="20" t="s">
        <v>517</v>
      </c>
    </row>
    <row r="167" spans="1:20" ht="22.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>SUM(O167:Q167)</f>
        <v>15</v>
      </c>
      <c r="S167" s="24">
        <v>16</v>
      </c>
      <c r="T167" s="21" t="s">
        <v>441</v>
      </c>
    </row>
    <row r="168" spans="1:20" ht="22.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>SUM(O168:Q168)</f>
        <v>23</v>
      </c>
      <c r="S168" s="22">
        <v>16</v>
      </c>
      <c r="T168" s="33" t="s">
        <v>167</v>
      </c>
    </row>
    <row r="169" spans="1:20" ht="22.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>SUM(O169:Q169)</f>
        <v>36</v>
      </c>
      <c r="S169" s="24">
        <v>1.5</v>
      </c>
      <c r="T169" s="21" t="s">
        <v>558</v>
      </c>
    </row>
    <row r="170" spans="1:20" ht="22.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>SUM(O170:Q170)</f>
        <v>84</v>
      </c>
      <c r="S170" s="22">
        <v>1.5</v>
      </c>
      <c r="T170" s="20" t="s">
        <v>558</v>
      </c>
    </row>
    <row r="171" spans="1:20" ht="22.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>SUM(O171:Q171)</f>
        <v>40</v>
      </c>
      <c r="S171" s="24">
        <v>1.5</v>
      </c>
      <c r="T171" s="21" t="s">
        <v>563</v>
      </c>
    </row>
    <row r="172" spans="1:20" ht="22.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>SUM(O172:Q172)</f>
        <v>40</v>
      </c>
      <c r="S172" s="22">
        <v>1.5</v>
      </c>
      <c r="T172" s="20" t="s">
        <v>566</v>
      </c>
    </row>
    <row r="173" spans="1:20" ht="22.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>SUM(O173:Q173)</f>
        <v>44</v>
      </c>
      <c r="S173" s="24">
        <v>1.5</v>
      </c>
      <c r="T173" s="21" t="s">
        <v>569</v>
      </c>
    </row>
    <row r="174" spans="1:20" ht="22.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>SUM(O174:Q174)</f>
        <v>31</v>
      </c>
      <c r="S174" s="22">
        <v>24</v>
      </c>
      <c r="T174" s="20" t="s">
        <v>573</v>
      </c>
    </row>
    <row r="175" spans="1:20" ht="22.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>SUM(O175:Q175)</f>
        <v>29</v>
      </c>
      <c r="S175" s="24">
        <v>15</v>
      </c>
      <c r="T175" s="21" t="s">
        <v>61</v>
      </c>
    </row>
    <row r="176" spans="1:20" ht="22.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>SUM(O176:Q176)</f>
        <v>119</v>
      </c>
      <c r="S176" s="22">
        <v>10</v>
      </c>
      <c r="T176" s="20" t="s">
        <v>365</v>
      </c>
    </row>
    <row r="177" spans="1:20" ht="22.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>SUM(O177:Q177)</f>
        <v>122</v>
      </c>
      <c r="S177" s="24">
        <v>1</v>
      </c>
      <c r="T177" s="21" t="s">
        <v>583</v>
      </c>
    </row>
    <row r="178" spans="1:20" ht="22.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>SUM(O178:Q178)</f>
        <v>116</v>
      </c>
      <c r="S178" s="22">
        <v>1</v>
      </c>
      <c r="T178" s="20" t="s">
        <v>583</v>
      </c>
    </row>
    <row r="179" spans="1:20" ht="22.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>SUM(O179:Q179)</f>
        <v>83</v>
      </c>
      <c r="S179" s="24">
        <v>1</v>
      </c>
      <c r="T179" s="21" t="s">
        <v>588</v>
      </c>
    </row>
    <row r="180" spans="1:20" ht="22.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>SUM(O180:Q180)</f>
        <v>69</v>
      </c>
      <c r="S180" s="22">
        <v>1</v>
      </c>
      <c r="T180" s="20" t="s">
        <v>583</v>
      </c>
    </row>
    <row r="181" spans="1:20" ht="22.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>SUM(O181:Q181)</f>
        <v>48</v>
      </c>
      <c r="S181" s="24">
        <v>2.5</v>
      </c>
      <c r="T181" s="21" t="s">
        <v>594</v>
      </c>
    </row>
    <row r="182" spans="1:20" ht="22.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>SUM(O182:Q182)</f>
        <v>19</v>
      </c>
      <c r="S182" s="22">
        <v>1.5</v>
      </c>
      <c r="T182" s="33" t="s">
        <v>597</v>
      </c>
    </row>
    <row r="183" spans="1:20" ht="22.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>SUM(O183:Q183)</f>
        <v>73</v>
      </c>
      <c r="S183" s="24">
        <v>1.5</v>
      </c>
      <c r="T183" s="21" t="s">
        <v>76</v>
      </c>
    </row>
    <row r="184" spans="1:20" ht="22.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>SUM(O184:Q184)</f>
        <v>94</v>
      </c>
      <c r="S184" s="22">
        <v>1</v>
      </c>
      <c r="T184" s="20" t="s">
        <v>604</v>
      </c>
    </row>
    <row r="185" spans="1:20" ht="22.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>SUM(O185:Q185)</f>
        <v>42</v>
      </c>
      <c r="S185" s="24">
        <v>20</v>
      </c>
      <c r="T185" s="21" t="s">
        <v>607</v>
      </c>
    </row>
    <row r="186" spans="1:20" ht="22.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>SUM(O186:Q186)</f>
        <v>32</v>
      </c>
      <c r="S186" s="22">
        <v>15</v>
      </c>
      <c r="T186" s="20" t="s">
        <v>611</v>
      </c>
    </row>
    <row r="187" spans="1:20" ht="22.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>SUM(O187:Q187)</f>
        <v>22</v>
      </c>
      <c r="S187" s="24">
        <v>12</v>
      </c>
      <c r="T187" s="21" t="s">
        <v>425</v>
      </c>
    </row>
    <row r="188" spans="1:20" ht="22.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>SUM(O188:Q188)</f>
        <v>590</v>
      </c>
      <c r="S188" s="22">
        <v>20</v>
      </c>
      <c r="T188" s="20" t="s">
        <v>618</v>
      </c>
    </row>
    <row r="189" spans="1:20" ht="22.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>SUM(O189:Q189)</f>
        <v>41</v>
      </c>
      <c r="S189" s="24">
        <v>20</v>
      </c>
      <c r="T189" s="21" t="s">
        <v>621</v>
      </c>
    </row>
    <row r="190" spans="1:20" ht="22.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>SUM(O190:Q190)</f>
        <v>80</v>
      </c>
      <c r="S190" s="22">
        <v>1.5</v>
      </c>
      <c r="T190" s="20" t="s">
        <v>624</v>
      </c>
    </row>
    <row r="191" spans="1:20" ht="22.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>SUM(O191:Q191)</f>
        <v>36</v>
      </c>
      <c r="S191" s="24">
        <v>2</v>
      </c>
      <c r="T191" s="21" t="s">
        <v>628</v>
      </c>
    </row>
    <row r="192" spans="1:20" ht="22.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>SUM(O192:Q192)</f>
        <v>70</v>
      </c>
      <c r="S192" s="22">
        <v>8</v>
      </c>
      <c r="T192" s="20" t="s">
        <v>632</v>
      </c>
    </row>
    <row r="193" spans="1:20" ht="22.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>SUM(O193:Q193)</f>
        <v>21</v>
      </c>
      <c r="S193" s="24">
        <v>15</v>
      </c>
      <c r="T193" s="21" t="s">
        <v>636</v>
      </c>
    </row>
    <row r="194" spans="1:20" ht="22.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>SUM(O194:Q194)</f>
        <v>20</v>
      </c>
      <c r="S194" s="22">
        <v>14</v>
      </c>
      <c r="T194" s="20" t="s">
        <v>624</v>
      </c>
    </row>
    <row r="195" spans="1:20" ht="22.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>SUM(O195:Q195)</f>
        <v>28</v>
      </c>
      <c r="S195" s="24">
        <v>20</v>
      </c>
      <c r="T195" s="21" t="s">
        <v>621</v>
      </c>
    </row>
    <row r="196" spans="1:20" ht="22.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>SUM(O196:Q196)</f>
        <v>25</v>
      </c>
      <c r="S196" s="22">
        <v>24</v>
      </c>
      <c r="T196" s="20" t="s">
        <v>642</v>
      </c>
    </row>
    <row r="197" spans="1:20" ht="22.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>SUM(O197:Q197)</f>
        <v>14</v>
      </c>
      <c r="S197" s="24">
        <v>12</v>
      </c>
      <c r="T197" s="21" t="s">
        <v>646</v>
      </c>
    </row>
    <row r="198" spans="1:20" ht="22.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>SUM(O198:Q198)</f>
        <v>46</v>
      </c>
      <c r="S198" s="22">
        <v>2</v>
      </c>
      <c r="T198" s="20" t="s">
        <v>451</v>
      </c>
    </row>
    <row r="199" spans="1:20" ht="22.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>SUM(O199:Q199)</f>
        <v>98</v>
      </c>
      <c r="S199" s="24">
        <v>2</v>
      </c>
      <c r="T199" s="21" t="s">
        <v>652</v>
      </c>
    </row>
    <row r="200" spans="1:20" ht="22.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>SUM(O200:Q200)</f>
        <v>50</v>
      </c>
      <c r="S200" s="22">
        <v>9</v>
      </c>
      <c r="T200" s="20" t="s">
        <v>656</v>
      </c>
    </row>
    <row r="201" spans="1:20" ht="22.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>SUM(O201:Q201)</f>
        <v>17</v>
      </c>
      <c r="S201" s="24">
        <v>15</v>
      </c>
      <c r="T201" s="21" t="s">
        <v>611</v>
      </c>
    </row>
    <row r="202" spans="1:20" ht="22.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>SUM(O202:Q202)</f>
        <v>53</v>
      </c>
      <c r="S202" s="22">
        <v>8</v>
      </c>
      <c r="T202" s="20" t="s">
        <v>662</v>
      </c>
    </row>
    <row r="203" spans="1:20" ht="22.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>SUM(O203:Q203)</f>
        <v>16</v>
      </c>
      <c r="S203" s="24">
        <v>15</v>
      </c>
      <c r="T203" s="21" t="s">
        <v>636</v>
      </c>
    </row>
    <row r="204" spans="1:20" ht="22.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>SUM(O204:Q204)</f>
        <v>59</v>
      </c>
      <c r="S204" s="22">
        <v>12</v>
      </c>
      <c r="T204" s="20" t="s">
        <v>261</v>
      </c>
    </row>
    <row r="205" spans="1:20" ht="22.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>SUM(O205:Q205)</f>
        <v>76</v>
      </c>
      <c r="S205" s="24">
        <v>2</v>
      </c>
      <c r="T205" s="21" t="s">
        <v>652</v>
      </c>
    </row>
    <row r="206" spans="1:20" ht="22.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>SUM(O206:Q206)</f>
        <v>33</v>
      </c>
      <c r="S206" s="22">
        <v>2</v>
      </c>
      <c r="T206" s="33" t="s">
        <v>167</v>
      </c>
    </row>
    <row r="207" spans="1:20" ht="22.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>SUM(O207:Q207)</f>
        <v>58</v>
      </c>
      <c r="S207" s="24">
        <v>8</v>
      </c>
      <c r="T207" s="21" t="s">
        <v>676</v>
      </c>
    </row>
    <row r="208" spans="1:20" ht="22.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>SUM(O208:Q208)</f>
        <v>60</v>
      </c>
      <c r="S208" s="22">
        <v>9</v>
      </c>
      <c r="T208" s="20" t="s">
        <v>656</v>
      </c>
    </row>
    <row r="209" spans="1:20" ht="22.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>SUM(O209:Q209)</f>
        <v>13</v>
      </c>
      <c r="S209" s="24">
        <v>20</v>
      </c>
      <c r="T209" s="21" t="s">
        <v>521</v>
      </c>
    </row>
    <row r="210" spans="1:20" ht="22.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>SUM(O210:Q210)</f>
        <v>14</v>
      </c>
      <c r="S210" s="22">
        <v>8</v>
      </c>
      <c r="T210" s="20" t="s">
        <v>685</v>
      </c>
    </row>
    <row r="211" spans="1:20" ht="22.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>SUM(O211:Q211)</f>
        <v>53</v>
      </c>
      <c r="S211" s="24">
        <v>16</v>
      </c>
      <c r="T211" s="21" t="s">
        <v>321</v>
      </c>
    </row>
    <row r="212" spans="1:20" ht="22.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>SUM(O212:Q212)</f>
        <v>105</v>
      </c>
      <c r="S212" s="22">
        <v>1.5</v>
      </c>
      <c r="T212" s="20" t="s">
        <v>692</v>
      </c>
    </row>
    <row r="213" spans="1:20" ht="22.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>SUM(O213:Q213)</f>
        <v>635</v>
      </c>
      <c r="S213" s="24">
        <v>4</v>
      </c>
      <c r="T213" s="21" t="s">
        <v>696</v>
      </c>
    </row>
    <row r="214" spans="1:20" ht="22.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>SUM(O214:Q214)</f>
        <v>34</v>
      </c>
      <c r="S214" s="22">
        <v>2</v>
      </c>
      <c r="T214" s="20" t="s">
        <v>700</v>
      </c>
    </row>
    <row r="215" spans="1:20" ht="22.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>SUM(O215:Q215)</f>
        <v>32</v>
      </c>
      <c r="S215" s="24">
        <v>4</v>
      </c>
      <c r="T215" s="21" t="s">
        <v>703</v>
      </c>
    </row>
    <row r="216" spans="1:20" ht="22.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>SUM(O216:Q216)</f>
        <v>10</v>
      </c>
      <c r="S216" s="22">
        <v>10.5</v>
      </c>
      <c r="T216" s="20" t="s">
        <v>707</v>
      </c>
    </row>
    <row r="217" spans="1:20" ht="22.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>SUM(O217:Q217)</f>
        <v>16</v>
      </c>
      <c r="S217" s="24">
        <v>20</v>
      </c>
      <c r="T217" s="21" t="s">
        <v>521</v>
      </c>
    </row>
    <row r="218" spans="1:20" ht="22.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>SUM(O218:Q218)</f>
        <v>20</v>
      </c>
      <c r="S218" s="22">
        <v>8</v>
      </c>
      <c r="T218" s="20" t="s">
        <v>713</v>
      </c>
    </row>
    <row r="219" spans="1:20" ht="22.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>SUM(O219:Q219)</f>
        <v>59</v>
      </c>
      <c r="S219" s="24">
        <v>1</v>
      </c>
      <c r="T219" s="21" t="s">
        <v>717</v>
      </c>
    </row>
    <row r="220" spans="1:20" ht="22.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>SUM(O220:Q220)</f>
        <v>70</v>
      </c>
      <c r="S220" s="22">
        <v>2</v>
      </c>
      <c r="T220" s="20" t="s">
        <v>652</v>
      </c>
    </row>
    <row r="221" spans="1:20" ht="22.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>SUM(O221:Q221)</f>
        <v>30</v>
      </c>
      <c r="S221" s="24">
        <v>1</v>
      </c>
      <c r="T221" s="21" t="s">
        <v>717</v>
      </c>
    </row>
    <row r="222" spans="1:20" ht="22.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>SUM(O222:Q222)</f>
        <v>14</v>
      </c>
      <c r="S222" s="22">
        <v>2</v>
      </c>
      <c r="T222" s="20" t="s">
        <v>725</v>
      </c>
    </row>
    <row r="223" spans="1:20" ht="22.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>SUM(O223:Q223)</f>
        <v>29</v>
      </c>
      <c r="S223" s="24">
        <v>12</v>
      </c>
      <c r="T223" s="21" t="s">
        <v>729</v>
      </c>
    </row>
    <row r="224" spans="1:20" ht="22.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>SUM(O224:Q224)</f>
        <v>37</v>
      </c>
      <c r="S224" s="22">
        <v>2</v>
      </c>
      <c r="T224" s="20" t="s">
        <v>733</v>
      </c>
    </row>
    <row r="225" spans="1:20" ht="22.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>SUM(O225:Q225)</f>
        <v>24</v>
      </c>
      <c r="S225" s="24">
        <v>24</v>
      </c>
      <c r="T225" s="21" t="s">
        <v>737</v>
      </c>
    </row>
    <row r="226" spans="1:20" ht="22.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>SUM(O226:Q226)</f>
        <v>32</v>
      </c>
      <c r="S226" s="22">
        <v>1.5</v>
      </c>
      <c r="T226" s="20" t="s">
        <v>741</v>
      </c>
    </row>
    <row r="227" spans="1:20" ht="22.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>SUM(O227:Q227)</f>
        <v>14</v>
      </c>
      <c r="S227" s="24">
        <v>1</v>
      </c>
      <c r="T227" s="21" t="s">
        <v>744</v>
      </c>
    </row>
    <row r="228" spans="1:20" ht="22.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>SUM(O228:Q228)</f>
        <v>31</v>
      </c>
      <c r="S228" s="22">
        <v>10</v>
      </c>
      <c r="T228" s="20" t="s">
        <v>741</v>
      </c>
    </row>
    <row r="229" spans="1:20" ht="22.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>SUM(O229:Q229)</f>
        <v>30</v>
      </c>
      <c r="S229" s="24">
        <v>4</v>
      </c>
      <c r="T229" s="21" t="s">
        <v>425</v>
      </c>
    </row>
    <row r="230" spans="1:20" ht="22.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>SUM(O230:Q230)</f>
        <v>52</v>
      </c>
      <c r="S230" s="22">
        <v>16</v>
      </c>
      <c r="T230" s="20" t="s">
        <v>321</v>
      </c>
    </row>
    <row r="231" spans="1:20" ht="22.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>SUM(O231:Q231)</f>
        <v>89</v>
      </c>
      <c r="S231" s="24">
        <v>2</v>
      </c>
      <c r="T231" s="21" t="s">
        <v>652</v>
      </c>
    </row>
    <row r="232" spans="1:20" ht="22.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>SUM(O232:Q232)</f>
        <v>13</v>
      </c>
      <c r="S232" s="22">
        <v>24</v>
      </c>
      <c r="T232" s="20" t="s">
        <v>757</v>
      </c>
    </row>
    <row r="233" spans="1:20" ht="22.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>SUM(O233:Q233)</f>
        <v>38</v>
      </c>
      <c r="S233" s="24">
        <v>2</v>
      </c>
      <c r="T233" s="21" t="s">
        <v>451</v>
      </c>
    </row>
    <row r="234" spans="1:20" ht="22.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>SUM(O234:Q234)</f>
        <v>44</v>
      </c>
      <c r="S234" s="22">
        <v>2</v>
      </c>
      <c r="T234" s="20" t="s">
        <v>764</v>
      </c>
    </row>
    <row r="235" spans="1:20" ht="22.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>SUM(O235:Q235)</f>
        <v>21</v>
      </c>
      <c r="S235" s="24">
        <v>4</v>
      </c>
      <c r="T235" s="21" t="s">
        <v>425</v>
      </c>
    </row>
    <row r="236" spans="1:20" ht="22.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>SUM(O236:Q236)</f>
        <v>45</v>
      </c>
      <c r="S236" s="22">
        <v>2</v>
      </c>
      <c r="T236" s="20" t="s">
        <v>770</v>
      </c>
    </row>
    <row r="237" spans="1:20" ht="22.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>SUM(O237:Q237)</f>
        <v>70</v>
      </c>
      <c r="S237" s="24">
        <v>2</v>
      </c>
      <c r="T237" s="21" t="s">
        <v>546</v>
      </c>
    </row>
    <row r="238" spans="1:20" ht="22.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>SUM(O238:Q238)</f>
        <v>15</v>
      </c>
      <c r="S238" s="22">
        <v>20</v>
      </c>
      <c r="T238" s="20" t="s">
        <v>776</v>
      </c>
    </row>
    <row r="239" spans="1:20" ht="22.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>SUM(O239:Q239)</f>
        <v>51</v>
      </c>
      <c r="S239" s="24">
        <v>2</v>
      </c>
      <c r="T239" s="21" t="s">
        <v>780</v>
      </c>
    </row>
    <row r="240" spans="1:20" ht="22.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>SUM(O240:Q240)</f>
        <v>31</v>
      </c>
      <c r="S240" s="22">
        <v>1</v>
      </c>
      <c r="T240" s="20" t="s">
        <v>784</v>
      </c>
    </row>
    <row r="241" spans="1:20" ht="22.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>SUM(O241:Q241)</f>
        <v>140</v>
      </c>
      <c r="S241" s="24">
        <v>20</v>
      </c>
      <c r="T241" s="21" t="s">
        <v>788</v>
      </c>
    </row>
    <row r="242" spans="1:20" ht="22.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>SUM(O242:Q242)</f>
        <v>15</v>
      </c>
      <c r="S242" s="22">
        <v>21</v>
      </c>
      <c r="T242" s="20" t="s">
        <v>636</v>
      </c>
    </row>
    <row r="243" spans="1:20" ht="22.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>SUM(O243:Q243)</f>
        <v>18</v>
      </c>
      <c r="S243" s="24">
        <v>12</v>
      </c>
      <c r="T243" s="21" t="s">
        <v>713</v>
      </c>
    </row>
    <row r="244" spans="1:20" ht="22.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>SUM(O244:Q244)</f>
        <v>55</v>
      </c>
      <c r="S244" s="22">
        <v>2</v>
      </c>
      <c r="T244" s="20" t="s">
        <v>546</v>
      </c>
    </row>
    <row r="245" spans="1:20" ht="22.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>SUM(O245:Q245)</f>
        <v>120</v>
      </c>
      <c r="S245" s="24">
        <v>1</v>
      </c>
      <c r="T245" s="21" t="s">
        <v>798</v>
      </c>
    </row>
    <row r="246" spans="1:20" ht="22.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>SUM(O246:Q246)</f>
        <v>34</v>
      </c>
      <c r="S246" s="22">
        <v>24</v>
      </c>
      <c r="T246" s="20" t="s">
        <v>801</v>
      </c>
    </row>
    <row r="247" spans="1:20" ht="22.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>SUM(O247:Q247)</f>
        <v>37</v>
      </c>
      <c r="S247" s="24">
        <v>4</v>
      </c>
      <c r="T247" s="21" t="s">
        <v>425</v>
      </c>
    </row>
    <row r="248" spans="1:20" ht="22.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>SUM(O248:Q248)</f>
        <v>6</v>
      </c>
      <c r="S248" s="22">
        <v>2</v>
      </c>
      <c r="T248" s="20" t="s">
        <v>808</v>
      </c>
    </row>
    <row r="249" spans="1:20" ht="22.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>SUM(O249:Q249)</f>
        <v>25</v>
      </c>
      <c r="S249" s="24">
        <v>8</v>
      </c>
      <c r="T249" s="21" t="s">
        <v>812</v>
      </c>
    </row>
    <row r="250" spans="1:20" ht="22.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>SUM(O250:Q250)</f>
        <v>26</v>
      </c>
      <c r="S250" s="22">
        <v>20</v>
      </c>
      <c r="T250" s="20" t="s">
        <v>816</v>
      </c>
    </row>
    <row r="251" spans="1:20" ht="22.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>SUM(O251:Q251)</f>
        <v>56</v>
      </c>
      <c r="S251" s="24">
        <v>2</v>
      </c>
      <c r="T251" s="21" t="s">
        <v>425</v>
      </c>
    </row>
    <row r="252" spans="1:20" ht="22.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>SUM(O252:Q252)</f>
        <v>26</v>
      </c>
      <c r="S252" s="22">
        <v>4.5</v>
      </c>
      <c r="T252" s="20" t="s">
        <v>823</v>
      </c>
    </row>
    <row r="253" spans="1:20" ht="22.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>SUM(O253:Q253)</f>
        <v>26</v>
      </c>
      <c r="S253" s="24">
        <v>1</v>
      </c>
      <c r="T253" s="21" t="s">
        <v>451</v>
      </c>
    </row>
    <row r="254" spans="1:20" ht="22.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>SUM(O254:Q254)</f>
        <v>11</v>
      </c>
      <c r="S254" s="22">
        <v>66</v>
      </c>
      <c r="T254" s="20" t="s">
        <v>830</v>
      </c>
    </row>
    <row r="255" spans="1:20" ht="22.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>SUM(O255:Q255)</f>
        <v>14</v>
      </c>
      <c r="S255" s="24">
        <v>7</v>
      </c>
      <c r="T255" s="21" t="s">
        <v>833</v>
      </c>
    </row>
    <row r="256" spans="1:20" ht="22.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>SUM(O256:Q256)</f>
        <v>49</v>
      </c>
      <c r="S256" s="22">
        <v>10.5</v>
      </c>
      <c r="T256" s="20" t="s">
        <v>656</v>
      </c>
    </row>
    <row r="257" spans="1:20" ht="22.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>SUM(O257:Q257)</f>
        <v>27</v>
      </c>
      <c r="S257" s="24">
        <v>6</v>
      </c>
      <c r="T257" s="21" t="s">
        <v>840</v>
      </c>
    </row>
    <row r="258" spans="1:20" ht="22.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>SUM(O258:Q258)</f>
        <v>22</v>
      </c>
      <c r="S258" s="22">
        <v>2</v>
      </c>
      <c r="T258" s="20" t="s">
        <v>685</v>
      </c>
    </row>
    <row r="259" spans="1:20" ht="22.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>SUM(O259:Q259)</f>
        <v>18</v>
      </c>
      <c r="S259" s="24">
        <v>6</v>
      </c>
      <c r="T259" s="21" t="s">
        <v>847</v>
      </c>
    </row>
    <row r="260" spans="1:20" ht="22.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>SUM(O260:Q260)</f>
        <v>31</v>
      </c>
      <c r="S260" s="22">
        <v>2</v>
      </c>
      <c r="T260" s="20" t="s">
        <v>851</v>
      </c>
    </row>
    <row r="261" spans="1:20" ht="22.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>SUM(O261:Q261)</f>
        <v>25</v>
      </c>
      <c r="S261" s="24">
        <v>20</v>
      </c>
      <c r="T261" s="21" t="s">
        <v>558</v>
      </c>
    </row>
    <row r="262" spans="1:20" ht="22.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>SUM(O262:Q262)</f>
        <v>9</v>
      </c>
      <c r="S262" s="22">
        <v>20</v>
      </c>
      <c r="T262" s="20" t="s">
        <v>521</v>
      </c>
    </row>
    <row r="263" spans="1:20" ht="22.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>SUM(O263:Q263)</f>
        <v>8</v>
      </c>
      <c r="S263" s="24">
        <v>6</v>
      </c>
      <c r="T263" s="21" t="s">
        <v>858</v>
      </c>
    </row>
    <row r="264" spans="1:20" ht="22.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>SUM(O264:Q264)</f>
        <v>29</v>
      </c>
      <c r="S264" s="22">
        <v>1</v>
      </c>
      <c r="T264" s="20" t="s">
        <v>784</v>
      </c>
    </row>
    <row r="265" spans="1:20" ht="22.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>SUM(O265:Q265)</f>
        <v>24</v>
      </c>
      <c r="S265" s="24">
        <v>4</v>
      </c>
      <c r="T265" s="21" t="s">
        <v>365</v>
      </c>
    </row>
    <row r="266" spans="1:20" ht="22.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>SUM(O266:Q266)</f>
        <v>66</v>
      </c>
      <c r="S266" s="22">
        <v>1.5</v>
      </c>
      <c r="T266" s="33" t="s">
        <v>167</v>
      </c>
    </row>
    <row r="267" spans="1:20" ht="22.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>SUM(O267:Q267)</f>
        <v>20</v>
      </c>
      <c r="S267" s="24">
        <v>3</v>
      </c>
      <c r="T267" s="21" t="s">
        <v>798</v>
      </c>
    </row>
    <row r="268" spans="1:20" ht="22.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>SUM(O268:Q268)</f>
        <v>13</v>
      </c>
      <c r="S268" s="22">
        <v>20</v>
      </c>
      <c r="T268" s="20" t="s">
        <v>521</v>
      </c>
    </row>
    <row r="269" spans="1:20" ht="22.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>SUM(O269:Q269)</f>
        <v>15</v>
      </c>
      <c r="S269" s="24">
        <v>8</v>
      </c>
      <c r="T269" s="21" t="s">
        <v>812</v>
      </c>
    </row>
    <row r="270" spans="1:20" ht="22.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>SUM(O270:Q270)</f>
        <v>5</v>
      </c>
      <c r="S270" s="22">
        <v>30</v>
      </c>
      <c r="T270" s="20" t="s">
        <v>741</v>
      </c>
    </row>
    <row r="271" spans="1:20" ht="22.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>SUM(O271:Q271)</f>
        <v>18</v>
      </c>
      <c r="S271" s="24">
        <v>12</v>
      </c>
      <c r="T271" s="21" t="s">
        <v>421</v>
      </c>
    </row>
    <row r="272" spans="1:20" ht="22.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>SUM(O272:Q272)</f>
        <v>8</v>
      </c>
      <c r="S272" s="22">
        <v>12</v>
      </c>
      <c r="T272" s="20" t="s">
        <v>421</v>
      </c>
    </row>
    <row r="273" spans="1:20" ht="22.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>SUM(O273:Q273)</f>
        <v>83</v>
      </c>
      <c r="S273" s="24">
        <v>16</v>
      </c>
      <c r="T273" s="21" t="s">
        <v>887</v>
      </c>
    </row>
    <row r="274" spans="1:20" ht="22.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>SUM(O274:Q274)</f>
        <v>24</v>
      </c>
      <c r="S274" s="22">
        <v>2</v>
      </c>
      <c r="T274" s="20" t="s">
        <v>891</v>
      </c>
    </row>
    <row r="275" spans="1:20" ht="22.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>SUM(O275:Q275)</f>
        <v>20</v>
      </c>
      <c r="S275" s="24">
        <v>20</v>
      </c>
      <c r="T275" s="21" t="s">
        <v>521</v>
      </c>
    </row>
    <row r="276" spans="1:20" ht="22.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>SUM(O276:Q276)</f>
        <v>39</v>
      </c>
      <c r="S276" s="22">
        <v>12</v>
      </c>
      <c r="T276" s="20" t="s">
        <v>897</v>
      </c>
    </row>
    <row r="277" spans="1:20" ht="22.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>SUM(O277:Q277)</f>
        <v>39</v>
      </c>
      <c r="S277" s="24">
        <v>1</v>
      </c>
      <c r="T277" s="21" t="s">
        <v>901</v>
      </c>
    </row>
    <row r="278" spans="1:20" ht="22.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>SUM(O278:Q278)</f>
        <v>277</v>
      </c>
      <c r="S278" s="22">
        <v>6</v>
      </c>
      <c r="T278" s="54" t="s">
        <v>905</v>
      </c>
    </row>
    <row r="279" spans="1:20" ht="22.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>SUM(O279:Q279)</f>
        <v>43</v>
      </c>
      <c r="S279" s="24">
        <v>8</v>
      </c>
      <c r="T279" s="21" t="s">
        <v>909</v>
      </c>
    </row>
    <row r="280" spans="1:20" ht="22.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>SUM(O280:Q280)</f>
        <v>21</v>
      </c>
      <c r="S280" s="22">
        <v>2</v>
      </c>
      <c r="T280" s="20" t="s">
        <v>808</v>
      </c>
    </row>
    <row r="281" spans="1:20" ht="22.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>SUM(O281:Q281)</f>
        <v>144</v>
      </c>
      <c r="S281" s="24">
        <v>2</v>
      </c>
      <c r="T281" s="21" t="s">
        <v>67</v>
      </c>
    </row>
    <row r="282" spans="1:20" ht="22.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>SUM(O282:Q282)</f>
        <v>19</v>
      </c>
      <c r="S282" s="22">
        <v>30</v>
      </c>
      <c r="T282" s="20" t="s">
        <v>741</v>
      </c>
    </row>
    <row r="283" spans="1:20" ht="22.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>SUM(O283:Q283)</f>
        <v>65</v>
      </c>
      <c r="S283" s="24">
        <v>16</v>
      </c>
      <c r="T283" s="21" t="s">
        <v>324</v>
      </c>
    </row>
    <row r="284" spans="1:20" ht="22.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>SUM(O284:Q284)</f>
        <v>72</v>
      </c>
      <c r="S284" s="22">
        <v>2</v>
      </c>
      <c r="T284" s="20" t="s">
        <v>924</v>
      </c>
    </row>
    <row r="285" spans="1:20" ht="22.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>SUM(O285:Q285)</f>
        <v>193</v>
      </c>
      <c r="S285" s="24">
        <v>20</v>
      </c>
      <c r="T285" s="21" t="s">
        <v>67</v>
      </c>
    </row>
    <row r="286" spans="1:20" ht="22.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>SUM(O286:Q286)</f>
        <v>46</v>
      </c>
      <c r="S286" s="22">
        <v>2</v>
      </c>
      <c r="T286" s="20" t="s">
        <v>931</v>
      </c>
    </row>
    <row r="287" spans="1:20" ht="22.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>SUM(O287:Q287)</f>
        <v>20</v>
      </c>
      <c r="S287" s="24">
        <v>4</v>
      </c>
      <c r="T287" s="21" t="s">
        <v>798</v>
      </c>
    </row>
    <row r="288" spans="1:20" ht="22.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>SUM(O288:Q288)</f>
        <v>23</v>
      </c>
      <c r="S288" s="22">
        <v>2</v>
      </c>
      <c r="T288" s="20"/>
    </row>
    <row r="289" spans="1:20" ht="22.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>SUM(O289:Q289)</f>
        <v>80</v>
      </c>
      <c r="S289" s="24">
        <v>16</v>
      </c>
      <c r="T289" s="21" t="s">
        <v>939</v>
      </c>
    </row>
    <row r="290" spans="1:20" ht="22.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>SUM(O290:Q290)</f>
        <v>21</v>
      </c>
      <c r="S290" s="22">
        <v>21</v>
      </c>
      <c r="T290" s="20" t="s">
        <v>943</v>
      </c>
    </row>
    <row r="291" spans="1:20" ht="22.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>SUM(O291:Q291)</f>
        <v>28</v>
      </c>
      <c r="S291" s="24">
        <v>20</v>
      </c>
      <c r="T291" s="21" t="s">
        <v>324</v>
      </c>
    </row>
    <row r="292" spans="1:20" ht="22.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>SUM(O292:Q292)</f>
        <v>35</v>
      </c>
      <c r="S292" s="22">
        <v>10.5</v>
      </c>
      <c r="T292" s="20" t="s">
        <v>948</v>
      </c>
    </row>
    <row r="293" spans="1:20" ht="22.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>SUM(O293:Q293)</f>
        <v>20</v>
      </c>
      <c r="S293" s="24">
        <v>12</v>
      </c>
      <c r="T293" s="21" t="s">
        <v>425</v>
      </c>
    </row>
    <row r="294" spans="1:20" ht="22.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>SUM(O294:Q294)</f>
        <v>188</v>
      </c>
      <c r="S294" s="22">
        <v>2</v>
      </c>
      <c r="T294" s="20" t="s">
        <v>955</v>
      </c>
    </row>
    <row r="295" spans="1:20" ht="22.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>SUM(O295:Q295)</f>
        <v>42</v>
      </c>
      <c r="S295" s="24">
        <v>2</v>
      </c>
      <c r="T295" s="21" t="s">
        <v>959</v>
      </c>
    </row>
    <row r="296" spans="1:20" ht="22.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>SUM(O296:Q296)</f>
        <v>31</v>
      </c>
      <c r="S296" s="22">
        <v>26</v>
      </c>
      <c r="T296" s="20" t="s">
        <v>963</v>
      </c>
    </row>
    <row r="297" spans="1:20" ht="22.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>SUM(O297:Q297)</f>
        <v>20</v>
      </c>
      <c r="S297" s="24">
        <v>20</v>
      </c>
      <c r="T297" s="21" t="s">
        <v>61</v>
      </c>
    </row>
    <row r="298" spans="1:20" ht="22.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>SUM(O298:Q298)</f>
        <v>70</v>
      </c>
      <c r="S298" s="22">
        <v>1.5</v>
      </c>
      <c r="T298" s="20" t="s">
        <v>969</v>
      </c>
    </row>
    <row r="299" spans="1:20" ht="22.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>SUM(O299:Q299)</f>
        <v>85</v>
      </c>
      <c r="S299" s="24">
        <v>8</v>
      </c>
      <c r="T299" s="21" t="s">
        <v>972</v>
      </c>
    </row>
    <row r="300" spans="1:20" ht="22.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>SUM(O300:Q300)</f>
        <v>54</v>
      </c>
      <c r="S300" s="22">
        <v>2</v>
      </c>
      <c r="T300" s="20" t="s">
        <v>976</v>
      </c>
    </row>
    <row r="301" spans="1:20" ht="22.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>SUM(O301:Q301)</f>
        <v>153</v>
      </c>
      <c r="S301" s="24">
        <v>2</v>
      </c>
      <c r="T301" s="21" t="s">
        <v>980</v>
      </c>
    </row>
    <row r="302" spans="1:20" ht="22.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>SUM(O302:Q302)</f>
        <v>19</v>
      </c>
      <c r="S302" s="22">
        <v>16</v>
      </c>
      <c r="T302" s="20" t="s">
        <v>425</v>
      </c>
    </row>
    <row r="303" spans="1:20" ht="22.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>SUM(O303:Q303)</f>
        <v>20</v>
      </c>
      <c r="S303" s="24">
        <v>2</v>
      </c>
      <c r="T303" s="21" t="s">
        <v>987</v>
      </c>
    </row>
    <row r="304" spans="1:20" ht="22.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>SUM(O304:Q304)</f>
        <v>25</v>
      </c>
      <c r="S304" s="22">
        <v>2</v>
      </c>
      <c r="T304" s="20" t="s">
        <v>990</v>
      </c>
    </row>
    <row r="305" spans="1:20" ht="22.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>SUM(O305:Q305)</f>
        <v>70</v>
      </c>
      <c r="S305" s="24">
        <v>2</v>
      </c>
      <c r="T305" s="21" t="s">
        <v>994</v>
      </c>
    </row>
    <row r="306" spans="1:20" ht="22.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>SUM(O306:Q306)</f>
        <v>17</v>
      </c>
      <c r="S306" s="22">
        <v>20</v>
      </c>
      <c r="T306" s="20"/>
    </row>
    <row r="307" spans="1:20" ht="22.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>SUM(O307:Q307)</f>
        <v>24</v>
      </c>
      <c r="S307" s="24">
        <v>20</v>
      </c>
      <c r="T307" s="21" t="s">
        <v>558</v>
      </c>
    </row>
    <row r="308" spans="1:20" ht="22.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>SUM(O308:Q308)</f>
        <v>17</v>
      </c>
      <c r="S308" s="22">
        <v>6.5</v>
      </c>
      <c r="T308" s="20" t="s">
        <v>1003</v>
      </c>
    </row>
    <row r="309" spans="1:20" ht="22.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>SUM(O309:Q309)</f>
        <v>17</v>
      </c>
      <c r="S309" s="24">
        <v>16</v>
      </c>
      <c r="T309" s="21" t="s">
        <v>425</v>
      </c>
    </row>
    <row r="310" spans="1:20" ht="22.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>SUM(O310:Q310)</f>
        <v>45</v>
      </c>
      <c r="S310" s="22">
        <v>1</v>
      </c>
      <c r="T310" s="33" t="s">
        <v>117</v>
      </c>
    </row>
    <row r="311" spans="1:20" ht="22.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>SUM(O311:Q311)</f>
        <v>26</v>
      </c>
      <c r="S311" s="24">
        <v>2</v>
      </c>
      <c r="T311" s="21" t="s">
        <v>1013</v>
      </c>
    </row>
    <row r="312" spans="1:20" ht="22.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>SUM(O312:Q312)</f>
        <v>17</v>
      </c>
      <c r="S312" s="22">
        <v>75</v>
      </c>
      <c r="T312" s="54" t="s">
        <v>1016</v>
      </c>
    </row>
    <row r="313" spans="1:20" ht="22.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>SUM(O313:Q313)</f>
        <v>30</v>
      </c>
      <c r="S313" s="24">
        <v>2</v>
      </c>
      <c r="T313" s="21" t="s">
        <v>685</v>
      </c>
    </row>
    <row r="314" spans="1:20" ht="22.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>SUM(O314:Q314)</f>
        <v>20</v>
      </c>
      <c r="S314" s="22">
        <v>20</v>
      </c>
      <c r="T314" s="20" t="s">
        <v>61</v>
      </c>
    </row>
    <row r="315" spans="1:20" ht="22.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>SUM(O315:Q315)</f>
        <v>33</v>
      </c>
      <c r="S315" s="24">
        <v>2</v>
      </c>
      <c r="T315" s="21" t="s">
        <v>1024</v>
      </c>
    </row>
    <row r="316" spans="1:20" ht="22.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>SUM(O316:Q316)</f>
        <v>17</v>
      </c>
      <c r="S316" s="22">
        <v>5</v>
      </c>
      <c r="T316" s="33" t="s">
        <v>1028</v>
      </c>
    </row>
    <row r="317" spans="1:20" ht="22.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>SUM(O317:Q317)</f>
        <v>15</v>
      </c>
      <c r="S317" s="24">
        <v>24</v>
      </c>
      <c r="T317" s="21" t="s">
        <v>1032</v>
      </c>
    </row>
    <row r="318" spans="1:20" ht="22.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>SUM(O318:Q318)</f>
        <v>19</v>
      </c>
      <c r="S318" s="22">
        <v>4</v>
      </c>
      <c r="T318" s="20" t="s">
        <v>324</v>
      </c>
    </row>
    <row r="319" spans="1:20" ht="22.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>SUM(O319:Q319)</f>
        <v>16</v>
      </c>
      <c r="S319" s="24">
        <v>2</v>
      </c>
      <c r="T319" s="21" t="s">
        <v>1040</v>
      </c>
    </row>
    <row r="320" spans="1:20" ht="22.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>SUM(O320:Q320)</f>
        <v>49</v>
      </c>
      <c r="S320" s="22">
        <v>2</v>
      </c>
      <c r="T320" s="20" t="s">
        <v>1040</v>
      </c>
    </row>
    <row r="321" spans="1:20" ht="22.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>SUM(O321:Q321)</f>
        <v>126</v>
      </c>
      <c r="S321" s="24">
        <v>2</v>
      </c>
      <c r="T321" s="21" t="s">
        <v>1040</v>
      </c>
    </row>
    <row r="322" spans="1:20" ht="22.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>SUM(O322:Q322)</f>
        <v>40</v>
      </c>
      <c r="S322" s="22">
        <v>1</v>
      </c>
      <c r="T322" s="20" t="s">
        <v>1046</v>
      </c>
    </row>
    <row r="323" spans="1:20" ht="22.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>SUM(O323:Q323)</f>
        <v>40</v>
      </c>
      <c r="S323" s="24">
        <v>1</v>
      </c>
      <c r="T323" s="21" t="s">
        <v>1046</v>
      </c>
    </row>
    <row r="324" spans="1:20" ht="22.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>SUM(O324:Q324)</f>
        <v>60</v>
      </c>
      <c r="S324" s="22">
        <v>1</v>
      </c>
      <c r="T324" s="20" t="s">
        <v>1046</v>
      </c>
    </row>
    <row r="325" spans="1:20" ht="22.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>SUM(O325:Q325)</f>
        <v>30</v>
      </c>
      <c r="S325" s="24">
        <v>1</v>
      </c>
      <c r="T325" s="21" t="s">
        <v>1046</v>
      </c>
    </row>
    <row r="326" spans="1:20" ht="22.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>SUM(O326:Q326)</f>
        <v>21</v>
      </c>
      <c r="S326" s="22">
        <v>30</v>
      </c>
      <c r="T326" s="20" t="s">
        <v>741</v>
      </c>
    </row>
    <row r="327" spans="1:20" ht="22.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>SUM(O327:Q327)</f>
        <v>20</v>
      </c>
      <c r="S327" s="24">
        <v>20</v>
      </c>
      <c r="T327" s="21" t="s">
        <v>61</v>
      </c>
    </row>
    <row r="328" spans="1:20" ht="22.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>SUM(O328:Q328)</f>
        <v>40</v>
      </c>
      <c r="S328" s="22">
        <v>9</v>
      </c>
      <c r="T328" s="54" t="s">
        <v>1059</v>
      </c>
    </row>
    <row r="329" spans="1:20" ht="22.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>SUM(O329:Q329)</f>
        <v>80</v>
      </c>
      <c r="S329" s="24">
        <v>8</v>
      </c>
      <c r="T329" s="21" t="s">
        <v>1063</v>
      </c>
    </row>
    <row r="330" spans="1:20" ht="22.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>SUM(O330:Q330)</f>
        <v>26</v>
      </c>
      <c r="S330" s="22">
        <v>16</v>
      </c>
      <c r="T330" s="20" t="s">
        <v>425</v>
      </c>
    </row>
    <row r="331" spans="1:20" ht="22.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>SUM(O331:Q331)</f>
        <v>15</v>
      </c>
      <c r="S331" s="24">
        <v>16</v>
      </c>
      <c r="T331" s="21" t="s">
        <v>1070</v>
      </c>
    </row>
    <row r="332" spans="1:20" ht="22.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>SUM(O332:Q332)</f>
        <v>23</v>
      </c>
      <c r="S332" s="22">
        <v>46</v>
      </c>
      <c r="T332" s="20" t="s">
        <v>1073</v>
      </c>
    </row>
    <row r="333" spans="1:20" ht="22.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>SUM(O333:Q333)</f>
        <v>207</v>
      </c>
      <c r="S333" s="24">
        <v>1.5</v>
      </c>
      <c r="T333" s="21" t="s">
        <v>1077</v>
      </c>
    </row>
    <row r="334" spans="1:20" ht="22.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>SUM(O334:Q334)</f>
        <v>13</v>
      </c>
      <c r="S334" s="22">
        <v>30</v>
      </c>
      <c r="T334" s="20" t="s">
        <v>741</v>
      </c>
    </row>
    <row r="335" spans="1:20" ht="22.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>SUM(O335:Q335)</f>
        <v>184</v>
      </c>
      <c r="S335" s="24">
        <v>10</v>
      </c>
      <c r="T335" s="21" t="s">
        <v>1083</v>
      </c>
    </row>
    <row r="336" spans="1:20" ht="22.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>SUM(O336:Q336)</f>
        <v>46</v>
      </c>
      <c r="S336" s="22">
        <v>20</v>
      </c>
      <c r="T336" s="20" t="s">
        <v>1087</v>
      </c>
    </row>
    <row r="337" spans="1:20" ht="22.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>SUM(O337:Q337)</f>
        <v>60</v>
      </c>
      <c r="S337" s="24">
        <v>2</v>
      </c>
      <c r="T337" s="21" t="s">
        <v>1090</v>
      </c>
    </row>
    <row r="338" spans="1:20" ht="22.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>SUM(O338:Q338)</f>
        <v>48</v>
      </c>
      <c r="S338" s="22">
        <v>20</v>
      </c>
      <c r="T338" s="20" t="s">
        <v>324</v>
      </c>
    </row>
    <row r="339" spans="1:20" ht="22.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>SUM(O339:Q339)</f>
        <v>40</v>
      </c>
      <c r="S339" s="24">
        <v>2</v>
      </c>
      <c r="T339" s="21" t="s">
        <v>784</v>
      </c>
    </row>
    <row r="340" spans="1:20" ht="22.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>SUM(O340:Q340)</f>
        <v>150</v>
      </c>
      <c r="S340" s="22">
        <v>2</v>
      </c>
      <c r="T340" s="20" t="s">
        <v>1100</v>
      </c>
    </row>
    <row r="341" spans="1:20" ht="22.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>SUM(O341:Q341)</f>
        <v>20</v>
      </c>
      <c r="S341" s="24">
        <v>7</v>
      </c>
      <c r="T341" s="21" t="s">
        <v>808</v>
      </c>
    </row>
    <row r="342" spans="1:20" ht="22.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>SUM(O342:Q342)</f>
        <v>30</v>
      </c>
      <c r="S342" s="22">
        <v>2</v>
      </c>
      <c r="T342" s="20" t="s">
        <v>784</v>
      </c>
    </row>
    <row r="343" spans="1:20" ht="22.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>SUM(O343:Q343)</f>
        <v>67</v>
      </c>
      <c r="S343" s="24">
        <v>18</v>
      </c>
      <c r="T343" s="21" t="s">
        <v>1110</v>
      </c>
    </row>
    <row r="344" spans="1:20" ht="22.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>SUM(O344:Q344)</f>
        <v>67</v>
      </c>
      <c r="S344" s="22">
        <v>2</v>
      </c>
      <c r="T344" s="20" t="s">
        <v>1113</v>
      </c>
    </row>
    <row r="345" spans="1:20" ht="22.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>SUM(O345:Q345)</f>
        <v>57</v>
      </c>
      <c r="S345" s="24">
        <v>2</v>
      </c>
      <c r="T345" s="21" t="s">
        <v>1113</v>
      </c>
    </row>
    <row r="346" spans="1:20" ht="22.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>SUM(O346:Q346)</f>
        <v>20</v>
      </c>
      <c r="S346" s="22">
        <v>26</v>
      </c>
      <c r="T346" s="20" t="s">
        <v>1117</v>
      </c>
    </row>
    <row r="347" spans="1:20" ht="22.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>SUM(O347:Q347)</f>
        <v>315</v>
      </c>
      <c r="S347" s="24">
        <v>8</v>
      </c>
      <c r="T347" s="21" t="s">
        <v>1121</v>
      </c>
    </row>
    <row r="348" spans="1:20" ht="22.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>SUM(O348:Q348)</f>
        <v>35</v>
      </c>
      <c r="S348" s="22">
        <v>8</v>
      </c>
      <c r="T348" s="20" t="s">
        <v>1125</v>
      </c>
    </row>
    <row r="349" spans="1:20" ht="22.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>SUM(O349:Q349)</f>
        <v>17</v>
      </c>
      <c r="S349" s="24">
        <f>5*17</f>
        <v>85</v>
      </c>
      <c r="T349" s="21" t="s">
        <v>741</v>
      </c>
    </row>
    <row r="350" spans="1:20" ht="22.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>SUM(O350:Q350)</f>
        <v>27</v>
      </c>
      <c r="S350" s="22">
        <v>8</v>
      </c>
      <c r="T350" s="20" t="s">
        <v>717</v>
      </c>
    </row>
    <row r="351" spans="1:20" ht="22.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>SUM(O351:Q351)</f>
        <v>45</v>
      </c>
      <c r="S351" s="24">
        <v>4</v>
      </c>
      <c r="T351" s="21" t="s">
        <v>1135</v>
      </c>
    </row>
    <row r="352" spans="1:20" ht="22.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>SUM(O352:Q352)</f>
        <v>51</v>
      </c>
      <c r="S352" s="22">
        <v>4</v>
      </c>
      <c r="T352" s="20" t="s">
        <v>1139</v>
      </c>
    </row>
    <row r="353" spans="1:20" ht="22.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>SUM(O353:Q353)</f>
        <v>5</v>
      </c>
      <c r="S353" s="24">
        <v>28</v>
      </c>
      <c r="T353" s="21" t="s">
        <v>1073</v>
      </c>
    </row>
    <row r="354" spans="1:20" ht="22.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>SUM(O354:Q354)</f>
        <v>16</v>
      </c>
      <c r="S354" s="22">
        <v>24</v>
      </c>
      <c r="T354" s="20" t="s">
        <v>1032</v>
      </c>
    </row>
    <row r="355" spans="1:20" ht="22.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>SUM(O355:Q355)</f>
        <v>30</v>
      </c>
      <c r="S355" s="24">
        <v>12</v>
      </c>
      <c r="T355" s="21" t="s">
        <v>1147</v>
      </c>
    </row>
    <row r="356" spans="1:20" ht="22.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>SUM(O356:Q356)</f>
        <v>64</v>
      </c>
      <c r="S356" s="22">
        <v>12</v>
      </c>
      <c r="T356" s="20"/>
    </row>
    <row r="357" spans="1:20" ht="22.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>SUM(O357:Q357)</f>
        <v>57</v>
      </c>
      <c r="S357" s="24">
        <v>20</v>
      </c>
      <c r="T357" s="21" t="s">
        <v>1110</v>
      </c>
    </row>
    <row r="358" spans="1:20" ht="22.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>SUM(O358:Q358)</f>
        <v>39</v>
      </c>
      <c r="S358" s="22">
        <v>25</v>
      </c>
      <c r="T358" s="20" t="s">
        <v>1156</v>
      </c>
    </row>
    <row r="359" spans="1:20" ht="22.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>SUM(O359:Q359)</f>
        <v>16</v>
      </c>
      <c r="S359" s="24">
        <v>24</v>
      </c>
      <c r="T359" s="21" t="s">
        <v>441</v>
      </c>
    </row>
    <row r="360" spans="1:20" ht="22.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>SUM(O360:Q360)</f>
        <v>47</v>
      </c>
      <c r="S360" s="22">
        <v>20</v>
      </c>
      <c r="T360" s="20" t="s">
        <v>1087</v>
      </c>
    </row>
    <row r="361" spans="1:20" ht="22.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>SUM(O361:Q361)</f>
        <v>13</v>
      </c>
      <c r="S361" s="24">
        <v>16</v>
      </c>
      <c r="T361" s="21" t="s">
        <v>1166</v>
      </c>
    </row>
    <row r="362" spans="1:20" ht="22.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>SUM(O362:Q362)</f>
        <v>26</v>
      </c>
      <c r="S362" s="22">
        <v>30</v>
      </c>
      <c r="T362" s="20" t="s">
        <v>741</v>
      </c>
    </row>
    <row r="363" spans="1:20" ht="22.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>SUM(O363:Q363)</f>
        <v>43</v>
      </c>
      <c r="S363" s="24">
        <v>12</v>
      </c>
      <c r="T363" s="21" t="s">
        <v>897</v>
      </c>
    </row>
    <row r="364" spans="1:20" ht="22.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>SUM(O364:Q364)</f>
        <v>11</v>
      </c>
      <c r="S364" s="22">
        <v>24</v>
      </c>
      <c r="T364" s="20" t="s">
        <v>1032</v>
      </c>
    </row>
    <row r="365" spans="1:20" ht="22.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>SUM(O365:Q365)</f>
        <v>11</v>
      </c>
      <c r="S365" s="24">
        <v>24</v>
      </c>
      <c r="T365" s="21" t="s">
        <v>1176</v>
      </c>
    </row>
    <row r="366" spans="1:20" ht="22.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>SUM(O366:Q366)</f>
        <v>57</v>
      </c>
      <c r="S366" s="22">
        <v>16</v>
      </c>
      <c r="T366" s="33" t="s">
        <v>324</v>
      </c>
    </row>
    <row r="367" spans="1:20" ht="22.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>SUM(O367:Q367)</f>
        <v>22</v>
      </c>
      <c r="S367" s="24">
        <v>20</v>
      </c>
      <c r="T367" s="21" t="s">
        <v>1182</v>
      </c>
    </row>
    <row r="368" spans="1:20" ht="22.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>SUM(O368:Q368)</f>
        <v>176</v>
      </c>
      <c r="S368" s="22">
        <v>2</v>
      </c>
      <c r="T368" s="20"/>
    </row>
    <row r="369" spans="1:20" ht="22.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>SUM(O369:Q369)</f>
        <v>56</v>
      </c>
      <c r="S369" s="24">
        <v>4</v>
      </c>
      <c r="T369" s="21" t="s">
        <v>1188</v>
      </c>
    </row>
    <row r="370" spans="1:20" ht="22.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>SUM(O370:Q370)</f>
        <v>23</v>
      </c>
      <c r="S370" s="22">
        <v>8</v>
      </c>
      <c r="T370" s="20" t="s">
        <v>1192</v>
      </c>
    </row>
    <row r="371" spans="1:20" ht="22.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>SUM(O371:Q371)</f>
        <v>39</v>
      </c>
      <c r="S371" s="24">
        <v>1</v>
      </c>
      <c r="T371" s="21" t="s">
        <v>511</v>
      </c>
    </row>
    <row r="372" spans="1:20" ht="22.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>SUM(O372:Q372)</f>
        <v>47</v>
      </c>
      <c r="S372" s="22">
        <v>2</v>
      </c>
      <c r="T372" s="20"/>
    </row>
    <row r="373" spans="1:20" ht="22.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>SUM(O373:Q373)</f>
        <v>53</v>
      </c>
      <c r="S373" s="24">
        <v>16</v>
      </c>
      <c r="T373" s="32" t="s">
        <v>324</v>
      </c>
    </row>
    <row r="374" spans="1:20" ht="22.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>SUM(O374:Q374)</f>
        <v>28</v>
      </c>
      <c r="S374" s="22">
        <v>2</v>
      </c>
      <c r="T374" s="20" t="s">
        <v>1176</v>
      </c>
    </row>
    <row r="375" spans="1:20" ht="22.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>SUM(O375:Q375)</f>
        <v>18</v>
      </c>
      <c r="S375" s="24">
        <v>3</v>
      </c>
      <c r="T375" s="21" t="s">
        <v>1182</v>
      </c>
    </row>
    <row r="376" spans="1:20" ht="22.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>SUM(O376:Q376)</f>
        <v>53</v>
      </c>
      <c r="S376" s="22">
        <v>16</v>
      </c>
      <c r="T376" s="33" t="s">
        <v>324</v>
      </c>
    </row>
    <row r="377" spans="1:20" ht="22.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>SUM(O377:Q377)</f>
        <v>10</v>
      </c>
      <c r="S377" s="24">
        <v>3</v>
      </c>
      <c r="T377" s="21" t="s">
        <v>1182</v>
      </c>
    </row>
    <row r="378" spans="1:20" ht="22.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>SUM(O378:Q378)</f>
        <v>34</v>
      </c>
      <c r="S378" s="22">
        <v>3</v>
      </c>
      <c r="T378" s="20" t="s">
        <v>1182</v>
      </c>
    </row>
    <row r="379" spans="1:20" ht="22.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>SUM(O379:Q379)</f>
        <v>0</v>
      </c>
      <c r="S379" s="24"/>
      <c r="T379" s="21"/>
    </row>
    <row r="380" spans="1:20" ht="22.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>SUM(O380:Q380)</f>
        <v>15</v>
      </c>
      <c r="S380" s="22">
        <v>2</v>
      </c>
      <c r="T380" s="20" t="s">
        <v>1216</v>
      </c>
    </row>
    <row r="381" spans="1:20" ht="22.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>SUM(O381:Q381)</f>
        <v>21</v>
      </c>
      <c r="S381" s="24">
        <v>3</v>
      </c>
      <c r="T381" s="21"/>
    </row>
    <row r="382" spans="1:20" ht="22.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>SUM(O382:Q382)</f>
        <v>17</v>
      </c>
      <c r="S382" s="22">
        <v>16</v>
      </c>
      <c r="T382" s="33" t="s">
        <v>324</v>
      </c>
    </row>
    <row r="383" spans="1:20" ht="22.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>SUM(O383:Q383)</f>
        <v>13</v>
      </c>
      <c r="S383" s="24">
        <v>3</v>
      </c>
      <c r="T383" s="21" t="s">
        <v>1182</v>
      </c>
    </row>
    <row r="384" spans="1:20" ht="22.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>SUM(O384:Q384)</f>
        <v>114</v>
      </c>
      <c r="S384" s="22">
        <v>2</v>
      </c>
      <c r="T384" s="20"/>
    </row>
    <row r="385" spans="1:20" ht="22.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>SUM(O385:Q385)</f>
        <v>5</v>
      </c>
      <c r="S385" s="24">
        <v>16</v>
      </c>
      <c r="T385" s="21" t="s">
        <v>1070</v>
      </c>
    </row>
    <row r="386" spans="1:20" ht="22.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>SUM(O386:Q386)</f>
        <v>49</v>
      </c>
      <c r="S386" s="22">
        <v>2</v>
      </c>
      <c r="T386" s="20" t="s">
        <v>1230</v>
      </c>
    </row>
    <row r="387" spans="1:20" ht="22.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>SUM(O387:Q387)</f>
        <v>22</v>
      </c>
      <c r="S387" s="24">
        <v>2</v>
      </c>
      <c r="T387" s="21" t="s">
        <v>365</v>
      </c>
    </row>
    <row r="388" spans="1:20" ht="22.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>SUM(O388:Q388)</f>
        <v>91</v>
      </c>
      <c r="S388" s="22">
        <v>8</v>
      </c>
      <c r="T388" s="20" t="s">
        <v>365</v>
      </c>
    </row>
    <row r="389" spans="1:20" ht="22.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>SUM(O389:Q389)</f>
        <v>5</v>
      </c>
      <c r="S389" s="24">
        <v>16</v>
      </c>
      <c r="T389" s="32" t="s">
        <v>324</v>
      </c>
    </row>
    <row r="390" spans="1:20" ht="22.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>SUM(O390:Q390)</f>
        <v>181</v>
      </c>
      <c r="S390" s="22">
        <v>1</v>
      </c>
      <c r="T390" s="20" t="s">
        <v>61</v>
      </c>
    </row>
    <row r="391" spans="1:20" ht="22.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>SUM(O391:Q391)</f>
        <v>7</v>
      </c>
      <c r="S391" s="24">
        <v>16</v>
      </c>
      <c r="T391" s="32" t="s">
        <v>324</v>
      </c>
    </row>
    <row r="392" spans="1:20" ht="22.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>SUM(O392:Q392)</f>
        <v>9</v>
      </c>
      <c r="S392" s="22">
        <v>16</v>
      </c>
      <c r="T392" s="20" t="s">
        <v>1246</v>
      </c>
    </row>
    <row r="393" spans="1:20" ht="22.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2.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>SUM(O394:Q394)</f>
        <v>31</v>
      </c>
      <c r="S394" s="22">
        <v>16</v>
      </c>
      <c r="T394" s="33" t="s">
        <v>324</v>
      </c>
    </row>
    <row r="395" spans="1:20" ht="22.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>SUM(O395:Q395)</f>
        <v>19</v>
      </c>
      <c r="S395" s="24">
        <v>2</v>
      </c>
      <c r="T395" s="21" t="s">
        <v>741</v>
      </c>
    </row>
    <row r="396" spans="1:20" ht="22.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>SUM(O396:Q396)</f>
        <v>45</v>
      </c>
      <c r="S396" s="22">
        <v>8</v>
      </c>
      <c r="T396" s="20" t="s">
        <v>1125</v>
      </c>
    </row>
    <row r="397" spans="1:20" ht="22.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>SUM(O397:Q397)</f>
        <v>0</v>
      </c>
      <c r="S397" s="24">
        <v>2</v>
      </c>
      <c r="T397" s="21" t="s">
        <v>365</v>
      </c>
    </row>
    <row r="398" spans="1:20" ht="22.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>SUM(O398:Q398)</f>
        <v>85</v>
      </c>
      <c r="S398" s="22">
        <v>8</v>
      </c>
      <c r="T398" s="20" t="s">
        <v>365</v>
      </c>
    </row>
    <row r="399" spans="1:20" ht="22.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>SUM(O399:Q399)</f>
        <v>7</v>
      </c>
      <c r="S399" s="24">
        <v>1</v>
      </c>
      <c r="T399" s="21" t="s">
        <v>1265</v>
      </c>
    </row>
    <row r="400" spans="1:20" ht="22.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>SUM(O400:Q400)</f>
        <v>30</v>
      </c>
      <c r="S400" s="22">
        <v>4</v>
      </c>
      <c r="T400" s="20"/>
    </row>
    <row r="401" spans="1:20" ht="22.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>SUM(O401:Q401)</f>
        <v>62</v>
      </c>
      <c r="S401" s="24">
        <v>1.5</v>
      </c>
      <c r="T401" s="21" t="s">
        <v>1271</v>
      </c>
    </row>
    <row r="402" spans="1:20" ht="22.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>SUM(O402:Q402)</f>
        <v>68</v>
      </c>
      <c r="S402" s="22">
        <v>4</v>
      </c>
      <c r="T402" s="20" t="s">
        <v>1275</v>
      </c>
    </row>
    <row r="403" spans="1:20" ht="22.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>SUM(O403:Q403)</f>
        <v>2</v>
      </c>
      <c r="S403" s="24">
        <v>48</v>
      </c>
      <c r="T403" s="21" t="s">
        <v>167</v>
      </c>
    </row>
    <row r="404" spans="1:20" ht="22.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>SUM(O404:Q404)</f>
        <v>36</v>
      </c>
      <c r="S404" s="22">
        <v>16</v>
      </c>
      <c r="T404" s="20" t="s">
        <v>1282</v>
      </c>
    </row>
    <row r="405" spans="1:20" ht="22.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>SUM(O405:Q405)</f>
        <v>14</v>
      </c>
      <c r="S405" s="24">
        <v>16</v>
      </c>
      <c r="T405" s="21" t="s">
        <v>1113</v>
      </c>
    </row>
    <row r="406" spans="1:20" ht="22.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>SUM(O406:Q406)</f>
        <v>44</v>
      </c>
      <c r="S406" s="22">
        <v>5</v>
      </c>
      <c r="T406" s="54" t="s">
        <v>1289</v>
      </c>
    </row>
    <row r="407" spans="1:20" ht="22.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>SUM(O407:Q407)</f>
        <v>26</v>
      </c>
      <c r="S407" s="24">
        <v>20</v>
      </c>
      <c r="T407" s="21" t="s">
        <v>61</v>
      </c>
    </row>
    <row r="408" spans="1:20" ht="22.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>SUM(O408:Q408)</f>
        <v>23</v>
      </c>
      <c r="S408" s="22">
        <v>16</v>
      </c>
      <c r="T408" s="20" t="s">
        <v>1296</v>
      </c>
    </row>
    <row r="409" spans="1:20" ht="22.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>SUM(O409:Q409)</f>
        <v>20</v>
      </c>
      <c r="S409" s="24">
        <v>2</v>
      </c>
      <c r="T409" s="21" t="s">
        <v>1300</v>
      </c>
    </row>
    <row r="410" spans="1:20" ht="22.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>SUM(O410:Q410)</f>
        <v>0</v>
      </c>
      <c r="S410" s="22"/>
      <c r="T410" s="20"/>
    </row>
    <row r="411" spans="1:20" ht="22.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>SUM(O411:Q411)</f>
        <v>16</v>
      </c>
      <c r="S411" s="24">
        <v>16</v>
      </c>
      <c r="T411" s="21" t="s">
        <v>1306</v>
      </c>
    </row>
    <row r="412" spans="1:20" ht="22.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>SUM(O412:Q412)</f>
        <v>44</v>
      </c>
      <c r="S412" s="22">
        <v>20</v>
      </c>
      <c r="T412" s="20" t="s">
        <v>324</v>
      </c>
    </row>
    <row r="413" spans="1:20" ht="22.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>SUM(O413:Q413)</f>
        <v>105</v>
      </c>
      <c r="S413" s="24">
        <v>4</v>
      </c>
      <c r="T413" s="21" t="s">
        <v>1313</v>
      </c>
    </row>
    <row r="414" spans="1:20" ht="22.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>SUM(O414:Q414)</f>
        <v>50</v>
      </c>
      <c r="S414" s="22">
        <v>4</v>
      </c>
      <c r="T414" s="20" t="s">
        <v>1318</v>
      </c>
    </row>
    <row r="415" spans="1:20" ht="22.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2407</v>
      </c>
      <c r="F415" s="31" t="s">
        <v>22</v>
      </c>
      <c r="G415" s="21" t="s">
        <v>34</v>
      </c>
      <c r="H415" s="38" t="s">
        <v>1320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>SUM(O415:Q415)</f>
        <v>25</v>
      </c>
      <c r="S415" s="24">
        <v>20</v>
      </c>
      <c r="T415" s="21" t="s">
        <v>931</v>
      </c>
    </row>
    <row r="416" spans="1:20" ht="22.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1321</v>
      </c>
      <c r="E416" s="27" t="s">
        <v>1322</v>
      </c>
      <c r="F416" s="29" t="s">
        <v>22</v>
      </c>
      <c r="G416" s="20" t="s">
        <v>157</v>
      </c>
      <c r="H416" s="36" t="s">
        <v>1323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>SUM(O416:Q416)</f>
        <v>9</v>
      </c>
      <c r="S416" s="22">
        <v>20</v>
      </c>
      <c r="T416" s="20" t="s">
        <v>1306</v>
      </c>
    </row>
    <row r="417" spans="1:20" ht="22.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1324</v>
      </c>
      <c r="E417" s="30" t="s">
        <v>1325</v>
      </c>
      <c r="F417" s="31" t="s">
        <v>66</v>
      </c>
      <c r="G417" s="21" t="s">
        <v>59</v>
      </c>
      <c r="H417" s="38" t="s">
        <v>1320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>SUM(O417:Q417)</f>
        <v>25</v>
      </c>
      <c r="S417" s="24">
        <v>16</v>
      </c>
      <c r="T417" s="21" t="s">
        <v>1326</v>
      </c>
    </row>
    <row r="418" spans="1:20" ht="22.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1327</v>
      </c>
      <c r="E418" s="27" t="s">
        <v>1328</v>
      </c>
      <c r="F418" s="29" t="s">
        <v>22</v>
      </c>
      <c r="G418" s="20" t="s">
        <v>23</v>
      </c>
      <c r="H418" s="36" t="s">
        <v>1329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>SUM(O418:Q418)</f>
        <v>13</v>
      </c>
      <c r="S418" s="22">
        <v>19</v>
      </c>
      <c r="T418" s="20" t="s">
        <v>1330</v>
      </c>
    </row>
    <row r="419" spans="1:20" ht="22.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1331</v>
      </c>
      <c r="F419" s="31" t="s">
        <v>22</v>
      </c>
      <c r="G419" s="21" t="s">
        <v>1316</v>
      </c>
      <c r="H419" s="38" t="s">
        <v>1332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>SUM(O419:Q419)</f>
        <v>49</v>
      </c>
      <c r="S419" s="24">
        <v>16</v>
      </c>
      <c r="T419" s="21" t="s">
        <v>1333</v>
      </c>
    </row>
    <row r="420" spans="1:20" ht="22.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1334</v>
      </c>
      <c r="E420" s="27" t="s">
        <v>1335</v>
      </c>
      <c r="F420" s="29" t="s">
        <v>22</v>
      </c>
      <c r="G420" s="20" t="s">
        <v>157</v>
      </c>
      <c r="H420" s="36" t="s">
        <v>1336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>SUM(O420:Q420)</f>
        <v>128</v>
      </c>
      <c r="S420" s="22">
        <v>4</v>
      </c>
      <c r="T420" s="20" t="s">
        <v>1337</v>
      </c>
    </row>
    <row r="421" spans="1:20" ht="22.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1338</v>
      </c>
      <c r="F421" s="31" t="s">
        <v>51</v>
      </c>
      <c r="G421" s="21" t="s">
        <v>59</v>
      </c>
      <c r="H421" s="38" t="s">
        <v>1339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>SUM(O421:Q421)</f>
        <v>21</v>
      </c>
      <c r="S421" s="24">
        <v>20</v>
      </c>
      <c r="T421" s="21" t="s">
        <v>61</v>
      </c>
    </row>
    <row r="422" spans="1:20" ht="22.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1340</v>
      </c>
      <c r="E422" s="27" t="s">
        <v>1341</v>
      </c>
      <c r="F422" s="29" t="s">
        <v>22</v>
      </c>
      <c r="G422" s="20" t="s">
        <v>34</v>
      </c>
      <c r="H422" s="36" t="s">
        <v>1342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>SUM(O422:Q422)</f>
        <v>8</v>
      </c>
      <c r="S422" s="22">
        <v>16</v>
      </c>
      <c r="T422" s="20" t="s">
        <v>1343</v>
      </c>
    </row>
    <row r="423" spans="1:20" ht="22.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1334</v>
      </c>
      <c r="E423" s="30" t="s">
        <v>1344</v>
      </c>
      <c r="F423" s="31" t="s">
        <v>22</v>
      </c>
      <c r="G423" s="21" t="s">
        <v>157</v>
      </c>
      <c r="H423" s="38" t="s">
        <v>1345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>SUM(O423:Q423)</f>
        <v>93</v>
      </c>
      <c r="S423" s="24">
        <v>4</v>
      </c>
      <c r="T423" s="21" t="s">
        <v>1337</v>
      </c>
    </row>
    <row r="424" spans="1:20" ht="22.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1346</v>
      </c>
      <c r="E424" s="27" t="s">
        <v>1347</v>
      </c>
      <c r="F424" s="29" t="s">
        <v>22</v>
      </c>
      <c r="G424" s="20" t="s">
        <v>157</v>
      </c>
      <c r="H424" s="36" t="s">
        <v>1348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>SUM(O424:Q424)</f>
        <v>6</v>
      </c>
      <c r="S424" s="22">
        <v>24</v>
      </c>
      <c r="T424" s="20" t="s">
        <v>963</v>
      </c>
    </row>
    <row r="425" spans="1:20" ht="22.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1349</v>
      </c>
      <c r="F425" s="31" t="s">
        <v>51</v>
      </c>
      <c r="G425" s="21" t="s">
        <v>59</v>
      </c>
      <c r="H425" s="38" t="s">
        <v>1350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>SUM(O425:Q425)</f>
        <v>80</v>
      </c>
      <c r="S425" s="24">
        <v>4</v>
      </c>
      <c r="T425" s="21" t="s">
        <v>365</v>
      </c>
    </row>
    <row r="426" spans="1:20" ht="22.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1351</v>
      </c>
      <c r="E426" s="27" t="s">
        <v>1352</v>
      </c>
      <c r="F426" s="29" t="s">
        <v>22</v>
      </c>
      <c r="G426" s="20" t="s">
        <v>353</v>
      </c>
      <c r="H426" s="36" t="s">
        <v>1353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>SUM(O426:Q426)</f>
        <v>8</v>
      </c>
      <c r="S426" s="22">
        <v>4</v>
      </c>
      <c r="T426" s="20" t="s">
        <v>1354</v>
      </c>
    </row>
    <row r="427" spans="1:20" ht="22.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1355</v>
      </c>
      <c r="E427" s="30" t="s">
        <v>1356</v>
      </c>
      <c r="F427" s="31" t="s">
        <v>22</v>
      </c>
      <c r="G427" s="21" t="s">
        <v>34</v>
      </c>
      <c r="H427" s="38" t="s">
        <v>1357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>SUM(O427:Q427)</f>
        <v>10</v>
      </c>
      <c r="S427" s="24">
        <v>16</v>
      </c>
      <c r="T427" s="21" t="s">
        <v>1358</v>
      </c>
    </row>
    <row r="428" spans="1:20" ht="22.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1359</v>
      </c>
      <c r="E428" s="27" t="s">
        <v>1360</v>
      </c>
      <c r="F428" s="29" t="s">
        <v>66</v>
      </c>
      <c r="G428" s="20" t="s">
        <v>59</v>
      </c>
      <c r="H428" s="36" t="s">
        <v>1361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>SUM(O428:Q428)</f>
        <v>80</v>
      </c>
      <c r="S428" s="22">
        <v>4</v>
      </c>
      <c r="T428" s="20" t="s">
        <v>1046</v>
      </c>
    </row>
    <row r="429" spans="1:20" ht="22.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1359</v>
      </c>
      <c r="E429" s="30" t="s">
        <v>1362</v>
      </c>
      <c r="F429" s="31" t="s">
        <v>66</v>
      </c>
      <c r="G429" s="21" t="s">
        <v>59</v>
      </c>
      <c r="H429" s="38" t="s">
        <v>1361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>SUM(O429:Q429)</f>
        <v>80</v>
      </c>
      <c r="S429" s="24">
        <v>4</v>
      </c>
      <c r="T429" s="21" t="s">
        <v>1046</v>
      </c>
    </row>
    <row r="430" spans="1:20" ht="22.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1359</v>
      </c>
      <c r="E430" s="27" t="s">
        <v>1363</v>
      </c>
      <c r="F430" s="29" t="s">
        <v>66</v>
      </c>
      <c r="G430" s="20" t="s">
        <v>59</v>
      </c>
      <c r="H430" s="36" t="s">
        <v>1361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>SUM(O430:Q430)</f>
        <v>80</v>
      </c>
      <c r="S430" s="22">
        <v>4</v>
      </c>
      <c r="T430" s="20" t="s">
        <v>1046</v>
      </c>
    </row>
    <row r="431" spans="1:20" ht="22.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1359</v>
      </c>
      <c r="E431" s="30" t="s">
        <v>1364</v>
      </c>
      <c r="F431" s="31" t="s">
        <v>66</v>
      </c>
      <c r="G431" s="21" t="s">
        <v>59</v>
      </c>
      <c r="H431" s="38" t="s">
        <v>1361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>SUM(O431:Q431)</f>
        <v>80</v>
      </c>
      <c r="S431" s="24">
        <v>4</v>
      </c>
      <c r="T431" s="21" t="s">
        <v>1046</v>
      </c>
    </row>
    <row r="432" spans="1:20" ht="22.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1359</v>
      </c>
      <c r="E432" s="27" t="s">
        <v>1365</v>
      </c>
      <c r="F432" s="29" t="s">
        <v>66</v>
      </c>
      <c r="G432" s="20" t="s">
        <v>59</v>
      </c>
      <c r="H432" s="36" t="s">
        <v>1361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>SUM(O432:Q432)</f>
        <v>80</v>
      </c>
      <c r="S432" s="22">
        <v>4</v>
      </c>
      <c r="T432" s="20" t="s">
        <v>1046</v>
      </c>
    </row>
    <row r="433" spans="1:20" ht="22.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1351</v>
      </c>
      <c r="E433" s="30" t="s">
        <v>1366</v>
      </c>
      <c r="F433" s="31" t="s">
        <v>22</v>
      </c>
      <c r="G433" s="21" t="s">
        <v>353</v>
      </c>
      <c r="H433" s="38" t="s">
        <v>1367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>SUM(O433:Q433)</f>
        <v>33</v>
      </c>
      <c r="S433" s="24">
        <v>4</v>
      </c>
      <c r="T433" s="21" t="s">
        <v>1354</v>
      </c>
    </row>
    <row r="434" spans="1:20" ht="22.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1368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>SUM(O434:Q434)</f>
        <v>0</v>
      </c>
      <c r="S434" s="22"/>
      <c r="T434" s="20"/>
    </row>
    <row r="435" spans="1:20" ht="22.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1369</v>
      </c>
      <c r="F435" s="31" t="s">
        <v>66</v>
      </c>
      <c r="G435" s="21" t="s">
        <v>59</v>
      </c>
      <c r="H435" s="38" t="s">
        <v>1370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>SUM(O435:Q435)</f>
        <v>62</v>
      </c>
      <c r="S435" s="24">
        <v>20</v>
      </c>
      <c r="T435" s="21" t="s">
        <v>324</v>
      </c>
    </row>
    <row r="436" spans="1:20" ht="22.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1371</v>
      </c>
      <c r="E436" s="27" t="s">
        <v>1372</v>
      </c>
      <c r="F436" s="29" t="s">
        <v>22</v>
      </c>
      <c r="G436" s="20" t="s">
        <v>34</v>
      </c>
      <c r="H436" s="36" t="s">
        <v>1373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>SUM(O436:Q436)</f>
        <v>42</v>
      </c>
      <c r="S436" s="22">
        <v>4</v>
      </c>
      <c r="T436" s="20" t="s">
        <v>1374</v>
      </c>
    </row>
    <row r="437" spans="1:20" ht="22.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1371</v>
      </c>
      <c r="E437" s="30" t="s">
        <v>1375</v>
      </c>
      <c r="F437" s="31" t="s">
        <v>22</v>
      </c>
      <c r="G437" s="21" t="s">
        <v>34</v>
      </c>
      <c r="H437" s="38" t="s">
        <v>1376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>SUM(O437:Q437)</f>
        <v>6</v>
      </c>
      <c r="S437" s="24">
        <v>4</v>
      </c>
      <c r="T437" s="21" t="s">
        <v>1374</v>
      </c>
    </row>
    <row r="438" spans="1:20" ht="22.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1371</v>
      </c>
      <c r="E438" s="27" t="s">
        <v>1377</v>
      </c>
      <c r="F438" s="29" t="s">
        <v>22</v>
      </c>
      <c r="G438" s="20" t="s">
        <v>34</v>
      </c>
      <c r="H438" s="36" t="s">
        <v>1378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>SUM(O438:Q438)</f>
        <v>49</v>
      </c>
      <c r="S438" s="22">
        <v>4</v>
      </c>
      <c r="T438" s="20" t="s">
        <v>1374</v>
      </c>
    </row>
    <row r="439" spans="1:20" ht="22.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1371</v>
      </c>
      <c r="E439" s="30" t="s">
        <v>1377</v>
      </c>
      <c r="F439" s="31" t="s">
        <v>22</v>
      </c>
      <c r="G439" s="21" t="s">
        <v>34</v>
      </c>
      <c r="H439" s="38" t="s">
        <v>1379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>SUM(O439:Q439)</f>
        <v>20</v>
      </c>
      <c r="S439" s="24">
        <v>4</v>
      </c>
      <c r="T439" s="21" t="s">
        <v>1374</v>
      </c>
    </row>
    <row r="440" spans="1:20" ht="22.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1380</v>
      </c>
      <c r="E440" s="27" t="s">
        <v>1381</v>
      </c>
      <c r="F440" s="29" t="s">
        <v>66</v>
      </c>
      <c r="G440" s="20" t="s">
        <v>59</v>
      </c>
      <c r="H440" s="36" t="s">
        <v>1382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>SUM(O440:Q440)</f>
        <v>28</v>
      </c>
      <c r="S440" s="22">
        <v>12</v>
      </c>
      <c r="T440" s="20" t="s">
        <v>425</v>
      </c>
    </row>
    <row r="441" spans="1:20" ht="22.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1383</v>
      </c>
      <c r="E441" s="30" t="s">
        <v>1384</v>
      </c>
      <c r="F441" s="31" t="s">
        <v>22</v>
      </c>
      <c r="G441" s="21" t="s">
        <v>157</v>
      </c>
      <c r="H441" s="38" t="s">
        <v>1385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>SUM(O441:Q441)</f>
        <v>17</v>
      </c>
      <c r="S441" s="24">
        <v>20</v>
      </c>
      <c r="T441" s="21" t="s">
        <v>611</v>
      </c>
    </row>
    <row r="442" spans="1:20" ht="22.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1386</v>
      </c>
      <c r="E442" s="27" t="s">
        <v>1387</v>
      </c>
      <c r="F442" s="29" t="s">
        <v>22</v>
      </c>
      <c r="G442" s="20" t="s">
        <v>30</v>
      </c>
      <c r="H442" s="36" t="s">
        <v>1388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>SUM(O442:Q442)</f>
        <v>17</v>
      </c>
      <c r="S442" s="22">
        <v>20</v>
      </c>
      <c r="T442" s="20" t="s">
        <v>1389</v>
      </c>
    </row>
    <row r="443" spans="1:20" ht="22.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1390</v>
      </c>
      <c r="E443" s="30" t="s">
        <v>1391</v>
      </c>
      <c r="F443" s="31" t="s">
        <v>51</v>
      </c>
      <c r="G443" s="21" t="s">
        <v>59</v>
      </c>
      <c r="H443" s="38" t="s">
        <v>1392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>SUM(O443:Q443)</f>
        <v>24</v>
      </c>
      <c r="S443" s="24">
        <v>20</v>
      </c>
      <c r="T443" s="21" t="s">
        <v>729</v>
      </c>
    </row>
    <row r="444" spans="1:20" ht="22.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1393</v>
      </c>
      <c r="E444" s="27" t="s">
        <v>1394</v>
      </c>
      <c r="F444" s="29" t="s">
        <v>22</v>
      </c>
      <c r="G444" s="20" t="s">
        <v>157</v>
      </c>
      <c r="H444" s="36" t="s">
        <v>1395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>SUM(O444:Q444)</f>
        <v>16</v>
      </c>
      <c r="S444" s="22">
        <v>8</v>
      </c>
      <c r="T444" s="20" t="s">
        <v>812</v>
      </c>
    </row>
    <row r="445" spans="1:20" ht="22.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1396</v>
      </c>
      <c r="E445" s="30" t="s">
        <v>1397</v>
      </c>
      <c r="F445" s="31" t="s">
        <v>66</v>
      </c>
      <c r="G445" s="21" t="s">
        <v>59</v>
      </c>
      <c r="H445" s="38" t="s">
        <v>1398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>SUM(O445:Q445)</f>
        <v>155</v>
      </c>
      <c r="S445" s="24">
        <v>8</v>
      </c>
      <c r="T445" s="21" t="s">
        <v>365</v>
      </c>
    </row>
    <row r="446" spans="1:20" ht="22.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1351</v>
      </c>
      <c r="E446" s="27" t="s">
        <v>1399</v>
      </c>
      <c r="F446" s="29" t="s">
        <v>22</v>
      </c>
      <c r="G446" s="20" t="s">
        <v>353</v>
      </c>
      <c r="H446" s="36" t="s">
        <v>1400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>SUM(O446:Q446)</f>
        <v>8</v>
      </c>
      <c r="S446" s="22">
        <v>4</v>
      </c>
      <c r="T446" s="20" t="s">
        <v>1354</v>
      </c>
    </row>
    <row r="447" spans="1:20" ht="22.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1401</v>
      </c>
      <c r="E447" s="30" t="s">
        <v>1402</v>
      </c>
      <c r="F447" s="31" t="s">
        <v>51</v>
      </c>
      <c r="G447" s="21" t="s">
        <v>23</v>
      </c>
      <c r="H447" s="38" t="s">
        <v>1403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>SUM(O447:Q447)</f>
        <v>10</v>
      </c>
      <c r="S447" s="24">
        <v>16</v>
      </c>
      <c r="T447" s="21" t="s">
        <v>1326</v>
      </c>
    </row>
    <row r="448" spans="1:20" ht="22.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1355</v>
      </c>
      <c r="E448" s="27" t="s">
        <v>1404</v>
      </c>
      <c r="F448" s="29" t="s">
        <v>22</v>
      </c>
      <c r="G448" s="20" t="s">
        <v>34</v>
      </c>
      <c r="H448" s="36" t="s">
        <v>1403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>SUM(O448:Q448)</f>
        <v>15</v>
      </c>
      <c r="S448" s="22">
        <v>16</v>
      </c>
      <c r="T448" s="20" t="s">
        <v>1358</v>
      </c>
    </row>
    <row r="449" spans="1:20" ht="22.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1405</v>
      </c>
      <c r="E449" s="30" t="s">
        <v>1406</v>
      </c>
      <c r="F449" s="31" t="s">
        <v>22</v>
      </c>
      <c r="G449" s="21" t="s">
        <v>283</v>
      </c>
      <c r="H449" s="38" t="s">
        <v>1407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>SUM(O449:Q449)</f>
        <v>51</v>
      </c>
      <c r="S449" s="24">
        <v>16</v>
      </c>
      <c r="T449" s="21" t="s">
        <v>365</v>
      </c>
    </row>
    <row r="450" spans="1:20" ht="22.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1327</v>
      </c>
      <c r="E450" s="27" t="s">
        <v>1408</v>
      </c>
      <c r="F450" s="29" t="s">
        <v>22</v>
      </c>
      <c r="G450" s="20" t="s">
        <v>23</v>
      </c>
      <c r="H450" s="36" t="s">
        <v>1409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>SUM(O450:Q450)</f>
        <v>52</v>
      </c>
      <c r="S450" s="22">
        <v>16</v>
      </c>
      <c r="T450" s="20" t="s">
        <v>1330</v>
      </c>
    </row>
    <row r="451" spans="1:20" ht="22.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1351</v>
      </c>
      <c r="E451" s="30" t="s">
        <v>1410</v>
      </c>
      <c r="F451" s="31" t="s">
        <v>22</v>
      </c>
      <c r="G451" s="21" t="s">
        <v>353</v>
      </c>
      <c r="H451" s="38" t="s">
        <v>1411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>SUM(O451:Q451)</f>
        <v>13</v>
      </c>
      <c r="S451" s="24">
        <v>4</v>
      </c>
      <c r="T451" s="21" t="s">
        <v>1354</v>
      </c>
    </row>
    <row r="452" spans="1:20" ht="22.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1412</v>
      </c>
      <c r="E452" s="27" t="s">
        <v>1413</v>
      </c>
      <c r="F452" s="29" t="s">
        <v>22</v>
      </c>
      <c r="G452" s="20" t="s">
        <v>353</v>
      </c>
      <c r="H452" s="36" t="s">
        <v>1414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>SUM(O452:Q452)</f>
        <v>90</v>
      </c>
      <c r="S452" s="22">
        <v>3</v>
      </c>
      <c r="T452" s="20" t="s">
        <v>1306</v>
      </c>
    </row>
    <row r="453" spans="1:20" ht="22.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1327</v>
      </c>
      <c r="E453" s="30" t="s">
        <v>1415</v>
      </c>
      <c r="F453" s="31" t="s">
        <v>22</v>
      </c>
      <c r="G453" s="21" t="s">
        <v>23</v>
      </c>
      <c r="H453" s="38" t="s">
        <v>1416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>SUM(O453:Q453)</f>
        <v>11</v>
      </c>
      <c r="S453" s="24">
        <v>2</v>
      </c>
      <c r="T453" s="21" t="s">
        <v>167</v>
      </c>
    </row>
    <row r="454" spans="1:20" ht="22.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1405</v>
      </c>
      <c r="E454" s="27" t="s">
        <v>1417</v>
      </c>
      <c r="F454" s="29" t="s">
        <v>22</v>
      </c>
      <c r="G454" s="20" t="s">
        <v>283</v>
      </c>
      <c r="H454" s="36" t="s">
        <v>1418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>SUM(O454:Q454)</f>
        <v>50</v>
      </c>
      <c r="S454" s="22">
        <v>2</v>
      </c>
      <c r="T454" s="264" t="s">
        <v>1419</v>
      </c>
    </row>
    <row r="455" spans="1:20" ht="22.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1351</v>
      </c>
      <c r="E455" s="30" t="s">
        <v>1420</v>
      </c>
      <c r="F455" s="31" t="s">
        <v>22</v>
      </c>
      <c r="G455" s="21" t="s">
        <v>353</v>
      </c>
      <c r="H455" s="38" t="s">
        <v>1418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>SUM(O455:Q455)</f>
        <v>8</v>
      </c>
      <c r="S455" s="24">
        <v>4</v>
      </c>
      <c r="T455" s="21" t="s">
        <v>1354</v>
      </c>
    </row>
    <row r="456" spans="1:20" ht="22.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1421</v>
      </c>
      <c r="F456" s="29" t="s">
        <v>22</v>
      </c>
      <c r="G456" s="20" t="s">
        <v>157</v>
      </c>
      <c r="H456" s="57" t="s">
        <v>1418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>SUM(O456:Q456)</f>
        <v>0</v>
      </c>
      <c r="S456" s="22"/>
      <c r="T456" s="20"/>
    </row>
    <row r="457" spans="1:20" ht="22.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1422</v>
      </c>
      <c r="E457" s="30" t="s">
        <v>1423</v>
      </c>
      <c r="F457" s="31" t="s">
        <v>22</v>
      </c>
      <c r="G457" s="21" t="s">
        <v>34</v>
      </c>
      <c r="H457" s="38" t="s">
        <v>1424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>SUM(O457:Q457)</f>
        <v>23</v>
      </c>
      <c r="S457" s="24">
        <v>20</v>
      </c>
      <c r="T457" s="21" t="s">
        <v>1358</v>
      </c>
    </row>
    <row r="458" spans="1:20" ht="22.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1425</v>
      </c>
      <c r="E458" s="27" t="s">
        <v>1426</v>
      </c>
      <c r="F458" s="29" t="s">
        <v>22</v>
      </c>
      <c r="G458" s="20" t="s">
        <v>283</v>
      </c>
      <c r="H458" s="36" t="s">
        <v>1427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>SUM(O458:Q458)</f>
        <v>23</v>
      </c>
      <c r="S458" s="22">
        <v>76</v>
      </c>
      <c r="T458" s="20" t="s">
        <v>365</v>
      </c>
    </row>
    <row r="459" spans="1:20" ht="22.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1428</v>
      </c>
      <c r="E459" s="30" t="s">
        <v>1429</v>
      </c>
      <c r="F459" s="31" t="s">
        <v>51</v>
      </c>
      <c r="G459" s="21" t="s">
        <v>59</v>
      </c>
      <c r="H459" s="38" t="s">
        <v>1430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>SUM(O459:Q459)</f>
        <v>89</v>
      </c>
      <c r="S459" s="24">
        <v>12</v>
      </c>
      <c r="T459" s="265" t="s">
        <v>1431</v>
      </c>
    </row>
    <row r="460" spans="1:20" ht="22.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1432</v>
      </c>
      <c r="E460" s="27" t="s">
        <v>1433</v>
      </c>
      <c r="F460" s="29" t="s">
        <v>22</v>
      </c>
      <c r="G460" s="20" t="s">
        <v>56</v>
      </c>
      <c r="H460" s="36" t="s">
        <v>1434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>SUM(O460:Q460)</f>
        <v>22</v>
      </c>
      <c r="S460" s="22">
        <v>19</v>
      </c>
      <c r="T460" s="20" t="s">
        <v>573</v>
      </c>
    </row>
    <row r="461" spans="1:20" ht="22.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1351</v>
      </c>
      <c r="E461" s="30" t="s">
        <v>1435</v>
      </c>
      <c r="F461" s="31" t="s">
        <v>22</v>
      </c>
      <c r="G461" s="21" t="s">
        <v>353</v>
      </c>
      <c r="H461" s="263" t="s">
        <v>1436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>SUM(O461:Q461)</f>
        <v>11</v>
      </c>
      <c r="S461" s="24">
        <v>4</v>
      </c>
      <c r="T461" s="21" t="s">
        <v>1354</v>
      </c>
    </row>
    <row r="462" spans="1:20" ht="22.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1437</v>
      </c>
      <c r="E462" s="27" t="s">
        <v>1438</v>
      </c>
      <c r="F462" s="29" t="s">
        <v>22</v>
      </c>
      <c r="G462" s="20" t="s">
        <v>34</v>
      </c>
      <c r="H462" s="262" t="s">
        <v>1439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>SUM(O462:Q462)</f>
        <v>21</v>
      </c>
      <c r="S462" s="22">
        <v>12</v>
      </c>
      <c r="T462" s="20" t="s">
        <v>1440</v>
      </c>
    </row>
    <row r="463" spans="1:20" ht="22.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1441</v>
      </c>
      <c r="E463" s="30" t="s">
        <v>1442</v>
      </c>
      <c r="F463" s="31" t="s">
        <v>22</v>
      </c>
      <c r="G463" s="21" t="s">
        <v>23</v>
      </c>
      <c r="H463" s="38" t="s">
        <v>1443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>SUM(O463:Q463)</f>
        <v>51</v>
      </c>
      <c r="S463" s="24">
        <v>16</v>
      </c>
      <c r="T463" s="265" t="s">
        <v>425</v>
      </c>
    </row>
    <row r="464" spans="1:20" ht="22.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1351</v>
      </c>
      <c r="E464" s="27" t="s">
        <v>1444</v>
      </c>
      <c r="F464" s="29" t="s">
        <v>22</v>
      </c>
      <c r="G464" s="20" t="s">
        <v>353</v>
      </c>
      <c r="H464" s="36" t="s">
        <v>1445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>SUM(O464:Q464)</f>
        <v>7</v>
      </c>
      <c r="S464" s="22">
        <v>4</v>
      </c>
      <c r="T464" s="20" t="s">
        <v>1354</v>
      </c>
    </row>
    <row r="465" spans="1:20" ht="22.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1446</v>
      </c>
      <c r="E465" s="30" t="s">
        <v>1447</v>
      </c>
      <c r="F465" s="31" t="s">
        <v>22</v>
      </c>
      <c r="G465" s="21" t="s">
        <v>23</v>
      </c>
      <c r="H465" s="38" t="s">
        <v>1448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>SUM(O465:Q465)</f>
        <v>22</v>
      </c>
      <c r="S465" s="24">
        <v>12</v>
      </c>
      <c r="T465" s="21" t="s">
        <v>1449</v>
      </c>
    </row>
    <row r="466" spans="1:20" ht="22.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1450</v>
      </c>
      <c r="E466" s="27" t="s">
        <v>1451</v>
      </c>
      <c r="F466" s="29" t="s">
        <v>66</v>
      </c>
      <c r="G466" s="20" t="s">
        <v>56</v>
      </c>
      <c r="H466" s="36" t="s">
        <v>1452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>SUM(O466:Q466)</f>
        <v>213</v>
      </c>
      <c r="S466" s="22">
        <v>24</v>
      </c>
      <c r="T466" s="20" t="s">
        <v>365</v>
      </c>
    </row>
    <row r="467" spans="1:20" ht="22.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1450</v>
      </c>
      <c r="E467" s="30" t="s">
        <v>1453</v>
      </c>
      <c r="F467" s="85" t="s">
        <v>22</v>
      </c>
      <c r="G467" s="21" t="s">
        <v>56</v>
      </c>
      <c r="H467" s="38" t="s">
        <v>1454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>SUM(O467:Q467)</f>
        <v>92</v>
      </c>
      <c r="S467" s="24">
        <v>8</v>
      </c>
      <c r="T467" s="21" t="s">
        <v>365</v>
      </c>
    </row>
    <row r="468" spans="1:20" ht="22.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1455</v>
      </c>
      <c r="E468" s="27" t="s">
        <v>1456</v>
      </c>
      <c r="F468" s="29" t="s">
        <v>22</v>
      </c>
      <c r="G468" s="20" t="s">
        <v>34</v>
      </c>
      <c r="H468" s="36" t="s">
        <v>1457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>SUM(O468:Q468)</f>
        <v>18</v>
      </c>
      <c r="S468" s="22">
        <v>4</v>
      </c>
      <c r="T468" s="20" t="s">
        <v>1458</v>
      </c>
    </row>
    <row r="469" spans="1:20" ht="22.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1351</v>
      </c>
      <c r="E469" s="30" t="s">
        <v>1459</v>
      </c>
      <c r="F469" s="31" t="s">
        <v>22</v>
      </c>
      <c r="G469" s="21" t="s">
        <v>353</v>
      </c>
      <c r="H469" s="38" t="s">
        <v>1460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>SUM(O469:Q469)</f>
        <v>8</v>
      </c>
      <c r="S469" s="24">
        <v>4</v>
      </c>
      <c r="T469" s="21" t="s">
        <v>1354</v>
      </c>
    </row>
    <row r="470" spans="1:20" ht="22.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1351</v>
      </c>
      <c r="E470" s="27" t="s">
        <v>1461</v>
      </c>
      <c r="F470" s="29" t="s">
        <v>22</v>
      </c>
      <c r="G470" s="20" t="s">
        <v>353</v>
      </c>
      <c r="H470" s="36" t="s">
        <v>1462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>SUM(O470:Q470)</f>
        <v>8</v>
      </c>
      <c r="S470" s="22">
        <v>4</v>
      </c>
      <c r="T470" s="20" t="s">
        <v>1354</v>
      </c>
    </row>
    <row r="471" spans="1:20" ht="22.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1463</v>
      </c>
      <c r="E471" s="30" t="s">
        <v>1464</v>
      </c>
      <c r="F471" s="31" t="s">
        <v>51</v>
      </c>
      <c r="G471" s="21" t="s">
        <v>59</v>
      </c>
      <c r="H471" s="38" t="s">
        <v>1465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>SUM(O471:Q471)</f>
        <v>384</v>
      </c>
      <c r="S471" s="24">
        <v>8</v>
      </c>
      <c r="T471" s="21" t="s">
        <v>365</v>
      </c>
    </row>
    <row r="472" spans="1:20" ht="22.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1466</v>
      </c>
      <c r="E472" s="27" t="s">
        <v>1467</v>
      </c>
      <c r="F472" s="29" t="s">
        <v>51</v>
      </c>
      <c r="G472" s="20" t="s">
        <v>59</v>
      </c>
      <c r="H472" s="36" t="s">
        <v>1468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>SUM(O472:Q472)</f>
        <v>24</v>
      </c>
      <c r="S472" s="22">
        <v>12</v>
      </c>
      <c r="T472" s="20" t="s">
        <v>1469</v>
      </c>
    </row>
    <row r="473" spans="1:20" ht="22.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1470</v>
      </c>
      <c r="E473" s="30" t="s">
        <v>1471</v>
      </c>
      <c r="F473" s="31" t="s">
        <v>51</v>
      </c>
      <c r="G473" s="21" t="s">
        <v>59</v>
      </c>
      <c r="H473" s="38" t="s">
        <v>1472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>SUM(O473:Q473)</f>
        <v>35</v>
      </c>
      <c r="S473" s="24">
        <v>20</v>
      </c>
      <c r="T473" s="21" t="s">
        <v>1473</v>
      </c>
    </row>
    <row r="474" spans="1:20" ht="22.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1474</v>
      </c>
      <c r="E474" s="27" t="s">
        <v>1475</v>
      </c>
      <c r="F474" s="29" t="s">
        <v>51</v>
      </c>
      <c r="G474" s="20" t="s">
        <v>59</v>
      </c>
      <c r="H474" s="36" t="s">
        <v>1476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>SUM(O474:Q474)</f>
        <v>53</v>
      </c>
      <c r="S474" s="22">
        <v>4</v>
      </c>
      <c r="T474" s="20" t="s">
        <v>1477</v>
      </c>
    </row>
    <row r="475" spans="1:20" ht="22.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1478</v>
      </c>
      <c r="E475" s="30" t="s">
        <v>1479</v>
      </c>
      <c r="F475" s="31" t="s">
        <v>22</v>
      </c>
      <c r="G475" s="21" t="s">
        <v>34</v>
      </c>
      <c r="H475" s="38" t="s">
        <v>1480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>SUM(O475:Q475)</f>
        <v>12</v>
      </c>
      <c r="S475" s="24">
        <v>8</v>
      </c>
      <c r="T475" s="21" t="s">
        <v>1481</v>
      </c>
    </row>
    <row r="476" spans="1:20" ht="22.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1482</v>
      </c>
      <c r="E476" s="27" t="s">
        <v>1483</v>
      </c>
      <c r="F476" s="29" t="s">
        <v>51</v>
      </c>
      <c r="G476" s="20" t="s">
        <v>59</v>
      </c>
      <c r="H476" s="36" t="s">
        <v>1484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>SUM(O476:Q476)</f>
        <v>60</v>
      </c>
      <c r="S476" s="22">
        <v>4</v>
      </c>
      <c r="T476" s="20" t="s">
        <v>1485</v>
      </c>
    </row>
    <row r="477" spans="1:20" ht="22.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1486</v>
      </c>
      <c r="E477" s="30" t="s">
        <v>1487</v>
      </c>
      <c r="F477" s="31" t="s">
        <v>51</v>
      </c>
      <c r="G477" s="21" t="s">
        <v>59</v>
      </c>
      <c r="H477" s="38" t="s">
        <v>1488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>SUM(O477:Q477)</f>
        <v>14</v>
      </c>
      <c r="S477" s="24">
        <v>4</v>
      </c>
      <c r="T477" s="21" t="s">
        <v>808</v>
      </c>
    </row>
    <row r="478" spans="1:20" ht="22.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1489</v>
      </c>
      <c r="E478" s="27" t="s">
        <v>1490</v>
      </c>
      <c r="F478" s="29" t="s">
        <v>22</v>
      </c>
      <c r="G478" s="20" t="s">
        <v>23</v>
      </c>
      <c r="H478" s="36" t="s">
        <v>1491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>SUM(O478:Q478)</f>
        <v>20</v>
      </c>
      <c r="S478" s="22">
        <v>12</v>
      </c>
      <c r="T478" s="20" t="s">
        <v>1449</v>
      </c>
    </row>
    <row r="479" spans="1:20" ht="22.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1492</v>
      </c>
      <c r="E479" s="30" t="s">
        <v>1493</v>
      </c>
      <c r="F479" s="31" t="s">
        <v>66</v>
      </c>
      <c r="G479" s="21" t="s">
        <v>59</v>
      </c>
      <c r="H479" s="38" t="s">
        <v>1494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>SUM(O479:Q479)</f>
        <v>56</v>
      </c>
      <c r="S479" s="24">
        <v>20</v>
      </c>
      <c r="T479" s="21" t="s">
        <v>1495</v>
      </c>
    </row>
    <row r="480" spans="1:20" ht="22.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1496</v>
      </c>
      <c r="E480" s="27" t="s">
        <v>1497</v>
      </c>
      <c r="F480" s="29" t="s">
        <v>51</v>
      </c>
      <c r="G480" s="20" t="s">
        <v>59</v>
      </c>
      <c r="H480" s="36" t="s">
        <v>1498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>SUM(O480:Q480)</f>
        <v>38</v>
      </c>
      <c r="S480" s="22">
        <v>12</v>
      </c>
      <c r="T480" s="20" t="s">
        <v>808</v>
      </c>
    </row>
    <row r="481" spans="1:20" ht="22.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1355</v>
      </c>
      <c r="E481" s="30" t="s">
        <v>1499</v>
      </c>
      <c r="F481" s="31" t="s">
        <v>22</v>
      </c>
      <c r="G481" s="21" t="s">
        <v>34</v>
      </c>
      <c r="H481" s="38" t="s">
        <v>1500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>SUM(O481:Q481)</f>
        <v>13</v>
      </c>
      <c r="S481" s="24">
        <v>16</v>
      </c>
      <c r="T481" s="21" t="s">
        <v>1501</v>
      </c>
    </row>
    <row r="482" spans="1:20" ht="22.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1502</v>
      </c>
      <c r="E482" s="27" t="s">
        <v>1503</v>
      </c>
      <c r="F482" s="29" t="s">
        <v>22</v>
      </c>
      <c r="G482" s="20" t="s">
        <v>34</v>
      </c>
      <c r="H482" s="36" t="s">
        <v>1504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>SUM(O482:Q482)</f>
        <v>24</v>
      </c>
      <c r="S482" s="22">
        <v>18</v>
      </c>
      <c r="T482" s="20" t="s">
        <v>1505</v>
      </c>
    </row>
    <row r="483" spans="1:20" ht="22.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1506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>SUM(O483:Q483)</f>
        <v>19</v>
      </c>
      <c r="S483" s="24">
        <v>16</v>
      </c>
      <c r="T483" s="21" t="s">
        <v>1306</v>
      </c>
    </row>
    <row r="484" spans="1:20" ht="22.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1486</v>
      </c>
      <c r="E484" s="27" t="s">
        <v>1507</v>
      </c>
      <c r="F484" s="29" t="s">
        <v>51</v>
      </c>
      <c r="G484" s="20" t="s">
        <v>59</v>
      </c>
      <c r="H484" s="36" t="s">
        <v>1508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>SUM(O484:Q484)</f>
        <v>10</v>
      </c>
      <c r="S484" s="22">
        <v>4</v>
      </c>
      <c r="T484" s="20" t="s">
        <v>808</v>
      </c>
    </row>
    <row r="485" spans="1:20" ht="22.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1351</v>
      </c>
      <c r="E485" s="30" t="s">
        <v>1509</v>
      </c>
      <c r="F485" s="31" t="s">
        <v>22</v>
      </c>
      <c r="G485" s="21" t="s">
        <v>353</v>
      </c>
      <c r="H485" s="38" t="s">
        <v>1510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>SUM(O485:Q485)</f>
        <v>5</v>
      </c>
      <c r="S485" s="24">
        <v>4</v>
      </c>
      <c r="T485" s="21" t="s">
        <v>1354</v>
      </c>
    </row>
    <row r="486" spans="1:20" ht="22.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1346</v>
      </c>
      <c r="E486" s="27" t="s">
        <v>1347</v>
      </c>
      <c r="F486" s="29" t="s">
        <v>22</v>
      </c>
      <c r="G486" s="20" t="s">
        <v>157</v>
      </c>
      <c r="H486" s="36" t="s">
        <v>1511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>SUM(O486:Q486)</f>
        <v>21</v>
      </c>
      <c r="S486" s="22">
        <v>24</v>
      </c>
      <c r="T486" s="20" t="s">
        <v>963</v>
      </c>
    </row>
    <row r="487" spans="1:20" ht="22.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1512</v>
      </c>
      <c r="E487" s="30" t="s">
        <v>1513</v>
      </c>
      <c r="F487" s="31" t="s">
        <v>22</v>
      </c>
      <c r="G487" s="21" t="s">
        <v>30</v>
      </c>
      <c r="H487" s="38" t="s">
        <v>1514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>SUM(O487:Q487)</f>
        <v>19</v>
      </c>
      <c r="S487" s="24">
        <v>20</v>
      </c>
      <c r="T487" s="21" t="s">
        <v>167</v>
      </c>
    </row>
    <row r="488" spans="1:20" ht="22.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1351</v>
      </c>
      <c r="E488" s="27" t="s">
        <v>1515</v>
      </c>
      <c r="F488" s="29" t="s">
        <v>22</v>
      </c>
      <c r="G488" s="20" t="s">
        <v>353</v>
      </c>
      <c r="H488" s="36" t="s">
        <v>1516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>SUM(O488:Q488)</f>
        <v>7</v>
      </c>
      <c r="S488" s="22">
        <v>4</v>
      </c>
      <c r="T488" s="20" t="s">
        <v>1354</v>
      </c>
    </row>
    <row r="489" spans="1:20" ht="22.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1517</v>
      </c>
      <c r="F489" s="31" t="s">
        <v>51</v>
      </c>
      <c r="G489" s="45" t="s">
        <v>59</v>
      </c>
      <c r="H489" s="59" t="s">
        <v>1518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>SUM(O489:Q489)</f>
        <v>19</v>
      </c>
      <c r="S489" s="64">
        <v>20</v>
      </c>
      <c r="T489" s="45" t="s">
        <v>61</v>
      </c>
    </row>
    <row r="490" spans="1:20" ht="22.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1492</v>
      </c>
      <c r="E490" s="65" t="s">
        <v>1519</v>
      </c>
      <c r="F490" s="66" t="s">
        <v>66</v>
      </c>
      <c r="G490" s="67" t="s">
        <v>59</v>
      </c>
      <c r="H490" s="68" t="s">
        <v>1518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>SUM(O490:Q490)</f>
        <v>61</v>
      </c>
      <c r="S490" s="70">
        <v>20</v>
      </c>
      <c r="T490" s="67" t="s">
        <v>1495</v>
      </c>
    </row>
    <row r="491" spans="1:20" ht="22.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1520</v>
      </c>
      <c r="E491" s="58" t="s">
        <v>1521</v>
      </c>
      <c r="F491" s="74" t="s">
        <v>22</v>
      </c>
      <c r="G491" s="45" t="s">
        <v>56</v>
      </c>
      <c r="H491" s="59" t="s">
        <v>1522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>SUM(O491:Q491)</f>
        <v>32</v>
      </c>
      <c r="S491" s="64">
        <v>8</v>
      </c>
      <c r="T491" s="45" t="s">
        <v>1523</v>
      </c>
    </row>
    <row r="492" spans="1:20" ht="22.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1524</v>
      </c>
      <c r="E492" s="65" t="s">
        <v>1525</v>
      </c>
      <c r="F492" s="66" t="s">
        <v>51</v>
      </c>
      <c r="G492" s="67" t="s">
        <v>59</v>
      </c>
      <c r="H492" s="68" t="s">
        <v>1526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>SUM(O492:Q492)</f>
        <v>43</v>
      </c>
      <c r="S492" s="70">
        <v>20</v>
      </c>
      <c r="T492" s="67" t="s">
        <v>1527</v>
      </c>
    </row>
    <row r="493" spans="1:20" ht="22.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1528</v>
      </c>
      <c r="E493" s="58" t="s">
        <v>1529</v>
      </c>
      <c r="F493" s="74" t="s">
        <v>22</v>
      </c>
      <c r="G493" s="45" t="s">
        <v>283</v>
      </c>
      <c r="H493" s="59" t="s">
        <v>1530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>SUM(O493:Q493)</f>
        <v>8</v>
      </c>
      <c r="S493" s="64">
        <v>8</v>
      </c>
      <c r="T493" s="45" t="s">
        <v>365</v>
      </c>
    </row>
    <row r="494" spans="1:20" ht="22.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1531</v>
      </c>
      <c r="E494" s="65" t="s">
        <v>1532</v>
      </c>
      <c r="F494" s="66" t="s">
        <v>22</v>
      </c>
      <c r="G494" s="67" t="s">
        <v>157</v>
      </c>
      <c r="H494" s="68" t="s">
        <v>1533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>SUM(O494:Q494)</f>
        <v>80</v>
      </c>
      <c r="S494" s="70">
        <v>2</v>
      </c>
      <c r="T494" s="67" t="s">
        <v>1534</v>
      </c>
    </row>
    <row r="495" spans="1:20" ht="22.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1535</v>
      </c>
      <c r="E495" s="58" t="s">
        <v>1536</v>
      </c>
      <c r="F495" s="74" t="s">
        <v>22</v>
      </c>
      <c r="G495" s="45" t="s">
        <v>157</v>
      </c>
      <c r="H495" s="59" t="s">
        <v>1537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>SUM(O495:Q495)</f>
        <v>0</v>
      </c>
      <c r="S495" s="24"/>
      <c r="T495" s="265"/>
    </row>
    <row r="496" spans="1:20" ht="22.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1538</v>
      </c>
      <c r="E496" s="65" t="s">
        <v>1539</v>
      </c>
      <c r="F496" s="66" t="s">
        <v>22</v>
      </c>
      <c r="G496" s="67" t="s">
        <v>157</v>
      </c>
      <c r="H496" s="68" t="s">
        <v>1540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>SUM(O496:Q496)</f>
        <v>170</v>
      </c>
      <c r="S496" s="70">
        <v>1</v>
      </c>
      <c r="T496" s="67" t="s">
        <v>1541</v>
      </c>
    </row>
    <row r="497" spans="1:20" ht="22.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1455</v>
      </c>
      <c r="E497" s="58" t="s">
        <v>1542</v>
      </c>
      <c r="F497" s="74" t="s">
        <v>51</v>
      </c>
      <c r="G497" s="45" t="s">
        <v>59</v>
      </c>
      <c r="H497" s="59" t="s">
        <v>1543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>SUM(O497:Q497)</f>
        <v>31</v>
      </c>
      <c r="S497" s="64">
        <v>4</v>
      </c>
      <c r="T497" s="45" t="s">
        <v>1458</v>
      </c>
    </row>
    <row r="498" spans="1:20" ht="22.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1355</v>
      </c>
      <c r="E498" s="65" t="s">
        <v>1544</v>
      </c>
      <c r="F498" s="66" t="s">
        <v>22</v>
      </c>
      <c r="G498" s="67" t="s">
        <v>34</v>
      </c>
      <c r="H498" s="68" t="s">
        <v>1545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>SUM(O498:Q498)</f>
        <v>11</v>
      </c>
      <c r="S498" s="70">
        <v>16</v>
      </c>
      <c r="T498" s="67" t="s">
        <v>1358</v>
      </c>
    </row>
    <row r="499" spans="1:20" ht="22.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1546</v>
      </c>
      <c r="E499" s="58" t="s">
        <v>1547</v>
      </c>
      <c r="F499" s="74" t="s">
        <v>66</v>
      </c>
      <c r="G499" s="45" t="s">
        <v>59</v>
      </c>
      <c r="H499" s="59" t="s">
        <v>1548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>SUM(O499:Q499)</f>
        <v>45</v>
      </c>
      <c r="S499" s="64">
        <v>1</v>
      </c>
      <c r="T499" s="45" t="s">
        <v>1549</v>
      </c>
    </row>
    <row r="500" spans="1:20" ht="22.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1550</v>
      </c>
      <c r="E500" s="65" t="s">
        <v>1551</v>
      </c>
      <c r="F500" s="66" t="s">
        <v>22</v>
      </c>
      <c r="G500" s="67" t="s">
        <v>157</v>
      </c>
      <c r="H500" s="68" t="s">
        <v>1552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>SUM(O500:Q500)</f>
        <v>40</v>
      </c>
      <c r="S500" s="70">
        <v>4</v>
      </c>
      <c r="T500" s="67" t="s">
        <v>1553</v>
      </c>
    </row>
    <row r="501" spans="1:20" ht="22.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1351</v>
      </c>
      <c r="E501" s="58" t="s">
        <v>1554</v>
      </c>
      <c r="F501" s="74" t="s">
        <v>22</v>
      </c>
      <c r="G501" s="45" t="s">
        <v>353</v>
      </c>
      <c r="H501" s="59" t="s">
        <v>1555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>SUM(O501:Q501)</f>
        <v>0</v>
      </c>
      <c r="S501" s="64">
        <v>4</v>
      </c>
      <c r="T501" s="45" t="s">
        <v>1354</v>
      </c>
    </row>
    <row r="502" spans="1:20" ht="22.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1556</v>
      </c>
      <c r="E502" s="65" t="s">
        <v>1557</v>
      </c>
      <c r="F502" s="66" t="s">
        <v>51</v>
      </c>
      <c r="G502" s="67" t="s">
        <v>59</v>
      </c>
      <c r="H502" s="68" t="s">
        <v>1558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>SUM(O502:Q502)</f>
        <v>34</v>
      </c>
      <c r="S502" s="70">
        <v>16</v>
      </c>
      <c r="T502" s="67" t="s">
        <v>1559</v>
      </c>
    </row>
    <row r="503" spans="1:20" ht="22.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1560</v>
      </c>
      <c r="E503" s="58" t="s">
        <v>1561</v>
      </c>
      <c r="F503" s="74" t="s">
        <v>51</v>
      </c>
      <c r="G503" s="45" t="s">
        <v>59</v>
      </c>
      <c r="H503" s="59" t="s">
        <v>1562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>SUM(O503:Q503)</f>
        <v>21</v>
      </c>
      <c r="S503" s="64">
        <v>16</v>
      </c>
      <c r="T503" s="45" t="s">
        <v>1306</v>
      </c>
    </row>
    <row r="504" spans="1:20" ht="22.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1563</v>
      </c>
      <c r="E504" s="65" t="s">
        <v>1564</v>
      </c>
      <c r="F504" s="66" t="s">
        <v>22</v>
      </c>
      <c r="G504" s="67" t="s">
        <v>30</v>
      </c>
      <c r="H504" s="68" t="s">
        <v>1565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>SUM(O504:Q504)</f>
        <v>16</v>
      </c>
      <c r="S504" s="70">
        <v>24</v>
      </c>
      <c r="T504" s="67" t="s">
        <v>1389</v>
      </c>
    </row>
    <row r="505" spans="1:20" ht="22.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1566</v>
      </c>
      <c r="E505" s="58" t="s">
        <v>1567</v>
      </c>
      <c r="F505" s="74" t="s">
        <v>22</v>
      </c>
      <c r="G505" s="45" t="s">
        <v>157</v>
      </c>
      <c r="H505" s="38" t="s">
        <v>1568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>SUM(O505:Q505)</f>
        <v>20</v>
      </c>
      <c r="S505" s="24">
        <v>4</v>
      </c>
      <c r="T505" s="21" t="s">
        <v>1569</v>
      </c>
    </row>
    <row r="506" spans="1:20" ht="22.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1351</v>
      </c>
      <c r="E506" s="27" t="s">
        <v>1570</v>
      </c>
      <c r="F506" s="29" t="s">
        <v>22</v>
      </c>
      <c r="G506" s="20" t="s">
        <v>353</v>
      </c>
      <c r="H506" s="36" t="s">
        <v>1571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>SUM(O506:Q506)</f>
        <v>8</v>
      </c>
      <c r="S506" s="22">
        <v>4</v>
      </c>
      <c r="T506" s="20" t="s">
        <v>1354</v>
      </c>
    </row>
    <row r="507" spans="1:20" ht="22.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1572</v>
      </c>
      <c r="E507" s="30" t="s">
        <v>1573</v>
      </c>
      <c r="F507" s="74" t="s">
        <v>22</v>
      </c>
      <c r="G507" s="45" t="s">
        <v>34</v>
      </c>
      <c r="H507" s="38" t="s">
        <v>1574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>SUM(O507:Q507)</f>
        <v>0</v>
      </c>
      <c r="S507" s="24">
        <v>20</v>
      </c>
      <c r="T507" s="21" t="s">
        <v>1575</v>
      </c>
    </row>
    <row r="508" spans="1:20" ht="22.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1576</v>
      </c>
      <c r="E508" s="27" t="s">
        <v>1577</v>
      </c>
      <c r="F508" s="29" t="s">
        <v>22</v>
      </c>
      <c r="G508" s="20" t="s">
        <v>353</v>
      </c>
      <c r="H508" s="36" t="s">
        <v>1574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>SUM(O508:Q508)</f>
        <v>13</v>
      </c>
      <c r="S508" s="22">
        <v>48</v>
      </c>
      <c r="T508" s="20" t="s">
        <v>741</v>
      </c>
    </row>
    <row r="509" spans="1:20" ht="22.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1578</v>
      </c>
      <c r="E509" s="75" t="s">
        <v>1579</v>
      </c>
      <c r="F509" s="31" t="s">
        <v>22</v>
      </c>
      <c r="G509" s="21" t="s">
        <v>157</v>
      </c>
      <c r="H509" s="38" t="s">
        <v>1574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>SUM(O509:Q509)</f>
        <v>170</v>
      </c>
      <c r="S509" s="24">
        <v>1</v>
      </c>
      <c r="T509" s="21" t="s">
        <v>1580</v>
      </c>
    </row>
    <row r="510" spans="1:20" ht="22.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1492</v>
      </c>
      <c r="E510" s="27" t="s">
        <v>1581</v>
      </c>
      <c r="F510" s="29" t="s">
        <v>66</v>
      </c>
      <c r="G510" s="20" t="s">
        <v>59</v>
      </c>
      <c r="H510" s="36" t="s">
        <v>1582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>SUM(O510:Q510)</f>
        <v>66</v>
      </c>
      <c r="S510" s="22">
        <v>20</v>
      </c>
      <c r="T510" s="20" t="s">
        <v>1495</v>
      </c>
    </row>
    <row r="511" spans="1:20" ht="22.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1583</v>
      </c>
      <c r="E511" s="75" t="s">
        <v>1584</v>
      </c>
      <c r="F511" s="31" t="s">
        <v>22</v>
      </c>
      <c r="G511" s="21" t="s">
        <v>157</v>
      </c>
      <c r="H511" s="38" t="s">
        <v>1585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>SUM(O511:Q511)</f>
        <v>140</v>
      </c>
      <c r="S511" s="24">
        <v>1</v>
      </c>
      <c r="T511" s="21" t="s">
        <v>1586</v>
      </c>
    </row>
    <row r="512" spans="1:20" ht="22.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1587</v>
      </c>
      <c r="E512" s="27" t="s">
        <v>1588</v>
      </c>
      <c r="F512" s="66" t="s">
        <v>51</v>
      </c>
      <c r="G512" s="20" t="s">
        <v>59</v>
      </c>
      <c r="H512" s="36" t="s">
        <v>1589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>SUM(O512:Q512)</f>
        <v>45</v>
      </c>
      <c r="S512" s="22">
        <v>12</v>
      </c>
      <c r="T512" s="20" t="s">
        <v>1590</v>
      </c>
    </row>
    <row r="513" spans="1:20" ht="22.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1591</v>
      </c>
      <c r="E513" s="30" t="s">
        <v>1592</v>
      </c>
      <c r="F513" s="74" t="s">
        <v>22</v>
      </c>
      <c r="G513" s="45" t="s">
        <v>34</v>
      </c>
      <c r="H513" s="38" t="s">
        <v>1593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>SUM(O513:Q513)</f>
        <v>19</v>
      </c>
      <c r="S513" s="24">
        <v>4</v>
      </c>
      <c r="T513" s="21" t="s">
        <v>1594</v>
      </c>
    </row>
    <row r="514" spans="1:20" ht="22.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1512</v>
      </c>
      <c r="E514" s="27" t="s">
        <v>1595</v>
      </c>
      <c r="F514" s="66" t="s">
        <v>22</v>
      </c>
      <c r="G514" s="67" t="s">
        <v>30</v>
      </c>
      <c r="H514" s="36" t="s">
        <v>1596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>SUM(O514:Q514)</f>
        <v>15</v>
      </c>
      <c r="S514" s="22">
        <v>20</v>
      </c>
      <c r="T514" s="20" t="s">
        <v>167</v>
      </c>
    </row>
    <row r="515" spans="1:20" ht="22.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1597</v>
      </c>
      <c r="E515" s="30" t="s">
        <v>1598</v>
      </c>
      <c r="F515" s="74" t="s">
        <v>66</v>
      </c>
      <c r="G515" s="45" t="s">
        <v>59</v>
      </c>
      <c r="H515" s="38" t="s">
        <v>1599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>SUM(O515:Q515)</f>
        <v>41</v>
      </c>
      <c r="S515" s="24">
        <v>16</v>
      </c>
      <c r="T515" s="21" t="s">
        <v>1600</v>
      </c>
    </row>
    <row r="516" spans="1:20" ht="22.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1601</v>
      </c>
      <c r="E516" s="27" t="s">
        <v>1602</v>
      </c>
      <c r="F516" s="66" t="s">
        <v>22</v>
      </c>
      <c r="G516" s="67" t="s">
        <v>34</v>
      </c>
      <c r="H516" s="36" t="s">
        <v>1603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>SUM(O516:Q516)</f>
        <v>96</v>
      </c>
      <c r="S516" s="22">
        <v>2</v>
      </c>
      <c r="T516" s="20" t="s">
        <v>365</v>
      </c>
    </row>
    <row r="517" spans="1:20" ht="22.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1351</v>
      </c>
      <c r="E517" s="30" t="s">
        <v>1604</v>
      </c>
      <c r="F517" s="74" t="s">
        <v>22</v>
      </c>
      <c r="G517" s="45" t="s">
        <v>353</v>
      </c>
      <c r="H517" s="38" t="s">
        <v>1605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>SUM(O517:Q517)</f>
        <v>6</v>
      </c>
      <c r="S517" s="24">
        <v>4</v>
      </c>
      <c r="T517" s="21" t="s">
        <v>1606</v>
      </c>
    </row>
    <row r="518" spans="1:20" ht="22.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1607</v>
      </c>
      <c r="E518" s="27" t="s">
        <v>1608</v>
      </c>
      <c r="F518" s="29" t="s">
        <v>51</v>
      </c>
      <c r="G518" s="67" t="s">
        <v>59</v>
      </c>
      <c r="H518" s="36" t="s">
        <v>1609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>SUM(O518:Q518)</f>
        <v>47</v>
      </c>
      <c r="S518" s="22">
        <v>12</v>
      </c>
      <c r="T518" s="20" t="s">
        <v>1610</v>
      </c>
    </row>
    <row r="519" spans="1:20" ht="22.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1611</v>
      </c>
      <c r="E519" s="30" t="s">
        <v>1612</v>
      </c>
      <c r="F519" s="74" t="s">
        <v>51</v>
      </c>
      <c r="G519" s="45" t="s">
        <v>59</v>
      </c>
      <c r="H519" s="38" t="s">
        <v>1613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>SUM(O519:Q519)</f>
        <v>37</v>
      </c>
      <c r="S519" s="24">
        <v>12</v>
      </c>
      <c r="T519" s="21" t="s">
        <v>1125</v>
      </c>
    </row>
    <row r="520" spans="1:20" ht="22.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1614</v>
      </c>
      <c r="E520" s="27" t="s">
        <v>1615</v>
      </c>
      <c r="F520" s="66" t="s">
        <v>22</v>
      </c>
      <c r="G520" s="20" t="s">
        <v>34</v>
      </c>
      <c r="H520" s="36" t="s">
        <v>1616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>SUM(O520:Q520)</f>
        <v>20</v>
      </c>
      <c r="S520" s="22">
        <v>16</v>
      </c>
      <c r="T520" s="20" t="s">
        <v>1296</v>
      </c>
    </row>
    <row r="521" spans="1:20" ht="22.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1617</v>
      </c>
      <c r="E521" s="30" t="s">
        <v>1618</v>
      </c>
      <c r="F521" s="74" t="s">
        <v>51</v>
      </c>
      <c r="G521" s="21" t="s">
        <v>59</v>
      </c>
      <c r="H521" s="38" t="s">
        <v>1619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>SUM(O521:Q521)</f>
        <v>19</v>
      </c>
      <c r="S521" s="24">
        <v>16</v>
      </c>
      <c r="T521" s="21" t="s">
        <v>425</v>
      </c>
    </row>
    <row r="522" spans="1:20" ht="22.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1620</v>
      </c>
      <c r="E522" s="27" t="s">
        <v>1621</v>
      </c>
      <c r="F522" s="29" t="s">
        <v>22</v>
      </c>
      <c r="G522" s="20" t="s">
        <v>34</v>
      </c>
      <c r="H522" s="36" t="s">
        <v>1622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>SUM(O522:Q522)</f>
        <v>0</v>
      </c>
      <c r="S522" s="22">
        <v>21</v>
      </c>
      <c r="T522" s="20" t="s">
        <v>1046</v>
      </c>
    </row>
    <row r="523" spans="1:20" ht="22.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1601</v>
      </c>
      <c r="E523" s="30" t="s">
        <v>1623</v>
      </c>
      <c r="F523" s="74" t="s">
        <v>22</v>
      </c>
      <c r="G523" s="21" t="s">
        <v>34</v>
      </c>
      <c r="H523" s="38" t="s">
        <v>1622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>SUM(O523:Q523)</f>
        <v>0</v>
      </c>
      <c r="S523" s="24">
        <v>6</v>
      </c>
      <c r="T523" s="21" t="s">
        <v>1624</v>
      </c>
    </row>
    <row r="524" spans="1:20" ht="22.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1351</v>
      </c>
      <c r="E524" s="27" t="s">
        <v>1625</v>
      </c>
      <c r="F524" s="29" t="s">
        <v>22</v>
      </c>
      <c r="G524" s="20" t="s">
        <v>353</v>
      </c>
      <c r="H524" s="36" t="s">
        <v>1626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>SUM(O524:Q524)</f>
        <v>6</v>
      </c>
      <c r="S524" s="22"/>
      <c r="T524" s="20"/>
    </row>
    <row r="525" spans="1:20" ht="22.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1556</v>
      </c>
      <c r="E525" s="30" t="s">
        <v>1627</v>
      </c>
      <c r="F525" s="74" t="s">
        <v>51</v>
      </c>
      <c r="G525" s="21" t="s">
        <v>59</v>
      </c>
      <c r="H525" s="38" t="s">
        <v>1628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>SUM(O525:Q525)</f>
        <v>46</v>
      </c>
      <c r="S525" s="24">
        <v>16</v>
      </c>
      <c r="T525" s="21" t="s">
        <v>1629</v>
      </c>
    </row>
    <row r="526" spans="1:20" ht="22.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1560</v>
      </c>
      <c r="E526" s="27" t="s">
        <v>1630</v>
      </c>
      <c r="F526" s="29" t="s">
        <v>51</v>
      </c>
      <c r="G526" s="20" t="s">
        <v>59</v>
      </c>
      <c r="H526" s="36" t="s">
        <v>1628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>SUM(O526:Q526)</f>
        <v>20</v>
      </c>
      <c r="S526" s="22">
        <v>16</v>
      </c>
      <c r="T526" s="20" t="s">
        <v>1306</v>
      </c>
    </row>
    <row r="527" spans="1:20" ht="22.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1631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>SUM(O527:Q527)</f>
        <v>0</v>
      </c>
      <c r="S527" s="24"/>
      <c r="T527" s="21" t="s">
        <v>1632</v>
      </c>
    </row>
    <row r="528" spans="1:20" ht="22.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1633</v>
      </c>
      <c r="E528" s="27" t="s">
        <v>1634</v>
      </c>
      <c r="F528" s="29" t="s">
        <v>22</v>
      </c>
      <c r="G528" s="20" t="s">
        <v>34</v>
      </c>
      <c r="H528" s="36" t="s">
        <v>1635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>SUM(O528:Q528)</f>
        <v>20</v>
      </c>
      <c r="S528" s="22">
        <v>8</v>
      </c>
      <c r="T528" s="20" t="s">
        <v>1636</v>
      </c>
    </row>
    <row r="529" spans="1:20" ht="22.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1637</v>
      </c>
      <c r="E529" s="30" t="s">
        <v>1638</v>
      </c>
      <c r="F529" s="31" t="s">
        <v>22</v>
      </c>
      <c r="G529" s="21" t="s">
        <v>23</v>
      </c>
      <c r="H529" s="38" t="s">
        <v>1639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>SUM(O529:Q529)</f>
        <v>28</v>
      </c>
      <c r="S529" s="24">
        <v>20</v>
      </c>
      <c r="T529" s="21"/>
    </row>
    <row r="530" spans="1:20" ht="22.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1640</v>
      </c>
      <c r="E530" s="27" t="s">
        <v>1641</v>
      </c>
      <c r="F530" s="29" t="s">
        <v>51</v>
      </c>
      <c r="G530" s="20" t="s">
        <v>59</v>
      </c>
      <c r="H530" s="36" t="s">
        <v>1642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>SUM(O530:Q530)</f>
        <v>138</v>
      </c>
      <c r="S530" s="22">
        <v>8</v>
      </c>
      <c r="T530" s="20" t="s">
        <v>365</v>
      </c>
    </row>
    <row r="531" spans="1:20" ht="22.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1428</v>
      </c>
      <c r="E531" s="30" t="s">
        <v>1643</v>
      </c>
      <c r="F531" s="31" t="s">
        <v>51</v>
      </c>
      <c r="G531" s="21" t="s">
        <v>59</v>
      </c>
      <c r="H531" s="38" t="s">
        <v>1644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>SUM(O531:Q531)</f>
        <v>19</v>
      </c>
      <c r="S531" s="24">
        <v>12</v>
      </c>
      <c r="T531" s="21" t="s">
        <v>1431</v>
      </c>
    </row>
    <row r="532" spans="1:20" ht="22.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1645</v>
      </c>
      <c r="E532" s="27" t="s">
        <v>1646</v>
      </c>
      <c r="F532" s="29" t="s">
        <v>22</v>
      </c>
      <c r="G532" s="20" t="s">
        <v>157</v>
      </c>
      <c r="H532" s="36" t="s">
        <v>1647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>SUM(O532:Q532)</f>
        <v>118</v>
      </c>
      <c r="S532" s="22">
        <v>1</v>
      </c>
      <c r="T532" s="20" t="s">
        <v>1648</v>
      </c>
    </row>
    <row r="533" spans="1:20" ht="22.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1351</v>
      </c>
      <c r="E533" s="30" t="s">
        <v>1649</v>
      </c>
      <c r="F533" s="31" t="s">
        <v>22</v>
      </c>
      <c r="G533" s="21" t="s">
        <v>353</v>
      </c>
      <c r="H533" s="38" t="s">
        <v>1650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>SUM(O533:Q533)</f>
        <v>4</v>
      </c>
      <c r="S533" s="24">
        <v>4</v>
      </c>
      <c r="T533" s="21" t="s">
        <v>1354</v>
      </c>
    </row>
    <row r="534" spans="1:20" ht="22.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1651</v>
      </c>
      <c r="E534" s="27" t="s">
        <v>1652</v>
      </c>
      <c r="F534" s="29" t="s">
        <v>66</v>
      </c>
      <c r="G534" s="20" t="s">
        <v>59</v>
      </c>
      <c r="H534" s="36" t="s">
        <v>1650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>SUM(O534:Q534)</f>
        <v>49</v>
      </c>
      <c r="S534" s="22">
        <v>4</v>
      </c>
      <c r="T534" s="20" t="s">
        <v>1653</v>
      </c>
    </row>
    <row r="535" spans="1:20" ht="22.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1492</v>
      </c>
      <c r="E535" s="30" t="s">
        <v>1654</v>
      </c>
      <c r="F535" s="31" t="s">
        <v>66</v>
      </c>
      <c r="G535" s="21" t="s">
        <v>59</v>
      </c>
      <c r="H535" s="38" t="s">
        <v>1655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>SUM(O535:Q535)</f>
        <v>94</v>
      </c>
      <c r="S535" s="24">
        <v>20</v>
      </c>
      <c r="T535" s="21" t="s">
        <v>1495</v>
      </c>
    </row>
    <row r="536" spans="1:20" ht="22.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1656</v>
      </c>
      <c r="E536" s="27" t="s">
        <v>1657</v>
      </c>
      <c r="F536" s="29" t="s">
        <v>22</v>
      </c>
      <c r="G536" s="20" t="s">
        <v>30</v>
      </c>
      <c r="H536" s="36" t="s">
        <v>1658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>SUM(O536:Q536)</f>
        <v>0</v>
      </c>
      <c r="S536" s="22"/>
      <c r="T536" s="20"/>
    </row>
    <row r="537" spans="1:20" ht="22.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1659</v>
      </c>
      <c r="E537" s="30" t="s">
        <v>1660</v>
      </c>
      <c r="F537" s="31" t="s">
        <v>51</v>
      </c>
      <c r="G537" s="21" t="s">
        <v>59</v>
      </c>
      <c r="H537" s="24" t="s">
        <v>1661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>SUM(O537:Q537)</f>
        <v>21</v>
      </c>
      <c r="S537" s="24">
        <v>20</v>
      </c>
      <c r="T537" s="21" t="s">
        <v>61</v>
      </c>
    </row>
    <row r="538" spans="1:20" ht="22.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1662</v>
      </c>
      <c r="E538" s="27" t="s">
        <v>1657</v>
      </c>
      <c r="F538" s="29" t="s">
        <v>22</v>
      </c>
      <c r="G538" s="20" t="s">
        <v>30</v>
      </c>
      <c r="H538" s="36" t="s">
        <v>1663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>SUM(O538:Q538)</f>
        <v>49</v>
      </c>
      <c r="S538" s="22"/>
      <c r="T538" s="20"/>
    </row>
    <row r="539" spans="1:20" ht="22.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1664</v>
      </c>
      <c r="E539" s="30" t="s">
        <v>1665</v>
      </c>
      <c r="F539" s="31" t="s">
        <v>51</v>
      </c>
      <c r="G539" s="21" t="s">
        <v>59</v>
      </c>
      <c r="H539" s="38" t="s">
        <v>1666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>SUM(O539:Q539)</f>
        <v>26</v>
      </c>
      <c r="S539" s="24">
        <v>16</v>
      </c>
      <c r="T539" s="21" t="s">
        <v>1306</v>
      </c>
    </row>
    <row r="540" spans="1:20" ht="22.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1667</v>
      </c>
      <c r="E540" s="27" t="s">
        <v>1668</v>
      </c>
      <c r="F540" s="29" t="s">
        <v>22</v>
      </c>
      <c r="G540" s="20" t="s">
        <v>283</v>
      </c>
      <c r="H540" s="36" t="s">
        <v>1669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>SUM(O540:Q540)</f>
        <v>8</v>
      </c>
      <c r="S540" s="22">
        <v>8</v>
      </c>
      <c r="T540" s="20" t="s">
        <v>365</v>
      </c>
    </row>
    <row r="541" spans="1:20" ht="22.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1670</v>
      </c>
      <c r="E541" s="30" t="s">
        <v>1671</v>
      </c>
      <c r="F541" s="31" t="s">
        <v>22</v>
      </c>
      <c r="G541" s="21" t="s">
        <v>23</v>
      </c>
      <c r="H541" s="24" t="s">
        <v>1672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>SUM(O541:Q541)</f>
        <v>14</v>
      </c>
      <c r="S541" s="24">
        <v>12</v>
      </c>
      <c r="T541" s="21" t="s">
        <v>1449</v>
      </c>
    </row>
    <row r="542" spans="1:20" ht="22.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1673</v>
      </c>
      <c r="E542" s="27" t="s">
        <v>1674</v>
      </c>
      <c r="F542" s="29" t="s">
        <v>66</v>
      </c>
      <c r="G542" s="20" t="s">
        <v>59</v>
      </c>
      <c r="H542" s="22" t="s">
        <v>1675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>SUM(O542:Q542)</f>
        <v>30</v>
      </c>
      <c r="S542" s="22">
        <v>20</v>
      </c>
      <c r="T542" s="20" t="s">
        <v>1326</v>
      </c>
    </row>
    <row r="543" spans="1:20" ht="22.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1676</v>
      </c>
      <c r="E543" s="30" t="s">
        <v>1677</v>
      </c>
      <c r="F543" s="31" t="s">
        <v>22</v>
      </c>
      <c r="G543" s="21" t="s">
        <v>34</v>
      </c>
      <c r="H543" s="38" t="s">
        <v>1678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>SUM(O543:Q543)</f>
        <v>11</v>
      </c>
      <c r="S543" s="24">
        <v>20</v>
      </c>
      <c r="T543" s="21" t="s">
        <v>1358</v>
      </c>
    </row>
    <row r="544" spans="1:20" ht="22.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1679</v>
      </c>
      <c r="E544" s="27" t="s">
        <v>1680</v>
      </c>
      <c r="F544" s="29" t="s">
        <v>22</v>
      </c>
      <c r="G544" s="20" t="s">
        <v>1316</v>
      </c>
      <c r="H544" s="36" t="s">
        <v>1681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>SUM(O544:Q544)</f>
        <v>43</v>
      </c>
      <c r="S544" s="22">
        <v>12</v>
      </c>
      <c r="T544" s="20" t="s">
        <v>1333</v>
      </c>
    </row>
    <row r="545" spans="1:20" ht="22.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1682</v>
      </c>
      <c r="E545" s="30" t="s">
        <v>1683</v>
      </c>
      <c r="F545" s="31" t="s">
        <v>51</v>
      </c>
      <c r="G545" s="21" t="s">
        <v>59</v>
      </c>
      <c r="H545" s="24" t="s">
        <v>1684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>SUM(O545:Q545)</f>
        <v>54</v>
      </c>
      <c r="S545" s="24">
        <v>20</v>
      </c>
      <c r="T545" s="21" t="s">
        <v>729</v>
      </c>
    </row>
    <row r="546" spans="1:20" ht="22.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1685</v>
      </c>
      <c r="E546" s="27" t="s">
        <v>1686</v>
      </c>
      <c r="F546" s="29" t="s">
        <v>22</v>
      </c>
      <c r="G546" s="20" t="s">
        <v>34</v>
      </c>
      <c r="H546" s="36" t="s">
        <v>1687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>SUM(O546:Q546)</f>
        <v>3</v>
      </c>
      <c r="S546" s="22">
        <v>16</v>
      </c>
      <c r="T546" s="20" t="s">
        <v>1070</v>
      </c>
    </row>
    <row r="547" spans="1:20" ht="22.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1688</v>
      </c>
      <c r="E547" s="30" t="s">
        <v>1689</v>
      </c>
      <c r="F547" s="31" t="s">
        <v>22</v>
      </c>
      <c r="G547" s="21" t="s">
        <v>23</v>
      </c>
      <c r="H547" s="24" t="s">
        <v>1690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>SUM(O547:Q547)</f>
        <v>21</v>
      </c>
      <c r="S547" s="24">
        <v>8</v>
      </c>
      <c r="T547" s="21" t="s">
        <v>1523</v>
      </c>
    </row>
    <row r="548" spans="1:20" ht="22.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1691</v>
      </c>
      <c r="E548" s="27" t="s">
        <v>1692</v>
      </c>
      <c r="F548" s="29" t="s">
        <v>66</v>
      </c>
      <c r="G548" s="20" t="s">
        <v>59</v>
      </c>
      <c r="H548" s="36" t="s">
        <v>1693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>SUM(O548:Q548)</f>
        <v>44</v>
      </c>
      <c r="S548" s="22">
        <v>4</v>
      </c>
      <c r="T548" s="20" t="s">
        <v>365</v>
      </c>
    </row>
    <row r="549" spans="1:20" ht="22.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1694</v>
      </c>
      <c r="E549" s="30" t="s">
        <v>1695</v>
      </c>
      <c r="F549" s="31" t="s">
        <v>51</v>
      </c>
      <c r="G549" s="21" t="s">
        <v>59</v>
      </c>
      <c r="H549" s="38" t="s">
        <v>1696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>SUM(O549:Q549)</f>
        <v>49</v>
      </c>
      <c r="S549" s="24">
        <v>20</v>
      </c>
      <c r="T549" s="21" t="s">
        <v>61</v>
      </c>
    </row>
    <row r="550" spans="1:20" ht="22.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1697</v>
      </c>
      <c r="E550" s="27" t="s">
        <v>1698</v>
      </c>
      <c r="F550" s="29" t="s">
        <v>22</v>
      </c>
      <c r="G550" s="20" t="s">
        <v>34</v>
      </c>
      <c r="H550" s="36" t="s">
        <v>1699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>SUM(O550:Q550)</f>
        <v>16</v>
      </c>
      <c r="S550" s="22">
        <v>16</v>
      </c>
      <c r="T550" s="20" t="s">
        <v>1700</v>
      </c>
    </row>
    <row r="551" spans="1:20" ht="22.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1701</v>
      </c>
      <c r="E551" s="30" t="s">
        <v>1702</v>
      </c>
      <c r="F551" s="31" t="s">
        <v>22</v>
      </c>
      <c r="G551" s="21" t="s">
        <v>23</v>
      </c>
      <c r="H551" s="76" t="s">
        <v>1703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>SUM(O551:Q551)</f>
        <v>27</v>
      </c>
      <c r="S551" s="24">
        <v>40</v>
      </c>
      <c r="T551" s="21" t="s">
        <v>1704</v>
      </c>
    </row>
    <row r="552" spans="1:20" ht="22.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1705</v>
      </c>
      <c r="E552" s="27" t="s">
        <v>1706</v>
      </c>
      <c r="F552" s="29" t="s">
        <v>66</v>
      </c>
      <c r="G552" s="20" t="s">
        <v>59</v>
      </c>
      <c r="H552" s="36" t="s">
        <v>1707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>SUM(O552:Q552)</f>
        <v>114</v>
      </c>
      <c r="S552" s="22">
        <v>2</v>
      </c>
      <c r="T552" s="20" t="s">
        <v>365</v>
      </c>
    </row>
    <row r="553" spans="1:20" ht="22.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1688</v>
      </c>
      <c r="E553" s="30" t="s">
        <v>1708</v>
      </c>
      <c r="F553" s="31" t="s">
        <v>51</v>
      </c>
      <c r="G553" s="21" t="s">
        <v>59</v>
      </c>
      <c r="H553" s="21" t="s">
        <v>1709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>SUM(O553:Q553)</f>
        <v>24</v>
      </c>
      <c r="S553" s="24">
        <v>8</v>
      </c>
      <c r="T553" s="21" t="s">
        <v>1523</v>
      </c>
    </row>
    <row r="554" spans="1:20" ht="22.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1710</v>
      </c>
      <c r="E554" s="27" t="s">
        <v>1711</v>
      </c>
      <c r="F554" s="29" t="s">
        <v>22</v>
      </c>
      <c r="G554" s="20" t="s">
        <v>30</v>
      </c>
      <c r="H554" s="20" t="s">
        <v>1712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>SUM(O554:Q554)</f>
        <v>21</v>
      </c>
      <c r="S554" s="22">
        <v>20</v>
      </c>
      <c r="T554" s="20" t="s">
        <v>167</v>
      </c>
    </row>
    <row r="555" spans="1:20" ht="22.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1713</v>
      </c>
      <c r="E555" s="30" t="s">
        <v>1714</v>
      </c>
      <c r="F555" s="31" t="s">
        <v>66</v>
      </c>
      <c r="G555" s="21" t="s">
        <v>59</v>
      </c>
      <c r="H555" s="38" t="s">
        <v>1715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>SUM(O555:Q555)</f>
        <v>38</v>
      </c>
      <c r="S555" s="24">
        <v>12</v>
      </c>
      <c r="T555" s="21" t="s">
        <v>1632</v>
      </c>
    </row>
    <row r="556" spans="1:20" ht="22.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1716</v>
      </c>
      <c r="F556" s="29" t="s">
        <v>66</v>
      </c>
      <c r="G556" s="20" t="s">
        <v>59</v>
      </c>
      <c r="H556" s="36" t="s">
        <v>1717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>SUM(O556:Q556)</f>
        <v>97</v>
      </c>
      <c r="S556" s="22">
        <v>16</v>
      </c>
      <c r="T556" s="20" t="s">
        <v>1718</v>
      </c>
    </row>
    <row r="557" spans="1:20" ht="22.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1719</v>
      </c>
      <c r="E557" s="30" t="s">
        <v>1720</v>
      </c>
      <c r="F557" s="31" t="s">
        <v>66</v>
      </c>
      <c r="G557" s="21" t="s">
        <v>59</v>
      </c>
      <c r="H557" s="38" t="s">
        <v>1721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>SUM(O557:Q557)</f>
        <v>38</v>
      </c>
      <c r="S557" s="24">
        <v>12</v>
      </c>
      <c r="T557" s="21" t="s">
        <v>1632</v>
      </c>
    </row>
    <row r="558" spans="1:20" ht="22.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1722</v>
      </c>
      <c r="E558" s="27" t="s">
        <v>1723</v>
      </c>
      <c r="F558" s="29" t="s">
        <v>22</v>
      </c>
      <c r="G558" s="20" t="s">
        <v>283</v>
      </c>
      <c r="H558" s="36" t="s">
        <v>1724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>SUM(O558:Q558)</f>
        <v>8</v>
      </c>
      <c r="S558" s="22">
        <v>8</v>
      </c>
      <c r="T558" s="20" t="s">
        <v>365</v>
      </c>
    </row>
    <row r="559" spans="1:20" ht="22.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1659</v>
      </c>
      <c r="E559" s="30" t="s">
        <v>1019</v>
      </c>
      <c r="F559" s="31" t="s">
        <v>51</v>
      </c>
      <c r="G559" s="21" t="s">
        <v>59</v>
      </c>
      <c r="H559" s="38" t="s">
        <v>1725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>SUM(O559:Q559)</f>
        <v>23</v>
      </c>
      <c r="S559" s="24">
        <v>20</v>
      </c>
      <c r="T559" s="21" t="s">
        <v>61</v>
      </c>
    </row>
    <row r="560" spans="1:20" ht="22.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1726</v>
      </c>
      <c r="E560" s="27" t="s">
        <v>1727</v>
      </c>
      <c r="F560" s="29" t="s">
        <v>22</v>
      </c>
      <c r="G560" s="20" t="s">
        <v>23</v>
      </c>
      <c r="H560" s="36" t="s">
        <v>1728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>SUM(O560:Q560)</f>
        <v>20</v>
      </c>
      <c r="S560" s="22">
        <v>16</v>
      </c>
      <c r="T560" s="20" t="s">
        <v>1729</v>
      </c>
    </row>
    <row r="561" spans="1:20" ht="22.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1730</v>
      </c>
      <c r="E561" s="30" t="s">
        <v>1731</v>
      </c>
      <c r="F561" s="31" t="s">
        <v>22</v>
      </c>
      <c r="G561" s="21" t="s">
        <v>34</v>
      </c>
      <c r="H561" s="38" t="s">
        <v>1732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>SUM(O561:Q561)</f>
        <v>13</v>
      </c>
      <c r="S561" s="24">
        <v>16</v>
      </c>
      <c r="T561" s="21" t="s">
        <v>1733</v>
      </c>
    </row>
    <row r="562" spans="1:20" ht="22.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1734</v>
      </c>
      <c r="E562" s="27" t="s">
        <v>1735</v>
      </c>
      <c r="F562" s="29" t="s">
        <v>51</v>
      </c>
      <c r="G562" s="20" t="s">
        <v>59</v>
      </c>
      <c r="H562" s="36" t="s">
        <v>1736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>SUM(O562:Q562)</f>
        <v>250</v>
      </c>
      <c r="S562" s="22">
        <v>12</v>
      </c>
      <c r="T562" s="20" t="s">
        <v>365</v>
      </c>
    </row>
    <row r="563" spans="1:20" ht="22.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1737</v>
      </c>
      <c r="E563" s="30" t="s">
        <v>1630</v>
      </c>
      <c r="F563" s="31" t="s">
        <v>51</v>
      </c>
      <c r="G563" s="21" t="s">
        <v>59</v>
      </c>
      <c r="H563" s="38" t="s">
        <v>1738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>SUM(O563:Q563)</f>
        <v>32</v>
      </c>
      <c r="S563" s="24">
        <v>16</v>
      </c>
      <c r="T563" s="21" t="s">
        <v>546</v>
      </c>
    </row>
    <row r="564" spans="1:20" ht="22.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1739</v>
      </c>
      <c r="E564" s="27" t="s">
        <v>1740</v>
      </c>
      <c r="F564" s="29" t="s">
        <v>51</v>
      </c>
      <c r="G564" s="20" t="s">
        <v>59</v>
      </c>
      <c r="H564" s="77" t="s">
        <v>1741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>SUM(O564:Q564)</f>
        <v>41</v>
      </c>
      <c r="S564" s="22">
        <v>16</v>
      </c>
      <c r="T564" s="20" t="s">
        <v>1629</v>
      </c>
    </row>
    <row r="565" spans="1:20" ht="22.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1742</v>
      </c>
      <c r="E565" s="30" t="s">
        <v>1743</v>
      </c>
      <c r="F565" s="31" t="s">
        <v>22</v>
      </c>
      <c r="G565" s="21" t="s">
        <v>30</v>
      </c>
      <c r="H565" s="38" t="s">
        <v>1744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>SUM(O565:Q565)</f>
        <v>75</v>
      </c>
      <c r="S565" s="24">
        <v>2</v>
      </c>
      <c r="T565" s="21" t="s">
        <v>1745</v>
      </c>
    </row>
    <row r="566" spans="1:20" ht="22.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1746</v>
      </c>
      <c r="E566" s="27" t="s">
        <v>1747</v>
      </c>
      <c r="F566" s="29" t="s">
        <v>51</v>
      </c>
      <c r="G566" s="20" t="s">
        <v>30</v>
      </c>
      <c r="H566" s="36" t="s">
        <v>1748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>SUM(O566:Q566)</f>
        <v>100</v>
      </c>
      <c r="S566" s="22">
        <v>1</v>
      </c>
      <c r="T566" s="20" t="s">
        <v>1749</v>
      </c>
    </row>
    <row r="567" spans="1:20" ht="22.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1697</v>
      </c>
      <c r="E567" s="30" t="s">
        <v>1750</v>
      </c>
      <c r="F567" s="31" t="s">
        <v>22</v>
      </c>
      <c r="G567" s="21" t="s">
        <v>34</v>
      </c>
      <c r="H567" s="38" t="s">
        <v>1751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>SUM(O567:Q567)</f>
        <v>20</v>
      </c>
      <c r="S567" s="24">
        <v>8</v>
      </c>
      <c r="T567" s="21" t="s">
        <v>1700</v>
      </c>
    </row>
    <row r="568" spans="1:20" ht="22.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1739</v>
      </c>
      <c r="E568" s="27" t="s">
        <v>1752</v>
      </c>
      <c r="F568" s="29" t="s">
        <v>51</v>
      </c>
      <c r="G568" s="20" t="s">
        <v>59</v>
      </c>
      <c r="H568" s="77" t="s">
        <v>1753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>SUM(O568:Q568)</f>
        <v>40</v>
      </c>
      <c r="S568" s="22">
        <v>16</v>
      </c>
      <c r="T568" s="20" t="s">
        <v>1629</v>
      </c>
    </row>
    <row r="569" spans="1:20" ht="22.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1754</v>
      </c>
      <c r="E569" s="30" t="s">
        <v>1755</v>
      </c>
      <c r="F569" s="31" t="s">
        <v>51</v>
      </c>
      <c r="G569" s="21" t="s">
        <v>59</v>
      </c>
      <c r="H569" s="38" t="s">
        <v>1756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>SUM(O569:Q569)</f>
        <v>48</v>
      </c>
      <c r="S569" s="24">
        <v>12</v>
      </c>
      <c r="T569" s="21" t="s">
        <v>808</v>
      </c>
    </row>
    <row r="570" spans="1:20" ht="22.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1757</v>
      </c>
      <c r="E570" s="27" t="s">
        <v>1758</v>
      </c>
      <c r="F570" s="29" t="s">
        <v>22</v>
      </c>
      <c r="G570" s="20" t="s">
        <v>34</v>
      </c>
      <c r="H570" s="36" t="s">
        <v>1759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>SUM(O570:Q570)</f>
        <v>16</v>
      </c>
      <c r="S570" s="22">
        <v>20</v>
      </c>
      <c r="T570" s="20" t="s">
        <v>1358</v>
      </c>
    </row>
    <row r="571" spans="1:20" ht="22.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1760</v>
      </c>
      <c r="E571" s="30" t="s">
        <v>1761</v>
      </c>
      <c r="F571" s="31" t="s">
        <v>22</v>
      </c>
      <c r="G571" s="46" t="s">
        <v>157</v>
      </c>
      <c r="H571" s="38" t="s">
        <v>1762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>SUM(O571:Q571)</f>
        <v>170</v>
      </c>
      <c r="S571" s="24">
        <v>2</v>
      </c>
      <c r="T571" s="20" t="s">
        <v>1763</v>
      </c>
    </row>
    <row r="572" spans="1:20" ht="22.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1764</v>
      </c>
      <c r="E572" s="27" t="s">
        <v>1765</v>
      </c>
      <c r="F572" s="29" t="s">
        <v>22</v>
      </c>
      <c r="G572" s="54" t="s">
        <v>157</v>
      </c>
      <c r="H572" s="36" t="s">
        <v>1766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>SUM(O572:Q572)</f>
        <v>80</v>
      </c>
      <c r="S572" s="22">
        <v>1</v>
      </c>
      <c r="T572" s="20"/>
    </row>
    <row r="573" spans="1:20" ht="22.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1767</v>
      </c>
      <c r="E573" s="30" t="s">
        <v>1311</v>
      </c>
      <c r="F573" s="31" t="s">
        <v>51</v>
      </c>
      <c r="G573" s="21" t="s">
        <v>59</v>
      </c>
      <c r="H573" s="38" t="s">
        <v>1768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>SUM(O573:Q573)</f>
        <v>176</v>
      </c>
      <c r="S573" s="24">
        <v>4</v>
      </c>
      <c r="T573" s="21" t="s">
        <v>365</v>
      </c>
    </row>
    <row r="574" spans="1:20" ht="22.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1769</v>
      </c>
      <c r="E574" s="27" t="s">
        <v>1770</v>
      </c>
      <c r="F574" s="29" t="s">
        <v>22</v>
      </c>
      <c r="G574" s="20" t="s">
        <v>353</v>
      </c>
      <c r="H574" s="36" t="s">
        <v>1771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>SUM(O574:Q574)</f>
        <v>0</v>
      </c>
      <c r="S574" s="22"/>
      <c r="T574" s="20" t="s">
        <v>741</v>
      </c>
    </row>
    <row r="575" spans="1:20" ht="22.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1694</v>
      </c>
      <c r="E575" s="30" t="s">
        <v>1772</v>
      </c>
      <c r="F575" s="31" t="s">
        <v>51</v>
      </c>
      <c r="G575" s="21" t="s">
        <v>59</v>
      </c>
      <c r="H575" s="38" t="s">
        <v>1773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>SUM(O575:Q575)</f>
        <v>44</v>
      </c>
      <c r="S575" s="24">
        <v>20</v>
      </c>
      <c r="T575" s="21" t="s">
        <v>61</v>
      </c>
    </row>
    <row r="576" spans="1:20" ht="22.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1774</v>
      </c>
      <c r="E576" s="27" t="s">
        <v>1775</v>
      </c>
      <c r="F576" s="29" t="s">
        <v>66</v>
      </c>
      <c r="G576" s="20" t="s">
        <v>59</v>
      </c>
      <c r="H576" s="36" t="s">
        <v>1776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>SUM(O576:Q576)</f>
        <v>41</v>
      </c>
      <c r="S576" s="22">
        <v>12</v>
      </c>
      <c r="T576" s="20" t="s">
        <v>1632</v>
      </c>
    </row>
    <row r="577" spans="1:20" ht="22.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1777</v>
      </c>
      <c r="E577" s="30" t="s">
        <v>1778</v>
      </c>
      <c r="F577" s="31" t="s">
        <v>22</v>
      </c>
      <c r="G577" s="46" t="s">
        <v>157</v>
      </c>
      <c r="H577" s="38" t="s">
        <v>1779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>SUM(O577:Q577)</f>
        <v>170</v>
      </c>
      <c r="S577" s="24">
        <v>2</v>
      </c>
      <c r="T577" s="21" t="s">
        <v>1780</v>
      </c>
    </row>
    <row r="578" spans="1:20" ht="22.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1781</v>
      </c>
      <c r="E578" s="27" t="s">
        <v>1782</v>
      </c>
      <c r="F578" s="29" t="s">
        <v>66</v>
      </c>
      <c r="G578" s="20" t="s">
        <v>59</v>
      </c>
      <c r="H578" s="36" t="s">
        <v>1783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>SUM(O578:Q578)</f>
        <v>40</v>
      </c>
      <c r="S578" s="22">
        <v>3</v>
      </c>
      <c r="T578" s="43" t="s">
        <v>1784</v>
      </c>
    </row>
    <row r="579" spans="1:20" ht="22.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1781</v>
      </c>
      <c r="E579" s="30" t="s">
        <v>1785</v>
      </c>
      <c r="F579" s="31" t="s">
        <v>66</v>
      </c>
      <c r="G579" s="21" t="s">
        <v>59</v>
      </c>
      <c r="H579" s="76" t="s">
        <v>1786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>SUM(O579:Q579)</f>
        <v>40</v>
      </c>
      <c r="S579" s="24">
        <v>3</v>
      </c>
      <c r="T579" s="44" t="s">
        <v>1784</v>
      </c>
    </row>
    <row r="580" spans="1:20" ht="22.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1787</v>
      </c>
      <c r="E580" s="27" t="s">
        <v>1788</v>
      </c>
      <c r="F580" s="29" t="s">
        <v>22</v>
      </c>
      <c r="G580" s="20" t="s">
        <v>34</v>
      </c>
      <c r="H580" s="36" t="s">
        <v>1789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>SUM(O580:Q580)</f>
        <v>18</v>
      </c>
      <c r="S580" s="22">
        <v>12</v>
      </c>
      <c r="T580" s="20" t="s">
        <v>1790</v>
      </c>
    </row>
    <row r="581" spans="1:20" ht="22.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1791</v>
      </c>
      <c r="E581" s="30" t="s">
        <v>1792</v>
      </c>
      <c r="F581" s="31" t="s">
        <v>22</v>
      </c>
      <c r="G581" s="46" t="s">
        <v>56</v>
      </c>
      <c r="H581" s="38" t="s">
        <v>1793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>SUM(O581:Q581)</f>
        <v>18</v>
      </c>
      <c r="S581" s="24">
        <v>12</v>
      </c>
      <c r="T581" s="21" t="s">
        <v>1590</v>
      </c>
    </row>
    <row r="582" spans="1:20" ht="22.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1794</v>
      </c>
      <c r="E582" s="27" t="s">
        <v>1795</v>
      </c>
      <c r="F582" s="29" t="s">
        <v>22</v>
      </c>
      <c r="G582" s="20" t="s">
        <v>353</v>
      </c>
      <c r="H582" s="36" t="s">
        <v>1796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>SUM(O582:Q582)</f>
        <v>38</v>
      </c>
      <c r="S582" s="22">
        <v>16</v>
      </c>
      <c r="T582" s="20" t="s">
        <v>741</v>
      </c>
    </row>
    <row r="583" spans="1:20" ht="22.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1679</v>
      </c>
      <c r="E583" s="30" t="s">
        <v>1797</v>
      </c>
      <c r="F583" s="31" t="s">
        <v>22</v>
      </c>
      <c r="G583" s="21" t="s">
        <v>1316</v>
      </c>
      <c r="H583" s="38" t="s">
        <v>1798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>SUM(O583:Q583)</f>
        <v>15</v>
      </c>
      <c r="S583" s="24">
        <v>12</v>
      </c>
      <c r="T583" s="21" t="s">
        <v>1333</v>
      </c>
    </row>
    <row r="584" spans="1:20" ht="22.5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1799</v>
      </c>
      <c r="E584" s="27" t="s">
        <v>1800</v>
      </c>
      <c r="F584" s="29" t="s">
        <v>66</v>
      </c>
      <c r="G584" s="20" t="s">
        <v>59</v>
      </c>
      <c r="H584" s="36" t="s">
        <v>1801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>SUM(O584:Q584)</f>
        <v>31</v>
      </c>
      <c r="S584" s="22">
        <v>12</v>
      </c>
      <c r="T584" s="20" t="s">
        <v>1632</v>
      </c>
    </row>
    <row r="585" spans="1:20" ht="22.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1802</v>
      </c>
      <c r="E585" s="30" t="s">
        <v>1803</v>
      </c>
      <c r="F585" s="31" t="s">
        <v>22</v>
      </c>
      <c r="G585" s="46" t="s">
        <v>56</v>
      </c>
      <c r="H585" s="38" t="s">
        <v>1804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>SUM(O585:Q585)</f>
        <v>29</v>
      </c>
      <c r="S585" s="24">
        <v>25</v>
      </c>
      <c r="T585" s="21" t="s">
        <v>57</v>
      </c>
    </row>
    <row r="586" spans="1:20" ht="22.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1805</v>
      </c>
      <c r="E586" s="27" t="s">
        <v>1547</v>
      </c>
      <c r="F586" s="29" t="s">
        <v>66</v>
      </c>
      <c r="G586" s="20" t="s">
        <v>59</v>
      </c>
      <c r="H586" s="36" t="s">
        <v>1806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>SUM(O586:Q586)</f>
        <v>30</v>
      </c>
      <c r="S586" s="22">
        <v>3</v>
      </c>
      <c r="T586" s="264" t="s">
        <v>1549</v>
      </c>
    </row>
    <row r="587" spans="1:20" ht="22.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1757</v>
      </c>
      <c r="E587" s="30" t="s">
        <v>1807</v>
      </c>
      <c r="F587" s="31" t="s">
        <v>22</v>
      </c>
      <c r="G587" s="21" t="s">
        <v>34</v>
      </c>
      <c r="H587" s="38" t="s">
        <v>1808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>SUM(O587:Q587)</f>
        <v>14</v>
      </c>
      <c r="S587" s="24">
        <v>20</v>
      </c>
      <c r="T587" s="265" t="s">
        <v>1358</v>
      </c>
    </row>
    <row r="588" spans="1:20" ht="22.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1809</v>
      </c>
      <c r="E588" s="27" t="s">
        <v>1810</v>
      </c>
      <c r="F588" s="29" t="s">
        <v>22</v>
      </c>
      <c r="G588" s="20" t="s">
        <v>283</v>
      </c>
      <c r="H588" s="36" t="s">
        <v>1811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>SUM(O588:Q588)</f>
        <v>27</v>
      </c>
      <c r="S588" s="22">
        <v>8</v>
      </c>
      <c r="T588" s="264" t="s">
        <v>1812</v>
      </c>
    </row>
    <row r="589" spans="1:20" ht="22.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1813</v>
      </c>
      <c r="E589" s="30" t="s">
        <v>1814</v>
      </c>
      <c r="F589" s="31" t="s">
        <v>22</v>
      </c>
      <c r="G589" s="46" t="s">
        <v>56</v>
      </c>
      <c r="H589" s="38" t="s">
        <v>1815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>SUM(O589:Q589)</f>
        <v>14</v>
      </c>
      <c r="S589" s="24">
        <v>8</v>
      </c>
      <c r="T589" s="265" t="s">
        <v>167</v>
      </c>
    </row>
    <row r="590" spans="1:20" ht="22.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1816</v>
      </c>
      <c r="E590" s="27" t="s">
        <v>1817</v>
      </c>
      <c r="F590" s="29" t="s">
        <v>22</v>
      </c>
      <c r="G590" s="54" t="s">
        <v>56</v>
      </c>
      <c r="H590" s="36" t="s">
        <v>1818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>SUM(O590:Q590)</f>
        <v>33</v>
      </c>
      <c r="S590" s="22">
        <v>15</v>
      </c>
      <c r="T590" s="20" t="s">
        <v>1819</v>
      </c>
    </row>
    <row r="591" spans="1:20" ht="22.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1820</v>
      </c>
      <c r="E591" s="30" t="s">
        <v>1821</v>
      </c>
      <c r="F591" s="31" t="s">
        <v>66</v>
      </c>
      <c r="G591" s="21" t="s">
        <v>59</v>
      </c>
      <c r="H591" s="38" t="s">
        <v>1822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>SUM(O591:Q591)</f>
        <v>42</v>
      </c>
      <c r="S591" s="24">
        <v>20</v>
      </c>
      <c r="T591" s="21" t="s">
        <v>324</v>
      </c>
    </row>
    <row r="592" spans="1:20" ht="22.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1823</v>
      </c>
      <c r="E592" s="27" t="s">
        <v>1824</v>
      </c>
      <c r="F592" s="29" t="s">
        <v>22</v>
      </c>
      <c r="G592" s="20" t="s">
        <v>30</v>
      </c>
      <c r="H592" s="36" t="s">
        <v>1825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>SUM(O592:Q592)</f>
        <v>22</v>
      </c>
      <c r="S592" s="22">
        <v>8</v>
      </c>
      <c r="T592" s="20" t="s">
        <v>1826</v>
      </c>
    </row>
    <row r="593" spans="1:20" ht="22.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1827</v>
      </c>
      <c r="E593" s="30" t="s">
        <v>1828</v>
      </c>
      <c r="F593" s="31" t="s">
        <v>22</v>
      </c>
      <c r="G593" s="21" t="s">
        <v>34</v>
      </c>
      <c r="H593" s="78" t="s">
        <v>1829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>SUM(O593:Q593)</f>
        <v>9</v>
      </c>
      <c r="S593" s="24">
        <v>16</v>
      </c>
      <c r="T593" s="21" t="s">
        <v>1830</v>
      </c>
    </row>
    <row r="594" spans="1:20" ht="22.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1831</v>
      </c>
      <c r="E594" s="27" t="s">
        <v>1832</v>
      </c>
      <c r="F594" s="29" t="s">
        <v>51</v>
      </c>
      <c r="G594" s="20" t="s">
        <v>59</v>
      </c>
      <c r="H594" s="36" t="s">
        <v>1833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>SUM(O594:Q594)</f>
        <v>20</v>
      </c>
      <c r="S594" s="22">
        <v>4</v>
      </c>
      <c r="T594" s="20" t="s">
        <v>1834</v>
      </c>
    </row>
    <row r="595" spans="1:20" ht="22.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1835</v>
      </c>
      <c r="E595" s="30" t="s">
        <v>1836</v>
      </c>
      <c r="F595" s="31" t="s">
        <v>66</v>
      </c>
      <c r="G595" s="21" t="s">
        <v>59</v>
      </c>
      <c r="H595" s="38" t="s">
        <v>1837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>SUM(O595:Q595)</f>
        <v>25</v>
      </c>
      <c r="S595" s="24">
        <v>5</v>
      </c>
      <c r="T595" s="21" t="s">
        <v>784</v>
      </c>
    </row>
    <row r="596" spans="1:20" ht="22.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1838</v>
      </c>
      <c r="E596" s="65" t="s">
        <v>1652</v>
      </c>
      <c r="F596" s="29" t="s">
        <v>66</v>
      </c>
      <c r="G596" s="67" t="s">
        <v>59</v>
      </c>
      <c r="H596" s="68" t="s">
        <v>1839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>SUM(O596:Q596)</f>
        <v>24</v>
      </c>
      <c r="S596" s="70">
        <v>4</v>
      </c>
      <c r="T596" s="79" t="s">
        <v>1840</v>
      </c>
    </row>
    <row r="597" spans="1:20" ht="22.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1841</v>
      </c>
      <c r="E597" s="30" t="s">
        <v>1842</v>
      </c>
      <c r="F597" s="31" t="s">
        <v>51</v>
      </c>
      <c r="G597" s="21" t="s">
        <v>59</v>
      </c>
      <c r="H597" s="38" t="s">
        <v>1843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>SUM(O597:Q597)</f>
        <v>46</v>
      </c>
      <c r="S597" s="24">
        <v>12</v>
      </c>
      <c r="T597" s="21" t="s">
        <v>1125</v>
      </c>
    </row>
    <row r="598" spans="1:20" ht="22.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1844</v>
      </c>
      <c r="E598" s="65" t="s">
        <v>1845</v>
      </c>
      <c r="F598" s="66" t="s">
        <v>66</v>
      </c>
      <c r="G598" s="67" t="s">
        <v>59</v>
      </c>
      <c r="H598" s="68" t="s">
        <v>1846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>SUM(O598:Q598)</f>
        <v>37</v>
      </c>
      <c r="S598" s="70">
        <v>12</v>
      </c>
      <c r="T598" s="67" t="s">
        <v>1847</v>
      </c>
    </row>
    <row r="599" spans="1:20" ht="22.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1848</v>
      </c>
      <c r="E599" s="58" t="s">
        <v>1849</v>
      </c>
      <c r="F599" s="74" t="s">
        <v>22</v>
      </c>
      <c r="G599" s="80" t="s">
        <v>56</v>
      </c>
      <c r="H599" s="59" t="s">
        <v>1850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>SUM(O599:Q599)</f>
        <v>24</v>
      </c>
      <c r="S599" s="64">
        <v>20</v>
      </c>
      <c r="T599" s="106" t="s">
        <v>1851</v>
      </c>
    </row>
    <row r="600" spans="1:20" ht="22.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1852</v>
      </c>
      <c r="E600" s="65" t="s">
        <v>1853</v>
      </c>
      <c r="F600" s="66" t="s">
        <v>51</v>
      </c>
      <c r="G600" s="67" t="s">
        <v>59</v>
      </c>
      <c r="H600" s="262" t="s">
        <v>1854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>SUM(O600:Q600)</f>
        <v>30</v>
      </c>
      <c r="S600" s="70">
        <v>16</v>
      </c>
      <c r="T600" s="67" t="s">
        <v>1855</v>
      </c>
    </row>
    <row r="601" spans="1:20" ht="22.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1823</v>
      </c>
      <c r="E601" s="58" t="s">
        <v>1856</v>
      </c>
      <c r="F601" s="74" t="s">
        <v>22</v>
      </c>
      <c r="G601" s="45" t="s">
        <v>30</v>
      </c>
      <c r="H601" s="59" t="s">
        <v>1857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>SUM(O601:Q601)</f>
        <v>21</v>
      </c>
      <c r="S601" s="64">
        <v>8</v>
      </c>
      <c r="T601" s="45" t="s">
        <v>1826</v>
      </c>
    </row>
    <row r="602" spans="1:20" ht="22.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1858</v>
      </c>
      <c r="E602" s="27" t="s">
        <v>1859</v>
      </c>
      <c r="F602" s="66" t="s">
        <v>22</v>
      </c>
      <c r="G602" s="79" t="s">
        <v>56</v>
      </c>
      <c r="H602" s="36" t="s">
        <v>1860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>SUM(O602:Q602)</f>
        <v>27</v>
      </c>
      <c r="S602" s="22">
        <v>8</v>
      </c>
      <c r="T602" s="20" t="s">
        <v>1523</v>
      </c>
    </row>
    <row r="603" spans="1:20" ht="22.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1861</v>
      </c>
      <c r="E603" s="30" t="s">
        <v>1862</v>
      </c>
      <c r="F603" s="74" t="s">
        <v>22</v>
      </c>
      <c r="G603" s="45" t="s">
        <v>56</v>
      </c>
      <c r="H603" s="76" t="s">
        <v>1863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>SUM(O603:Q603)</f>
        <v>26</v>
      </c>
      <c r="S603" s="24">
        <v>36</v>
      </c>
      <c r="T603" s="21" t="s">
        <v>441</v>
      </c>
    </row>
    <row r="604" spans="1:20" ht="22.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1864</v>
      </c>
      <c r="E604" s="27" t="s">
        <v>1865</v>
      </c>
      <c r="F604" s="66" t="s">
        <v>22</v>
      </c>
      <c r="G604" s="67" t="s">
        <v>34</v>
      </c>
      <c r="H604" s="77" t="s">
        <v>1866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>SUM(O604:Q604)</f>
        <v>28</v>
      </c>
      <c r="S604" s="22">
        <v>40</v>
      </c>
      <c r="T604" s="20" t="s">
        <v>1867</v>
      </c>
    </row>
    <row r="605" spans="1:20" ht="22.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1831</v>
      </c>
      <c r="E605" s="30" t="s">
        <v>1868</v>
      </c>
      <c r="F605" s="31" t="s">
        <v>51</v>
      </c>
      <c r="G605" s="21" t="s">
        <v>59</v>
      </c>
      <c r="H605" s="38" t="s">
        <v>1869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>SUM(O605:Q605)</f>
        <v>20</v>
      </c>
      <c r="S605" s="24">
        <v>4</v>
      </c>
      <c r="T605" s="21" t="s">
        <v>1870</v>
      </c>
    </row>
    <row r="606" spans="1:20" ht="22.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1871</v>
      </c>
      <c r="E606" s="27" t="s">
        <v>1872</v>
      </c>
      <c r="F606" s="29" t="s">
        <v>22</v>
      </c>
      <c r="G606" s="54" t="s">
        <v>157</v>
      </c>
      <c r="H606" s="36" t="s">
        <v>1873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>SUM(O606:Q606)</f>
        <v>170</v>
      </c>
      <c r="S606" s="22">
        <v>2</v>
      </c>
      <c r="T606" s="54" t="s">
        <v>1874</v>
      </c>
    </row>
    <row r="607" spans="1:20" ht="22.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1871</v>
      </c>
      <c r="E607" s="30" t="s">
        <v>1875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>SUM(O607:Q607)</f>
        <v>170</v>
      </c>
      <c r="S607" s="24">
        <v>2</v>
      </c>
      <c r="T607" s="46" t="s">
        <v>1876</v>
      </c>
    </row>
    <row r="608" spans="1:20" ht="22.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1877</v>
      </c>
      <c r="E608" s="27" t="s">
        <v>1878</v>
      </c>
      <c r="F608" s="29" t="s">
        <v>22</v>
      </c>
      <c r="G608" s="54" t="s">
        <v>157</v>
      </c>
      <c r="H608" s="36" t="s">
        <v>1879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>SUM(O608:Q608)</f>
        <v>19</v>
      </c>
      <c r="S608" s="22">
        <v>20</v>
      </c>
      <c r="T608" s="20" t="s">
        <v>611</v>
      </c>
    </row>
    <row r="609" spans="1:20" ht="22.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1880</v>
      </c>
      <c r="E609" s="30" t="s">
        <v>1881</v>
      </c>
      <c r="F609" s="31" t="s">
        <v>22</v>
      </c>
      <c r="G609" s="21" t="s">
        <v>23</v>
      </c>
      <c r="H609" s="38" t="s">
        <v>1882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>SUM(O609:Q609)</f>
        <v>19</v>
      </c>
      <c r="S609" s="24">
        <v>12</v>
      </c>
      <c r="T609" s="21" t="s">
        <v>1883</v>
      </c>
    </row>
    <row r="610" spans="1:20" ht="22.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1805</v>
      </c>
      <c r="E610" s="82" t="s">
        <v>1884</v>
      </c>
      <c r="F610" s="29" t="s">
        <v>66</v>
      </c>
      <c r="G610" s="20" t="s">
        <v>59</v>
      </c>
      <c r="H610" s="36" t="s">
        <v>1885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>SUM(O610:Q610)</f>
        <v>31</v>
      </c>
      <c r="S610" s="22">
        <v>3</v>
      </c>
      <c r="T610" s="20" t="s">
        <v>1549</v>
      </c>
    </row>
    <row r="611" spans="1:20" ht="22.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1886</v>
      </c>
      <c r="E611" s="30" t="s">
        <v>1887</v>
      </c>
      <c r="F611" s="74" t="s">
        <v>22</v>
      </c>
      <c r="G611" s="45" t="s">
        <v>34</v>
      </c>
      <c r="H611" s="38" t="s">
        <v>1888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>SUM(O611:Q611)</f>
        <v>15</v>
      </c>
      <c r="S611" s="24">
        <v>16</v>
      </c>
      <c r="T611" s="265" t="s">
        <v>1889</v>
      </c>
    </row>
    <row r="612" spans="1:20" ht="22.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1890</v>
      </c>
      <c r="E612" s="27" t="s">
        <v>1891</v>
      </c>
      <c r="F612" s="83" t="s">
        <v>22</v>
      </c>
      <c r="G612" s="54" t="s">
        <v>157</v>
      </c>
      <c r="H612" s="36" t="s">
        <v>1892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>SUM(O612:Q612)</f>
        <v>100</v>
      </c>
      <c r="S612" s="22">
        <v>1.5</v>
      </c>
      <c r="T612" s="20" t="s">
        <v>1893</v>
      </c>
    </row>
    <row r="613" spans="1:20" ht="22.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1890</v>
      </c>
      <c r="E613" s="30" t="s">
        <v>1894</v>
      </c>
      <c r="F613" s="31" t="s">
        <v>22</v>
      </c>
      <c r="G613" s="21" t="s">
        <v>157</v>
      </c>
      <c r="H613" s="24" t="s">
        <v>1892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>SUM(O613:Q613)</f>
        <v>114</v>
      </c>
      <c r="S613" s="24">
        <v>3</v>
      </c>
      <c r="T613" s="46" t="s">
        <v>1895</v>
      </c>
    </row>
    <row r="614" spans="1:20" ht="22.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1896</v>
      </c>
      <c r="E614" s="27" t="s">
        <v>1897</v>
      </c>
      <c r="F614" s="29" t="s">
        <v>51</v>
      </c>
      <c r="G614" s="20" t="s">
        <v>59</v>
      </c>
      <c r="H614" s="36" t="s">
        <v>1898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>SUM(O614:Q614)</f>
        <v>491</v>
      </c>
      <c r="S614" s="22">
        <v>8</v>
      </c>
      <c r="T614" s="20" t="s">
        <v>365</v>
      </c>
    </row>
    <row r="615" spans="1:20" ht="22.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1899</v>
      </c>
      <c r="E615" s="75" t="s">
        <v>1900</v>
      </c>
      <c r="F615" s="31" t="s">
        <v>51</v>
      </c>
      <c r="G615" s="21" t="s">
        <v>59</v>
      </c>
      <c r="H615" s="38" t="s">
        <v>1901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>SUM(O615:Q615)</f>
        <v>27</v>
      </c>
      <c r="S615" s="24">
        <v>8</v>
      </c>
      <c r="T615" s="21" t="s">
        <v>1125</v>
      </c>
    </row>
    <row r="616" spans="1:20" ht="22.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1852</v>
      </c>
      <c r="E616" s="82" t="s">
        <v>1902</v>
      </c>
      <c r="F616" s="29" t="s">
        <v>51</v>
      </c>
      <c r="G616" s="20" t="s">
        <v>59</v>
      </c>
      <c r="H616" s="36" t="s">
        <v>1903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>SUM(O616:Q616)</f>
        <v>63</v>
      </c>
      <c r="S616" s="22">
        <v>16</v>
      </c>
      <c r="T616" s="104" t="s">
        <v>1855</v>
      </c>
    </row>
    <row r="617" spans="1:20" ht="22.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1904</v>
      </c>
      <c r="E617" s="30" t="s">
        <v>1905</v>
      </c>
      <c r="F617" s="31" t="s">
        <v>51</v>
      </c>
      <c r="G617" s="21" t="s">
        <v>59</v>
      </c>
      <c r="H617" s="38" t="s">
        <v>1906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>SUM(O617:Q617)</f>
        <v>42</v>
      </c>
      <c r="S617" s="24">
        <v>4</v>
      </c>
      <c r="T617" s="21" t="s">
        <v>1907</v>
      </c>
    </row>
    <row r="618" spans="1:20" ht="22.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1908</v>
      </c>
      <c r="E618" s="27" t="s">
        <v>1909</v>
      </c>
      <c r="F618" s="29" t="s">
        <v>51</v>
      </c>
      <c r="G618" s="20" t="s">
        <v>59</v>
      </c>
      <c r="H618" s="36" t="s">
        <v>1910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>SUM(O618:Q618)</f>
        <v>27</v>
      </c>
      <c r="S618" s="22">
        <v>4</v>
      </c>
      <c r="T618" s="104" t="s">
        <v>1911</v>
      </c>
    </row>
    <row r="619" spans="1:20" ht="22.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1912</v>
      </c>
      <c r="E619" s="30" t="s">
        <v>1913</v>
      </c>
      <c r="F619" s="31" t="s">
        <v>51</v>
      </c>
      <c r="G619" s="21" t="s">
        <v>59</v>
      </c>
      <c r="H619" s="38" t="s">
        <v>1910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>SUM(O619:Q619)</f>
        <v>40</v>
      </c>
      <c r="S619" s="24">
        <v>4</v>
      </c>
      <c r="T619" s="21" t="s">
        <v>1477</v>
      </c>
    </row>
    <row r="620" spans="1:20" ht="22.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1914</v>
      </c>
      <c r="E620" s="27" t="s">
        <v>1915</v>
      </c>
      <c r="F620" s="29" t="s">
        <v>51</v>
      </c>
      <c r="G620" s="20" t="s">
        <v>59</v>
      </c>
      <c r="H620" s="36" t="s">
        <v>1916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>SUM(O620:Q620)</f>
        <v>47</v>
      </c>
      <c r="S620" s="22">
        <v>12</v>
      </c>
      <c r="T620" s="20" t="s">
        <v>1590</v>
      </c>
    </row>
    <row r="621" spans="1:20" ht="22.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1917</v>
      </c>
      <c r="E621" s="30" t="s">
        <v>1918</v>
      </c>
      <c r="F621" s="31" t="s">
        <v>22</v>
      </c>
      <c r="G621" s="46" t="s">
        <v>157</v>
      </c>
      <c r="H621" s="38" t="s">
        <v>1919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>SUM(O621:Q621)</f>
        <v>23</v>
      </c>
      <c r="S621" s="24">
        <v>4</v>
      </c>
      <c r="T621" s="46" t="s">
        <v>1920</v>
      </c>
    </row>
    <row r="622" spans="1:20" ht="22.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1809</v>
      </c>
      <c r="E622" s="27" t="s">
        <v>1921</v>
      </c>
      <c r="F622" s="29" t="s">
        <v>22</v>
      </c>
      <c r="G622" s="20" t="s">
        <v>283</v>
      </c>
      <c r="H622" s="36" t="s">
        <v>1922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>SUM(O622:Q622)</f>
        <v>21</v>
      </c>
      <c r="S622" s="22">
        <v>8</v>
      </c>
      <c r="T622" s="20" t="s">
        <v>1812</v>
      </c>
    </row>
    <row r="623" spans="1:20" ht="22.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1923</v>
      </c>
      <c r="E623" s="30" t="s">
        <v>1924</v>
      </c>
      <c r="F623" s="31" t="s">
        <v>22</v>
      </c>
      <c r="G623" s="21" t="s">
        <v>34</v>
      </c>
      <c r="H623" s="38" t="s">
        <v>1925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>SUM(O623:Q623)</f>
        <v>26</v>
      </c>
      <c r="S623" s="24">
        <v>6</v>
      </c>
      <c r="T623" s="21" t="s">
        <v>1926</v>
      </c>
    </row>
    <row r="624" spans="1:20" ht="22.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1781</v>
      </c>
      <c r="E624" s="27" t="s">
        <v>1927</v>
      </c>
      <c r="F624" s="83" t="s">
        <v>66</v>
      </c>
      <c r="G624" s="54" t="s">
        <v>59</v>
      </c>
      <c r="H624" s="36" t="s">
        <v>1928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>SUM(O624:Q624)</f>
        <v>88</v>
      </c>
      <c r="S624" s="22">
        <v>3</v>
      </c>
      <c r="T624" s="43" t="s">
        <v>1784</v>
      </c>
    </row>
    <row r="625" spans="1:20" ht="22.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1838</v>
      </c>
      <c r="E625" s="30" t="s">
        <v>1929</v>
      </c>
      <c r="F625" s="31" t="s">
        <v>66</v>
      </c>
      <c r="G625" s="21" t="s">
        <v>59</v>
      </c>
      <c r="H625" s="38" t="s">
        <v>1930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>SUM(O625:Q625)</f>
        <v>33</v>
      </c>
      <c r="S625" s="24">
        <v>4</v>
      </c>
      <c r="T625" s="46" t="s">
        <v>1840</v>
      </c>
    </row>
    <row r="626" spans="1:20" ht="22.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1781</v>
      </c>
      <c r="E626" s="27" t="s">
        <v>1931</v>
      </c>
      <c r="F626" s="29" t="s">
        <v>66</v>
      </c>
      <c r="G626" s="54" t="s">
        <v>59</v>
      </c>
      <c r="H626" s="36" t="s">
        <v>1930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>SUM(O626:Q626)</f>
        <v>128</v>
      </c>
      <c r="S626" s="22">
        <v>3</v>
      </c>
      <c r="T626" s="43" t="s">
        <v>1784</v>
      </c>
    </row>
    <row r="627" spans="1:20" ht="22.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1932</v>
      </c>
      <c r="E627" s="30" t="s">
        <v>1933</v>
      </c>
      <c r="F627" s="84" t="s">
        <v>22</v>
      </c>
      <c r="G627" s="46" t="s">
        <v>157</v>
      </c>
      <c r="H627" s="38" t="s">
        <v>1934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>SUM(O627:Q627)</f>
        <v>80</v>
      </c>
      <c r="S627" s="24">
        <v>2</v>
      </c>
      <c r="T627" s="21"/>
    </row>
    <row r="628" spans="1:20" ht="22.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1935</v>
      </c>
      <c r="E628" s="27" t="s">
        <v>1936</v>
      </c>
      <c r="F628" s="29" t="s">
        <v>22</v>
      </c>
      <c r="G628" s="20" t="s">
        <v>34</v>
      </c>
      <c r="H628" s="36" t="s">
        <v>1937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>SUM(O628:Q628)</f>
        <v>23</v>
      </c>
      <c r="S628" s="22" t="s">
        <v>1938</v>
      </c>
      <c r="T628" s="20" t="s">
        <v>1939</v>
      </c>
    </row>
    <row r="629" spans="1:20" ht="22.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1940</v>
      </c>
      <c r="E629" s="30" t="s">
        <v>1941</v>
      </c>
      <c r="F629" s="31" t="s">
        <v>51</v>
      </c>
      <c r="G629" s="21" t="s">
        <v>59</v>
      </c>
      <c r="H629" s="38" t="s">
        <v>1942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>SUM(O629:Q629)</f>
        <v>49</v>
      </c>
      <c r="S629" s="24">
        <v>16</v>
      </c>
      <c r="T629" s="21" t="s">
        <v>1943</v>
      </c>
    </row>
    <row r="630" spans="1:20" ht="22.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1944</v>
      </c>
      <c r="E630" s="27" t="s">
        <v>1945</v>
      </c>
      <c r="F630" s="29" t="s">
        <v>66</v>
      </c>
      <c r="G630" s="20" t="s">
        <v>59</v>
      </c>
      <c r="H630" s="36" t="s">
        <v>1946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>SUM(O630:Q630)</f>
        <v>228</v>
      </c>
      <c r="S630" s="22">
        <v>14</v>
      </c>
      <c r="T630" s="20" t="s">
        <v>365</v>
      </c>
    </row>
    <row r="631" spans="1:20" ht="22.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1858</v>
      </c>
      <c r="E631" s="30" t="s">
        <v>1947</v>
      </c>
      <c r="F631" s="31" t="s">
        <v>22</v>
      </c>
      <c r="G631" s="46" t="s">
        <v>56</v>
      </c>
      <c r="H631" s="38" t="s">
        <v>1948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>SUM(O631:Q631)</f>
        <v>28</v>
      </c>
      <c r="S631" s="24">
        <v>8</v>
      </c>
      <c r="T631" s="21" t="s">
        <v>1523</v>
      </c>
    </row>
    <row r="632" spans="1:20" ht="22.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1949</v>
      </c>
      <c r="E632" s="82" t="s">
        <v>1950</v>
      </c>
      <c r="F632" s="29" t="s">
        <v>22</v>
      </c>
      <c r="G632" s="20" t="s">
        <v>34</v>
      </c>
      <c r="H632" s="77" t="s">
        <v>1951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>SUM(O632:Q632)</f>
        <v>16</v>
      </c>
      <c r="S632" s="22">
        <v>48</v>
      </c>
      <c r="T632" s="54" t="s">
        <v>1952</v>
      </c>
    </row>
    <row r="633" spans="1:20" ht="22.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1953</v>
      </c>
      <c r="E633" s="30" t="s">
        <v>1954</v>
      </c>
      <c r="F633" s="31" t="s">
        <v>51</v>
      </c>
      <c r="G633" s="21" t="s">
        <v>59</v>
      </c>
      <c r="H633" s="38" t="s">
        <v>1955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>SUM(O633:Q633)</f>
        <v>40</v>
      </c>
      <c r="S633" s="24">
        <v>12</v>
      </c>
      <c r="T633" s="21" t="s">
        <v>1847</v>
      </c>
    </row>
    <row r="634" spans="1:20" ht="22.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1956</v>
      </c>
      <c r="E634" s="27" t="s">
        <v>1957</v>
      </c>
      <c r="F634" s="83" t="s">
        <v>22</v>
      </c>
      <c r="G634" s="54" t="s">
        <v>157</v>
      </c>
      <c r="H634" s="36" t="s">
        <v>1958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>SUM(O634:Q634)</f>
        <v>80</v>
      </c>
      <c r="S634" s="22">
        <v>4</v>
      </c>
      <c r="T634" s="20"/>
    </row>
    <row r="635" spans="1:20" ht="22.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1746</v>
      </c>
      <c r="E635" s="30" t="s">
        <v>1959</v>
      </c>
      <c r="F635" s="31" t="s">
        <v>51</v>
      </c>
      <c r="G635" s="21" t="s">
        <v>30</v>
      </c>
      <c r="H635" s="38" t="s">
        <v>1960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>SUM(O635:Q635)</f>
        <v>70</v>
      </c>
      <c r="S635" s="24">
        <v>1</v>
      </c>
      <c r="T635" s="271" t="s">
        <v>1749</v>
      </c>
    </row>
    <row r="636" spans="1:20" ht="22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1961</v>
      </c>
      <c r="E636" s="82" t="s">
        <v>1962</v>
      </c>
      <c r="F636" s="29" t="s">
        <v>51</v>
      </c>
      <c r="G636" s="20" t="s">
        <v>59</v>
      </c>
      <c r="H636" s="36" t="s">
        <v>1963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>SUM(O636:Q636)</f>
        <v>28</v>
      </c>
      <c r="S636" s="22">
        <v>12</v>
      </c>
      <c r="T636" s="20" t="s">
        <v>1964</v>
      </c>
    </row>
    <row r="637" spans="1:20" ht="22.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1965</v>
      </c>
      <c r="E637" s="30" t="s">
        <v>1966</v>
      </c>
      <c r="F637" s="31" t="s">
        <v>66</v>
      </c>
      <c r="G637" s="21" t="s">
        <v>59</v>
      </c>
      <c r="H637" s="263" t="s">
        <v>1967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>SUM(O637:Q637)</f>
        <v>30</v>
      </c>
      <c r="S637" s="24">
        <v>12</v>
      </c>
      <c r="T637" s="21" t="s">
        <v>1968</v>
      </c>
    </row>
    <row r="638" spans="1:20" ht="22.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1969</v>
      </c>
      <c r="E638" s="27" t="s">
        <v>1970</v>
      </c>
      <c r="F638" s="29" t="s">
        <v>22</v>
      </c>
      <c r="G638" s="20" t="s">
        <v>30</v>
      </c>
      <c r="H638" s="36" t="s">
        <v>1971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>SUM(O638:Q638)</f>
        <v>21</v>
      </c>
      <c r="S638" s="22" t="s">
        <v>1938</v>
      </c>
      <c r="T638" s="20" t="s">
        <v>1939</v>
      </c>
    </row>
    <row r="639" spans="1:20" ht="22.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1972</v>
      </c>
      <c r="E639" s="30" t="s">
        <v>1973</v>
      </c>
      <c r="F639" s="31" t="s">
        <v>66</v>
      </c>
      <c r="G639" s="46" t="s">
        <v>59</v>
      </c>
      <c r="H639" s="38" t="s">
        <v>1974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>SUM(O639:Q639)</f>
        <v>179</v>
      </c>
      <c r="S639" s="24">
        <v>14</v>
      </c>
      <c r="T639" s="21" t="s">
        <v>365</v>
      </c>
    </row>
    <row r="640" spans="1:20" ht="22.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1975</v>
      </c>
      <c r="E640" s="27" t="s">
        <v>1976</v>
      </c>
      <c r="F640" s="83" t="s">
        <v>22</v>
      </c>
      <c r="G640" s="54" t="s">
        <v>157</v>
      </c>
      <c r="H640" s="36" t="s">
        <v>1977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>SUM(O640:Q640)</f>
        <v>0</v>
      </c>
      <c r="S640" s="22">
        <v>2</v>
      </c>
      <c r="T640" s="20"/>
    </row>
    <row r="641" spans="1:20" ht="22.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1978</v>
      </c>
      <c r="E641" s="30" t="s">
        <v>1836</v>
      </c>
      <c r="F641" s="31" t="s">
        <v>66</v>
      </c>
      <c r="G641" s="78" t="s">
        <v>59</v>
      </c>
      <c r="H641" s="76" t="s">
        <v>1979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1980</v>
      </c>
    </row>
    <row r="642" spans="1:20" ht="22.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1981</v>
      </c>
      <c r="E642" s="27" t="s">
        <v>1714</v>
      </c>
      <c r="F642" s="29" t="s">
        <v>66</v>
      </c>
      <c r="G642" s="20" t="s">
        <v>59</v>
      </c>
      <c r="H642" s="36" t="s">
        <v>1982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>SUM(O642:Q642)</f>
        <v>33</v>
      </c>
      <c r="S642" s="22">
        <v>20</v>
      </c>
      <c r="T642" s="20" t="s">
        <v>1632</v>
      </c>
    </row>
    <row r="643" spans="1:20" ht="22.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1781</v>
      </c>
      <c r="E643" s="30" t="s">
        <v>1983</v>
      </c>
      <c r="F643" s="31" t="s">
        <v>66</v>
      </c>
      <c r="G643" s="21" t="s">
        <v>59</v>
      </c>
      <c r="H643" s="38" t="s">
        <v>1984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>SUM(O643:Q643)</f>
        <v>39</v>
      </c>
      <c r="S643" s="24">
        <v>4</v>
      </c>
      <c r="T643" s="44" t="s">
        <v>1784</v>
      </c>
    </row>
    <row r="644" spans="1:20" ht="22.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1985</v>
      </c>
      <c r="E644" s="27" t="s">
        <v>1927</v>
      </c>
      <c r="F644" s="29" t="s">
        <v>66</v>
      </c>
      <c r="G644" s="20" t="s">
        <v>59</v>
      </c>
      <c r="H644" s="36" t="s">
        <v>1984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3" t="s">
        <v>1986</v>
      </c>
    </row>
    <row r="645" spans="1:20" ht="22.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1987</v>
      </c>
      <c r="E645" s="30" t="s">
        <v>1988</v>
      </c>
      <c r="F645" s="84" t="s">
        <v>22</v>
      </c>
      <c r="G645" s="46" t="s">
        <v>157</v>
      </c>
      <c r="H645" s="38" t="s">
        <v>1989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>SUM(O645:Q645)</f>
        <v>170</v>
      </c>
      <c r="S645" s="24">
        <v>2</v>
      </c>
      <c r="T645" s="46" t="s">
        <v>1968</v>
      </c>
    </row>
    <row r="646" spans="1:20" ht="22.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1877</v>
      </c>
      <c r="E646" s="27" t="s">
        <v>1990</v>
      </c>
      <c r="F646" s="29" t="s">
        <v>22</v>
      </c>
      <c r="G646" s="54" t="s">
        <v>157</v>
      </c>
      <c r="H646" s="36" t="s">
        <v>1991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>SUM(O646:Q646)</f>
        <v>13</v>
      </c>
      <c r="S646" s="22">
        <v>20</v>
      </c>
      <c r="T646" s="20" t="s">
        <v>611</v>
      </c>
    </row>
    <row r="647" spans="1:20" ht="22.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1992</v>
      </c>
      <c r="E647" s="30" t="s">
        <v>1683</v>
      </c>
      <c r="F647" s="31" t="s">
        <v>51</v>
      </c>
      <c r="G647" s="21" t="s">
        <v>59</v>
      </c>
      <c r="H647" s="76" t="s">
        <v>1993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>SUM(O647:Q647)</f>
        <v>34</v>
      </c>
      <c r="S647" s="24">
        <v>20</v>
      </c>
      <c r="T647" s="21" t="s">
        <v>1527</v>
      </c>
    </row>
    <row r="648" spans="1:20" ht="22.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1994</v>
      </c>
      <c r="E648" s="27" t="s">
        <v>1995</v>
      </c>
      <c r="F648" s="29" t="s">
        <v>51</v>
      </c>
      <c r="G648" s="20" t="s">
        <v>59</v>
      </c>
      <c r="H648" s="262" t="s">
        <v>1996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>SUM(O648:Q648)</f>
        <v>45</v>
      </c>
      <c r="S648" s="22">
        <v>12</v>
      </c>
      <c r="T648" s="20" t="s">
        <v>1855</v>
      </c>
    </row>
    <row r="649" spans="1:20" ht="22.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1997</v>
      </c>
      <c r="E649" s="30" t="s">
        <v>1998</v>
      </c>
      <c r="F649" s="31" t="s">
        <v>22</v>
      </c>
      <c r="G649" s="46" t="s">
        <v>157</v>
      </c>
      <c r="H649" s="263" t="s">
        <v>1999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>SUM(O649:Q649)</f>
        <v>72</v>
      </c>
      <c r="S649" s="24">
        <v>8</v>
      </c>
      <c r="T649" s="46" t="s">
        <v>2000</v>
      </c>
    </row>
    <row r="650" spans="1:20" ht="22.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2001</v>
      </c>
      <c r="E650" s="82" t="s">
        <v>2002</v>
      </c>
      <c r="F650" s="29" t="s">
        <v>22</v>
      </c>
      <c r="G650" s="20" t="s">
        <v>34</v>
      </c>
      <c r="H650" s="36" t="s">
        <v>2003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2004</v>
      </c>
    </row>
    <row r="651" spans="1:20" ht="22.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2005</v>
      </c>
      <c r="E651" s="30" t="s">
        <v>2006</v>
      </c>
      <c r="F651" s="31" t="s">
        <v>22</v>
      </c>
      <c r="G651" s="21" t="s">
        <v>23</v>
      </c>
      <c r="H651" s="76" t="s">
        <v>2007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2008</v>
      </c>
    </row>
    <row r="652" spans="1:20" ht="22.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82" t="s">
        <v>2010</v>
      </c>
      <c r="F652" s="29" t="s">
        <v>66</v>
      </c>
      <c r="G652" s="20" t="s">
        <v>59</v>
      </c>
      <c r="H652" s="77" t="s">
        <v>2007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2011</v>
      </c>
      <c r="D653" s="24" t="s">
        <v>2012</v>
      </c>
      <c r="E653" s="30" t="s">
        <v>1657</v>
      </c>
      <c r="F653" s="31" t="s">
        <v>22</v>
      </c>
      <c r="G653" s="21" t="s">
        <v>30</v>
      </c>
      <c r="H653" s="38" t="s">
        <v>2013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2.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2014</v>
      </c>
      <c r="E654" s="27" t="s">
        <v>2015</v>
      </c>
      <c r="F654" s="29" t="s">
        <v>22</v>
      </c>
      <c r="G654" s="20" t="s">
        <v>34</v>
      </c>
      <c r="H654" s="77" t="s">
        <v>2016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1358</v>
      </c>
    </row>
    <row r="655" spans="1:20" ht="22.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2017</v>
      </c>
      <c r="E655" s="30" t="s">
        <v>2018</v>
      </c>
      <c r="F655" s="31" t="s">
        <v>22</v>
      </c>
      <c r="G655" s="21" t="s">
        <v>157</v>
      </c>
      <c r="H655" s="38" t="s">
        <v>2019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2.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2020</v>
      </c>
      <c r="E656" s="27" t="s">
        <v>2021</v>
      </c>
      <c r="F656" s="29" t="s">
        <v>66</v>
      </c>
      <c r="G656" s="20" t="s">
        <v>59</v>
      </c>
      <c r="H656" s="50" t="s">
        <v>2022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2.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2023</v>
      </c>
      <c r="E657" s="30" t="s">
        <v>1612</v>
      </c>
      <c r="F657" s="31" t="s">
        <v>51</v>
      </c>
      <c r="G657" s="21" t="s">
        <v>59</v>
      </c>
      <c r="H657" s="38" t="s">
        <v>2024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2.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2025</v>
      </c>
      <c r="E658" s="27" t="s">
        <v>2026</v>
      </c>
      <c r="F658" s="29" t="s">
        <v>22</v>
      </c>
      <c r="G658" s="20" t="s">
        <v>157</v>
      </c>
      <c r="H658" s="36" t="s">
        <v>2027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2028</v>
      </c>
    </row>
    <row r="659" spans="1:20" ht="22.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2029</v>
      </c>
      <c r="E659" s="30" t="s">
        <v>2030</v>
      </c>
      <c r="F659" s="31" t="s">
        <v>22</v>
      </c>
      <c r="G659" s="21" t="s">
        <v>34</v>
      </c>
      <c r="H659" s="76" t="s">
        <v>2031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2032</v>
      </c>
    </row>
    <row r="660" spans="1:20" ht="22.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2033</v>
      </c>
      <c r="E660" s="27" t="s">
        <v>2034</v>
      </c>
      <c r="F660" s="29" t="s">
        <v>51</v>
      </c>
      <c r="G660" s="20" t="s">
        <v>2035</v>
      </c>
      <c r="H660" s="36" t="s">
        <v>2036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2037</v>
      </c>
    </row>
    <row r="661" spans="1:20" ht="22.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2038</v>
      </c>
      <c r="E661" s="30" t="s">
        <v>2039</v>
      </c>
      <c r="F661" s="31" t="s">
        <v>22</v>
      </c>
      <c r="G661" s="46" t="s">
        <v>2040</v>
      </c>
      <c r="H661" s="38" t="s">
        <v>2041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2042</v>
      </c>
    </row>
    <row r="662" spans="1:20" ht="22.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2043</v>
      </c>
      <c r="E662" s="27" t="s">
        <v>2044</v>
      </c>
      <c r="F662" s="29" t="s">
        <v>51</v>
      </c>
      <c r="G662" s="20" t="s">
        <v>2035</v>
      </c>
      <c r="H662" s="165" t="s">
        <v>2045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>SUM(O662:Q662)</f>
        <v>20</v>
      </c>
      <c r="S662" s="22">
        <v>12</v>
      </c>
      <c r="T662" s="54" t="s">
        <v>2046</v>
      </c>
    </row>
    <row r="663" spans="1:20" ht="22.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2047</v>
      </c>
      <c r="E663" s="30" t="s">
        <v>2048</v>
      </c>
      <c r="F663" s="31" t="s">
        <v>51</v>
      </c>
      <c r="G663" s="21" t="s">
        <v>59</v>
      </c>
      <c r="H663" s="38" t="s">
        <v>2049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>SUM(O663:Q663)</f>
        <v>19</v>
      </c>
      <c r="S663" s="24">
        <v>20</v>
      </c>
      <c r="T663" s="21" t="s">
        <v>61</v>
      </c>
    </row>
    <row r="664" spans="1:20" ht="22.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2050</v>
      </c>
      <c r="E664" s="27" t="s">
        <v>2051</v>
      </c>
      <c r="F664" s="29" t="s">
        <v>22</v>
      </c>
      <c r="G664" s="54" t="s">
        <v>283</v>
      </c>
      <c r="H664" s="36" t="s">
        <v>2052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>SUM(O664:Q664)</f>
        <v>33</v>
      </c>
      <c r="S664" s="22">
        <v>20</v>
      </c>
      <c r="T664" s="54" t="s">
        <v>2053</v>
      </c>
    </row>
    <row r="665" spans="1:20" ht="22.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2054</v>
      </c>
      <c r="E665" s="30" t="s">
        <v>2055</v>
      </c>
      <c r="F665" s="31" t="s">
        <v>22</v>
      </c>
      <c r="G665" s="46" t="s">
        <v>2056</v>
      </c>
      <c r="H665" s="38" t="s">
        <v>2057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>SUM(O665:Q665)</f>
        <v>20</v>
      </c>
      <c r="S665" s="24">
        <v>8</v>
      </c>
      <c r="T665" s="21" t="s">
        <v>2058</v>
      </c>
    </row>
    <row r="666" spans="1:20" ht="22.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2047</v>
      </c>
      <c r="E666" s="27" t="s">
        <v>2059</v>
      </c>
      <c r="F666" s="29" t="s">
        <v>51</v>
      </c>
      <c r="G666" s="20" t="s">
        <v>59</v>
      </c>
      <c r="H666" s="36" t="s">
        <v>2060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>SUM(O666:Q666)</f>
        <v>20</v>
      </c>
      <c r="S666" s="22">
        <v>20</v>
      </c>
      <c r="T666" s="20" t="s">
        <v>61</v>
      </c>
    </row>
    <row r="667" spans="1:20" ht="22.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2061</v>
      </c>
      <c r="E667" s="30" t="s">
        <v>2062</v>
      </c>
      <c r="F667" s="31" t="s">
        <v>51</v>
      </c>
      <c r="G667" s="21" t="s">
        <v>59</v>
      </c>
      <c r="H667" s="24" t="s">
        <v>2063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>SUM(O667:Q667)</f>
        <v>127</v>
      </c>
      <c r="S667" s="24">
        <v>4</v>
      </c>
      <c r="T667" s="21" t="s">
        <v>365</v>
      </c>
    </row>
    <row r="668" spans="1:20" ht="22.5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2064</v>
      </c>
      <c r="E668" s="27" t="s">
        <v>2065</v>
      </c>
      <c r="F668" s="29" t="s">
        <v>51</v>
      </c>
      <c r="G668" s="20" t="s">
        <v>59</v>
      </c>
      <c r="H668" s="36" t="s">
        <v>2066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>SUM(O668:Q668)</f>
        <v>192</v>
      </c>
      <c r="S668" s="22">
        <v>14</v>
      </c>
      <c r="T668" s="20" t="s">
        <v>365</v>
      </c>
    </row>
    <row r="669" spans="1:20" ht="22.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2067</v>
      </c>
      <c r="E669" s="30" t="s">
        <v>2068</v>
      </c>
      <c r="F669" s="31" t="s">
        <v>51</v>
      </c>
      <c r="G669" s="167" t="s">
        <v>2035</v>
      </c>
      <c r="H669" s="168" t="s">
        <v>2069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2046</v>
      </c>
    </row>
    <row r="670" spans="1:20" ht="22.5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2070</v>
      </c>
      <c r="E670" s="173" t="s">
        <v>2071</v>
      </c>
      <c r="F670" s="29" t="s">
        <v>66</v>
      </c>
      <c r="G670" s="20" t="s">
        <v>2072</v>
      </c>
      <c r="H670" s="174" t="s">
        <v>2073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1600</v>
      </c>
    </row>
    <row r="671" spans="1:20" ht="22.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2054</v>
      </c>
      <c r="E671" s="30" t="s">
        <v>2074</v>
      </c>
      <c r="F671" s="31" t="s">
        <v>22</v>
      </c>
      <c r="G671" s="46" t="s">
        <v>2056</v>
      </c>
      <c r="H671" s="38" t="s">
        <v>2075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>SUM(O671:Q671)</f>
        <v>22</v>
      </c>
      <c r="S671" s="24">
        <v>8</v>
      </c>
      <c r="T671" s="21" t="s">
        <v>2076</v>
      </c>
    </row>
    <row r="672" spans="1:20" ht="22.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2077</v>
      </c>
      <c r="E672" s="173" t="s">
        <v>2078</v>
      </c>
      <c r="F672" s="29" t="s">
        <v>22</v>
      </c>
      <c r="G672" s="54" t="s">
        <v>2056</v>
      </c>
      <c r="H672" s="174" t="s">
        <v>2079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>SUM(O672:Q672)</f>
        <v>1</v>
      </c>
      <c r="S672" s="172">
        <v>2</v>
      </c>
      <c r="T672" s="20" t="s">
        <v>2076</v>
      </c>
    </row>
    <row r="673" spans="1:20" ht="22.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2080</v>
      </c>
      <c r="E673" s="30" t="s">
        <v>2081</v>
      </c>
      <c r="F673" s="31" t="s">
        <v>22</v>
      </c>
      <c r="G673" s="21" t="s">
        <v>157</v>
      </c>
      <c r="H673" s="59" t="s">
        <v>2082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>SUM(O673:Q673)</f>
        <v>0</v>
      </c>
      <c r="S673" s="24"/>
      <c r="T673" s="46" t="s">
        <v>2083</v>
      </c>
    </row>
    <row r="674" spans="1:20" ht="22.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2084</v>
      </c>
      <c r="E674" s="27" t="s">
        <v>2371</v>
      </c>
      <c r="F674" s="29" t="s">
        <v>66</v>
      </c>
      <c r="G674" s="48" t="s">
        <v>2072</v>
      </c>
      <c r="H674" s="36" t="s">
        <v>2085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>SUM(O674:Q674)</f>
        <v>80</v>
      </c>
      <c r="S674" s="22">
        <v>4</v>
      </c>
      <c r="T674" s="43" t="s">
        <v>2086</v>
      </c>
    </row>
    <row r="675" spans="1:20" ht="22.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2084</v>
      </c>
      <c r="E675" s="27" t="s">
        <v>2372</v>
      </c>
      <c r="F675" s="29" t="s">
        <v>66</v>
      </c>
      <c r="G675" s="48" t="s">
        <v>2072</v>
      </c>
      <c r="H675" s="262" t="s">
        <v>2087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>SUM(O675:Q675)</f>
        <v>80</v>
      </c>
      <c r="S675" s="22">
        <v>4</v>
      </c>
      <c r="T675" s="43" t="s">
        <v>2086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2088</v>
      </c>
      <c r="D676" s="24" t="s">
        <v>2089</v>
      </c>
      <c r="E676" s="30" t="s">
        <v>2090</v>
      </c>
      <c r="F676" s="31" t="s">
        <v>22</v>
      </c>
      <c r="G676" s="21" t="s">
        <v>2040</v>
      </c>
      <c r="H676" s="38" t="s">
        <v>2091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>SUM(O676:Q676)</f>
        <v>0</v>
      </c>
      <c r="S676" s="24">
        <v>16</v>
      </c>
      <c r="T676" s="21" t="s">
        <v>2042</v>
      </c>
    </row>
    <row r="677" spans="1:20" ht="22.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2092</v>
      </c>
      <c r="E677" s="274" t="s">
        <v>2093</v>
      </c>
      <c r="F677" s="188" t="s">
        <v>22</v>
      </c>
      <c r="G677" s="194" t="s">
        <v>34</v>
      </c>
      <c r="H677" s="189" t="s">
        <v>2094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>SUM(O677:Q677)</f>
        <v>100</v>
      </c>
      <c r="S677" s="186">
        <v>8</v>
      </c>
      <c r="T677" s="167" t="s">
        <v>365</v>
      </c>
    </row>
    <row r="678" spans="1:20" ht="22.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2095</v>
      </c>
      <c r="E678" s="30" t="s">
        <v>2096</v>
      </c>
      <c r="F678" s="31" t="s">
        <v>22</v>
      </c>
      <c r="G678" s="45" t="s">
        <v>23</v>
      </c>
      <c r="H678" s="189" t="s">
        <v>2097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>SUM(O678:Q678)</f>
        <v>17</v>
      </c>
      <c r="S678" s="64">
        <v>20</v>
      </c>
      <c r="T678" s="46" t="s">
        <v>2098</v>
      </c>
    </row>
    <row r="679" spans="1:20" ht="22.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2099</v>
      </c>
      <c r="E679" s="275" t="s">
        <v>2100</v>
      </c>
      <c r="F679" s="29" t="s">
        <v>51</v>
      </c>
      <c r="G679" s="179" t="s">
        <v>2035</v>
      </c>
      <c r="H679" s="182" t="s">
        <v>2101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>SUM(O679:Q679)</f>
        <v>32</v>
      </c>
      <c r="S679" s="180">
        <v>12</v>
      </c>
      <c r="T679" s="67" t="s">
        <v>2037</v>
      </c>
    </row>
    <row r="680" spans="1:20" ht="22.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2099</v>
      </c>
      <c r="E680" s="272" t="s">
        <v>2105</v>
      </c>
      <c r="F680" s="31" t="s">
        <v>51</v>
      </c>
      <c r="G680" s="167" t="s">
        <v>2035</v>
      </c>
      <c r="H680" s="189" t="s">
        <v>2106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>SUM(O680:Q680)</f>
        <v>44</v>
      </c>
      <c r="S680" s="186">
        <v>12</v>
      </c>
      <c r="T680" s="21" t="s">
        <v>2037</v>
      </c>
    </row>
    <row r="681" spans="1:20" ht="22.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2107</v>
      </c>
      <c r="E681" s="164" t="s">
        <v>2108</v>
      </c>
      <c r="F681" s="29" t="s">
        <v>51</v>
      </c>
      <c r="G681" s="181" t="s">
        <v>2035</v>
      </c>
      <c r="H681" s="182" t="s">
        <v>2109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>SUM(O681:Q681)</f>
        <v>196</v>
      </c>
      <c r="S681" s="180">
        <v>14</v>
      </c>
      <c r="T681" s="20" t="s">
        <v>365</v>
      </c>
    </row>
    <row r="682" spans="1:20" ht="22.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2089</v>
      </c>
      <c r="E682" s="65" t="s">
        <v>2103</v>
      </c>
      <c r="F682" s="29" t="s">
        <v>22</v>
      </c>
      <c r="G682" s="67" t="s">
        <v>2040</v>
      </c>
      <c r="H682" s="68" t="s">
        <v>2104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>SUM(O682:Q682)</f>
        <v>12</v>
      </c>
      <c r="S682" s="70">
        <v>12</v>
      </c>
      <c r="T682" s="20" t="s">
        <v>2042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2102</v>
      </c>
      <c r="D683" s="186" t="s">
        <v>2110</v>
      </c>
      <c r="E683" s="187" t="s">
        <v>2111</v>
      </c>
      <c r="F683" s="31" t="s">
        <v>51</v>
      </c>
      <c r="G683" s="21" t="s">
        <v>59</v>
      </c>
      <c r="H683" s="189" t="s">
        <v>2112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ref="R671:R684" si="0">SUM(O683:Q683)</f>
        <v>0</v>
      </c>
      <c r="S683" s="186">
        <v>14</v>
      </c>
      <c r="T683" s="21" t="s">
        <v>365</v>
      </c>
    </row>
    <row r="684" spans="1:20" ht="22.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2102</v>
      </c>
      <c r="D684" s="70" t="s">
        <v>2114</v>
      </c>
      <c r="E684" s="164" t="s">
        <v>2115</v>
      </c>
      <c r="F684" s="66" t="s">
        <v>66</v>
      </c>
      <c r="G684" s="67" t="s">
        <v>2072</v>
      </c>
      <c r="H684" s="68" t="s">
        <v>2406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0"/>
        <v>0</v>
      </c>
      <c r="S684" s="70">
        <v>32</v>
      </c>
      <c r="T684" s="67" t="s">
        <v>2116</v>
      </c>
    </row>
    <row r="685" spans="1:20" ht="22.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2102</v>
      </c>
      <c r="D685" s="209" t="s">
        <v>2117</v>
      </c>
      <c r="E685" s="210" t="s">
        <v>2118</v>
      </c>
      <c r="F685" s="211" t="s">
        <v>51</v>
      </c>
      <c r="G685" s="208" t="s">
        <v>59</v>
      </c>
      <c r="H685" s="212" t="s">
        <v>2119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">IF(B685="","",SUM(O685:Q685))</f>
        <v>0</v>
      </c>
      <c r="S685" s="209">
        <v>14</v>
      </c>
      <c r="T685" s="21" t="s">
        <v>365</v>
      </c>
    </row>
    <row r="686" spans="1:20" ht="22.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2011</v>
      </c>
      <c r="D686" s="218" t="s">
        <v>2120</v>
      </c>
      <c r="E686" s="239" t="s">
        <v>2121</v>
      </c>
      <c r="F686" s="220" t="s">
        <v>22</v>
      </c>
      <c r="G686" s="217" t="s">
        <v>56</v>
      </c>
      <c r="H686" s="221" t="s">
        <v>2122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"/>
        <v>0</v>
      </c>
      <c r="S686" s="218">
        <v>24</v>
      </c>
      <c r="T686" s="217" t="s">
        <v>2098</v>
      </c>
    </row>
    <row r="687" spans="1:20" ht="22.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2088</v>
      </c>
      <c r="D687" s="209" t="s">
        <v>2123</v>
      </c>
      <c r="E687" s="210" t="s">
        <v>2124</v>
      </c>
      <c r="F687" s="211" t="s">
        <v>22</v>
      </c>
      <c r="G687" s="208" t="s">
        <v>56</v>
      </c>
      <c r="H687" s="212" t="s">
        <v>2125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"/>
        <v>0</v>
      </c>
      <c r="S687" s="209">
        <v>25</v>
      </c>
      <c r="T687" t="s">
        <v>2126</v>
      </c>
    </row>
    <row r="688" spans="1:20" ht="22.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2127</v>
      </c>
      <c r="E688" s="239" t="s">
        <v>2128</v>
      </c>
      <c r="F688" s="220" t="s">
        <v>66</v>
      </c>
      <c r="G688" s="217" t="s">
        <v>2072</v>
      </c>
      <c r="H688" s="221" t="s">
        <v>2129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1847</v>
      </c>
    </row>
    <row r="689" spans="1:20" ht="22.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2130</v>
      </c>
      <c r="E689" s="244" t="s">
        <v>2131</v>
      </c>
      <c r="F689" s="211" t="s">
        <v>22</v>
      </c>
      <c r="G689" s="208" t="s">
        <v>2056</v>
      </c>
      <c r="H689" s="246" t="s">
        <v>2132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"/>
        <v>22</v>
      </c>
      <c r="S689" s="209">
        <v>8</v>
      </c>
      <c r="T689" s="105" t="s">
        <v>2076</v>
      </c>
    </row>
    <row r="690" spans="1:20" ht="22.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2130</v>
      </c>
      <c r="E690" s="245" t="s">
        <v>2133</v>
      </c>
      <c r="F690" s="220" t="s">
        <v>22</v>
      </c>
      <c r="G690" s="217" t="s">
        <v>2056</v>
      </c>
      <c r="H690" s="247" t="s">
        <v>2134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"/>
        <v>24</v>
      </c>
      <c r="S690" s="218">
        <v>8</v>
      </c>
      <c r="T690" s="104" t="s">
        <v>2076</v>
      </c>
    </row>
    <row r="691" spans="1:20" ht="22.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2135</v>
      </c>
      <c r="E691" s="244" t="s">
        <v>2015</v>
      </c>
      <c r="F691" s="211" t="s">
        <v>22</v>
      </c>
      <c r="G691" s="208" t="s">
        <v>34</v>
      </c>
      <c r="H691" s="212" t="s">
        <v>2136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"/>
        <v>21</v>
      </c>
      <c r="S691" s="209">
        <v>16</v>
      </c>
      <c r="T691" s="208" t="s">
        <v>1358</v>
      </c>
    </row>
    <row r="692" spans="1:20" ht="22.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2137</v>
      </c>
      <c r="E692" s="245" t="s">
        <v>2138</v>
      </c>
      <c r="F692" s="220" t="s">
        <v>22</v>
      </c>
      <c r="G692" s="217" t="s">
        <v>283</v>
      </c>
      <c r="H692" s="221" t="s">
        <v>2139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"/>
        <v>30</v>
      </c>
      <c r="S692" s="218">
        <v>20</v>
      </c>
      <c r="T692" s="217" t="s">
        <v>365</v>
      </c>
    </row>
    <row r="693" spans="1:20" ht="22.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2140</v>
      </c>
      <c r="E693" s="244" t="s">
        <v>2373</v>
      </c>
      <c r="F693" s="211" t="s">
        <v>22</v>
      </c>
      <c r="G693" s="208" t="s">
        <v>23</v>
      </c>
      <c r="H693" s="212" t="s">
        <v>2141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"/>
        <v>30</v>
      </c>
      <c r="S693" s="209">
        <v>12</v>
      </c>
      <c r="T693" s="208" t="s">
        <v>2142</v>
      </c>
    </row>
    <row r="694" spans="1:20" ht="22.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2102</v>
      </c>
      <c r="D694" s="218" t="s">
        <v>2143</v>
      </c>
      <c r="E694" s="219" t="s">
        <v>2144</v>
      </c>
      <c r="F694" s="220" t="s">
        <v>51</v>
      </c>
      <c r="G694" s="217" t="s">
        <v>2035</v>
      </c>
      <c r="H694" s="221" t="s">
        <v>2145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"/>
        <v>0</v>
      </c>
      <c r="S694" s="218">
        <v>85</v>
      </c>
      <c r="T694" s="217" t="s">
        <v>2037</v>
      </c>
    </row>
    <row r="695" spans="1:20" ht="22.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2011</v>
      </c>
      <c r="D695" s="209" t="s">
        <v>2146</v>
      </c>
      <c r="E695" s="210" t="s">
        <v>2147</v>
      </c>
      <c r="F695" s="211" t="s">
        <v>66</v>
      </c>
      <c r="G695" s="260" t="s">
        <v>2072</v>
      </c>
      <c r="H695" s="212" t="s">
        <v>2148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"/>
        <v>0</v>
      </c>
      <c r="S695" s="209">
        <v>20</v>
      </c>
      <c r="T695" s="208" t="s">
        <v>324</v>
      </c>
    </row>
    <row r="696" spans="1:20" ht="22.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2149</v>
      </c>
      <c r="E696" s="219" t="s">
        <v>2150</v>
      </c>
      <c r="F696" s="220" t="s">
        <v>66</v>
      </c>
      <c r="G696" s="269" t="s">
        <v>2072</v>
      </c>
      <c r="H696" s="221" t="s">
        <v>2151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"/>
        <v>25</v>
      </c>
      <c r="S696" s="218">
        <v>4</v>
      </c>
      <c r="T696" s="217" t="s">
        <v>784</v>
      </c>
    </row>
    <row r="697" spans="1:20" ht="22.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2152</v>
      </c>
      <c r="E697" s="210" t="s">
        <v>2153</v>
      </c>
      <c r="F697" s="211" t="s">
        <v>66</v>
      </c>
      <c r="G697" s="260" t="s">
        <v>2072</v>
      </c>
      <c r="H697" s="212" t="s">
        <v>2154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"/>
        <v>50</v>
      </c>
      <c r="S697" s="209">
        <v>3</v>
      </c>
      <c r="T697" s="208" t="s">
        <v>2155</v>
      </c>
    </row>
    <row r="698" spans="1:20" ht="22.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2102</v>
      </c>
      <c r="D698" s="218" t="s">
        <v>2156</v>
      </c>
      <c r="E698" s="219" t="s">
        <v>2157</v>
      </c>
      <c r="F698" s="220" t="s">
        <v>22</v>
      </c>
      <c r="G698" s="217" t="s">
        <v>23</v>
      </c>
      <c r="H698" s="221" t="s">
        <v>2145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"/>
        <v>0</v>
      </c>
      <c r="S698" s="218">
        <v>16</v>
      </c>
      <c r="T698" s="217" t="s">
        <v>425</v>
      </c>
    </row>
    <row r="699" spans="1:20" ht="22.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2113</v>
      </c>
      <c r="D699" s="209" t="s">
        <v>2158</v>
      </c>
      <c r="E699" s="210" t="s">
        <v>2159</v>
      </c>
      <c r="F699" s="211" t="s">
        <v>22</v>
      </c>
      <c r="G699" s="208" t="s">
        <v>56</v>
      </c>
      <c r="H699" s="212" t="s">
        <v>2145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"/>
        <v>0</v>
      </c>
      <c r="S699" s="209">
        <v>10</v>
      </c>
      <c r="T699" s="208" t="s">
        <v>2161</v>
      </c>
    </row>
    <row r="700" spans="1:20" ht="22.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20</v>
      </c>
      <c r="D700" s="218" t="s">
        <v>2162</v>
      </c>
      <c r="E700" s="219" t="s">
        <v>2163</v>
      </c>
      <c r="F700" s="220" t="s">
        <v>51</v>
      </c>
      <c r="G700" s="217" t="s">
        <v>59</v>
      </c>
      <c r="H700" s="221" t="s">
        <v>2164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"/>
        <v>0</v>
      </c>
      <c r="S700" s="218">
        <v>4</v>
      </c>
      <c r="T700" s="217" t="s">
        <v>365</v>
      </c>
    </row>
    <row r="701" spans="1:20" ht="22.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2102</v>
      </c>
      <c r="D701" s="209" t="s">
        <v>2165</v>
      </c>
      <c r="E701" s="210" t="s">
        <v>2166</v>
      </c>
      <c r="F701" s="211" t="s">
        <v>51</v>
      </c>
      <c r="G701" s="208" t="s">
        <v>59</v>
      </c>
      <c r="H701" s="212" t="s">
        <v>2167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"/>
        <v>0</v>
      </c>
      <c r="S701" s="209">
        <v>8</v>
      </c>
      <c r="T701" s="208" t="s">
        <v>2168</v>
      </c>
    </row>
    <row r="702" spans="1:20" ht="22.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2169</v>
      </c>
      <c r="E702" s="245" t="s">
        <v>2170</v>
      </c>
      <c r="F702" s="220" t="s">
        <v>22</v>
      </c>
      <c r="G702" s="217" t="s">
        <v>23</v>
      </c>
      <c r="H702" s="221" t="s">
        <v>2171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"/>
        <v>20</v>
      </c>
      <c r="S702" s="218">
        <v>12</v>
      </c>
      <c r="T702" s="217" t="s">
        <v>2172</v>
      </c>
    </row>
    <row r="703" spans="1:20" ht="22.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2102</v>
      </c>
      <c r="D703" s="209" t="s">
        <v>2173</v>
      </c>
      <c r="E703" s="210" t="s">
        <v>2174</v>
      </c>
      <c r="F703" s="211" t="s">
        <v>51</v>
      </c>
      <c r="G703" s="208" t="s">
        <v>59</v>
      </c>
      <c r="H703" s="212" t="s">
        <v>2145</v>
      </c>
      <c r="I703" s="212" t="s">
        <v>2175</v>
      </c>
      <c r="J703" s="212" t="s">
        <v>2176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"/>
        <v>0</v>
      </c>
      <c r="S703" s="209">
        <v>17.45</v>
      </c>
      <c r="T703" s="208" t="s">
        <v>2177</v>
      </c>
    </row>
    <row r="704" spans="1:20" ht="22.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2178</v>
      </c>
      <c r="E704" s="245" t="s">
        <v>2179</v>
      </c>
      <c r="F704" s="220" t="s">
        <v>51</v>
      </c>
      <c r="G704" s="217" t="s">
        <v>59</v>
      </c>
      <c r="H704" s="221" t="s">
        <v>2180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"/>
        <v>28</v>
      </c>
      <c r="S704" s="218">
        <v>8</v>
      </c>
      <c r="T704" s="104" t="s">
        <v>2076</v>
      </c>
    </row>
    <row r="705" spans="1:21" ht="22.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2102</v>
      </c>
      <c r="D705" s="209" t="s">
        <v>2084</v>
      </c>
      <c r="E705" s="244" t="s">
        <v>2181</v>
      </c>
      <c r="F705" s="211" t="s">
        <v>66</v>
      </c>
      <c r="G705" s="260" t="s">
        <v>2072</v>
      </c>
      <c r="H705" s="276" t="s">
        <v>2182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"/>
        <v>0</v>
      </c>
      <c r="S705" s="209">
        <v>4</v>
      </c>
      <c r="T705" s="43" t="s">
        <v>2183</v>
      </c>
    </row>
    <row r="706" spans="1:21" ht="22.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2102</v>
      </c>
      <c r="D706" s="209" t="s">
        <v>2084</v>
      </c>
      <c r="E706" s="290" t="s">
        <v>2181</v>
      </c>
      <c r="F706" s="220" t="s">
        <v>66</v>
      </c>
      <c r="G706" s="269" t="s">
        <v>2072</v>
      </c>
      <c r="H706" s="277" t="s">
        <v>2184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"/>
        <v>0</v>
      </c>
      <c r="S706" s="218">
        <v>4</v>
      </c>
      <c r="T706" s="278" t="s">
        <v>2185</v>
      </c>
    </row>
    <row r="707" spans="1:21" ht="22.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2102</v>
      </c>
      <c r="D707" s="209" t="s">
        <v>2084</v>
      </c>
      <c r="E707" s="210" t="s">
        <v>2181</v>
      </c>
      <c r="F707" s="211" t="s">
        <v>66</v>
      </c>
      <c r="G707" s="260" t="s">
        <v>2072</v>
      </c>
      <c r="H707" s="276" t="s">
        <v>2186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"/>
        <v>0</v>
      </c>
      <c r="S707" s="209">
        <v>4</v>
      </c>
      <c r="T707" s="278" t="s">
        <v>2185</v>
      </c>
    </row>
    <row r="708" spans="1:21" ht="22.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2102</v>
      </c>
      <c r="D708" s="209" t="s">
        <v>2084</v>
      </c>
      <c r="E708" s="290" t="s">
        <v>2181</v>
      </c>
      <c r="F708" s="220" t="s">
        <v>66</v>
      </c>
      <c r="G708" s="269" t="s">
        <v>2072</v>
      </c>
      <c r="H708" s="277" t="s">
        <v>2187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"/>
        <v>0</v>
      </c>
      <c r="S708" s="218">
        <v>4</v>
      </c>
      <c r="T708" s="278" t="s">
        <v>2185</v>
      </c>
    </row>
    <row r="709" spans="1:21" ht="22.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2102</v>
      </c>
      <c r="D709" s="209" t="s">
        <v>2188</v>
      </c>
      <c r="E709" s="210" t="s">
        <v>2189</v>
      </c>
      <c r="F709" s="211" t="s">
        <v>22</v>
      </c>
      <c r="G709" s="208" t="s">
        <v>2056</v>
      </c>
      <c r="H709" s="212" t="s">
        <v>2145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"/>
        <v>78</v>
      </c>
      <c r="S709" s="209"/>
      <c r="T709" s="208"/>
      <c r="U709" s="282"/>
    </row>
    <row r="710" spans="1:21" ht="22.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2102</v>
      </c>
      <c r="D710" s="218" t="s">
        <v>2190</v>
      </c>
      <c r="E710" s="290" t="s">
        <v>2191</v>
      </c>
      <c r="F710" s="220" t="s">
        <v>51</v>
      </c>
      <c r="G710" s="217" t="s">
        <v>59</v>
      </c>
      <c r="H710" s="221" t="s">
        <v>2160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"/>
        <v>0</v>
      </c>
      <c r="S710" s="218">
        <v>8</v>
      </c>
      <c r="T710" s="259" t="s">
        <v>2192</v>
      </c>
    </row>
    <row r="711" spans="1:21" ht="22.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2102</v>
      </c>
      <c r="D711" s="209" t="s">
        <v>2084</v>
      </c>
      <c r="E711" s="210" t="s">
        <v>2181</v>
      </c>
      <c r="F711" s="211" t="s">
        <v>66</v>
      </c>
      <c r="G711" s="260" t="s">
        <v>2072</v>
      </c>
      <c r="H711" s="212" t="s">
        <v>2193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"/>
        <v>0</v>
      </c>
      <c r="S711" s="209">
        <v>4</v>
      </c>
      <c r="T711" s="278" t="s">
        <v>2185</v>
      </c>
    </row>
    <row r="712" spans="1:21" ht="22.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2102</v>
      </c>
      <c r="D712" s="218" t="s">
        <v>2084</v>
      </c>
      <c r="E712" s="290" t="s">
        <v>2181</v>
      </c>
      <c r="F712" s="220" t="s">
        <v>66</v>
      </c>
      <c r="G712" s="269" t="s">
        <v>2072</v>
      </c>
      <c r="H712" s="221" t="s">
        <v>2194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"/>
        <v>0</v>
      </c>
      <c r="S712" s="218">
        <v>4</v>
      </c>
      <c r="T712" s="278" t="s">
        <v>2185</v>
      </c>
    </row>
    <row r="713" spans="1:21" ht="22.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2102</v>
      </c>
      <c r="D713" s="209" t="s">
        <v>2374</v>
      </c>
      <c r="E713" s="244" t="s">
        <v>2399</v>
      </c>
      <c r="F713" s="211" t="s">
        <v>51</v>
      </c>
      <c r="G713" s="208" t="s">
        <v>59</v>
      </c>
      <c r="H713" s="212" t="s">
        <v>2375</v>
      </c>
      <c r="I713" s="213">
        <v>46247</v>
      </c>
      <c r="J713" s="213">
        <v>46247</v>
      </c>
      <c r="K713" s="209" t="s">
        <v>32</v>
      </c>
      <c r="L713" s="223">
        <v>1770</v>
      </c>
      <c r="M713" s="214"/>
      <c r="N713" s="215">
        <v>50</v>
      </c>
      <c r="O713" s="216"/>
      <c r="P713" s="216"/>
      <c r="Q713" s="216"/>
      <c r="R713" s="216">
        <f t="shared" si="1"/>
        <v>0</v>
      </c>
      <c r="S713" s="209">
        <v>4</v>
      </c>
      <c r="T713" s="208" t="s">
        <v>2377</v>
      </c>
    </row>
    <row r="714" spans="1:21" ht="22.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2102</v>
      </c>
      <c r="D714" s="218" t="s">
        <v>2378</v>
      </c>
      <c r="E714" s="245" t="s">
        <v>2380</v>
      </c>
      <c r="F714" s="220" t="s">
        <v>51</v>
      </c>
      <c r="G714" s="217" t="s">
        <v>59</v>
      </c>
      <c r="H714" s="221" t="s">
        <v>2381</v>
      </c>
      <c r="I714" s="222">
        <v>46246</v>
      </c>
      <c r="J714" s="222">
        <v>46246</v>
      </c>
      <c r="K714" s="218" t="s">
        <v>32</v>
      </c>
      <c r="L714" s="223">
        <v>2347</v>
      </c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1477</v>
      </c>
    </row>
    <row r="715" spans="1:21" ht="22.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2102</v>
      </c>
      <c r="D715" s="209" t="s">
        <v>2379</v>
      </c>
      <c r="E715" s="244" t="s">
        <v>2400</v>
      </c>
      <c r="F715" s="211" t="s">
        <v>51</v>
      </c>
      <c r="G715" s="208" t="s">
        <v>59</v>
      </c>
      <c r="H715" s="212" t="s">
        <v>2382</v>
      </c>
      <c r="I715" s="213">
        <v>46244</v>
      </c>
      <c r="J715" s="213">
        <v>46244</v>
      </c>
      <c r="K715" s="209" t="s">
        <v>32</v>
      </c>
      <c r="L715" s="223">
        <v>1990</v>
      </c>
      <c r="M715" s="214"/>
      <c r="N715" s="215">
        <v>20</v>
      </c>
      <c r="O715" s="216"/>
      <c r="P715" s="216"/>
      <c r="Q715" s="216"/>
      <c r="R715" s="216">
        <f t="shared" si="1"/>
        <v>0</v>
      </c>
      <c r="S715" s="209">
        <v>4</v>
      </c>
      <c r="T715" s="208" t="s">
        <v>1847</v>
      </c>
    </row>
    <row r="716" spans="1:21" ht="22.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2102</v>
      </c>
      <c r="D716" s="218" t="s">
        <v>2384</v>
      </c>
      <c r="E716" s="245" t="s">
        <v>2401</v>
      </c>
      <c r="F716" s="220" t="s">
        <v>51</v>
      </c>
      <c r="G716" s="217" t="s">
        <v>59</v>
      </c>
      <c r="H716" s="221" t="s">
        <v>2382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"/>
        <v>0</v>
      </c>
      <c r="S716" s="218">
        <v>4</v>
      </c>
      <c r="T716" s="217" t="s">
        <v>2386</v>
      </c>
    </row>
    <row r="717" spans="1:21" ht="22.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2102</v>
      </c>
      <c r="D717" s="209" t="s">
        <v>2387</v>
      </c>
      <c r="E717" s="244" t="s">
        <v>2402</v>
      </c>
      <c r="F717" s="211" t="s">
        <v>51</v>
      </c>
      <c r="G717" s="208" t="s">
        <v>59</v>
      </c>
      <c r="H717" s="212" t="s">
        <v>2388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"/>
        <v>0</v>
      </c>
      <c r="S717" s="209">
        <v>4</v>
      </c>
      <c r="T717" s="208" t="s">
        <v>1855</v>
      </c>
    </row>
    <row r="718" spans="1:21" ht="22.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2102</v>
      </c>
      <c r="D718" s="218" t="s">
        <v>2389</v>
      </c>
      <c r="E718" s="245" t="s">
        <v>2403</v>
      </c>
      <c r="F718" s="220" t="s">
        <v>51</v>
      </c>
      <c r="G718" s="217" t="s">
        <v>59</v>
      </c>
      <c r="H718" s="221" t="s">
        <v>2381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"/>
        <v>0</v>
      </c>
      <c r="S718" s="218">
        <v>4</v>
      </c>
      <c r="T718" s="217" t="s">
        <v>2391</v>
      </c>
    </row>
    <row r="719" spans="1:21" ht="22.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2102</v>
      </c>
      <c r="D719" s="209" t="s">
        <v>2392</v>
      </c>
      <c r="E719" s="244" t="s">
        <v>2404</v>
      </c>
      <c r="F719" s="211" t="s">
        <v>51</v>
      </c>
      <c r="G719" s="208" t="s">
        <v>59</v>
      </c>
      <c r="H719" s="212" t="s">
        <v>2375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"/>
        <v>0</v>
      </c>
      <c r="S719" s="209">
        <v>4</v>
      </c>
      <c r="T719" s="208" t="s">
        <v>2394</v>
      </c>
    </row>
    <row r="720" spans="1:21" ht="22.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2102</v>
      </c>
      <c r="D720" s="218" t="s">
        <v>2398</v>
      </c>
      <c r="E720" s="288" t="s">
        <v>2405</v>
      </c>
      <c r="F720" s="220" t="s">
        <v>51</v>
      </c>
      <c r="G720" s="217" t="s">
        <v>59</v>
      </c>
      <c r="H720" s="286" t="s">
        <v>2395</v>
      </c>
      <c r="I720" s="286" t="s">
        <v>2395</v>
      </c>
      <c r="J720" s="286" t="s">
        <v>2395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"/>
        <v>0</v>
      </c>
      <c r="S720" s="218">
        <v>4</v>
      </c>
      <c r="T720" s="217" t="s">
        <v>2397</v>
      </c>
    </row>
    <row r="721" spans="1:20" ht="22.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"/>
        <v/>
      </c>
      <c r="S721" s="209"/>
      <c r="T721" s="208"/>
    </row>
    <row r="722" spans="1:20" ht="22.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"/>
        <v/>
      </c>
      <c r="S722" s="218"/>
      <c r="T722" s="217"/>
    </row>
    <row r="723" spans="1:20" ht="22.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"/>
        <v/>
      </c>
      <c r="S723" s="209"/>
      <c r="T723" s="208"/>
    </row>
    <row r="724" spans="1:20" ht="22.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"/>
        <v/>
      </c>
      <c r="S724" s="218"/>
      <c r="T724" s="217"/>
    </row>
    <row r="725" spans="1:20" ht="22.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"/>
        <v/>
      </c>
      <c r="S725" s="209"/>
      <c r="T725" s="208"/>
    </row>
    <row r="726" spans="1:20" ht="22.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"/>
        <v/>
      </c>
      <c r="S726" s="218"/>
      <c r="T726" s="217"/>
    </row>
    <row r="727" spans="1:20" ht="22.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"/>
        <v/>
      </c>
      <c r="S727" s="209"/>
      <c r="T727" s="208"/>
    </row>
    <row r="728" spans="1:20" ht="22.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"/>
        <v/>
      </c>
      <c r="S728" s="218"/>
      <c r="T728" s="217"/>
    </row>
    <row r="729" spans="1:20" ht="22.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"/>
        <v/>
      </c>
      <c r="S729" s="209"/>
      <c r="T729" s="208"/>
    </row>
    <row r="730" spans="1:20" ht="22.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"/>
        <v/>
      </c>
      <c r="S730" s="218"/>
      <c r="T730" s="217"/>
    </row>
    <row r="731" spans="1:20" ht="22.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"/>
        <v/>
      </c>
      <c r="S731" s="209"/>
      <c r="T731" s="208"/>
    </row>
    <row r="732" spans="1:20" ht="22.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"/>
        <v/>
      </c>
      <c r="S732" s="218"/>
      <c r="T732" s="217"/>
    </row>
    <row r="733" spans="1:20" ht="22.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"/>
        <v/>
      </c>
      <c r="S733" s="209"/>
      <c r="T733" s="208"/>
    </row>
    <row r="734" spans="1:20" ht="22.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"/>
        <v/>
      </c>
      <c r="S734" s="218"/>
      <c r="T734" s="217"/>
    </row>
    <row r="735" spans="1:20" ht="22.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"/>
        <v/>
      </c>
      <c r="S735" s="209"/>
      <c r="T735" s="208"/>
    </row>
    <row r="736" spans="1:20" ht="22.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"/>
        <v/>
      </c>
      <c r="S736" s="218"/>
      <c r="T736" s="217"/>
    </row>
    <row r="737" spans="1:20" ht="22.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"/>
        <v/>
      </c>
      <c r="S737" s="209"/>
      <c r="T737" s="208"/>
    </row>
    <row r="738" spans="1:20" ht="22.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"/>
        <v/>
      </c>
      <c r="S738" s="218"/>
      <c r="T738" s="217"/>
    </row>
    <row r="739" spans="1:20" ht="22.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"/>
        <v/>
      </c>
      <c r="S739" s="209"/>
      <c r="T739" s="208"/>
    </row>
    <row r="740" spans="1:20" ht="22.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"/>
        <v/>
      </c>
      <c r="S740" s="218"/>
      <c r="T740" s="217"/>
    </row>
    <row r="741" spans="1:20" ht="22.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"/>
        <v/>
      </c>
      <c r="S741" s="209"/>
      <c r="T741" s="208"/>
    </row>
    <row r="742" spans="1:20" ht="22.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"/>
        <v/>
      </c>
      <c r="S742" s="218"/>
      <c r="T742" s="217"/>
    </row>
    <row r="743" spans="1:20" ht="22.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"/>
        <v/>
      </c>
      <c r="S743" s="209"/>
      <c r="T743" s="208"/>
    </row>
    <row r="744" spans="1:20" ht="22.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"/>
        <v/>
      </c>
      <c r="S744" s="218"/>
      <c r="T744" s="217"/>
    </row>
    <row r="745" spans="1:20" ht="22.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"/>
        <v/>
      </c>
      <c r="S745" s="209"/>
      <c r="T745" s="208"/>
    </row>
    <row r="746" spans="1:20" ht="22.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"/>
        <v/>
      </c>
      <c r="S746" s="218"/>
      <c r="T746" s="217"/>
    </row>
    <row r="747" spans="1:20" ht="22.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"/>
        <v/>
      </c>
      <c r="S747" s="209"/>
      <c r="T747" s="208"/>
    </row>
    <row r="748" spans="1:20" ht="22.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2">IF(B748="","",SUM(O748:Q748))</f>
        <v/>
      </c>
      <c r="S748" s="218"/>
      <c r="T748" s="217"/>
    </row>
    <row r="749" spans="1:20" ht="22.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2" priority="8">
      <formula>TRIM(C2)="Realizado"</formula>
    </cfRule>
    <cfRule type="expression" dxfId="51" priority="9">
      <formula>TRIM(C2)="Cancelado"</formula>
    </cfRule>
    <cfRule type="expression" dxfId="50" priority="10">
      <formula>TRIM(C2)="Adiado"</formula>
    </cfRule>
    <cfRule type="expression" dxfId="49" priority="11">
      <formula>AND(TRIM(C2)="A realizar",ISODD(ROW(C2)))</formula>
    </cfRule>
  </conditionalFormatting>
  <conditionalFormatting sqref="L680">
    <cfRule type="containsBlanks" dxfId="48" priority="5">
      <formula>LEN(TRIM(L680))=0</formula>
    </cfRule>
  </conditionalFormatting>
  <conditionalFormatting sqref="L689:L690">
    <cfRule type="containsBlanks" dxfId="47" priority="3">
      <formula>LEN(TRIM(L689))=0</formula>
    </cfRule>
  </conditionalFormatting>
  <conditionalFormatting sqref="M1:M513 L1:L537 L678">
    <cfRule type="containsBlanks" dxfId="46" priority="6">
      <formula>LEN(TRIM(L1))=0</formula>
    </cfRule>
  </conditionalFormatting>
  <conditionalFormatting sqref="M517:M675 L539:L675 L676:M676">
    <cfRule type="containsBlanks" dxfId="45" priority="7">
      <formula>LEN(TRIM(L517))=0</formula>
    </cfRule>
  </conditionalFormatting>
  <conditionalFormatting sqref="L704">
    <cfRule type="containsBlanks" dxfId="44" priority="2">
      <formula>LEN(TRIM(L704))=0</formula>
    </cfRule>
  </conditionalFormatting>
  <conditionalFormatting sqref="L695">
    <cfRule type="containsBlanks" dxfId="43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2195</v>
      </c>
      <c r="F1" s="280" t="s">
        <v>2196</v>
      </c>
    </row>
    <row r="2" spans="1:6" x14ac:dyDescent="0.25">
      <c r="F2" s="281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81" t="s">
        <v>2200</v>
      </c>
    </row>
    <row r="4" spans="1:6" x14ac:dyDescent="0.25">
      <c r="A4">
        <v>1</v>
      </c>
      <c r="B4" t="s">
        <v>2201</v>
      </c>
      <c r="D4" t="s">
        <v>2202</v>
      </c>
      <c r="F4" s="281" t="s">
        <v>2203</v>
      </c>
    </row>
    <row r="5" spans="1:6" x14ac:dyDescent="0.25">
      <c r="A5">
        <v>2</v>
      </c>
      <c r="B5" t="s">
        <v>1889</v>
      </c>
      <c r="D5" t="s">
        <v>2202</v>
      </c>
      <c r="F5" s="281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81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2235</v>
      </c>
      <c r="C1" s="96" t="s">
        <v>2236</v>
      </c>
      <c r="D1" s="96" t="s">
        <v>4</v>
      </c>
      <c r="E1" s="96" t="s">
        <v>2237</v>
      </c>
      <c r="F1" s="96" t="s">
        <v>19</v>
      </c>
      <c r="G1" s="96" t="s">
        <v>2238</v>
      </c>
      <c r="H1" s="96" t="s">
        <v>2239</v>
      </c>
      <c r="I1" s="96" t="s">
        <v>2240</v>
      </c>
      <c r="J1" s="96" t="s">
        <v>2241</v>
      </c>
      <c r="L1" s="129" t="s">
        <v>2242</v>
      </c>
      <c r="M1" s="100">
        <v>2026</v>
      </c>
      <c r="U1" s="162" t="s">
        <v>2243</v>
      </c>
      <c r="V1" s="161"/>
      <c r="X1" s="159" t="s">
        <v>2244</v>
      </c>
      <c r="Y1" s="107"/>
      <c r="Z1" s="107"/>
      <c r="AA1" s="107"/>
      <c r="AC1" s="253" t="s">
        <v>2245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2246</v>
      </c>
      <c r="M2" s="283" t="s">
        <v>2247</v>
      </c>
      <c r="X2" s="160" t="s">
        <v>2235</v>
      </c>
      <c r="Y2" s="160" t="s">
        <v>19</v>
      </c>
      <c r="Z2" s="160" t="s">
        <v>2248</v>
      </c>
      <c r="AA2" s="160" t="s">
        <v>2249</v>
      </c>
      <c r="AC2" s="254" t="s">
        <v>1</v>
      </c>
      <c r="AD2" s="254" t="s">
        <v>2250</v>
      </c>
      <c r="AE2" s="254" t="s">
        <v>2251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2252</v>
      </c>
      <c r="M3" s="19" t="s">
        <v>2253</v>
      </c>
      <c r="N3" s="19" t="s">
        <v>2254</v>
      </c>
      <c r="O3" s="19" t="s">
        <v>2255</v>
      </c>
      <c r="P3" s="19" t="s">
        <v>2256</v>
      </c>
      <c r="Q3" s="19" t="s">
        <v>2257</v>
      </c>
      <c r="R3" s="19" t="s">
        <v>2258</v>
      </c>
      <c r="S3" s="19" t="s">
        <v>2259</v>
      </c>
      <c r="T3" s="19" t="s">
        <v>2260</v>
      </c>
      <c r="X3" t="s">
        <v>2261</v>
      </c>
      <c r="Y3" t="s">
        <v>2042</v>
      </c>
      <c r="Z3">
        <v>0</v>
      </c>
      <c r="AA3">
        <v>0</v>
      </c>
      <c r="AC3" s="248">
        <v>2026</v>
      </c>
      <c r="AD3" s="95" t="s">
        <v>1358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48">
        <v>2026</v>
      </c>
      <c r="AD5" s="95" t="s">
        <v>2264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48">
        <v>2026</v>
      </c>
      <c r="AD6" s="95" t="s">
        <v>2265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2266</v>
      </c>
      <c r="Y7" t="s">
        <v>2042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5" t="s">
        <v>2209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5" t="s">
        <v>2268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5" t="s">
        <v>2209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5" t="s">
        <v>2268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2270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2270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2270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2270</v>
      </c>
      <c r="Y21" s="95" t="s">
        <v>2209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2270</v>
      </c>
      <c r="Y22" s="95" t="s">
        <v>2268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2271</v>
      </c>
      <c r="Y23" s="95" t="s">
        <v>2058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Em andamento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2271</v>
      </c>
      <c r="Y24" s="95" t="s">
        <v>2215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2272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2272</v>
      </c>
      <c r="Y26" s="95" t="s">
        <v>2220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2273</v>
      </c>
      <c r="Y27" s="95" t="s">
        <v>2058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2273</v>
      </c>
      <c r="Y28" s="95" t="s">
        <v>2215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2274</v>
      </c>
      <c r="Y29" s="95" t="s">
        <v>2058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2274</v>
      </c>
      <c r="Y30" s="95" t="s">
        <v>2215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2275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2276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2276</v>
      </c>
      <c r="Y33" t="s">
        <v>2228</v>
      </c>
      <c r="Z33">
        <v>4</v>
      </c>
      <c r="AA33">
        <v>0.6</v>
      </c>
      <c r="AC33" s="250"/>
      <c r="AD33" s="251" t="s">
        <v>2277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2276</v>
      </c>
      <c r="Y34" t="s">
        <v>2229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2276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Realizado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2278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Em andamento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5" t="s">
        <v>2058</v>
      </c>
      <c r="AA43">
        <v>2.4</v>
      </c>
    </row>
    <row r="44" spans="1:31" x14ac:dyDescent="0.25">
      <c r="A44">
        <v>2026</v>
      </c>
      <c r="B44" t="str">
        <v>2026-030</v>
      </c>
      <c r="C44" t="str">
        <v>Em andamento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5" t="s">
        <v>2215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Em andamento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Realizado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3" t="s">
        <v>2292</v>
      </c>
      <c r="B1" s="293"/>
      <c r="C1" s="293"/>
      <c r="D1" s="293"/>
      <c r="E1" s="293"/>
      <c r="F1" s="293"/>
      <c r="G1" s="293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4" t="s">
        <v>2293</v>
      </c>
      <c r="B4" s="295"/>
      <c r="D4" s="296" t="s">
        <v>2294</v>
      </c>
      <c r="E4" s="297"/>
      <c r="G4" s="125" t="s">
        <v>2295</v>
      </c>
    </row>
    <row r="5" spans="1:7" ht="54.95" customHeight="1" thickBot="1" x14ac:dyDescent="0.75">
      <c r="A5" s="115">
        <f>COUNTIF('Ações InCompany'!B:B,2026)</f>
        <v>64</v>
      </c>
      <c r="B5" s="116" t="s">
        <v>2296</v>
      </c>
      <c r="D5" s="123">
        <f>COUNTIFS('Ações InCompany'!B:B,2026,'Ações InCompany'!C:C,"Realizado")</f>
        <v>36</v>
      </c>
      <c r="E5" s="124" t="s">
        <v>2296</v>
      </c>
      <c r="G5" s="126">
        <f>COUNTIFS('Ações InCompany'!B:B,2026,'Ações InCompany'!C:C,"A realizar")</f>
        <v>23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1" t="s">
        <v>2297</v>
      </c>
      <c r="B8" s="291"/>
      <c r="D8" s="291" t="s">
        <v>2298</v>
      </c>
      <c r="E8" s="291"/>
    </row>
    <row r="9" spans="1:7" ht="5.0999999999999996" customHeight="1" x14ac:dyDescent="0.25">
      <c r="A9" s="292"/>
      <c r="B9" s="292"/>
      <c r="D9" s="292"/>
      <c r="E9" s="292"/>
    </row>
    <row r="10" spans="1:7" ht="24.95" customHeight="1" x14ac:dyDescent="0.25">
      <c r="A10" s="108" t="s">
        <v>5</v>
      </c>
      <c r="B10" s="108" t="s">
        <v>2299</v>
      </c>
      <c r="D10" s="108" t="s">
        <v>2300</v>
      </c>
      <c r="E10" s="108" t="s">
        <v>2301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2302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13</v>
      </c>
      <c r="D12" s="111" t="s">
        <v>2303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2304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2305</v>
      </c>
      <c r="B14" s="114">
        <f>SUM(B11:B13)</f>
        <v>36</v>
      </c>
      <c r="D14" s="113" t="s">
        <v>2306</v>
      </c>
      <c r="E14" s="114">
        <f>SUM(E11:E13)</f>
        <v>1556</v>
      </c>
    </row>
    <row r="30" spans="1:5" ht="17.25" x14ac:dyDescent="0.3">
      <c r="A30" s="291" t="s">
        <v>2307</v>
      </c>
      <c r="B30" s="291"/>
      <c r="C30" s="291"/>
      <c r="D30" s="291"/>
      <c r="E30" s="291"/>
    </row>
    <row r="31" spans="1:5" ht="5.0999999999999996" customHeight="1" x14ac:dyDescent="0.25">
      <c r="A31" s="292"/>
      <c r="B31" s="292"/>
      <c r="C31" s="292"/>
      <c r="D31" s="292"/>
      <c r="E31" s="292"/>
    </row>
    <row r="32" spans="1:5" ht="24.95" customHeight="1" x14ac:dyDescent="0.25">
      <c r="A32" s="108" t="s">
        <v>6</v>
      </c>
      <c r="B32" s="108" t="s">
        <v>2308</v>
      </c>
      <c r="C32" s="108" t="s">
        <v>2309</v>
      </c>
      <c r="D32" s="108" t="s">
        <v>2310</v>
      </c>
      <c r="E32" s="108" t="s">
        <v>2311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7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20</v>
      </c>
      <c r="E33" s="118">
        <f t="shared" ref="E33:E44" si="1">D33/$D$45</f>
        <v>0.33898305084745761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5.0847457627118647E-2</v>
      </c>
    </row>
    <row r="35" spans="1:5" ht="24" customHeight="1" x14ac:dyDescent="0.25">
      <c r="A35" s="109" t="s">
        <v>2056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0.10169491525423729</v>
      </c>
    </row>
    <row r="36" spans="1:5" ht="24" customHeight="1" x14ac:dyDescent="0.25">
      <c r="A36" s="111" t="s">
        <v>2040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3.3898305084745763E-2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3.3898305084745763E-2</v>
      </c>
    </row>
    <row r="38" spans="1:5" ht="24" customHeight="1" x14ac:dyDescent="0.25">
      <c r="A38" s="111" t="s">
        <v>2072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0.22033898305084745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6.7796610169491525E-2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0</v>
      </c>
      <c r="D40" s="153">
        <f>B40+C40</f>
        <v>0</v>
      </c>
      <c r="E40" s="158">
        <f>D40/$D$45</f>
        <v>0</v>
      </c>
    </row>
    <row r="41" spans="1:5" ht="24" customHeight="1" x14ac:dyDescent="0.25">
      <c r="A41" s="155" t="s">
        <v>2035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0.11864406779661017</v>
      </c>
    </row>
    <row r="42" spans="1:5" ht="24" customHeight="1" x14ac:dyDescent="0.25">
      <c r="A42" s="156" t="s">
        <v>2312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3.3898305084745763E-2</v>
      </c>
    </row>
    <row r="44" spans="1:5" ht="24" customHeight="1" x14ac:dyDescent="0.25">
      <c r="A44" s="148" t="s">
        <v>2313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2305</v>
      </c>
      <c r="B45" s="121">
        <f>SUM(B33:B44)</f>
        <v>36</v>
      </c>
      <c r="C45" s="121">
        <f>SUM(C33:C44)</f>
        <v>23</v>
      </c>
      <c r="D45" s="121">
        <f>SUM(D33:D44)</f>
        <v>59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58" t="s">
        <v>22</v>
      </c>
      <c r="B2" s="258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58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58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8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8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8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8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8" t="s">
        <v>2357</v>
      </c>
      <c r="B1" s="298"/>
      <c r="C1" s="298"/>
      <c r="D1" s="298"/>
      <c r="E1" s="298"/>
      <c r="F1" s="298"/>
      <c r="G1" s="298"/>
      <c r="H1" s="298"/>
    </row>
    <row r="2" spans="1:8" x14ac:dyDescent="0.25">
      <c r="A2" s="130" t="s">
        <v>2358</v>
      </c>
    </row>
    <row r="4" spans="1:8" ht="21.95" customHeight="1" x14ac:dyDescent="0.25">
      <c r="A4" s="299" t="s">
        <v>2359</v>
      </c>
      <c r="B4" s="300"/>
      <c r="D4" s="299" t="s">
        <v>2360</v>
      </c>
      <c r="E4" s="300"/>
      <c r="G4" s="299" t="s">
        <v>2361</v>
      </c>
      <c r="H4" s="300"/>
    </row>
    <row r="5" spans="1:8" ht="35.1" customHeight="1" x14ac:dyDescent="0.25">
      <c r="A5" s="303">
        <f>COUNTIF('Ações InCompany'!E:E,"*maratona*")</f>
        <v>13</v>
      </c>
      <c r="B5" s="302"/>
      <c r="D5" s="301">
        <f>SUM(H8:H100)</f>
        <v>1762</v>
      </c>
      <c r="E5" s="302"/>
      <c r="G5" s="301">
        <f>IFERROR(ROUND(D5/A5,0),"-")</f>
        <v>136</v>
      </c>
      <c r="H5" s="302"/>
    </row>
    <row r="6" spans="1:8" ht="9.9499999999999993" customHeight="1" x14ac:dyDescent="0.25"/>
    <row r="7" spans="1:8" ht="24.95" customHeight="1" thickBot="1" x14ac:dyDescent="0.3">
      <c r="A7" s="143" t="s">
        <v>2362</v>
      </c>
      <c r="B7" s="143" t="s">
        <v>2363</v>
      </c>
      <c r="C7" s="143" t="s">
        <v>1</v>
      </c>
      <c r="D7" s="143" t="s">
        <v>2364</v>
      </c>
      <c r="E7" s="143" t="s">
        <v>2365</v>
      </c>
      <c r="F7" s="143" t="s">
        <v>2236</v>
      </c>
      <c r="G7" s="143" t="s">
        <v>5</v>
      </c>
      <c r="H7" s="143" t="s">
        <v>2366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4" t="s">
        <v>2367</v>
      </c>
      <c r="B1" s="304"/>
      <c r="C1" s="304"/>
      <c r="D1" s="304"/>
      <c r="E1" s="304"/>
      <c r="F1" s="304"/>
    </row>
    <row r="2" spans="1:7" x14ac:dyDescent="0.25">
      <c r="A2" s="305" t="s">
        <v>2368</v>
      </c>
      <c r="B2" s="305"/>
      <c r="C2" s="305"/>
      <c r="D2" s="305"/>
      <c r="E2" s="305"/>
      <c r="F2" s="305"/>
    </row>
    <row r="4" spans="1:7" x14ac:dyDescent="0.25">
      <c r="A4" s="102" t="s">
        <v>19</v>
      </c>
      <c r="B4" s="102" t="s">
        <v>2239</v>
      </c>
      <c r="C4" s="102" t="s">
        <v>2240</v>
      </c>
      <c r="D4" s="102" t="s">
        <v>2369</v>
      </c>
      <c r="E4" s="102" t="s">
        <v>2241</v>
      </c>
      <c r="F4" s="102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2306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2026-07-21T17:42:04Z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