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61" documentId="13_ncr:1_{6A2CC3E2-FAFB-4D8F-B284-5E8FB5045DFE}" xr6:coauthVersionLast="47" xr6:coauthVersionMax="47" xr10:uidLastSave="{29879144-3DD5-429B-AA4C-CEE4F2B5A18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<sst xmlns="http://schemas.openxmlformats.org/spreadsheetml/2006/main" count="7360" uniqueCount="3232">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</sst>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49" fontId="49" fillId="0" borderId="1" xfId="0" applyNumberFormat="1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G709" activePane="bottomLeft" state="frozen"/>
      <selection pane="bottomLeft" activeCell="O714" sqref="O714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2026-090</v>
      </c>
    </row>
    <row r="4" spans="1:23" ht="1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/>
      <c r="I662" s="192"/>
      <c r="J662" s="192"/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2713</v>
      </c>
    </row>
    <row r="663" spans="1:20" ht="30">
      <c r="A663" s="191" t="s">
        <v>2714</v>
      </c>
      <c r="B663" s="127">
        <v>2026</v>
      </c>
      <c r="C663" s="164" t="s">
        <v>2697</v>
      </c>
      <c r="D663" s="127" t="s">
        <v>2715</v>
      </c>
      <c r="E663" s="162" t="s">
        <v>2716</v>
      </c>
      <c r="F663" s="129" t="s">
        <v>88</v>
      </c>
      <c r="G663" s="130" t="s">
        <v>2717</v>
      </c>
      <c r="H663" s="131" t="s">
        <v>2718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2719</v>
      </c>
    </row>
    <row r="664" spans="1:20" ht="15">
      <c r="A664" s="191" t="s">
        <v>2720</v>
      </c>
      <c r="B664" s="127">
        <v>2026</v>
      </c>
      <c r="C664" s="183" t="s">
        <v>22</v>
      </c>
      <c r="D664" s="183" t="s">
        <v>2721</v>
      </c>
      <c r="E664" s="184" t="s">
        <v>2722</v>
      </c>
      <c r="F664" s="185" t="s">
        <v>24</v>
      </c>
      <c r="G664" s="186" t="s">
        <v>25</v>
      </c>
      <c r="H664" s="191" t="s">
        <v>2723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2724</v>
      </c>
    </row>
    <row r="665" spans="1:20" ht="15">
      <c r="A665" s="137" t="s">
        <v>2725</v>
      </c>
      <c r="B665" s="127">
        <v>2026</v>
      </c>
      <c r="C665" s="183" t="s">
        <v>22</v>
      </c>
      <c r="D665" s="183" t="s">
        <v>2726</v>
      </c>
      <c r="E665" s="184" t="s">
        <v>2676</v>
      </c>
      <c r="F665" s="185" t="s">
        <v>24</v>
      </c>
      <c r="G665" s="186" t="s">
        <v>42</v>
      </c>
      <c r="H665" s="191" t="s">
        <v>2727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2728</v>
      </c>
      <c r="B666" s="127">
        <v>2026</v>
      </c>
      <c r="C666" s="183" t="s">
        <v>22</v>
      </c>
      <c r="D666" s="183" t="s">
        <v>2729</v>
      </c>
      <c r="E666" s="184" t="s">
        <v>2730</v>
      </c>
      <c r="F666" s="185" t="s">
        <v>24</v>
      </c>
      <c r="G666" s="186" t="s">
        <v>371</v>
      </c>
      <c r="H666" s="191" t="s">
        <v>2731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2732</v>
      </c>
      <c r="B667" s="127">
        <v>2026</v>
      </c>
      <c r="C667" s="127" t="s">
        <v>22</v>
      </c>
      <c r="D667" s="173" t="s">
        <v>2733</v>
      </c>
      <c r="E667" s="180" t="s">
        <v>2734</v>
      </c>
      <c r="F667" s="129" t="s">
        <v>88</v>
      </c>
      <c r="G667" s="130" t="s">
        <v>2717</v>
      </c>
      <c r="H667" s="175" t="s">
        <v>2735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2736</v>
      </c>
      <c r="B668" s="127">
        <v>2026</v>
      </c>
      <c r="C668" s="215" t="s">
        <v>22</v>
      </c>
      <c r="D668" s="183" t="s">
        <v>2737</v>
      </c>
      <c r="E668" s="184" t="s">
        <v>2738</v>
      </c>
      <c r="F668" s="185" t="s">
        <v>88</v>
      </c>
      <c r="G668" s="186" t="s">
        <v>2717</v>
      </c>
      <c r="H668" s="191" t="s">
        <v>2739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2740</v>
      </c>
      <c r="B669" s="127">
        <v>2026</v>
      </c>
      <c r="C669" s="127" t="s">
        <v>22</v>
      </c>
      <c r="D669" s="173" t="s">
        <v>2741</v>
      </c>
      <c r="E669" s="180" t="s">
        <v>2742</v>
      </c>
      <c r="F669" s="129" t="s">
        <v>69</v>
      </c>
      <c r="G669" s="174" t="s">
        <v>2694</v>
      </c>
      <c r="H669" s="175" t="s">
        <v>2743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2744</v>
      </c>
    </row>
    <row r="670" spans="1:20" ht="30">
      <c r="A670" s="191" t="s">
        <v>2745</v>
      </c>
      <c r="B670" s="127">
        <v>2026</v>
      </c>
      <c r="C670" s="127" t="s">
        <v>22</v>
      </c>
      <c r="D670" s="173" t="s">
        <v>2741</v>
      </c>
      <c r="E670" s="208" t="s">
        <v>2746</v>
      </c>
      <c r="F670" s="129" t="s">
        <v>69</v>
      </c>
      <c r="G670" s="174" t="s">
        <v>2694</v>
      </c>
      <c r="H670" s="175" t="s">
        <v>2747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2744</v>
      </c>
    </row>
    <row r="671" spans="1:20" ht="15">
      <c r="A671" s="191" t="s">
        <v>2748</v>
      </c>
      <c r="B671" s="127">
        <v>2026</v>
      </c>
      <c r="C671" s="183" t="s">
        <v>22</v>
      </c>
      <c r="D671" s="183" t="s">
        <v>2749</v>
      </c>
      <c r="E671" s="184" t="s">
        <v>2750</v>
      </c>
      <c r="F671" s="185" t="s">
        <v>69</v>
      </c>
      <c r="G671" s="186" t="s">
        <v>79</v>
      </c>
      <c r="H671" s="209" t="s">
        <v>2751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2752</v>
      </c>
    </row>
    <row r="672" spans="1:20" ht="15">
      <c r="A672" s="137" t="s">
        <v>2753</v>
      </c>
      <c r="B672" s="127">
        <v>2026</v>
      </c>
      <c r="C672" s="183" t="s">
        <v>22</v>
      </c>
      <c r="D672" s="183" t="s">
        <v>2754</v>
      </c>
      <c r="E672" s="184" t="s">
        <v>2755</v>
      </c>
      <c r="F672" s="185" t="s">
        <v>24</v>
      </c>
      <c r="G672" s="186" t="s">
        <v>25</v>
      </c>
      <c r="H672" s="191" t="s">
        <v>2756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2757</v>
      </c>
    </row>
    <row r="673" spans="1:20" ht="1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44" t="s">
        <v>371</v>
      </c>
      <c r="H673" s="155" t="s">
        <v>2761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2762</v>
      </c>
    </row>
    <row r="674" spans="1:20" ht="1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69</v>
      </c>
      <c r="G674" s="130" t="s">
        <v>2694</v>
      </c>
      <c r="H674" s="172" t="s">
        <v>2766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2767</v>
      </c>
    </row>
    <row r="675" spans="1:20" ht="15">
      <c r="A675" s="137" t="s">
        <v>2768</v>
      </c>
      <c r="B675" s="127">
        <v>2026</v>
      </c>
      <c r="C675" s="127" t="s">
        <v>22</v>
      </c>
      <c r="D675" s="173" t="s">
        <v>2769</v>
      </c>
      <c r="E675" s="128" t="s">
        <v>2770</v>
      </c>
      <c r="F675" s="129" t="s">
        <v>69</v>
      </c>
      <c r="G675" s="174" t="s">
        <v>2694</v>
      </c>
      <c r="H675" s="217" t="s">
        <v>2771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2767</v>
      </c>
    </row>
    <row r="676" spans="1:20" ht="15">
      <c r="A676" s="137" t="s">
        <v>2772</v>
      </c>
      <c r="B676" s="127">
        <v>2026</v>
      </c>
      <c r="C676" s="127" t="s">
        <v>22</v>
      </c>
      <c r="D676" s="127" t="s">
        <v>2773</v>
      </c>
      <c r="E676" s="128" t="s">
        <v>2774</v>
      </c>
      <c r="F676" s="129" t="s">
        <v>69</v>
      </c>
      <c r="G676" s="130" t="s">
        <v>79</v>
      </c>
      <c r="H676" s="127" t="s">
        <v>2775</v>
      </c>
      <c r="I676" s="132">
        <v>46105</v>
      </c>
      <c r="J676" s="132">
        <v>46105</v>
      </c>
      <c r="K676" s="127" t="s">
        <v>27</v>
      </c>
      <c r="L676" s="171">
        <v>0</v>
      </c>
      <c r="M676" s="134">
        <v>5</v>
      </c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2776</v>
      </c>
      <c r="B677" s="127">
        <v>2026</v>
      </c>
      <c r="C677" s="193" t="s">
        <v>2566</v>
      </c>
      <c r="D677" s="193" t="s">
        <v>2777</v>
      </c>
      <c r="E677" s="184" t="s">
        <v>2778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2779</v>
      </c>
      <c r="N677" s="199" t="s">
        <v>2779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2744</v>
      </c>
    </row>
    <row r="678" spans="1:20" ht="1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>
      <c r="A679" s="191" t="s">
        <v>2784</v>
      </c>
      <c r="B679" s="127">
        <v>2026</v>
      </c>
      <c r="C679" s="193" t="s">
        <v>22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2779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2788</v>
      </c>
    </row>
    <row r="680" spans="1:20" ht="1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2744</v>
      </c>
    </row>
    <row r="687" spans="1:20" ht="1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2779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2717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>
      <c r="A702" s="191" t="s">
        <v>2880</v>
      </c>
      <c r="B702" s="152">
        <v>2026</v>
      </c>
      <c r="C702" s="183" t="s">
        <v>22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2883</v>
      </c>
    </row>
    <row r="703" spans="1:20" ht="1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2887</v>
      </c>
    </row>
    <row r="704" spans="1:20" ht="1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2713</v>
      </c>
    </row>
    <row r="705" spans="1:21" ht="15">
      <c r="A705" s="191" t="s">
        <v>2892</v>
      </c>
      <c r="B705" s="152">
        <v>2026</v>
      </c>
      <c r="C705" s="183" t="s">
        <v>22</v>
      </c>
      <c r="D705" s="183" t="s">
        <v>2893</v>
      </c>
      <c r="E705" s="184" t="s">
        <v>2894</v>
      </c>
      <c r="F705" s="185" t="s">
        <v>69</v>
      </c>
      <c r="G705" s="186" t="s">
        <v>79</v>
      </c>
      <c r="H705" s="191" t="s">
        <v>2705</v>
      </c>
      <c r="I705" s="191" t="s">
        <v>2705</v>
      </c>
      <c r="J705" s="191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2895</v>
      </c>
    </row>
    <row r="706" spans="1:21" ht="15">
      <c r="A706" s="191" t="s">
        <v>2896</v>
      </c>
      <c r="B706" s="152">
        <v>2026</v>
      </c>
      <c r="C706" s="183" t="s">
        <v>22</v>
      </c>
      <c r="D706" s="183" t="s">
        <v>2897</v>
      </c>
      <c r="E706" s="184" t="s">
        <v>2894</v>
      </c>
      <c r="F706" s="185" t="s">
        <v>69</v>
      </c>
      <c r="G706" s="186" t="s">
        <v>79</v>
      </c>
      <c r="H706" s="191" t="s">
        <v>2898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>
      <c r="A707" s="191" t="s">
        <v>2899</v>
      </c>
      <c r="B707" s="152">
        <v>2026</v>
      </c>
      <c r="C707" s="183" t="s">
        <v>22</v>
      </c>
      <c r="D707" s="183" t="s">
        <v>2900</v>
      </c>
      <c r="E707" s="184" t="s">
        <v>2901</v>
      </c>
      <c r="F707" s="185" t="s">
        <v>69</v>
      </c>
      <c r="G707" s="186" t="s">
        <v>79</v>
      </c>
      <c r="H707" s="191" t="s">
        <v>2902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>
      <c r="A708" s="191" t="s">
        <v>2903</v>
      </c>
      <c r="B708" s="152">
        <v>2026</v>
      </c>
      <c r="C708" s="183" t="s">
        <v>22</v>
      </c>
      <c r="D708" s="183" t="s">
        <v>2904</v>
      </c>
      <c r="E708" s="184" t="s">
        <v>2905</v>
      </c>
      <c r="F708" s="185" t="s">
        <v>69</v>
      </c>
      <c r="G708" s="186" t="s">
        <v>79</v>
      </c>
      <c r="H708" s="191" t="s">
        <v>2898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2906</v>
      </c>
    </row>
    <row r="709" spans="1:21" ht="15">
      <c r="A709" s="191" t="s">
        <v>2907</v>
      </c>
      <c r="B709" s="152">
        <v>2026</v>
      </c>
      <c r="C709" s="183" t="s">
        <v>2697</v>
      </c>
      <c r="D709" s="183" t="s">
        <v>2908</v>
      </c>
      <c r="E709" s="184" t="s">
        <v>2909</v>
      </c>
      <c r="F709" s="185" t="s">
        <v>24</v>
      </c>
      <c r="G709" s="186" t="s">
        <v>75</v>
      </c>
      <c r="H709" s="191" t="s">
        <v>2910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2911</v>
      </c>
      <c r="U709" s="106"/>
    </row>
    <row r="710" spans="1:21" ht="15">
      <c r="A710" s="191" t="s">
        <v>2912</v>
      </c>
      <c r="B710" s="152">
        <v>2026</v>
      </c>
      <c r="C710" s="183" t="s">
        <v>22</v>
      </c>
      <c r="D710" s="183" t="s">
        <v>2913</v>
      </c>
      <c r="E710" s="184" t="s">
        <v>2914</v>
      </c>
      <c r="F710" s="185" t="s">
        <v>69</v>
      </c>
      <c r="G710" s="186" t="s">
        <v>79</v>
      </c>
      <c r="H710" s="191" t="s">
        <v>2915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2916</v>
      </c>
      <c r="B711" s="152">
        <v>2026</v>
      </c>
      <c r="C711" s="183" t="s">
        <v>22</v>
      </c>
      <c r="D711" s="183" t="s">
        <v>2917</v>
      </c>
      <c r="E711" s="184" t="s">
        <v>2918</v>
      </c>
      <c r="F711" s="185" t="s">
        <v>24</v>
      </c>
      <c r="G711" s="186" t="s">
        <v>206</v>
      </c>
      <c r="H711" s="191" t="s">
        <v>2898</v>
      </c>
      <c r="I711" s="191" t="s">
        <v>2898</v>
      </c>
      <c r="J711" s="191" t="s">
        <v>2898</v>
      </c>
      <c r="K711" s="183" t="s">
        <v>27</v>
      </c>
      <c r="L711" s="187">
        <v>2000</v>
      </c>
      <c r="M711" s="188">
        <v>0</v>
      </c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2919</v>
      </c>
    </row>
    <row r="712" spans="1:21" ht="15">
      <c r="A712" s="137" t="s">
        <v>2920</v>
      </c>
      <c r="B712" s="152">
        <v>2026</v>
      </c>
      <c r="C712" s="127" t="s">
        <v>22</v>
      </c>
      <c r="D712" s="131" t="s">
        <v>2921</v>
      </c>
      <c r="E712" s="128" t="s">
        <v>2922</v>
      </c>
      <c r="F712" s="129" t="s">
        <v>69</v>
      </c>
      <c r="G712" s="130" t="s">
        <v>79</v>
      </c>
      <c r="H712" s="131" t="s">
        <v>2923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2924</v>
      </c>
      <c r="B713" s="152">
        <v>2026</v>
      </c>
      <c r="C713" s="127" t="s">
        <v>22</v>
      </c>
      <c r="D713" s="131" t="s">
        <v>2921</v>
      </c>
      <c r="E713" s="128" t="s">
        <v>2925</v>
      </c>
      <c r="F713" s="129" t="s">
        <v>69</v>
      </c>
      <c r="G713" s="130" t="s">
        <v>79</v>
      </c>
      <c r="H713" s="131" t="s">
        <v>2926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>
      <c r="A714" s="191" t="s">
        <v>2927</v>
      </c>
      <c r="B714" s="152">
        <v>2026</v>
      </c>
      <c r="C714" s="183" t="s">
        <v>22</v>
      </c>
      <c r="D714" s="183" t="s">
        <v>2928</v>
      </c>
      <c r="E714" s="184" t="s">
        <v>2929</v>
      </c>
      <c r="F714" s="185" t="s">
        <v>88</v>
      </c>
      <c r="G714" s="186" t="s">
        <v>2717</v>
      </c>
      <c r="H714" s="191" t="s">
        <v>2930</v>
      </c>
      <c r="I714" s="192">
        <v>46254</v>
      </c>
      <c r="J714" s="192">
        <v>46254</v>
      </c>
      <c r="K714" s="183" t="s">
        <v>38</v>
      </c>
      <c r="L714" s="187"/>
      <c r="M714" s="188"/>
      <c r="N714" s="226">
        <v>80</v>
      </c>
      <c r="O714" s="190">
        <v>0</v>
      </c>
      <c r="P714" s="190">
        <v>0</v>
      </c>
      <c r="Q714" s="190">
        <v>80</v>
      </c>
      <c r="R714" s="190">
        <f t="shared" ref="R714:R719" si="13">IF(B714="","",SUM(O714:Q714))</f>
        <v>80</v>
      </c>
      <c r="S714" s="183">
        <v>4</v>
      </c>
      <c r="T714" s="228" t="s">
        <v>2931</v>
      </c>
    </row>
    <row r="715" spans="1:21" ht="30">
      <c r="A715" s="191" t="s">
        <v>2932</v>
      </c>
      <c r="B715" s="152">
        <v>2026</v>
      </c>
      <c r="C715" s="183" t="s">
        <v>22</v>
      </c>
      <c r="D715" s="183" t="s">
        <v>2928</v>
      </c>
      <c r="E715" s="184" t="s">
        <v>2933</v>
      </c>
      <c r="F715" s="185" t="s">
        <v>88</v>
      </c>
      <c r="G715" s="186" t="s">
        <v>2717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2931</v>
      </c>
    </row>
    <row r="716" spans="1:21" ht="15">
      <c r="A716" s="191" t="s">
        <v>2935</v>
      </c>
      <c r="B716" s="152">
        <v>2026</v>
      </c>
      <c r="C716" s="183" t="s">
        <v>2697</v>
      </c>
      <c r="D716" s="183" t="s">
        <v>2928</v>
      </c>
      <c r="E716" s="184" t="s">
        <v>2936</v>
      </c>
      <c r="F716" s="185" t="s">
        <v>88</v>
      </c>
      <c r="G716" s="186" t="s">
        <v>2717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2697</v>
      </c>
      <c r="D717" s="183" t="s">
        <v>2928</v>
      </c>
      <c r="E717" s="184" t="s">
        <v>2939</v>
      </c>
      <c r="F717" s="185" t="s">
        <v>88</v>
      </c>
      <c r="G717" s="186" t="s">
        <v>2717</v>
      </c>
      <c r="H717" s="191" t="s">
        <v>2940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2941</v>
      </c>
      <c r="B718" s="152">
        <v>2026</v>
      </c>
      <c r="C718" s="183" t="s">
        <v>2697</v>
      </c>
      <c r="D718" s="183" t="s">
        <v>2928</v>
      </c>
      <c r="E718" s="184" t="s">
        <v>2942</v>
      </c>
      <c r="F718" s="185" t="s">
        <v>88</v>
      </c>
      <c r="G718" s="186" t="s">
        <v>2717</v>
      </c>
      <c r="H718" s="191" t="s">
        <v>2943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2944</v>
      </c>
      <c r="B719" s="152">
        <v>2026</v>
      </c>
      <c r="C719" s="183" t="s">
        <v>2697</v>
      </c>
      <c r="D719" s="183" t="s">
        <v>2928</v>
      </c>
      <c r="E719" s="184" t="s">
        <v>2945</v>
      </c>
      <c r="F719" s="185" t="s">
        <v>88</v>
      </c>
      <c r="G719" s="186" t="s">
        <v>2717</v>
      </c>
      <c r="H719" s="191" t="s">
        <v>2946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2947</v>
      </c>
      <c r="B720" s="152">
        <v>2026</v>
      </c>
      <c r="C720" s="127" t="s">
        <v>22</v>
      </c>
      <c r="D720" s="127" t="s">
        <v>2948</v>
      </c>
      <c r="E720" s="128" t="s">
        <v>2949</v>
      </c>
      <c r="F720" s="129" t="s">
        <v>24</v>
      </c>
      <c r="G720" s="130" t="s">
        <v>206</v>
      </c>
      <c r="H720" s="131" t="s">
        <v>2950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2951</v>
      </c>
    </row>
    <row r="721" spans="1:20" ht="45">
      <c r="A721" s="137" t="s">
        <v>2952</v>
      </c>
      <c r="B721" s="152">
        <v>2026</v>
      </c>
      <c r="C721" s="152" t="s">
        <v>22</v>
      </c>
      <c r="D721" s="152" t="s">
        <v>2928</v>
      </c>
      <c r="E721" s="153" t="s">
        <v>2953</v>
      </c>
      <c r="F721" s="161" t="s">
        <v>88</v>
      </c>
      <c r="G721" s="168" t="s">
        <v>2717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2955</v>
      </c>
    </row>
    <row r="722" spans="1:20" ht="45">
      <c r="A722" s="137" t="s">
        <v>2956</v>
      </c>
      <c r="B722" s="127">
        <v>2026</v>
      </c>
      <c r="C722" s="127" t="s">
        <v>22</v>
      </c>
      <c r="D722" s="127" t="s">
        <v>2928</v>
      </c>
      <c r="E722" s="128" t="s">
        <v>2957</v>
      </c>
      <c r="F722" s="129" t="s">
        <v>88</v>
      </c>
      <c r="G722" s="164" t="s">
        <v>2717</v>
      </c>
      <c r="H722" s="131" t="s">
        <v>2958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2959</v>
      </c>
    </row>
    <row r="723" spans="1:20" ht="15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2717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2717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 t="s">
        <v>88</v>
      </c>
      <c r="G725" s="186" t="s">
        <v>2717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 t="s">
        <v>88</v>
      </c>
      <c r="G726" s="186" t="s">
        <v>2717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 t="s">
        <v>88</v>
      </c>
      <c r="G727" s="186" t="s">
        <v>2717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2975</v>
      </c>
      <c r="B728" s="183">
        <v>2026</v>
      </c>
      <c r="C728" s="183" t="s">
        <v>22</v>
      </c>
      <c r="D728" s="183" t="s">
        <v>2961</v>
      </c>
      <c r="E728" s="180" t="s">
        <v>2976</v>
      </c>
      <c r="F728" s="185" t="s">
        <v>88</v>
      </c>
      <c r="G728" s="186" t="s">
        <v>2717</v>
      </c>
      <c r="H728" s="191" t="s">
        <v>2977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>
      <c r="A729" s="191" t="s">
        <v>2978</v>
      </c>
      <c r="B729" s="183">
        <v>2026</v>
      </c>
      <c r="C729" s="183" t="s">
        <v>2697</v>
      </c>
      <c r="D729" s="183" t="s">
        <v>2961</v>
      </c>
      <c r="E729" s="180" t="s">
        <v>2979</v>
      </c>
      <c r="F729" s="185" t="s">
        <v>88</v>
      </c>
      <c r="G729" s="186" t="s">
        <v>2717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2980</v>
      </c>
      <c r="B730" s="183">
        <v>2026</v>
      </c>
      <c r="C730" s="183" t="s">
        <v>2697</v>
      </c>
      <c r="D730" s="183" t="s">
        <v>2961</v>
      </c>
      <c r="E730" s="203" t="s">
        <v>2981</v>
      </c>
      <c r="F730" s="185" t="s">
        <v>88</v>
      </c>
      <c r="G730" s="186" t="s">
        <v>2717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2982</v>
      </c>
      <c r="B731" s="183">
        <v>2026</v>
      </c>
      <c r="C731" s="183" t="s">
        <v>2697</v>
      </c>
      <c r="D731" s="183" t="s">
        <v>2961</v>
      </c>
      <c r="E731" s="203" t="s">
        <v>2983</v>
      </c>
      <c r="F731" s="185" t="s">
        <v>88</v>
      </c>
      <c r="G731" s="186" t="s">
        <v>2717</v>
      </c>
      <c r="H731" s="191" t="s">
        <v>2984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2985</v>
      </c>
      <c r="B732" s="183">
        <v>2026</v>
      </c>
      <c r="C732" s="183" t="s">
        <v>2697</v>
      </c>
      <c r="D732" s="183" t="s">
        <v>2986</v>
      </c>
      <c r="E732" s="184" t="s">
        <v>2987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2988</v>
      </c>
      <c r="B733" s="183">
        <v>2026</v>
      </c>
      <c r="C733" s="183" t="s">
        <v>2697</v>
      </c>
      <c r="D733" s="183"/>
      <c r="E733" s="203" t="s">
        <v>2989</v>
      </c>
      <c r="F733" s="185" t="s">
        <v>24</v>
      </c>
      <c r="G733" s="186" t="s">
        <v>2717</v>
      </c>
      <c r="H733" s="191" t="s">
        <v>2990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2991</v>
      </c>
      <c r="B734" s="183">
        <v>2026</v>
      </c>
      <c r="C734" s="183" t="s">
        <v>2697</v>
      </c>
      <c r="D734" s="183" t="s">
        <v>2992</v>
      </c>
      <c r="E734" s="184" t="s">
        <v>2993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2994</v>
      </c>
      <c r="E735" s="184" t="s">
        <v>2995</v>
      </c>
      <c r="F735" s="185" t="s">
        <v>24</v>
      </c>
      <c r="G735" s="186" t="s">
        <v>206</v>
      </c>
      <c r="H735" s="191" t="s">
        <v>2996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2997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2790</v>
      </c>
      <c r="D736" s="183" t="s">
        <v>2998</v>
      </c>
      <c r="E736" s="184" t="s">
        <v>2999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91" t="s">
        <v>3000</v>
      </c>
      <c r="B737" s="183">
        <v>2026</v>
      </c>
      <c r="C737" s="183" t="s">
        <v>2697</v>
      </c>
      <c r="D737" s="183" t="s">
        <v>3001</v>
      </c>
      <c r="E737" s="180" t="s">
        <v>3002</v>
      </c>
      <c r="F737" s="185" t="s">
        <v>69</v>
      </c>
      <c r="G737" s="186" t="s">
        <v>79</v>
      </c>
      <c r="H737" s="191" t="s">
        <v>3003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2713</v>
      </c>
    </row>
    <row r="738" spans="1:20" ht="15">
      <c r="A738" s="191" t="s">
        <v>3004</v>
      </c>
      <c r="B738" s="183">
        <v>2026</v>
      </c>
      <c r="C738" s="183" t="s">
        <v>2697</v>
      </c>
      <c r="D738" s="183" t="s">
        <v>3005</v>
      </c>
      <c r="E738" s="180" t="s">
        <v>3006</v>
      </c>
      <c r="F738" s="185" t="s">
        <v>69</v>
      </c>
      <c r="G738" s="186" t="s">
        <v>2694</v>
      </c>
      <c r="H738" s="191" t="s">
        <v>3007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3008</v>
      </c>
    </row>
    <row r="739" spans="1:20" ht="15">
      <c r="A739" s="191" t="s">
        <v>3009</v>
      </c>
      <c r="B739" s="183">
        <v>2026</v>
      </c>
      <c r="C739" s="183" t="s">
        <v>22</v>
      </c>
      <c r="D739" s="183" t="s">
        <v>3010</v>
      </c>
      <c r="E739" s="180" t="s">
        <v>3011</v>
      </c>
      <c r="F739" s="185" t="s">
        <v>24</v>
      </c>
      <c r="G739" s="186" t="s">
        <v>2700</v>
      </c>
      <c r="H739" s="191" t="s">
        <v>3012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>
      <c r="A740" s="191" t="s">
        <v>3013</v>
      </c>
      <c r="B740" s="183">
        <v>2026</v>
      </c>
      <c r="C740" s="183" t="s">
        <v>2697</v>
      </c>
      <c r="D740" s="183" t="s">
        <v>3014</v>
      </c>
      <c r="E740" s="180" t="s">
        <v>3015</v>
      </c>
      <c r="F740" s="185" t="s">
        <v>24</v>
      </c>
      <c r="G740" s="186" t="s">
        <v>2700</v>
      </c>
      <c r="H740" s="191" t="s">
        <v>3016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>
      <c r="A741" s="191" t="s">
        <v>3017</v>
      </c>
      <c r="B741" s="183">
        <v>2026</v>
      </c>
      <c r="C741" s="183" t="s">
        <v>2697</v>
      </c>
      <c r="D741" s="183" t="s">
        <v>3018</v>
      </c>
      <c r="E741" s="180" t="s">
        <v>3019</v>
      </c>
      <c r="F741" s="185" t="s">
        <v>24</v>
      </c>
      <c r="G741" s="186" t="s">
        <v>2700</v>
      </c>
      <c r="H741" s="191" t="s">
        <v>3020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2827</v>
      </c>
    </row>
    <row r="742" spans="1:20" ht="15">
      <c r="A742" s="191" t="s">
        <v>3021</v>
      </c>
      <c r="B742" s="183">
        <v>2026</v>
      </c>
      <c r="C742" s="183" t="s">
        <v>2697</v>
      </c>
      <c r="D742" s="183" t="s">
        <v>3018</v>
      </c>
      <c r="E742" s="184" t="s">
        <v>3022</v>
      </c>
      <c r="F742" s="185" t="s">
        <v>24</v>
      </c>
      <c r="G742" s="186" t="s">
        <v>2700</v>
      </c>
      <c r="H742" s="191" t="s">
        <v>3023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2827</v>
      </c>
    </row>
    <row r="743" spans="1:20" ht="15">
      <c r="A743" s="191" t="s">
        <v>3024</v>
      </c>
      <c r="B743" s="183">
        <v>2027</v>
      </c>
      <c r="C743" s="183" t="s">
        <v>2697</v>
      </c>
      <c r="D743" s="183" t="s">
        <v>3025</v>
      </c>
      <c r="E743" s="184" t="s">
        <v>3026</v>
      </c>
      <c r="F743" s="185" t="s">
        <v>24</v>
      </c>
      <c r="G743" s="186" t="s">
        <v>206</v>
      </c>
      <c r="H743" s="191" t="s">
        <v>3027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2997</v>
      </c>
    </row>
    <row r="744" spans="1:20" ht="15">
      <c r="A744" s="191" t="s">
        <v>3028</v>
      </c>
      <c r="B744" s="183">
        <v>2026</v>
      </c>
      <c r="C744" s="183" t="s">
        <v>2697</v>
      </c>
      <c r="D744" s="183" t="s">
        <v>3029</v>
      </c>
      <c r="E744" s="229" t="s">
        <v>3030</v>
      </c>
      <c r="F744" s="185" t="s">
        <v>24</v>
      </c>
      <c r="G744" s="186" t="s">
        <v>206</v>
      </c>
      <c r="H744" s="191" t="s">
        <v>3031</v>
      </c>
      <c r="I744" s="192">
        <v>46314</v>
      </c>
      <c r="J744" s="192">
        <v>46318</v>
      </c>
      <c r="K744" s="183" t="s">
        <v>27</v>
      </c>
      <c r="L744" s="187">
        <v>19900</v>
      </c>
      <c r="M744" s="188"/>
      <c r="N744" s="189"/>
      <c r="O744" s="190"/>
      <c r="P744" s="190"/>
      <c r="Q744" s="190"/>
      <c r="R744" s="190">
        <f t="shared" si="14"/>
        <v>0</v>
      </c>
      <c r="S744" s="183">
        <v>16</v>
      </c>
      <c r="T744" s="186" t="s">
        <v>803</v>
      </c>
    </row>
    <row r="745" spans="1:20" ht="15">
      <c r="A745" s="191" t="s">
        <v>3032</v>
      </c>
      <c r="B745" s="183">
        <v>2026</v>
      </c>
      <c r="C745" s="183" t="s">
        <v>2697</v>
      </c>
      <c r="D745" s="183" t="s">
        <v>3029</v>
      </c>
      <c r="E745" s="229" t="s">
        <v>3033</v>
      </c>
      <c r="F745" s="185" t="s">
        <v>24</v>
      </c>
      <c r="G745" s="186" t="s">
        <v>206</v>
      </c>
      <c r="H745" s="191" t="s">
        <v>3034</v>
      </c>
      <c r="I745" s="192">
        <v>46349</v>
      </c>
      <c r="J745" s="192">
        <v>46352</v>
      </c>
      <c r="K745" s="183" t="s">
        <v>27</v>
      </c>
      <c r="L745" s="187">
        <v>18900</v>
      </c>
      <c r="M745" s="188"/>
      <c r="N745" s="189"/>
      <c r="O745" s="190"/>
      <c r="P745" s="190"/>
      <c r="Q745" s="190"/>
      <c r="R745" s="190">
        <f t="shared" si="14"/>
        <v>0</v>
      </c>
      <c r="S745" s="183">
        <v>16</v>
      </c>
      <c r="T745" s="186" t="s">
        <v>803</v>
      </c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3035</v>
      </c>
      <c r="H1" s="213" t="s">
        <v>3036</v>
      </c>
    </row>
    <row r="2" spans="1:8">
      <c r="H2" s="212" t="s">
        <v>3037</v>
      </c>
    </row>
    <row r="3" spans="1:8">
      <c r="A3" t="s">
        <v>0</v>
      </c>
      <c r="B3" t="s">
        <v>19</v>
      </c>
      <c r="C3" t="s">
        <v>3038</v>
      </c>
      <c r="D3" t="s">
        <v>3039</v>
      </c>
      <c r="E3" t="s">
        <v>3040</v>
      </c>
      <c r="H3" s="212" t="s">
        <v>3041</v>
      </c>
    </row>
    <row r="4" spans="1:8">
      <c r="A4">
        <v>1</v>
      </c>
      <c r="B4" t="s">
        <v>3042</v>
      </c>
      <c r="D4" t="s">
        <v>3043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3044</v>
      </c>
    </row>
    <row r="5" spans="1:8">
      <c r="A5">
        <v>2</v>
      </c>
      <c r="B5" t="s">
        <v>2507</v>
      </c>
      <c r="D5" t="s">
        <v>3043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3045</v>
      </c>
    </row>
    <row r="6" spans="1:8">
      <c r="A6">
        <v>3</v>
      </c>
      <c r="B6" t="s">
        <v>1030</v>
      </c>
      <c r="D6" t="s">
        <v>3043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3046</v>
      </c>
      <c r="D7" t="s">
        <v>3043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3047</v>
      </c>
    </row>
    <row r="8" spans="1:8">
      <c r="A8">
        <v>5</v>
      </c>
      <c r="B8" t="s">
        <v>3048</v>
      </c>
      <c r="D8" t="s">
        <v>3043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3043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3043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3049</v>
      </c>
      <c r="D23" t="s">
        <v>3043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3050</v>
      </c>
      <c r="D25" t="s">
        <v>3043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3051</v>
      </c>
      <c r="D26" t="s">
        <v>3043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3052</v>
      </c>
      <c r="D29" t="s">
        <v>3043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3053</v>
      </c>
      <c r="D33" t="s">
        <v>3043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3054</v>
      </c>
      <c r="D34" t="s">
        <v>3043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3055</v>
      </c>
      <c r="D38" t="s">
        <v>3043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3056</v>
      </c>
      <c r="D39" t="s">
        <v>3043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3057</v>
      </c>
      <c r="D41" t="s">
        <v>3043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3058</v>
      </c>
      <c r="D44" t="s">
        <v>3043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3059</v>
      </c>
      <c r="D49" t="s">
        <v>3043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3060</v>
      </c>
      <c r="D51" t="s">
        <v>3043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3061</v>
      </c>
      <c r="D54" t="s">
        <v>3043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3062</v>
      </c>
      <c r="D58" t="s">
        <v>3043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3063</v>
      </c>
      <c r="D61" t="s">
        <v>3043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3064</v>
      </c>
      <c r="D62" t="s">
        <v>3043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3065</v>
      </c>
      <c r="D63" t="s">
        <v>3043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3066</v>
      </c>
      <c r="D64" t="s">
        <v>3043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3043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3067</v>
      </c>
      <c r="D67" t="s">
        <v>3043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3068</v>
      </c>
      <c r="D68" t="s">
        <v>3043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3069</v>
      </c>
      <c r="D70" t="s">
        <v>3043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3070</v>
      </c>
      <c r="D74" t="s">
        <v>3043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3071</v>
      </c>
      <c r="D79" t="s">
        <v>3043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3072</v>
      </c>
      <c r="D80" t="s">
        <v>3043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3073</v>
      </c>
      <c r="D81" t="s">
        <v>3043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3074</v>
      </c>
      <c r="D82" t="s">
        <v>3043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3075</v>
      </c>
      <c r="D84" t="s">
        <v>3043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3076</v>
      </c>
      <c r="D86" t="s">
        <v>3043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3077</v>
      </c>
      <c r="D87" t="s">
        <v>3043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3078</v>
      </c>
      <c r="D88" t="s">
        <v>3043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3079</v>
      </c>
      <c r="D89" t="s">
        <v>3043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3080</v>
      </c>
      <c r="D90" t="s">
        <v>3043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3081</v>
      </c>
      <c r="D91" t="s">
        <v>3043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3082</v>
      </c>
      <c r="D92" t="s">
        <v>3043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3083</v>
      </c>
      <c r="D93" t="s">
        <v>3043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3084</v>
      </c>
      <c r="D94" t="s">
        <v>3043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3043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3085</v>
      </c>
      <c r="D96" t="s">
        <v>3043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3043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3086</v>
      </c>
      <c r="D98" t="s">
        <v>3043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3087</v>
      </c>
      <c r="D99" t="s">
        <v>3043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3088</v>
      </c>
      <c r="D100" t="s">
        <v>3043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3089</v>
      </c>
      <c r="D101" t="s">
        <v>3043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3090</v>
      </c>
      <c r="D103" t="s">
        <v>3043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3091</v>
      </c>
      <c r="D104" t="s">
        <v>3043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3092</v>
      </c>
      <c r="D105" t="s">
        <v>3043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3043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3043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3093</v>
      </c>
      <c r="D108" t="s">
        <v>3043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3094</v>
      </c>
      <c r="C1" s="19" t="s">
        <v>3095</v>
      </c>
      <c r="D1" s="19" t="s">
        <v>4</v>
      </c>
      <c r="E1" s="19" t="s">
        <v>3096</v>
      </c>
      <c r="F1" s="19" t="s">
        <v>19</v>
      </c>
      <c r="G1" s="19" t="s">
        <v>3097</v>
      </c>
      <c r="H1" s="19" t="s">
        <v>3098</v>
      </c>
      <c r="I1" s="19" t="s">
        <v>3099</v>
      </c>
      <c r="J1" s="19" t="s">
        <v>3100</v>
      </c>
      <c r="L1" s="112" t="s">
        <v>3101</v>
      </c>
      <c r="M1" s="23">
        <v>2026</v>
      </c>
      <c r="U1" s="80" t="s">
        <v>3102</v>
      </c>
      <c r="V1" s="79"/>
      <c r="X1" s="78" t="s">
        <v>3103</v>
      </c>
      <c r="Y1" s="27"/>
      <c r="Z1" s="27"/>
      <c r="AA1" s="27"/>
      <c r="AC1" s="100" t="s">
        <v>3104</v>
      </c>
    </row>
    <row r="2" spans="1:31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3105</v>
      </c>
      <c r="M2" s="107" t="s">
        <v>2927</v>
      </c>
      <c r="X2" s="114" t="s">
        <v>3094</v>
      </c>
      <c r="Y2" s="114" t="s">
        <v>19</v>
      </c>
      <c r="Z2" s="114" t="s">
        <v>3106</v>
      </c>
      <c r="AA2" s="114" t="s">
        <v>3107</v>
      </c>
      <c r="AC2" s="115" t="s">
        <v>1</v>
      </c>
      <c r="AD2" s="115" t="s">
        <v>3108</v>
      </c>
      <c r="AE2" s="115" t="s">
        <v>3109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3110</v>
      </c>
      <c r="M3" s="113" t="s">
        <v>3111</v>
      </c>
      <c r="N3" s="113" t="s">
        <v>3112</v>
      </c>
      <c r="O3" s="113" t="s">
        <v>3113</v>
      </c>
      <c r="P3" s="113" t="s">
        <v>3114</v>
      </c>
      <c r="Q3" s="113" t="s">
        <v>3115</v>
      </c>
      <c r="R3" s="113" t="s">
        <v>3116</v>
      </c>
      <c r="S3" s="113" t="s">
        <v>3117</v>
      </c>
      <c r="T3" s="113" t="s">
        <v>3118</v>
      </c>
      <c r="X3" t="s">
        <v>2836</v>
      </c>
      <c r="Y3" t="s">
        <v>3056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3119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3056</v>
      </c>
      <c r="Z6">
        <v>1</v>
      </c>
      <c r="AA6">
        <v>0</v>
      </c>
      <c r="AC6" s="97">
        <v>2026</v>
      </c>
      <c r="AD6" s="18" t="s">
        <v>3120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8" t="s">
        <v>3050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8" t="s">
        <v>3068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8" t="s">
        <v>3050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8" t="s">
        <v>3068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3050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3068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3056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3056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2720</v>
      </c>
      <c r="Y28" s="18" t="s">
        <v>3091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2720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2720</v>
      </c>
      <c r="Y30" s="18" t="s">
        <v>3087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2753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2753</v>
      </c>
      <c r="Y33" t="s">
        <v>3069</v>
      </c>
      <c r="Z33">
        <v>4</v>
      </c>
      <c r="AA33">
        <v>0.6</v>
      </c>
      <c r="AC33" s="99"/>
      <c r="AD33" s="116" t="s">
        <v>3121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2753</v>
      </c>
      <c r="Y34" t="s">
        <v>3070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2753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3061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8" t="s">
        <v>3078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3077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3089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3086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3088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3085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3122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2784</v>
      </c>
      <c r="Y55" t="s">
        <v>3077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10" t="s">
        <v>3084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3074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3072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3056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3061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3075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3079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3076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3080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3062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3062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3062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3123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3123</v>
      </c>
      <c r="Y87" t="s">
        <v>3074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3123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R138" t="str">
        <f ca="1"/>
        <v/>
      </c>
      <c r="S138" t="str">
        <f ca="1"/>
        <v/>
      </c>
    </row>
    <row r="139" spans="1:19"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31" t="s">
        <v>3124</v>
      </c>
      <c r="B1" s="231"/>
      <c r="C1" s="231"/>
      <c r="D1" s="231"/>
      <c r="E1" s="231"/>
      <c r="F1" s="231"/>
      <c r="G1" s="231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2" t="s">
        <v>3125</v>
      </c>
      <c r="B4" s="233"/>
      <c r="D4" s="234" t="s">
        <v>3126</v>
      </c>
      <c r="E4" s="235"/>
      <c r="G4" s="45" t="s">
        <v>3127</v>
      </c>
    </row>
    <row r="5" spans="1:7" ht="54.95" customHeight="1" thickBot="1">
      <c r="A5" s="35">
        <f>COUNTIF('Ações InCompany'!B:B,2026)</f>
        <v>88</v>
      </c>
      <c r="B5" s="36" t="s">
        <v>3128</v>
      </c>
      <c r="D5" s="43">
        <f>COUNTIFS('Ações InCompany'!B:B,2026,'Ações InCompany'!C:C,"Realizado")</f>
        <v>57</v>
      </c>
      <c r="E5" s="44" t="s">
        <v>3128</v>
      </c>
      <c r="G5" s="46">
        <f>COUNTIFS('Ações InCompany'!B:B,2026,'Ações InCompany'!C:C,"A realizar")</f>
        <v>26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30" t="s">
        <v>3129</v>
      </c>
      <c r="B8" s="230"/>
      <c r="D8" s="230" t="s">
        <v>3130</v>
      </c>
      <c r="E8" s="230"/>
    </row>
    <row r="9" spans="1:7" ht="5.0999999999999996" customHeight="1">
      <c r="A9" s="242"/>
      <c r="B9" s="242"/>
      <c r="D9" s="242"/>
      <c r="E9" s="242"/>
    </row>
    <row r="10" spans="1:7" ht="24.95" customHeight="1">
      <c r="A10" s="28" t="s">
        <v>5</v>
      </c>
      <c r="B10" s="28" t="s">
        <v>3131</v>
      </c>
      <c r="D10" s="28" t="s">
        <v>3132</v>
      </c>
      <c r="E10" s="28" t="s">
        <v>3133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3134</v>
      </c>
      <c r="E11" s="30">
        <f>SUMIFS('Ações InCompany'!O:O,'Ações InCompany'!B:B,2026,'Ações InCompany'!C:C,"Realizado")</f>
        <v>841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3135</v>
      </c>
      <c r="E12" s="32">
        <f>SUMIFS('Ações InCompany'!P:P,'Ações InCompany'!B:B,2026,'Ações InCompany'!C:C,"Realizado")</f>
        <v>1521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3136</v>
      </c>
      <c r="E13" s="30">
        <f>SUMIFS('Ações InCompany'!Q:Q,'Ações InCompany'!B:B,2026,'Ações InCompany'!C:C,"Realizado")</f>
        <v>670</v>
      </c>
    </row>
    <row r="14" spans="1:7" ht="27.95" customHeight="1">
      <c r="A14" s="33" t="s">
        <v>3137</v>
      </c>
      <c r="B14" s="34">
        <f>SUM(B11:B13)</f>
        <v>57</v>
      </c>
      <c r="D14" s="33" t="s">
        <v>3138</v>
      </c>
      <c r="E14" s="34">
        <f>SUM(E11:E13)</f>
        <v>3032</v>
      </c>
    </row>
    <row r="30" spans="1:5" ht="17.25">
      <c r="A30" s="230" t="s">
        <v>3139</v>
      </c>
      <c r="B30" s="230"/>
      <c r="C30" s="230"/>
      <c r="D30" s="230"/>
      <c r="E30" s="230"/>
    </row>
    <row r="31" spans="1:5" ht="5.0999999999999996" customHeight="1">
      <c r="A31" s="242"/>
      <c r="B31" s="242"/>
      <c r="C31" s="242"/>
      <c r="D31" s="242"/>
      <c r="E31" s="242"/>
    </row>
    <row r="32" spans="1:5" ht="24.95" customHeight="1">
      <c r="A32" s="28" t="s">
        <v>6</v>
      </c>
      <c r="B32" s="28" t="s">
        <v>3140</v>
      </c>
      <c r="C32" s="28" t="s">
        <v>3141</v>
      </c>
      <c r="D32" s="28" t="s">
        <v>3142</v>
      </c>
      <c r="E32" s="28" t="s">
        <v>3143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0.26506024096385544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4.8192771084337352E-2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0.12048192771084337</v>
      </c>
    </row>
    <row r="36" spans="1:5" ht="24" customHeight="1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2.4096385542168676E-2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3</v>
      </c>
      <c r="D37" s="37">
        <f t="shared" si="0"/>
        <v>8</v>
      </c>
      <c r="E37" s="38">
        <f t="shared" si="1"/>
        <v>9.6385542168674704E-2</v>
      </c>
    </row>
    <row r="38" spans="1:5" ht="24" customHeight="1">
      <c r="A38" s="31" t="s">
        <v>2717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0.26506024096385544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4.8192771084337352E-2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2.4096385542168676E-2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8.4337349397590355E-2</v>
      </c>
    </row>
    <row r="42" spans="1:5" ht="24" customHeight="1">
      <c r="A42" s="75" t="s">
        <v>3144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2.4096385542168676E-2</v>
      </c>
    </row>
    <row r="44" spans="1:5" ht="24" customHeight="1">
      <c r="A44" s="67" t="s">
        <v>3145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3137</v>
      </c>
      <c r="B45" s="41">
        <f>SUM(B33:B44)</f>
        <v>57</v>
      </c>
      <c r="C45" s="41">
        <f>SUM(C33:C44)</f>
        <v>26</v>
      </c>
      <c r="D45" s="41">
        <f>SUM(D33:D44)</f>
        <v>83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3146</v>
      </c>
      <c r="B1" s="12" t="s">
        <v>3147</v>
      </c>
      <c r="C1" s="13" t="s">
        <v>3148</v>
      </c>
      <c r="D1" s="13" t="s">
        <v>3149</v>
      </c>
      <c r="E1" s="13" t="s">
        <v>3150</v>
      </c>
    </row>
    <row r="2" spans="1:5" ht="18" customHeight="1">
      <c r="A2" s="12" t="s">
        <v>3151</v>
      </c>
      <c r="B2" s="12" t="s">
        <v>3152</v>
      </c>
      <c r="C2" s="12" t="s">
        <v>1736</v>
      </c>
      <c r="D2" s="12" t="s">
        <v>3153</v>
      </c>
      <c r="E2" s="12" t="s">
        <v>3154</v>
      </c>
    </row>
    <row r="3" spans="1:5" ht="18" customHeight="1">
      <c r="A3" s="12" t="s">
        <v>3151</v>
      </c>
      <c r="B3" s="12" t="s">
        <v>3152</v>
      </c>
      <c r="C3" s="14" t="s">
        <v>25</v>
      </c>
      <c r="D3" s="12" t="s">
        <v>3155</v>
      </c>
      <c r="E3" s="12" t="s">
        <v>3156</v>
      </c>
    </row>
    <row r="4" spans="1:5" ht="18" customHeight="1">
      <c r="A4" s="12" t="s">
        <v>3151</v>
      </c>
      <c r="B4" s="12" t="s">
        <v>3152</v>
      </c>
      <c r="C4" s="12" t="s">
        <v>75</v>
      </c>
      <c r="D4" s="12" t="s">
        <v>3153</v>
      </c>
      <c r="E4" s="12" t="s">
        <v>3157</v>
      </c>
    </row>
    <row r="5" spans="1:5" ht="18" customHeight="1">
      <c r="A5" s="12" t="s">
        <v>3151</v>
      </c>
      <c r="B5" s="12" t="s">
        <v>3152</v>
      </c>
      <c r="C5" s="12" t="s">
        <v>79</v>
      </c>
      <c r="D5" s="12" t="s">
        <v>3158</v>
      </c>
      <c r="E5" s="12" t="s">
        <v>3159</v>
      </c>
    </row>
    <row r="6" spans="1:5" ht="18" customHeight="1">
      <c r="A6" s="12" t="s">
        <v>3151</v>
      </c>
      <c r="B6" s="12" t="s">
        <v>3152</v>
      </c>
      <c r="C6" s="12" t="s">
        <v>2717</v>
      </c>
      <c r="D6" s="12" t="s">
        <v>3160</v>
      </c>
      <c r="E6" s="12" t="s">
        <v>3161</v>
      </c>
    </row>
    <row r="7" spans="1:5" ht="18" customHeight="1">
      <c r="A7" s="12" t="s">
        <v>3151</v>
      </c>
      <c r="B7" s="12" t="s">
        <v>3162</v>
      </c>
      <c r="C7" s="12" t="s">
        <v>36</v>
      </c>
      <c r="D7" s="12" t="s">
        <v>3163</v>
      </c>
      <c r="E7" s="12" t="s">
        <v>3164</v>
      </c>
    </row>
    <row r="8" spans="1:5" ht="18" customHeight="1">
      <c r="A8" s="12" t="s">
        <v>3151</v>
      </c>
      <c r="B8" s="12" t="s">
        <v>3162</v>
      </c>
      <c r="C8" s="12" t="s">
        <v>42</v>
      </c>
      <c r="D8" s="12" t="s">
        <v>3165</v>
      </c>
      <c r="E8" s="12" t="s">
        <v>3166</v>
      </c>
    </row>
    <row r="9" spans="1:5" ht="18" customHeight="1">
      <c r="A9" s="12" t="s">
        <v>3151</v>
      </c>
      <c r="B9" s="12" t="s">
        <v>3167</v>
      </c>
      <c r="C9" s="12" t="s">
        <v>464</v>
      </c>
      <c r="D9" s="12" t="s">
        <v>3168</v>
      </c>
      <c r="E9" s="12" t="s">
        <v>3169</v>
      </c>
    </row>
    <row r="10" spans="1:5" ht="18" customHeight="1">
      <c r="A10" s="12" t="s">
        <v>3151</v>
      </c>
      <c r="B10" s="12" t="s">
        <v>3167</v>
      </c>
      <c r="C10" s="12" t="s">
        <v>206</v>
      </c>
      <c r="D10" s="12" t="s">
        <v>24</v>
      </c>
      <c r="E10" s="12" t="s">
        <v>3170</v>
      </c>
    </row>
    <row r="11" spans="1:5" ht="18" customHeight="1">
      <c r="A11" s="12" t="s">
        <v>3151</v>
      </c>
      <c r="B11" s="12" t="s">
        <v>3167</v>
      </c>
      <c r="C11" s="12" t="s">
        <v>371</v>
      </c>
      <c r="D11" s="12" t="s">
        <v>24</v>
      </c>
      <c r="E11" s="12" t="s">
        <v>3171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3172</v>
      </c>
      <c r="B1" s="5" t="s">
        <v>10</v>
      </c>
      <c r="C1" s="15" t="s">
        <v>3173</v>
      </c>
      <c r="D1" s="15" t="s">
        <v>3095</v>
      </c>
    </row>
    <row r="2" spans="1:4" ht="21" customHeight="1">
      <c r="A2" s="103" t="s">
        <v>24</v>
      </c>
      <c r="B2" s="103" t="s">
        <v>38</v>
      </c>
      <c r="C2" s="12" t="s">
        <v>3174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3175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2790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3176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3146</v>
      </c>
      <c r="B1" s="12" t="s">
        <v>3147</v>
      </c>
      <c r="C1" s="13" t="s">
        <v>3148</v>
      </c>
      <c r="D1" s="13" t="s">
        <v>3149</v>
      </c>
      <c r="E1" s="13" t="s">
        <v>3150</v>
      </c>
    </row>
    <row r="2" spans="1:5" ht="18" customHeight="1">
      <c r="A2" s="12" t="s">
        <v>3177</v>
      </c>
      <c r="B2" s="12" t="s">
        <v>3152</v>
      </c>
      <c r="C2" s="14" t="s">
        <v>25</v>
      </c>
      <c r="D2" s="12" t="s">
        <v>3153</v>
      </c>
      <c r="E2" s="17" t="s">
        <v>3178</v>
      </c>
    </row>
    <row r="3" spans="1:5" ht="18" customHeight="1">
      <c r="A3" s="12" t="s">
        <v>3177</v>
      </c>
      <c r="B3" s="12" t="s">
        <v>3152</v>
      </c>
      <c r="C3" s="12" t="s">
        <v>75</v>
      </c>
      <c r="D3" s="12" t="s">
        <v>3155</v>
      </c>
      <c r="E3" s="12" t="s">
        <v>3179</v>
      </c>
    </row>
    <row r="4" spans="1:5" ht="18" customHeight="1">
      <c r="A4" s="12" t="s">
        <v>3177</v>
      </c>
      <c r="B4" s="12" t="s">
        <v>3152</v>
      </c>
      <c r="C4" s="12" t="s">
        <v>79</v>
      </c>
      <c r="D4" s="12" t="s">
        <v>3158</v>
      </c>
      <c r="E4" s="12" t="s">
        <v>3180</v>
      </c>
    </row>
    <row r="5" spans="1:5" ht="27.75" customHeight="1">
      <c r="A5" s="12" t="s">
        <v>3177</v>
      </c>
      <c r="B5" s="12" t="s">
        <v>3152</v>
      </c>
      <c r="C5" s="12" t="s">
        <v>2694</v>
      </c>
      <c r="D5" s="17" t="s">
        <v>3181</v>
      </c>
      <c r="E5" s="12" t="s">
        <v>3182</v>
      </c>
    </row>
    <row r="6" spans="1:5" ht="18" customHeight="1">
      <c r="A6" s="12" t="s">
        <v>3177</v>
      </c>
      <c r="B6" s="12" t="s">
        <v>3152</v>
      </c>
      <c r="C6" s="12" t="s">
        <v>2717</v>
      </c>
      <c r="D6" s="12" t="s">
        <v>3160</v>
      </c>
      <c r="E6" s="12" t="s">
        <v>3161</v>
      </c>
    </row>
    <row r="7" spans="1:5" ht="18" customHeight="1">
      <c r="A7" s="12" t="s">
        <v>3177</v>
      </c>
      <c r="B7" s="12" t="s">
        <v>3162</v>
      </c>
      <c r="C7" s="12" t="s">
        <v>2700</v>
      </c>
      <c r="D7" s="12" t="s">
        <v>3183</v>
      </c>
      <c r="E7" s="12" t="s">
        <v>3184</v>
      </c>
    </row>
    <row r="8" spans="1:5" ht="18" customHeight="1">
      <c r="A8" s="12" t="s">
        <v>3177</v>
      </c>
      <c r="B8" s="12" t="s">
        <v>3162</v>
      </c>
      <c r="C8" s="12" t="s">
        <v>42</v>
      </c>
      <c r="D8" s="12" t="s">
        <v>3165</v>
      </c>
      <c r="E8" s="12" t="s">
        <v>3166</v>
      </c>
    </row>
    <row r="9" spans="1:5" ht="18" customHeight="1">
      <c r="A9" s="12" t="s">
        <v>3177</v>
      </c>
      <c r="B9" s="12" t="s">
        <v>3162</v>
      </c>
      <c r="C9" s="12" t="s">
        <v>2793</v>
      </c>
      <c r="D9" s="12" t="s">
        <v>3185</v>
      </c>
      <c r="E9" s="17" t="s">
        <v>3186</v>
      </c>
    </row>
    <row r="10" spans="1:5" ht="18" customHeight="1">
      <c r="A10" s="12" t="s">
        <v>3177</v>
      </c>
      <c r="B10" s="12" t="s">
        <v>3187</v>
      </c>
      <c r="C10" s="12" t="s">
        <v>3144</v>
      </c>
      <c r="D10" s="12" t="s">
        <v>3188</v>
      </c>
      <c r="E10" s="17" t="s">
        <v>3189</v>
      </c>
    </row>
    <row r="11" spans="1:5" ht="18" customHeight="1">
      <c r="A11" s="12" t="s">
        <v>3177</v>
      </c>
      <c r="B11" s="12" t="s">
        <v>3187</v>
      </c>
      <c r="C11" s="12" t="s">
        <v>206</v>
      </c>
      <c r="D11" s="12" t="s">
        <v>24</v>
      </c>
      <c r="E11" s="12" t="s">
        <v>3170</v>
      </c>
    </row>
    <row r="12" spans="1:5" ht="18" customHeight="1">
      <c r="A12" s="12" t="s">
        <v>3177</v>
      </c>
      <c r="B12" s="12" t="s">
        <v>3187</v>
      </c>
      <c r="C12" s="12" t="s">
        <v>371</v>
      </c>
      <c r="D12" s="12" t="s">
        <v>24</v>
      </c>
      <c r="E12" s="12" t="s">
        <v>3171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6" t="s">
        <v>3190</v>
      </c>
      <c r="B1" s="236"/>
      <c r="C1" s="236"/>
      <c r="D1" s="236"/>
      <c r="E1" s="236"/>
      <c r="F1" s="236"/>
      <c r="G1" s="236"/>
      <c r="H1" s="236"/>
    </row>
    <row r="2" spans="1:8">
      <c r="A2" s="49" t="s">
        <v>3191</v>
      </c>
    </row>
    <row r="4" spans="1:8" ht="21.95" customHeight="1">
      <c r="A4" s="237" t="s">
        <v>3192</v>
      </c>
      <c r="B4" s="238"/>
      <c r="D4" s="237" t="s">
        <v>3193</v>
      </c>
      <c r="E4" s="238"/>
      <c r="G4" s="237" t="s">
        <v>3194</v>
      </c>
      <c r="H4" s="238"/>
    </row>
    <row r="5" spans="1:8" ht="35.1" customHeight="1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/>
    <row r="7" spans="1:8" ht="24.95" customHeight="1" thickBot="1">
      <c r="A7" s="62" t="s">
        <v>3195</v>
      </c>
      <c r="B7" s="62" t="s">
        <v>3196</v>
      </c>
      <c r="C7" s="62" t="s">
        <v>1</v>
      </c>
      <c r="D7" s="62" t="s">
        <v>3197</v>
      </c>
      <c r="E7" s="62" t="s">
        <v>3198</v>
      </c>
      <c r="F7" s="62" t="s">
        <v>3095</v>
      </c>
      <c r="G7" s="62" t="s">
        <v>5</v>
      </c>
      <c r="H7" s="62" t="s">
        <v>3199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3" t="s">
        <v>3200</v>
      </c>
      <c r="B1" s="243"/>
      <c r="C1" s="243"/>
      <c r="D1" s="243"/>
      <c r="E1" s="243"/>
      <c r="F1" s="243"/>
    </row>
    <row r="2" spans="1:7">
      <c r="A2" s="244" t="s">
        <v>3201</v>
      </c>
      <c r="B2" s="244"/>
      <c r="C2" s="244"/>
      <c r="D2" s="244"/>
      <c r="E2" s="244"/>
      <c r="F2" s="244"/>
    </row>
    <row r="4" spans="1:7">
      <c r="A4" s="25" t="s">
        <v>19</v>
      </c>
      <c r="B4" s="25" t="s">
        <v>3098</v>
      </c>
      <c r="C4" s="25" t="s">
        <v>3099</v>
      </c>
      <c r="D4" s="25" t="s">
        <v>3202</v>
      </c>
      <c r="E4" s="25" t="s">
        <v>3100</v>
      </c>
      <c r="F4" s="25" t="s">
        <v>3203</v>
      </c>
    </row>
    <row r="5" spans="1:7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3138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3204</v>
      </c>
      <c r="B1" s="123" t="s">
        <v>3205</v>
      </c>
      <c r="C1" s="123" t="s">
        <v>3206</v>
      </c>
      <c r="D1" s="123" t="s">
        <v>3207</v>
      </c>
      <c r="E1" s="123" t="s">
        <v>3208</v>
      </c>
      <c r="F1" s="123" t="s">
        <v>3209</v>
      </c>
      <c r="G1" s="123" t="s">
        <v>10</v>
      </c>
      <c r="H1" s="123" t="s">
        <v>3210</v>
      </c>
      <c r="I1" s="123" t="s">
        <v>3211</v>
      </c>
      <c r="J1" s="123" t="s">
        <v>3212</v>
      </c>
      <c r="K1" s="123" t="s">
        <v>3213</v>
      </c>
      <c r="L1" s="123" t="s">
        <v>3214</v>
      </c>
      <c r="N1" s="124" t="s">
        <v>3215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3216</v>
      </c>
      <c r="L2" t="str">
        <f>IF(K2="","",IFERROR(INDEX(Tabela2[Curso],MATCH(K2,Tabela2[ID],0)),""))</f>
        <v/>
      </c>
      <c r="N2" s="123" t="s">
        <v>3094</v>
      </c>
      <c r="O2" s="123" t="s">
        <v>4</v>
      </c>
      <c r="P2" s="123" t="s">
        <v>3217</v>
      </c>
      <c r="Q2" s="123" t="s">
        <v>3218</v>
      </c>
      <c r="R2" s="123" t="s">
        <v>3219</v>
      </c>
      <c r="S2" s="123" t="s">
        <v>3220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3216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3216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3216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3216</v>
      </c>
      <c r="L10" t="str">
        <f>IF(K10="","",IFERROR(INDEX(Tabela2[Curso],MATCH(K10,Tabela2[ID],0)),""))</f>
        <v/>
      </c>
      <c r="N10" s="122" t="s">
        <v>3221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3216</v>
      </c>
      <c r="L11" t="str">
        <f>IF(K11="","",IFERROR(INDEX(Tabela2[Curso],MATCH(K11,Tabela2[ID],0)),""))</f>
        <v/>
      </c>
      <c r="N11" s="125" t="s">
        <v>3222</v>
      </c>
      <c r="O11" s="125" t="s">
        <v>3223</v>
      </c>
      <c r="P11" s="125" t="s">
        <v>3224</v>
      </c>
      <c r="Q11" s="125" t="s">
        <v>3207</v>
      </c>
      <c r="R11" s="125" t="s">
        <v>3208</v>
      </c>
      <c r="S11" s="125" t="s">
        <v>3225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3216</v>
      </c>
      <c r="L12" t="str">
        <f>IF(K12="","",IFERROR(INDEX(Tabela2[Curso],MATCH(K12,Tabela2[ID],0)),""))</f>
        <v/>
      </c>
      <c r="N12" t="s">
        <v>3226</v>
      </c>
      <c r="O12" t="s">
        <v>2753</v>
      </c>
      <c r="P12" t="s">
        <v>3227</v>
      </c>
      <c r="Q12">
        <v>0</v>
      </c>
      <c r="R12">
        <v>0</v>
      </c>
      <c r="S12" t="s">
        <v>3228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3216</v>
      </c>
      <c r="L13" t="str">
        <f>IF(K13="","",IFERROR(INDEX(Tabela2[Curso],MATCH(K13,Tabela2[ID],0)),""))</f>
        <v/>
      </c>
      <c r="N13" t="s">
        <v>3229</v>
      </c>
      <c r="O13" t="s">
        <v>2686</v>
      </c>
      <c r="P13" t="s">
        <v>3230</v>
      </c>
      <c r="Q13">
        <v>0</v>
      </c>
      <c r="R13">
        <v>0</v>
      </c>
      <c r="S13" t="s">
        <v>3231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2026-09-04T21:16:32Z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