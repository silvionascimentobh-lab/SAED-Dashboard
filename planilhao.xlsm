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700" documentId="8_{454372C2-A99E-4E47-A759-72B38925853E}" xr6:coauthVersionLast="47" xr6:coauthVersionMax="47" xr10:uidLastSave="{8073DC2B-0E8D-4EE0-AEB7-9C60E2A59F63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2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AE33" i="20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12" i="3"/>
  <c r="R701" i="3"/>
  <c r="R709" i="3"/>
  <c r="R707" i="3"/>
  <c r="R705" i="3"/>
  <c r="R704" i="3"/>
  <c r="R703" i="3"/>
  <c r="R708" i="3"/>
  <c r="R717" i="3"/>
  <c r="R716" i="3"/>
  <c r="R702" i="3"/>
  <c r="R676" i="3"/>
  <c r="R715" i="3"/>
  <c r="R714" i="3"/>
  <c r="R711" i="3"/>
  <c r="R710" i="3"/>
  <c r="R693" i="3"/>
  <c r="R721" i="3"/>
  <c r="R690" i="3"/>
  <c r="R700" i="3"/>
  <c r="R699" i="3"/>
  <c r="R720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l="1"/>
  <c r="T4" i="20" l="1" a="1"/>
  <c r="T4" i="20" s="1"/>
  <c r="A2" i="20" l="1" a="1"/>
  <c r="E105" i="23" l="1"/>
  <c r="A5" i="23" a="1"/>
  <c r="A2" i="20"/>
  <c r="B54" i="23" l="1"/>
  <c r="D14" i="23"/>
  <c r="D36" i="23"/>
  <c r="F32" i="23"/>
  <c r="E45" i="23"/>
  <c r="D47" i="23"/>
  <c r="B13" i="23"/>
  <c r="C46" i="23"/>
  <c r="B17" i="23"/>
  <c r="D12" i="23"/>
  <c r="E42" i="23"/>
  <c r="B24" i="23"/>
  <c r="E25" i="23"/>
  <c r="F23" i="23"/>
  <c r="E22" i="23"/>
  <c r="E38" i="23"/>
  <c r="F44" i="23"/>
  <c r="C26" i="23"/>
  <c r="B42" i="23"/>
  <c r="B46" i="23"/>
  <c r="E8" i="23"/>
  <c r="C40" i="23"/>
  <c r="D41" i="23"/>
  <c r="D53" i="23"/>
  <c r="C19" i="23"/>
  <c r="B10" i="23"/>
  <c r="B29" i="23"/>
  <c r="B45" i="23"/>
  <c r="B27" i="23"/>
  <c r="C36" i="23"/>
  <c r="F6" i="23"/>
  <c r="B50" i="23"/>
  <c r="C21" i="23"/>
  <c r="B21" i="23"/>
  <c r="C20" i="23"/>
  <c r="C52" i="23"/>
  <c r="B25" i="23"/>
  <c r="F7" i="23"/>
  <c r="D40" i="23"/>
  <c r="F46" i="23"/>
  <c r="B37" i="23"/>
  <c r="F52" i="23"/>
  <c r="C7" i="23"/>
  <c r="F15" i="23"/>
  <c r="D26" i="23"/>
  <c r="C37" i="23"/>
  <c r="E50" i="23"/>
  <c r="E37" i="23"/>
  <c r="B32" i="23"/>
  <c r="D37" i="23"/>
  <c r="E35" i="23"/>
  <c r="C22" i="23"/>
  <c r="F42" i="23"/>
  <c r="F34" i="23"/>
  <c r="C16" i="23"/>
  <c r="D38" i="23"/>
  <c r="C47" i="23"/>
  <c r="C17" i="23"/>
  <c r="B15" i="23"/>
  <c r="E53" i="23"/>
  <c r="F22" i="23"/>
  <c r="D7" i="23"/>
  <c r="B30" i="23"/>
  <c r="D48" i="23"/>
  <c r="D30" i="23"/>
  <c r="B43" i="23"/>
  <c r="E46" i="23"/>
  <c r="F9" i="23"/>
  <c r="C49" i="23"/>
  <c r="D11" i="23"/>
  <c r="B28" i="23"/>
  <c r="D50" i="23"/>
  <c r="D49" i="23"/>
  <c r="D54" i="23"/>
  <c r="F24" i="23"/>
  <c r="E21" i="23"/>
  <c r="C11" i="23"/>
  <c r="E11" i="23"/>
  <c r="C25" i="23"/>
  <c r="C43" i="23"/>
  <c r="C41" i="23"/>
  <c r="F33" i="23"/>
  <c r="F27" i="23"/>
  <c r="D15" i="23"/>
  <c r="E18" i="23"/>
  <c r="E44" i="23"/>
  <c r="C28" i="23"/>
  <c r="B33" i="23"/>
  <c r="C15" i="23"/>
  <c r="E39" i="23"/>
  <c r="B14" i="23"/>
  <c r="F12" i="23"/>
  <c r="C42" i="23"/>
  <c r="F13" i="23"/>
  <c r="D25" i="23"/>
  <c r="B52" i="23"/>
  <c r="E20" i="23"/>
  <c r="F11" i="23"/>
  <c r="F18" i="23"/>
  <c r="D27" i="23"/>
  <c r="D52" i="23"/>
  <c r="F37" i="23"/>
  <c r="B40" i="23"/>
  <c r="D28" i="23"/>
  <c r="B18" i="23"/>
  <c r="F47" i="23"/>
  <c r="D31" i="23"/>
  <c r="B51" i="23"/>
  <c r="E17" i="23"/>
  <c r="F45" i="23"/>
  <c r="F38" i="23"/>
  <c r="C30" i="23"/>
  <c r="B49" i="23"/>
  <c r="F20" i="23"/>
  <c r="C54" i="23"/>
  <c r="B36" i="23"/>
  <c r="D10" i="23"/>
  <c r="D39" i="23"/>
  <c r="D13" i="23"/>
  <c r="E33" i="23"/>
  <c r="F14" i="23"/>
  <c r="C50" i="23"/>
  <c r="D43" i="23"/>
  <c r="F8" i="23"/>
  <c r="E32" i="23"/>
  <c r="C14" i="23"/>
  <c r="F17" i="23"/>
  <c r="D8" i="23"/>
  <c r="F48" i="23"/>
  <c r="C24" i="23"/>
  <c r="E13" i="23"/>
  <c r="E15" i="23"/>
  <c r="D44" i="23"/>
  <c r="E43" i="23"/>
  <c r="D51" i="23"/>
  <c r="F40" i="23"/>
  <c r="B41" i="23"/>
  <c r="B26" i="23"/>
  <c r="E19" i="23"/>
  <c r="E49" i="23"/>
  <c r="C10" i="23"/>
  <c r="F30" i="23"/>
  <c r="E27" i="23"/>
  <c r="B35" i="23"/>
  <c r="E16" i="23"/>
  <c r="E41" i="23"/>
  <c r="C12" i="23"/>
  <c r="C38" i="23"/>
  <c r="B12" i="23"/>
  <c r="F43" i="23"/>
  <c r="F49" i="23"/>
  <c r="B8" i="23"/>
  <c r="F39" i="23"/>
  <c r="E29" i="23"/>
  <c r="F25" i="23"/>
  <c r="C53" i="23"/>
  <c r="E36" i="23"/>
  <c r="E34" i="23"/>
  <c r="E12" i="23"/>
  <c r="B20" i="23"/>
  <c r="E26" i="23"/>
  <c r="D42" i="23"/>
  <c r="B34" i="23"/>
  <c r="C6" i="23"/>
  <c r="D18" i="23"/>
  <c r="C27" i="23"/>
  <c r="D34" i="23"/>
  <c r="B11" i="23"/>
  <c r="C51" i="23"/>
  <c r="E52" i="23"/>
  <c r="E47" i="23"/>
  <c r="C33" i="23"/>
  <c r="C44" i="23"/>
  <c r="D45" i="23"/>
  <c r="E14" i="23"/>
  <c r="F51" i="23"/>
  <c r="B48" i="23"/>
  <c r="D29" i="23"/>
  <c r="C32" i="23"/>
  <c r="C9" i="23"/>
  <c r="E51" i="23"/>
  <c r="E10" i="23"/>
  <c r="E54" i="23"/>
  <c r="F54" i="23"/>
  <c r="D19" i="23"/>
  <c r="D33" i="23"/>
  <c r="B19" i="23"/>
  <c r="C29" i="23"/>
  <c r="B44" i="23"/>
  <c r="F35" i="23"/>
  <c r="F50" i="23"/>
  <c r="C13" i="23"/>
  <c r="E30" i="23"/>
  <c r="C23" i="23"/>
  <c r="D9" i="23"/>
  <c r="D35" i="23"/>
  <c r="E24" i="23"/>
  <c r="B23" i="23"/>
  <c r="B16" i="23"/>
  <c r="E7" i="23"/>
  <c r="D24" i="23"/>
  <c r="F16" i="23"/>
  <c r="C35" i="23"/>
  <c r="B47" i="23"/>
  <c r="D16" i="23"/>
  <c r="C45" i="23"/>
  <c r="D46" i="23"/>
  <c r="B53" i="23"/>
  <c r="F10" i="23"/>
  <c r="B39" i="23"/>
  <c r="D6" i="23"/>
  <c r="E40" i="23"/>
  <c r="F28" i="23"/>
  <c r="B9" i="23"/>
  <c r="C18" i="23"/>
  <c r="C31" i="23"/>
  <c r="F31" i="23"/>
  <c r="B6" i="23"/>
  <c r="C48" i="23"/>
  <c r="D21" i="23"/>
  <c r="F36" i="23"/>
  <c r="D20" i="23"/>
  <c r="B31" i="23"/>
  <c r="C39" i="23"/>
  <c r="C34" i="23"/>
  <c r="F21" i="23"/>
  <c r="E28" i="23"/>
  <c r="F41" i="23"/>
  <c r="B22" i="23"/>
  <c r="F26" i="23"/>
  <c r="E6" i="23"/>
  <c r="E23" i="23"/>
  <c r="D17" i="23"/>
  <c r="F53" i="23"/>
  <c r="F19" i="23"/>
  <c r="C8" i="23"/>
  <c r="B7" i="23"/>
  <c r="D32" i="23"/>
  <c r="D22" i="23"/>
  <c r="E31" i="23"/>
  <c r="B38" i="23"/>
  <c r="D23" i="23"/>
  <c r="E48" i="23"/>
  <c r="E9" i="23"/>
  <c r="F29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<sst xmlns="http://schemas.openxmlformats.org/spreadsheetml/2006/main" count="6271" uniqueCount="2419">
  <si>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</si>
  <si>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</si>
  <si>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</si>
  <si>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</si>
  <si>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</si>
  <si>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</si>
  <si>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</si>
  <si>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</si>
  <si>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</si>
  <si>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</si>
  <si>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</si>
  <si>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</si>
  <si>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</si>
  <si>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</si>
  <si>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</si>
  <si>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</si>
  <si>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</si>
  <si>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</si>
  <si>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</si>
  <si>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</si>
  <si>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</si>
  <si>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</si>
  <si>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</si>
  <si>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</si>
  <si>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</si>
  <si>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</si>
  <si>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</si>
  <si>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</si>
  <si>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</si>
  <si>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</si>
  <si>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</si>
  <si>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</si>
  <si>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</si>
  <si>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</si>
  <si>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</si>
  <si>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</si>
  <si>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</si>
  <si>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</si>
  <si>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</si>
  <si>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</si>
  <si>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</si>
  <si>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</si>
  <si>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</si>
  <si>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</si>
  <si>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</si>
  <si>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</si>
  <si>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</si>
  <si>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</si>
  <si>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</si>
  <si>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</si>
  <si>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</si>
  <si>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</si>
  <si>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</si>
  <si>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</si>
  <si>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</si>
  <si>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</si>
  <si>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</si>
  <si>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</si>
  <si>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</si>
  <si>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</si>
  <si>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</si>
  <si>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</si>
  <si>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</si>
  <si>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</si>
  <si>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</si>
  <si>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</si>
  <si>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</si>
  <si>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</si>
  <si>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</si>
  <si>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</si>
  <si>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</si>
  <si>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</si>
  <si>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</si>
  <si>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</si>
  <si>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</si>
  <si>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</si>
  <si>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</si>
  <si>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</si>
  <si>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</si>
  <si>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</si>
  <si>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</si>
  <si>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</si>
  <si>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</si>
  <si>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</si>
  <si>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</si>
  <si>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</si>
  <si>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</si>
  <si>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</si>
  <si>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</si>
  <si>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</si>
  <si>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</si>
  <si>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</si>
  <si>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</si>
  <si>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</si>
  <si>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</si>
  <si>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</si>
  <si>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</si>
  <si>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</si>
  <si>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</si>
  <si>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</si>
  <si>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</si>
  <si>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</si>
  <si>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</si>
  <si>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</si>
  <si>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</si>
  <si>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</si>
  <si>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</si>
  <si>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</si>
  <si>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</si>
  <si>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</si>
  <si>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</si>
  <si>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</si>
  <si>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</si>
  <si>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</si>
  <si>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</si>
  <si>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</si>
  <si>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</si>
  <si>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</si>
  <si>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</si>
  <si>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</si>
  <si>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</si>
  <si>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</si>
  <si>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</si>
  <si>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</si>
  <si>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</si>
  <si>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</si>
  <si>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</si>
  <si>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</si>
  <si>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</si>
  <si>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</si>
  <si>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</si>
  <si>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</si>
  <si>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</si>
  <si>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</si>
  <si>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</si>
  <si>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</si>
  <si>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</si>
  <si>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</si>
  <si>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</si>
  <si>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</si>
  <si>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</si>
  <si>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</si>
  <si>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</si>
  <si>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</si>
  <si>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</si>
  <si>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</si>
  <si>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</si>
  <si>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</si>
  <si>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</si>
  <si>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</si>
  <si>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</si>
  <si>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</si>
  <si>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</si>
  <si>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</si>
  <si>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</si>
  <si>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</si>
  <si>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</si>
  <si>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</si>
  <si>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</si>
  <si>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</si>
  <si>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</si>
  <si>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</si>
  <si>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</si>
  <si>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</si>
  <si>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</si>
  <si>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</si>
  <si>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</si>
  <si>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</si>
  <si>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</si>
  <si>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</si>
  <si>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</si>
  <si>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</si>
  <si>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</si>
  <si>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</si>
  <si>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</si>
  <si>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</si>
  <si>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</si>
  <si>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</si>
  <si>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</si>
  <si>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</si>
  <si>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</si>
  <si>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</si>
  <si>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</si>
  <si>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</si>
  <si>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</si>
  <si>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</si>
  <si>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</si>
  <si>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</si>
  <si>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</si>
  <si>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</si>
  <si>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</si>
  <si>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</si>
  <si>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</si>
  <si>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</si>
  <si>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</si>
  <si>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</si>
  <si>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</si>
  <si>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</si>
  <si>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</si>
  <si>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</si>
  <si>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</si>
  <si>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</si>
  <si>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</si>
  <si>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</si>
  <si>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</si>
  <si>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</si>
  <si>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</si>
  <si>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</si>
  <si>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</si>
  <si>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</si>
  <si>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</si>
  <si>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</si>
  <si>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</si>
  <si>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</si>
  <si>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</si>
  <si>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</si>
  <si>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</si>
  <si>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</si>
  <si>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</si>
  <si>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</si>
  <si>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</si>
  <si>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</si>
  <si>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</si>
  <si>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</si>
  <si>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</si>
  <si>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</si>
  <si>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</si>
  <si>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</si>
  <si>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</si>
  <si>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</si>
  <si>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</si>
  <si>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</si>
  <si>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</si>
  <si>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</si>
  <si>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</si>
  <si>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</si>
  <si>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</si>
  <si>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</si>
  <si>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</si>
  <si>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</si>
  <si>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</si>
  <si>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</si>
  <si>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</si>
  <si>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</si>
  <si>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</si>
  <si>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</si>
  <si>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</si>
  <si>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</si>
  <si>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</si>
  <si>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</si>
  <si>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</si>
  <si>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</si>
  <si>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</si>
  <si>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</si>
  <si>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</si>
  <si>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</si>
  <si>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</si>
  <si>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</si>
  <si>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</si>
  <si>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</si>
  <si>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</si>
  <si>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</si>
  <si>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</si>
  <si>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</si>
  <si>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</si>
  <si>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</si>
  <si>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</si>
  <si>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</si>
  <si>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</si>
  <si>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</si>
  <si>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</si>
  <si>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</si>
  <si>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</si>
  <si>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</si>
  <si>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</si>
  <si>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</si>
  <si>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</si>
  <si>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</si>
  <si>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</si>
  <si>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</si>
  <si>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</si>
  <si>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</si>
  <si>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</si>
  <si>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</si>
  <si>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</si>
  <si>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</si>
  <si>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</si>
  <si>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</si>
  <si>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</si>
  <si>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</si>
  <si>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</si>
  <si>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</si>
  <si>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</si>
  <si>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</si>
  <si>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</si>
  <si>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</si>
  <si>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</si>
  <si>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</si>
  <si>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</si>
  <si>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</si>
  <si>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</si>
  <si>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</si>
  <si>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</si>
  <si>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</si>
  <si>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</si>
  <si>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</si>
  <si>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</si>
  <si>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</si>
  <si>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</si>
  <si>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</si>
  <si>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</si>
  <si>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</si>
  <si>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</si>
  <si>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</si>
  <si>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</si>
  <si>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</si>
  <si>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</si>
  <si>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</si>
  <si>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</si>
  <si>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</si>
  <si>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</si>
  <si>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</si>
  <si>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</si>
  <si>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</si>
  <si>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</si>
  <si>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</si>
  <si>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</si>
  <si>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</si>
  <si>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</si>
  <si>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</si>
  <si>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</si>
  <si>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</si>
  <si>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</si>
  <si>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</si>
  <si>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</si>
  <si>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</si>
  <si>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</si>
  <si>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</si>
  <si>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</si>
  <si>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</si>
  <si>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</si>
  <si>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</si>
  <si>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</si>
  <si>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</si>
  <si>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</si>
  <si>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</si>
  <si>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</si>
  <si>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</si>
  <si>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</si>
  <si>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</si>
  <si>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</si>
  <si>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</si>
  <si>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</si>
  <si>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</si>
  <si>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</si>
  <si>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</si>
  <si>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</si>
  <si>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</si>
  <si>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</si>
  <si>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</si>
  <si>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</si>
  <si>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</si>
  <si>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</si>
  <si>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</si>
  <si>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</si>
  <si>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</si>
  <si>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</si>
  <si>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</si>
  <si>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</si>
  <si>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</si>
  <si>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</si>
  <si>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</si>
  <si>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</si>
  <si>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</si>
  <si>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</si>
  <si>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</si>
  <si>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</si>
  <si>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</si>
  <si>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</si>
  <si>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</si>
  <si>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</si>
  <si>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</si>
  <si>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</si>
  <si>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</si>
  <si>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</si>
  <si>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</si>
  <si>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</si>
  <si>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</si>
  <si>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</si>
  <si>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</si>
  <si>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</si>
  <si>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</si>
  <si>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</si>
  <si>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</si>
  <si>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</si>
  <si>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</si>
  <si>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</si>
  <si>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</si>
  <si>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</si>
  <si>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</si>
  <si>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</si>
  <si>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</si>
  <si>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</si>
  <si>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</si>
  <si>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</si>
  <si>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</si>
  <si>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</si>
  <si>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</si>
  <si>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</si>
  <si>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</si>
  <si>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</si>
  <si>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</si>
  <si>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</si>
  <si>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</si>
  <si>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</si>
  <si>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</si>
  <si>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</si>
  <si>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</si>
  <si>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</si>
  <si>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</si>
  <si>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</si>
  <si>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</si>
  <si>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</si>
  <si>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</si>
  <si>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</si>
  <si>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</si>
  <si>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</si>
  <si>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</si>
  <si>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</si>
  <si>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</si>
  <si>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</si>
  <si>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</si>
  <si>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</si>
  <si>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</si>
  <si>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</si>
  <si>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</si>
  <si>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</si>
  <si>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</si>
  <si>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</si>
  <si>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</si>
  <si>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</si>
  <si>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</si>
  <si>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</si>
  <si>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</si>
  <si>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</si>
  <si>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</si>
  <si>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</si>
  <si>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</si>
  <si>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</si>
  <si>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</si>
  <si>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</si>
  <si>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</si>
  <si>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</si>
  <si>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</si>
  <si>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</si>
  <si>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</si>
  <si>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</si>
  <si>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</si>
  <si>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</si>
  <si>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</si>
  <si>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</si>
  <si>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</si>
  <si>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</si>
  <si>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</si>
  <si>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</si>
  <si>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</si>
  <si>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</si>
  <si>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</si>
  <si>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</si>
  <si>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</si>
  <si>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</si>
  <si>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</si>
  <si>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</si>
  <si>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</si>
  <si>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</si>
  <si>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</si>
  <si>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</si>
  <si>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</si>
  <si>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</si>
  <si>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</si>
  <si>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</si>
  <si>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</si>
  <si>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</si>
  <si>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</si>
  <si>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</si>
  <si>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</si>
  <si>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</si>
  <si>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</si>
  <si>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</si>
  <si>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</si>
  <si>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</si>
  <si>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</si>
  <si>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</si>
  <si>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</si>
  <si>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</si>
  <si>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</si>
  <si>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</si>
  <si>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</si>
  <si>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</si>
  <si>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</si>
  <si>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</si>
  <si>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</si>
  <si>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</si>
  <si>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</si>
  <si>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</si>
  <si>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</si>
  <si>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</si>
  <si>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</si>
  <si>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</si>
  <si>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</si>
  <si>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</si>
  <si>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</si>
  <si>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</si>
  <si>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</si>
  <si>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</si>
  <si>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</si>
  <si>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</si>
  <si>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</si>
  <si>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</si>
  <si>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</si>
  <si>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</si>
  <si>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</si>
  <si>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</si>
  <si>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</si>
  <si>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</si>
  <si>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</si>
  <si>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</si>
  <si>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</si>
  <si>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</si>
  <si>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</si>
  <si>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</si>
  <si>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</si>
  <si>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</si>
  <si>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</si>
  <si>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</si>
  <si>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</si>
  <si>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</si>
  <si>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</si>
  <si>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</si>
  <si>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</si>
  <si>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</si>
  <si>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</si>
  <si>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</si>
  <si>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</si>
  <si>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</si>
  <si>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</si>
  <si>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</si>
  <si>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</si>
  <si>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</si>
  <si>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</si>
  <si>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</si>
  <si>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</si>
  <si>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</si>
  <si>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</si>
  <si>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</si>
  <si>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</si>
  <si>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</si>
  <si>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</si>
  <si>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</si>
  <si>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</si>
  <si>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</si>
  <si>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</si>
  <si>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</si>
  <si>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</si>
  <si>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</si>
  <si>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</si>
  <si>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</si>
  <si>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</si>
  <si>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</si>
  <si>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</si>
  <si>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</si>
  <si>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</si>
  <si>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</si>
  <si>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</si>
  <si>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</si>
  <si>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</si>
  <si>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</si>
  <si>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</si>
  <si>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</si>
  <si>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</si>
  <si>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</si>
  <si>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</si>
  <si>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</si>
  <si>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</si>
  <si>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</si>
  <si>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</si>
  <si>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</si>
  <si>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</si>
  <si>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</si>
  <si>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</si>
  <si>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</si>
  <si>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</si>
  <si>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</si>
  <si>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</si>
  <si>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</si>
  <si>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</si>
  <si>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</si>
  <si>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</si>
  <si>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</si>
  <si>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</si>
  <si>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</si>
  <si>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</si>
  <si>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</si>
  <si>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</si>
  <si>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</si>
  <si>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</si>
  <si>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</si>
  <si>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</si>
  <si>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</si>
  <si>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</si>
  <si>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</si>
  <si>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</si>
  <si>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</si>
  <si>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</si>
  <si>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</si>
  <si>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</si>
  <si>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</si>
  <si>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</si>
  <si>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</si>
  <si>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</si>
  <si>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</si>
  <si>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</si>
  <si>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</si>
  <si>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</si>
  <si>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</si>
  <si>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</si>
  <si>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</si>
  <si>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</si>
  <si>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</si>
  <si>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</si>
  <si>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</si>
  <si>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</si>
  <si>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</si>
  <si>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</si>
  <si>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</si>
  <si>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</si>
  <si>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</si>
  <si>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</si>
  <si>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</si>
  <si>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</si>
  <si>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</si>
  <si>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</si>
  <si>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</si>
  <si>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</si>
  <si>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</si>
  <si>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</si>
  <si>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</si>
  <si>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</si>
  <si>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</si>
  <si>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</si>
  <si>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</si>
  <si>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</si>
  <si>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</si>
  <si>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</si>
  <si>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</si>
  <si>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</si>
  <si>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</si>
  <si>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</si>
  <si>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</si>
  <si>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</si>
  <si>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</si>
  <si>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</si>
  <si>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</si>
  <si>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</si>
  <si>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</si>
  <si>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</si>
  <si>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</si>
  <si>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</si>
  <si>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</si>
  <si>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</si>
  <si>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</si>
  <si>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</si>
  <si>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</si>
  <si>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</si>
  <si>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</si>
  <si>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</si>
  <si>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</si>
  <si>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</si>
  <si>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</si>
  <si>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</si>
  <si>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</si>
  <si>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</si>
  <si>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</si>
  <si>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</si>
  <si>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</si>
  <si>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</si>
  <si>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</si>
  <si>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</si>
  <si>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</si>
  <si>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</si>
  <si>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</si>
  <si>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</si>
  <si>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</si>
  <si>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</si>
  <si>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</si>
  <si>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</si>
  <si>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</si>
  <si>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</si>
  <si>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</si>
  <si>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</si>
  <si>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</si>
  <si>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</si>
  <si>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</si>
  <si>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</si>
  <si>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</si>
  <si>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</si>
  <si>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</si>
  <si>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</si>
  <si>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</si>
  <si>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</si>
  <si>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</si>
  <si>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</si>
  <si>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</si>
  <si>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</si>
  <si>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</si>
  <si>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</si>
  <si>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</si>
  <si>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</si>
  <si>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</si>
  <si>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</si>
  <si>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</si>
  <si>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</si>
  <si>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</si>
  <si>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</si>
  <si>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</si>
  <si>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</si>
  <si>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</si>
  <si>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</si>
  <si>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</si>
  <si>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</si>
  <si>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</si>
  <si>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</si>
  <si>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</si>
  <si>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</si>
  <si>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</si>
  <si>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</si>
  <si>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</si>
  <si>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</si>
  <si>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</si>
  <si>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</si>
  <si>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</si>
  <si>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</si>
  <si>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</si>
  <si>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</si>
  <si>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</si>
  <si>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</si>
  <si>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</si>
  <si>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</si>
  <si>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</si>
  <si>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</si>
  <si>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</si>
  <si>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</si>
  <si>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</si>
  <si>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</si>
  <si>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</si>
  <si>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</si>
  <si>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</si>
  <si>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</si>
  <si>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</si>
  <si>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</si>
  <si>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</si>
  <si>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</si>
  <si>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</si>
  <si>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</si>
  <si>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</si>
  <si>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</si>
  <si>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</si>
  <si>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</si>
  <si>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</si>
  <si>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</si>
  <si>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</si>
  <si>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</si>
  <si>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</si>
  <si>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</si>
  <si>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</si>
  <si>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</si>
  <si>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</si>
  <si>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</si>
  <si>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</si>
  <si>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</si>
  <si>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</si>
  <si>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</si>
  <si>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</si>
  <si>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</si>
  <si>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</si>
  <si>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</si>
  <si>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</si>
  <si>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</si>
  <si>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</si>
  <si>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</si>
  <si>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</si>
  <si>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</si>
  <si>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</si>
  <si>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</si>
  <si>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</si>
  <si>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</si>
  <si>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</si>
  <si>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</si>
  <si>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</si>
  <si>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</si>
  <si>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</si>
  <si>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</si>
  <si>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</si>
  <si>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</si>
  <si>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</si>
  <si>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</si>
  <si>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</si>
  <si>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</si>
  <si>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</si>
  <si>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</si>
  <si>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</si>
  <si>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</si>
  <si>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</si>
  <si>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</si>
  <si>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</si>
  <si>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</si>
  <si>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</si>
  <si>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</si>
  <si>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</si>
  <si>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</si>
  <si>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</si>
  <si>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</si>
  <si>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</si>
  <si>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</si>
  <si>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</si>
  <si>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</si>
  <si>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</si>
  <si>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</si>
  <si>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</si>
  <si>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</si>
  <si>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</si>
  <si>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</si>
  <si>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</si>
  <si>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</si>
  <si>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</si>
  <si>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</si>
  <si>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</si>
  <si>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</si>
  <si>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</si>
  <si>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</si>
  <si>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</si>
  <si>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</si>
  <si>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</si>
  <si>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</si>
  <si>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</si>
  <si>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</si>
  <si>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</si>
  <si>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</si>
  <si>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</si>
  <si>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</si>
  <si>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</si>
  <si>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</si>
  <si>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</si>
  <si>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</si>
  <si>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</si>
  <si>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</si>
  <si>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</si>
  <si>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</si>
  <si>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</si>
  <si>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</si>
  <si>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</si>
  <si>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</si>
  <si>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</si>
  <si>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</si>
  <si>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</si>
  <si>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</si>
  <si>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</si>
  <si>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</si>
  <si>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</si>
  <si>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</si>
  <si>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</si>
  <si>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</si>
  <si>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</si>
  <si>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</si>
  <si>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</si>
  <si>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</si>
  <si>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</si>
  <si>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</si>
  <si>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</si>
  <si>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</si>
  <si>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</si>
  <si>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</si>
  <si>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</si>
  <si>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</si>
  <si>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</si>
  <si>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</si>
  <si>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</si>
  <si>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</si>
  <si>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</si>
  <si>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</si>
  <si>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</si>
  <si>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</si>
  <si>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</si>
  <si>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</si>
  <si>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</si>
  <si>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</si>
  <si>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</si>
  <si>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</si>
  <si>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</si>
  <si>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</si>
  <si>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</si>
  <si>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</si>
  <si>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</si>
  <si>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</si>
  <si>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</si>
  <si>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</si>
  <si>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</si>
  <si>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</si>
  <si>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</si>
  <si>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</si>
  <si>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</si>
  <si>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</si>
  <si>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</si>
  <si>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</si>
  <si>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</si>
  <si>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</si>
  <si>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</si>
  <si>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</si>
  <si>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</si>
  <si>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</si>
  <si>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</si>
  <si>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</si>
  <si>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</si>
  <si>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</si>
  <si>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</si>
  <si>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</si>
  <si>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</si>
  <si>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</si>
  <si>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</si>
  <si>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</si>
  <si>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</si>
  <si>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</si>
  <si>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</si>
  <si>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</si>
  <si>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</si>
  <si>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</si>
  <si>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</si>
  <si>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</si>
  <si>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</si>
  <si>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</si>
  <si>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</si>
  <si>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</si>
  <si>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</si>
  <si>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</si>
  <si>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</si>
  <si>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</si>
  <si>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</si>
  <si>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</si>
  <si>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</si>
  <si>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</si>
  <si>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</si>
  <si>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</si>
  <si>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</si>
  <si>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</si>
  <si>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</si>
  <si>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</si>
  <si>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</si>
  <si>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</si>
  <si>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</si>
  <si>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</si>
  <si>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</si>
  <si>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</si>
  <si>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</si>
  <si>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</si>
  <si>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</si>
  <si>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</si>
  <si>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</si>
  <si>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</si>
  <si>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</si>
  <si>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</si>
  <si>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</si>
  <si>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</si>
  <si>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</si>
  <si>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</si>
  <si>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</si>
  <si>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</si>
  <si>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</si>
  <si>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</si>
  <si>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</si>
  <si>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</si>
  <si>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</si>
  <si>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</si>
  <si>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</si>
  <si>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</si>
  <si>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</si>
  <si>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</si>
  <si>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</si>
  <si>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</si>
  <si>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</si>
  <si>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</si>
  <si>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</si>
  <si>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</si>
  <si>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</si>
  <si>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</si>
  <si>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</si>
  <si>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</si>
  <si>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</si>
  <si>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</si>
  <si>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</si>
  <si>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</si>
  <si>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</si>
  <si>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</si>
  <si>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</si>
  <si>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</si>
  <si>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</si>
  <si>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</si>
  <si>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</si>
  <si>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</si>
  <si>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</si>
  <si>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</si>
  <si>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</si>
  <si>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</si>
  <si>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</si>
  <si>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</si>
  <si>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</si>
  <si>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</si>
  <si>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</si>
  <si>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</si>
  <si>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</si>
  <si>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</si>
  <si>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</si>
  <si>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</si>
  <si>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</si>
  <si>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</si>
  <si>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</si>
  <si>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</si>
  <si>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</si>
  <si>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</si>
  <si>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</si>
  <si>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</si>
  <si>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</si>
  <si>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</si>
  <si>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</si>
  <si>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</si>
  <si>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</si>
  <si>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</si>
  <si>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</si>
  <si>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</si>
  <si>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</si>
  <si>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</si>
  <si>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</si>
  <si>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</si>
  <si>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</si>
  <si>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</si>
  <si>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</si>
  <si>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</si>
  <si>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</si>
  <si>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</si>
  <si>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</si>
  <si>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</si>
  <si>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</si>
  <si>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</si>
  <si>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</si>
  <si>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</si>
  <si>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</si>
  <si>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</si>
  <si>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</si>
  <si>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</si>
  <si>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</si>
  <si>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</si>
  <si>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</si>
  <si>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</si>
  <si>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</si>
  <si>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</si>
  <si>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</si>
  <si>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</si>
  <si>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</si>
  <si>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</si>
  <si>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</si>
  <si>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</si>
  <si>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</si>
  <si>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</si>
  <si>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</si>
  <si>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</si>
  <si>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</si>
  <si>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</si>
  <si>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</si>
  <si>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</si>
  <si>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</si>
  <si>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</si>
  <si>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</si>
  <si>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</si>
  <si>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</si>
  <si>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</si>
  <si>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</si>
  <si>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</si>
  <si>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</si>
  <si>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</si>
  <si>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</si>
  <si>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</si>
  <si>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</si>
  <si>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</si>
  <si>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</si>
  <si>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</si>
  <si>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</si>
  <si>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</si>
  <si>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</si>
  <si>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</si>
  <si>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</si>
  <si>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</si>
  <si>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</si>
  <si>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</si>
  <si>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</si>
  <si>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</si>
  <si>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</si>
  <si>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</si>
  <si>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</si>
  <si>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</si>
  <si>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</si>
  <si>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</si>
  <si>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</si>
  <si>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</si>
  <si>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</si>
  <si>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</si>
  <si>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</si>
  <si>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</si>
  <si>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</si>
  <si>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</si>
  <si>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</si>
  <si>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</si>
  <si>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</si>
  <si>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</si>
  <si>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</si>
  <si>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</si>
  <si>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</si>
  <si>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</si>
  <si>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</si>
  <si>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</si>
  <si>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</si>
  <si>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</si>
  <si>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</si>
  <si>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</si>
  <si>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</si>
  <si>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</si>
  <si>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</si>
  <si>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</si>
  <si>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</si>
  <si>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</si>
  <si>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</si>
  <si>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</si>
  <si>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</si>
  <si>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</si>
  <si>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</si>
  <si>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</si>
  <si>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</si>
  <si>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</si>
  <si>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</si>
  <si>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</si>
  <si>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</si>
  <si>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</si>
  <si>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</si>
  <si>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</si>
  <si>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</si>
  <si>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</si>
  <si>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</si>
  <si>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</si>
  <si>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</si>
  <si>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</si>
  <si>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</si>
  <si>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</si>
  <si>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</si>
  <si>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</si>
  <si>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</si>
  <si>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</si>
  <si>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</si>
  <si>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</si>
  <si>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</si>
  <si>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</si>
  <si>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</si>
  <si>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</si>
  <si>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</si>
  <si>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</si>
  <si>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</si>
  <si>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</si>
  <si>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</si>
  <si>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</si>
  <si>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</si>
  <si>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</si>
  <si>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</si>
  <si>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</si>
  <si>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</si>
  <si>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</si>
  <si>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</si>
  <si>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</si>
  <si>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</si>
  <si>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</si>
  <si>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</si>
  <si>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</si>
  <si>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</si>
  <si>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</si>
  <si>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</si>
  <si>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</si>
  <si>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</si>
  <si>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</si>
  <si>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</si>
  <si>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</si>
  <si>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</si>
  <si>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</si>
  <si>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</si>
  <si>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</si>
  <si>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</si>
  <si>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</si>
  <si>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</si>
  <si>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</si>
  <si>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</si>
  <si>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</si>
  <si>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</si>
  <si>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</si>
  <si>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</si>
  <si>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</si>
  <si>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</si>
  <si>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</si>
  <si>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</si>
  <si>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</si>
  <si>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</si>
  <si>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</si>
  <si>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</si>
  <si>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</si>
  <si>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</si>
  <si>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</si>
  <si>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</si>
  <si>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</si>
  <si>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</si>
  <si>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</si>
  <si>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</si>
  <si>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</si>
  <si>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</si>
  <si>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</si>
  <si>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</si>
  <si>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</si>
  <si>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</si>
  <si>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</si>
  <si>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</si>
  <si>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</si>
  <si>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</si>
  <si>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</si>
  <si>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</si>
  <si>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</si>
  <si>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</si>
  <si>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</si>
  <si>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</si>
  <si>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</si>
  <si>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</si>
  <si>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</si>
  <si>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</si>
  <si>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</si>
  <si>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</si>
  <si>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</si>
  <si>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</si>
  <si>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</si>
  <si>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</si>
  <si>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</si>
  <si>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</si>
  <si>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</si>
  <si>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</si>
  <si>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</si>
  <si>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</si>
  <si>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</si>
  <si>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</si>
  <si>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</si>
  <si>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</si>
  <si>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</si>
  <si>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</si>
  <si>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</si>
  <si>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</si>
  <si>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</si>
  <si>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</si>
  <si>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</si>
  <si>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</si>
  <si>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</si>
  <si>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</si>
  <si>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</si>
  <si>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</si>
  <si>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</si>
  <si>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</si>
  <si>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</si>
  <si>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</si>
  <si>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</si>
  <si>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</si>
  <si>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</si>
  <si>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</si>
  <si>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</si>
  <si>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</si>
  <si>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</si>
  <si>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</si>
  <si>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</si>
  <si>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</si>
  <si>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</si>
  <si>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</si>
  <si>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</si>
  <si>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</si>
  <si>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</si>
  <si>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</si>
  <si>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</si>
  <si>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</si>
  <si>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</si>
  <si>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</si>
  <si>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</si>
  <si>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</si>
  <si>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</si>
  <si>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</si>
  <si>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</si>
  <si>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</si>
  <si>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</si>
  <si>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</si>
  <si>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</si>
  <si>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</si>
  <si>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</si>
  <si>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</si>
  <si>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</si>
  <si>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</si>
  <si>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</si>
  <si>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</si>
  <si>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</si>
  <si>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</si>
  <si>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</si>
  <si>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</si>
  <si>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</si>
  <si>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</si>
  <si>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</si>
  <si>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</si>
  <si>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</si>
  <si>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</si>
  <si>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</si>
  <si>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</si>
  <si>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</si>
  <si>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</si>
  <si>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</si>
  <si>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</si>
  <si>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</si>
  <si>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</si>
  <si>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</si>
  <si>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</si>
  <si>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</si>
  <si>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</si>
  <si>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</si>
  <si>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</si>
  <si>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</si>
  <si>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</si>
  <si>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</si>
  <si>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</si>
  <si>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</si>
  <si>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</si>
  <si>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</si>
  <si>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</si>
  <si>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</si>
  <si>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</si>
  <si>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</si>
  <si>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</si>
  <si>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</si>
  <si>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</si>
  <si>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</si>
  <si>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</si>
  <si>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</si>
  <si>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</si>
  <si>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</si>
  <si>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</si>
  <si>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</si>
  <si>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</si>
  <si>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</si>
  <si>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</si>
  <si>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</si>
  <si>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</si>
  <si>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</si>
  <si>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</si>
  <si>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</si>
  <si>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</si>
  <si>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</si>
  <si>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</si>
  <si>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</si>
  <si>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</si>
  <si>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</si>
  <si>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</si>
  <si>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</si>
  <si>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</si>
  <si>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</si>
  <si>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</si>
  <si>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</si>
  <si>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</si>
  <si>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</si>
  <si>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</si>
  <si>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</si>
  <si>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</si>
  <si>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</si>
  <si>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</si>
  <si>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</si>
  <si>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</si>
  <si>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</si>
  <si>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</si>
  <si>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</si>
  <si>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</si>
  <si>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</si>
  <si>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</si>
  <si>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</si>
  <si>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</si>
  <si>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</si>
  <si>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</si>
  <si>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</si>
  <si>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</si>
  <si>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</si>
  <si>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</si>
  <si>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</si>
  <si>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</si>
  <si>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</si>
  <si>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</si>
  <si>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</si>
  <si>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</si>
  <si>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</si>
  <si>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</si>
  <si>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</si>
  <si>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</si>
  <si>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</si>
  <si>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</si>
  <si>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</si>
  <si>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</si>
  <si>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</si>
  <si>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</si>
  <si>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</si>
  <si>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</si>
  <si>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</si>
  <si>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</si>
  <si>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</si>
  <si>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</si>
  <si>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</si>
  <si>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</si>
  <si>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</si>
  <si>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</si>
  <si>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</si>
  <si>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</si>
  <si>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</si>
  <si>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</si>
  <si>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</si>
  <si>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</si>
  <si>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</si>
  <si>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</si>
  <si>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</si>
  <si>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</si>
  <si>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</si>
  <si>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</si>
  <si>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</si>
  <si>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</si>
  <si>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</si>
  <si>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</si>
  <si>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</si>
  <si>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</si>
  <si>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</si>
  <si>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</si>
  <si>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</si>
  <si>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</si>
  <si>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</si>
  <si>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</si>
  <si>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</si>
  <si>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</si>
  <si>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</si>
  <si>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</si>
  <si>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</si>
  <si>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</si>
  <si>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</si>
  <si>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</si>
  <si>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</si>
  <si>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</si>
  <si>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</si>
  <si>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</si>
  <si>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</si>
  <si>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</si>
  <si>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</si>
  <si>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</si>
  <si>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</si>
  <si>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</si>
  <si>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</si>
  <si>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</si>
  <si>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</si>
  <si>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</si>
  <si>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</si>
  <si>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</si>
  <si>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</si>
  <si>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</si>
  <si>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</si>
  <si>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</si>
  <si>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</si>
  <si>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</si>
  <si>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</si>
  <si>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</si>
  <si>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</si>
  <si>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</si>
  <si>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</si>
  <si>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</si>
  <si>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</si>
  <si>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</si>
  <si>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</si>
  <si>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</si>
  <si>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</si>
  <si>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</si>
  <si>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</si>
  <si>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</si>
  <si>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</si>
  <si>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</si>
  <si>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</si>
  <si>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</si>
  <si>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</si>
  <si>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</si>
  <si>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</si>
  <si>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</si>
  <si>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</si>
  <si>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</si>
  <si>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</si>
  <si>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</si>
  <si>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</si>
  <si>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</si>
  <si>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</si>
  <si>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</si>
  <si>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</si>
  <si>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</si>
  <si>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</si>
  <si>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</si>
  <si>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</si>
  <si>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</si>
  <si>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</si>
  <si>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</si>
  <si>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</si>
  <si>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</si>
  <si>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</si>
  <si>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</si>
  <si>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</si>
  <si>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</si>
  <si>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</si>
  <si>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</si>
  <si>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</si>
  <si>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</si>
  <si>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</si>
  <si>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</si>
  <si>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</si>
  <si>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</si>
  <si>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</si>
  <si>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</si>
  <si>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</si>
  <si>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</si>
  <si>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</si>
  <si>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</si>
  <si>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</si>
  <si>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</si>
  <si>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</si>
  <si>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</si>
  <si>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</si>
  <si>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</si>
  <si>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</si>
  <si>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</si>
  <si>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</si>
  <si>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</si>
  <si>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</si>
  <si>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</si>
  <si>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</si>
  <si>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</si>
  <si>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</si>
  <si>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</si>
  <si>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</si>
  <si>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</si>
  <si>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</si>
  <si>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</si>
  <si>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</si>
  <si>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</si>
  <si>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</si>
  <si>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</si>
  <si>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</si>
  <si>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</si>
  <si>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</si>
  <si>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</si>
  <si>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</si>
  <si>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</si>
  <si>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</si>
  <si>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</si>
  <si>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</si>
  <si>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</si>
  <si>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</si>
  <si>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</si>
  <si>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</si>
  <si>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</si>
  <si>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</si>
  <si>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</si>
  <si>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</si>
  <si>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</si>
  <si>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</si>
  <si>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</si>
  <si>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</si>
  <si>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</si>
  <si>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</si>
  <si>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</si>
  <si>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</si>
  <si>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</si>
  <si>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</si>
  <si>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</si>
  <si>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</si>
  <si>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</si>
  <si>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</si>
  <si>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</si>
  <si>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</si>
  <si>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</si>
  <si>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</si>
  <si>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</si>
  <si>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</si>
  <si>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</si>
  <si>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</si>
  <si>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</si>
  <si>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</si>
  <si>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</si>
  <si>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</si>
  <si>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</si>
  <si>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</si>
  <si>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</si>
  <si>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</si>
  <si>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</si>
  <si>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</si>
  <si>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</si>
  <si>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</si>
  <si>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</si>
  <si>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</si>
  <si>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</si>
  <si>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</si>
  <si>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</si>
  <si>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</si>
  <si>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</si>
  <si>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</si>
  <si>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</si>
  <si>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</si>
  <si>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</si>
  <si>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</si>
  <si>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</si>
  <si>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</si>
  <si>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</si>
  <si>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</si>
  <si>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</si>
  <si>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</si>
  <si>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</si>
  <si>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</si>
  <si>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</si>
  <si>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</si>
  <si>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</si>
  <si>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</si>
  <si>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</si>
  <si>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</si>
  <si>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</si>
  <si>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</si>
  <si>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</si>
  <si>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</si>
  <si>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</si>
  <si>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</si>
  <si>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</si>
  <si>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</si>
  <si>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</si>
  <si>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</si>
  <si>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</si>
  <si>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</si>
  <si>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</si>
  <si>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</si>
  <si>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</si>
  <si>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</si>
  <si>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</si>
  <si>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</si>
  <si>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</si>
  <si>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</si>
  <si>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</si>
  <si>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</si>
  <si>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</si>
  <si>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</si>
  <si>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</si>
  <si>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</si>
  <si>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</si>
  <si>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</si>
  <si>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</si>
  <si>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</si>
  <si>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</si>
  <si>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</si>
  <si>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</si>
  <si>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</si>
  <si>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</si>
  <si>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</si>
  <si>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</si>
  <si>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</si>
  <si>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</si>
  <si>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</si>
  <si>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</si>
  <si>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</si>
  <si>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</si>
  <si>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</si>
  <si>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</si>
  <si>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</si>
  <si>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</si>
  <si>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</si>
  <si>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</si>
  <si>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</si>
  <si>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</si>
  <si>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</si>
  <si>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</si>
  <si>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</si>
  <si>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</si>
  <si>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</si>
  <si>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</si>
  <si>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</si>
  <si>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</si>
  <si>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</si>
  <si>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</si>
  <si>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</si>
  <si>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</si>
  <si>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</si>
  <si>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</si>
  <si>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</si>
  <si>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</si>
  <si>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</si>
  <si>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</si>
  <si>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</si>
  <si>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</si>
  <si>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</si>
  <si>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</si>
  <si>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</si>
  <si>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</si>
  <si>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</si>
  <si>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</si>
  <si>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</si>
  <si>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</si>
  <si>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</si>
  <si>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</si>
  <si>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</si>
  <si>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</si>
  <si>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</si>
  <si>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</si>
  <si>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</si>
  <si>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</si>
  <si>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</si>
  <si>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</si>
  <si>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</si>
  <si>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</si>
  <si>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</si>
  <si>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</si>
  <si>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</si>
  <si>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</si>
  <si>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</si>
  <si>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</si>
  <si>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</si>
  <si>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</si>
  <si>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</si>
  <si>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</si>
  <si>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</si>
  <si>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</si>
  <si>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</si>
  <si>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</si>
  <si>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</si>
  <si>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</si>
  <si>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</si>
  <si>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</si>
  <si>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</si>
  <si>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</si>
  <si>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</si>
  <si>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</si>
  <si>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</si>
  <si>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</si>
  <si>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</si>
  <si>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</si>
  <si>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</si>
  <si>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</si>
  <si>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</si>
  <si>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</si>
  <si>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</si>
  <si>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</si>
  <si>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</si>
  <si>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</si>
  <si>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</si>
  <si>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</si>
  <si>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</si>
  <si>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</si>
  <si>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</si>
  <si>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</si>
  <si>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</si>
  <si>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</si>
  <si>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</si>
  <si>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</si>
  <si>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</si>
  <si>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</si>
  <si>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</si>
  <si>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</si>
  <si>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</si>
  <si>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</si>
  <si>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</si>
  <si>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</si>
  <si>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</si>
  <si>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</si>
  <si>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</si>
  <si>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</si>
  <si>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</si>
  <si>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</si>
  <si>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</si>
  <si>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</si>
  <si>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</si>
  <si>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</si>
  <si>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</si>
  <si>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</si>
  <si>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</si>
  <si>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</si>
  <si>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</si>
  <si>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</si>
  <si>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</si>
  <si>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</si>
  <si>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</si>
  <si>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</si>
  <si>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</si>
  <si>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</si>
  <si>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</si>
  <si>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</si>
  <si>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</si>
  <si>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</si>
  <si>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</si>
  <si>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</si>
  <si>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</si>
  <si>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</si>
  <si>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</si>
  <si>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</si>
  <si>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</si>
  <si>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</si>
  <si>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</si>
  <si>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</si>
  <si>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</si>
  <si>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</si>
  <si>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</si>
  <si>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</si>
  <si>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</si>
  <si>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</si>
  <si>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</si>
  <si>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</si>
  <si>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</si>
  <si>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</si>
  <si>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</si>
  <si>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</si>
  <si>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</si>
  <si>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</si>
  <si>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</si>
  <si>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</si>
  <si>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</si>
  <si>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</si>
  <si>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</si>
  <si>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</si>
  <si>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</si>
  <si>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</si>
  <si>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</si>
  <si>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</si>
  <si>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</si>
  <si>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</si>
  <si>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</si>
  <si>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</si>
  <si>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</si>
  <si>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</si>
  <si>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</si>
  <si>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</si>
  <si>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</si>
  <si>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</si>
  <si>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</si>
  <si>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</si>
  <si>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</si>
  <si>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</si>
  <si>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</si>
  <si>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</si>
  <si>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</si>
  <si>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</si>
  <si>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</si>
  <si>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</si>
  <si>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</si>
  <si>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</si>
  <si>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</si>
  <si>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</si>
  <si>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</si>
  <si>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</si>
  <si>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</si>
  <si>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</si>
  <si>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</si>
  <si>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</si>
  <si>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</si>
  <si>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</si>
  <si>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</si>
  <si>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</si>
  <si>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</si>
  <si>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</si>
  <si>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</si>
  <si>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</si>
  <si>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</si>
  <si>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</si>
  <si>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</si>
  <si>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</si>
  <si>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</si>
  <si>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</si>
  <si>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</si>
  <si>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</si>
  <si>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</si>
  <si>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</si>
  <si>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</si>
  <si>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</si>
  <si>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</si>
  <si>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</si>
  <si>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</si>
  <si>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</si>
  <si>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</si>
  <si>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</si>
  <si>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</si>
  <si>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</si>
  <si>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</si>
  <si>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</si>
  <si>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</si>
  <si>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</si>
  <si>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</si>
  <si>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</si>
  <si>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</si>
  <si>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</si>
  <si>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</si>
  <si>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</si>
  <si>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</si>
  <si>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</si>
  <si>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</si>
  <si>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</si>
  <si>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</si>
  <si>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</si>
  <si>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</si>
  <si>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</si>
  <si>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</si>
  <si>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</si>
  <si>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</si>
  <si>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</si>
  <si>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</si>
  <si>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</si>
  <si>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</si>
  <si>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</si>
  <si>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</si>
  <si>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</si>
  <si>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</si>
  <si>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</si>
  <si>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</si>
  <si>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</si>
  <si>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</si>
  <si>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</si>
  <si>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</si>
  <si>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</si>
  <si>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</si>
  <si>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</si>
  <si>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</si>
  <si>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</si>
  <si>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</si>
  <si>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</si>
  <si>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</si>
  <si>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</si>
  <si>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</si>
  <si>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</si>
  <si>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</si>
  <si>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</si>
  <si>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</si>
  <si>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</si>
  <si>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</si>
  <si>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</si>
  <si>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</si>
  <si>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</si>
  <si>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</si>
  <si>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</si>
  <si>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</si>
  <si>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</si>
  <si>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</si>
  <si>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</si>
  <si>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</si>
  <si>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</si>
  <si>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</si>
  <si>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</si>
  <si>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</si>
  <si>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</si>
  <si>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</si>
  <si>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</si>
  <si>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</si>
  <si>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</si>
  <si>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</si>
  <si>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</si>
  <si>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</si>
  <si>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</si>
  <si>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</si>
  <si>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</si>
  <si>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</si>
  <si>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</si>
  <si>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</si>
  <si>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</si>
  <si>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</si>
  <si>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</si>
  <si>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</si>
  <si>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</si>
  <si>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</si>
  <si>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</si>
  <si>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</si>
  <si>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</si>
  <si>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</si>
  <si>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</si>
  <si>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</si>
  <si>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</si>
  <si>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</si>
  <si>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</si>
  <si>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</si>
  <si>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</si>
  <si>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</si>
  <si>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</si>
  <si>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</si>
  <si>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</si>
  <si>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</si>
  <si>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</si>
  <si>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</si>
  <si>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</si>
  <si>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</si>
  <si>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</si>
  <si>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</si>
  <si>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</si>
  <si>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</si>
  <si>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</si>
  <si>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</si>
  <si>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</si>
  <si>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</si>
  <si>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</si>
  <si>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</si>
  <si>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</si>
  <si>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</si>
  <si>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</si>
  <si>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</si>
  <si>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</si>
  <si>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</si>
  <si>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</si>
  <si>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</si>
  <si>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</si>
  <si>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</si>
  <si>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</si>
  <si>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</si>
  <si>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</si>
  <si>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</si>
  <si>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</si>
  <si>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</si>
  <si>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</si>
  <si>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</si>
  <si>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</si>
  <si>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</si>
  <si>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</si>
  <si>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</si>
  <si>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</si>
  <si>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</si>
  <si>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</si>
  <si>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</si>
  <si>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</si>
  <si>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</si>
  <si>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</si>
  <si>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</si>
  <si>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</si>
  <si>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</si>
  <si>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</si>
  <si>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</si>
  <si>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</si>
  <si>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</si>
  <si>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</si>
  <si>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</si>
  <si>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</si>
  <si>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</si>
  <si>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</si>
  <si>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</si>
  <si>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</si>
  <si>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</si>
  <si>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</si>
  <si>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</si>
  <si>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</si>
  <si>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</si>
  <si>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</si>
  <si>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</si>
  <si>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</si>
  <si>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</si>
  <si>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</si>
  <si>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</si>
  <si>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</si>
  <si>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</si>
  <si>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</si>
  <si>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</si>
  <si>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</si>
  <si>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</si>
  <si>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</si>
  <si>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</si>
  <si>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</si>
  <si>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</si>
  <si>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</si>
  <si>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</si>
  <si>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</si>
  <si>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</si>
  <si>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</si>
  <si>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</si>
  <si>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</si>
  <si>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</si>
  <si>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</si>
  <si>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</si>
  <si>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</si>
  <si>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</si>
  <si>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</si>
  <si>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</si>
  <si>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</si>
  <si>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</si>
  <si>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</si>
  <si>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</si>
  <si>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</si>
  <si>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</si>
  <si>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</si>
  <si>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</si>
  <si>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</si>
  <si>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</si>
  <si>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</si>
  <si>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</si>
  <si>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</si>
  <si>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</si>
  <si>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</si>
  <si>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</si>
  <si>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</si>
  <si>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</si>
  <si>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</si>
  <si>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</si>
  <si>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</si>
  <si>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</si>
  <si>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</si>
  <si>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</si>
  <si>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</si>
  <si>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</si>
  <si>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</si>
  <si>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</si>
  <si>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</si>
  <si>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</si>
  <si>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</si>
  <si>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</si>
  <si>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</si>
  <si>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</si>
  <si>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</si>
  <si>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</si>
  <si>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</si>
  <si>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</si>
  <si>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</si>
  <si>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</si>
  <si>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</si>
  <si>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</si>
  <si>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</si>
  <si>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</si>
  <si>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</si>
  <si>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</si>
  <si>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</si>
  <si>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</si>
  <si>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</si>
  <si>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</si>
  <si>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</si>
  <si>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</si>
  <si>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</si>
  <si>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</si>
  <si>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</si>
  <si>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</si>
  <si>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</si>
  <si>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</si>
  <si>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</si>
  <si>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</si>
  <si>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</si>
  <si>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</si>
  <si>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</si>
  <si>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</si>
  <si>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</si>
  <si>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</si>
  <si>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</si>
  <si>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</si>
  <si>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</si>
  <si>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</si>
  <si>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</si>
  <si>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</si>
  <si>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</si>
  <si>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</si>
  <si>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</si>
  <si>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</si>
  <si>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</si>
  <si>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</si>
  <si>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</si>
  <si>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</si>
  <si>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</si>
  <si>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</si>
  <si>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</si>
  <si>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</si>
  <si>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</si>
  <si>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</si>
  <si>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</si>
  <si>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</si>
  <si>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</si>
  <si>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</si>
  <si>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</si>
  <si>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</si>
  <si>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</si>
  <si>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</si>
  <si>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</si>
  <si>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</si>
  <si>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</si>
  <si>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</si>
  <si>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</si>
  <si>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</si>
  <si>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</si>
  <si>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</si>
  <si>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</si>
  <si>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</si>
  <si>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</si>
  <si>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</si>
  <si>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</si>
  <si>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</si>
  <si>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</si>
  <si>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</si>
  <si>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</si>
  <si>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</si>
  <si>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</si>
  <si>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</si>
  <si>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</si>
  <si>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</si>
  <si>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</si>
  <si>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</si>
  <si>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</si>
  <si>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</si>
  <si>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</si>
  <si>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</si>
  <si>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</si>
  <si>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</si>
  <si>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</si>
  <si>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</si>
  <si>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</si>
  <si>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</si>
  <si>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</si>
  <si>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</si>
  <si>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</si>
  <si>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</si>
  <si>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</si>
  <si>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</si>
  <si>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</si>
  <si>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</si>
  <si>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</si>
  <si>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</si>
  <si>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</si>
  <si>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</si>
  <si>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</si>
  <si>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</si>
  <si>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</si>
  <si>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</si>
  <si>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</si>
  <si>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</si>
  <si>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</si>
  <si>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</si>
  <si>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</si>
  <si>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</si>
  <si>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</si>
  <si>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</si>
  <si>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</si>
  <si>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</si>
  <si>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</si>
  <si>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</si>
  <si>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</si>
  <si>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</si>
  <si>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</si>
  <si>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</si>
  <si>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</si>
  <si>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</si>
  <si>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</si>
  <si>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</si>
  <si>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</si>
  <si>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</si>
  <si>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</si>
  <si>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</si>
  <si>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</si>
  <si>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</si>
  <si>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</si>
  <si>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</si>
  <si>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</si>
  <si>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</si>
  <si>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</si>
  <si>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</si>
  <si>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</si>
  <si>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</si>
  <si>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</si>
  <si>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</si>
  <si>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</si>
  <si>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</si>
  <si>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</si>
  <si>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</si>
  <si>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</si>
  <si>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</si>
  <si>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</si>
  <si>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</si>
  <si>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</si>
  <si>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</si>
  <si>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</si>
  <si>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</si>
  <si>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</si>
  <si>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</si>
  <si>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</si>
  <si>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</si>
  <si>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</si>
  <si>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</si>
  <si>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</si>
  <si>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</si>
  <si>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</si>
  <si>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</si>
  <si>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</si>
  <si>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</si>
  <si>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</si>
  <si>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</si>
  <si>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</si>
  <si>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</si>
  <si>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</si>
  <si>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</si>
  <si>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</si>
  <si>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</si>
  <si>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</si>
  <si>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</si>
  <si>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</si>
  <si>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</si>
  <si>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</si>
  <si>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</si>
  <si>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</si>
  <si>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</si>
  <si>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</si>
  <si>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</si>
  <si>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</si>
  <si>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</si>
  <si>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</si>
  <si>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</si>
  <si>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</si>
  <si>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</si>
  <si>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</si>
  <si>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</si>
  <si>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</si>
  <si>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</si>
  <si>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</si>
  <si>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</si>
  <si>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</si>
  <si>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</si>
  <si>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</si>
  <si>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</si>
  <si>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</si>
  <si>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</si>
  <si>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</si>
  <si>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</si>
  <si>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</si>
  <si>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</si>
  <si>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</si>
  <si>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</si>
  <si>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</si>
  <si>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</si>
  <si>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</si>
  <si>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</si>
  <si>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</si>
  <si>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</si>
  <si>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</si>
  <si>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</si>
  <si>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</si>
  <si>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</si>
  <si>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</si>
  <si>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</si>
  <si>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</si>
  <si>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</si>
  <si>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</si>
  <si>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</si>
  <si>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</si>
  <si>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</si>
  <si>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</si>
  <si>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</si>
  <si>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</si>
  <si>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</si>
  <si>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</si>
  <si>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</si>
  <si>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</si>
  <si>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</si>
  <si>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</si>
  <si>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</si>
  <si>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</si>
  <si>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</si>
  <si>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</si>
  <si>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</si>
  <si>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</si>
  <si>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</si>
  <si>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</si>
  <si>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</si>
  <si>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</si>
  <si>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</si>
  <si>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</si>
  <si>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</si>
  <si>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</si>
  <si>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</si>
  <si>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</si>
  <si>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</si>
  <si>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</si>
  <si>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</si>
  <si>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</si>
  <si>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</si>
  <si>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</si>
  <si>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</si>
  <si>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</si>
  <si>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</si>
  <si>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</si>
  <si>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</si>
  <si>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</si>
  <si>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</si>
  <si>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</si>
  <si>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</si>
  <si>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</si>
  <si>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</si>
  <si>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</si>
  <si>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</si>
  <si>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</si>
  <si>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</si>
  <si>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</si>
  <si>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</si>
  <si>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</si>
  <si>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</si>
  <si>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</si>
  <si>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</si>
  <si>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</si>
  <si>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</si>
  <si>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</si>
  <si>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</si>
  <si>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</si>
  <si>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2026-025</t>
  </si>
  <si>
    <t>2026-056</t>
  </si>
  <si>
    <t>18 e 19/11/2026</t>
  </si>
  <si>
    <t>8913/2026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</si>
</sst>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9" fontId="41" fillId="4" borderId="1" xfId="0" applyNumberFormat="1" applyFont="1" applyFill="1" applyBorder="1" applyAlignment="1">
      <alignment vertical="center"/>
    </xf>
    <xf numFmtId="0" fontId="55" fillId="4" borderId="2" xfId="0" applyFont="1" applyFill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108:T7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zoomScaleNormal="100" workbookViewId="0">
      <pane ySplit="1" topLeftCell="A713" activePane="bottomLeft" state="frozen"/>
      <selection pane="bottomLeft" activeCell="E723" sqref="E723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>
        <v>4.9000000000000004</v>
      </c>
      <c r="N698" s="251">
        <v>30</v>
      </c>
      <c r="O698" s="254">
        <v>0</v>
      </c>
      <c r="P698" s="24">
        <v>0</v>
      </c>
      <c r="Q698" s="254">
        <v>48</v>
      </c>
      <c r="R698" s="254">
        <f>IF(B698="","",SUM(O698:Q698))</f>
        <v>48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>
        <f t="shared" ref="R697:R712" si="2">IF(B701="","",SUM(O701:Q701))</f>
        <v>0</v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2"/>
      <c r="M702" s="250"/>
      <c r="N702" s="252">
        <v>40</v>
      </c>
      <c r="O702" s="255"/>
      <c r="P702" s="255"/>
      <c r="Q702" s="255"/>
      <c r="R702" s="255">
        <f t="shared" si="2"/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2378</v>
      </c>
      <c r="E703" s="237" t="s">
        <v>2399</v>
      </c>
      <c r="F703" s="241" t="s">
        <v>51</v>
      </c>
      <c r="G703" s="243" t="s">
        <v>59</v>
      </c>
      <c r="H703" s="245" t="s">
        <v>2381</v>
      </c>
      <c r="I703" s="247">
        <v>46244</v>
      </c>
      <c r="J703" s="247">
        <v>46244</v>
      </c>
      <c r="K703" s="235" t="s">
        <v>32</v>
      </c>
      <c r="L703" s="302">
        <v>1990</v>
      </c>
      <c r="M703" s="250"/>
      <c r="N703" s="251">
        <v>20</v>
      </c>
      <c r="O703" s="254"/>
      <c r="P703" s="254"/>
      <c r="Q703" s="254"/>
      <c r="R703" s="254">
        <f t="shared" si="2"/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2383</v>
      </c>
      <c r="E704" s="239" t="s">
        <v>2401</v>
      </c>
      <c r="F704" s="242" t="s">
        <v>51</v>
      </c>
      <c r="G704" s="244" t="s">
        <v>59</v>
      </c>
      <c r="H704" s="246" t="s">
        <v>2381</v>
      </c>
      <c r="I704" s="248">
        <v>46244</v>
      </c>
      <c r="J704" s="248">
        <v>46244</v>
      </c>
      <c r="K704" s="236" t="s">
        <v>32</v>
      </c>
      <c r="L704" s="302">
        <v>3520</v>
      </c>
      <c r="M704" s="250"/>
      <c r="N704" s="252">
        <v>30</v>
      </c>
      <c r="O704" s="255"/>
      <c r="P704" s="255"/>
      <c r="Q704" s="255"/>
      <c r="R704" s="255">
        <f t="shared" si="2"/>
        <v>0</v>
      </c>
      <c r="S704" s="236">
        <v>4</v>
      </c>
      <c r="T704" s="244" t="s">
        <v>2385</v>
      </c>
    </row>
    <row r="705" spans="1:21" ht="22.5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2386</v>
      </c>
      <c r="E705" s="237" t="s">
        <v>2402</v>
      </c>
      <c r="F705" s="241" t="s">
        <v>51</v>
      </c>
      <c r="G705" s="243" t="s">
        <v>59</v>
      </c>
      <c r="H705" s="245" t="s">
        <v>2387</v>
      </c>
      <c r="I705" s="247">
        <v>46245</v>
      </c>
      <c r="J705" s="247">
        <v>46245</v>
      </c>
      <c r="K705" s="235" t="s">
        <v>32</v>
      </c>
      <c r="L705" s="302">
        <v>3520</v>
      </c>
      <c r="M705" s="250"/>
      <c r="N705" s="251">
        <v>30</v>
      </c>
      <c r="O705" s="254"/>
      <c r="P705" s="254"/>
      <c r="Q705" s="254"/>
      <c r="R705" s="254">
        <f t="shared" si="2"/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2377</v>
      </c>
      <c r="E706" s="239" t="s">
        <v>2379</v>
      </c>
      <c r="F706" s="242" t="s">
        <v>51</v>
      </c>
      <c r="G706" s="244" t="s">
        <v>59</v>
      </c>
      <c r="H706" s="246" t="s">
        <v>2380</v>
      </c>
      <c r="I706" s="248">
        <v>46246</v>
      </c>
      <c r="J706" s="248">
        <v>46246</v>
      </c>
      <c r="K706" s="236" t="s">
        <v>32</v>
      </c>
      <c r="L706" s="302">
        <v>2347</v>
      </c>
      <c r="M706" s="250"/>
      <c r="N706" s="252">
        <v>50</v>
      </c>
      <c r="O706" s="255"/>
      <c r="P706" s="255"/>
      <c r="Q706" s="255"/>
      <c r="R706" s="255">
        <f t="shared" si="2"/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2388</v>
      </c>
      <c r="E707" s="239" t="s">
        <v>2403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3520</v>
      </c>
      <c r="M707" s="250"/>
      <c r="N707" s="252">
        <v>30</v>
      </c>
      <c r="O707" s="255"/>
      <c r="P707" s="255"/>
      <c r="Q707" s="255"/>
      <c r="R707" s="255">
        <f t="shared" si="2"/>
        <v>0</v>
      </c>
      <c r="S707" s="236">
        <v>4</v>
      </c>
      <c r="T707" s="244" t="s">
        <v>2390</v>
      </c>
    </row>
    <row r="708" spans="1:21" ht="22.5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2373</v>
      </c>
      <c r="E708" s="237" t="s">
        <v>2398</v>
      </c>
      <c r="F708" s="241" t="s">
        <v>51</v>
      </c>
      <c r="G708" s="243" t="s">
        <v>59</v>
      </c>
      <c r="H708" s="245" t="s">
        <v>2374</v>
      </c>
      <c r="I708" s="247">
        <v>46247</v>
      </c>
      <c r="J708" s="247">
        <v>46247</v>
      </c>
      <c r="K708" s="235" t="s">
        <v>32</v>
      </c>
      <c r="L708" s="302">
        <v>1770</v>
      </c>
      <c r="M708" s="250"/>
      <c r="N708" s="251">
        <v>50</v>
      </c>
      <c r="O708" s="254"/>
      <c r="P708" s="254"/>
      <c r="Q708" s="254"/>
      <c r="R708" s="254">
        <f t="shared" si="2"/>
        <v>0</v>
      </c>
      <c r="S708" s="235">
        <v>4</v>
      </c>
      <c r="T708" s="243" t="s">
        <v>2376</v>
      </c>
    </row>
    <row r="709" spans="1:21" ht="22.5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2391</v>
      </c>
      <c r="E709" s="237" t="s">
        <v>2404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3520</v>
      </c>
      <c r="M709" s="250"/>
      <c r="N709" s="251">
        <v>30</v>
      </c>
      <c r="O709" s="254"/>
      <c r="P709" s="254"/>
      <c r="Q709" s="254"/>
      <c r="R709" s="254">
        <f t="shared" si="2"/>
        <v>0</v>
      </c>
      <c r="S709" s="235">
        <v>4</v>
      </c>
      <c r="T709" s="243" t="s">
        <v>2393</v>
      </c>
      <c r="U709" s="230"/>
    </row>
    <row r="710" spans="1:21" ht="22.5" customHeight="1" x14ac:dyDescent="0.25">
      <c r="A710" s="189" t="str">
        <f>IF(B710="","",B710&amp;"-"&amp;TEXT(COUNTIF(B$2:B710,B710),"000"))</f>
        <v>2026-054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2"/>
      <c r="M710" s="250"/>
      <c r="N710" s="251">
        <v>80</v>
      </c>
      <c r="O710" s="254"/>
      <c r="P710" s="254"/>
      <c r="Q710" s="254"/>
      <c r="R710" s="254">
        <f t="shared" si="2"/>
        <v>0</v>
      </c>
      <c r="S710" s="235">
        <v>4</v>
      </c>
      <c r="T710" s="259" t="s">
        <v>2183</v>
      </c>
    </row>
    <row r="711" spans="1:21" ht="22.5" customHeight="1" x14ac:dyDescent="0.25">
      <c r="A711" s="188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2"/>
      <c r="M711" s="250"/>
      <c r="N711" s="252">
        <v>80</v>
      </c>
      <c r="O711" s="255"/>
      <c r="P711" s="255"/>
      <c r="Q711" s="255"/>
      <c r="R711" s="255">
        <f t="shared" si="2"/>
        <v>0</v>
      </c>
      <c r="S711" s="236">
        <v>4</v>
      </c>
      <c r="T711" s="260" t="s">
        <v>2185</v>
      </c>
    </row>
    <row r="712" spans="1:21" ht="22.5" customHeight="1" x14ac:dyDescent="0.25">
      <c r="A712" s="189" t="str">
        <f>IF(B712="","",B712&amp;"-"&amp;TEXT(COUNTIF(B$2:B712,B712),"000"))</f>
        <v>2026-056</v>
      </c>
      <c r="B712" s="69">
        <v>2026</v>
      </c>
      <c r="C712" s="234" t="s">
        <v>2102</v>
      </c>
      <c r="D712" s="236" t="s">
        <v>2408</v>
      </c>
      <c r="E712" s="239" t="s">
        <v>2409</v>
      </c>
      <c r="F712" s="242" t="s">
        <v>51</v>
      </c>
      <c r="G712" s="244" t="s">
        <v>59</v>
      </c>
      <c r="H712" s="319" t="s">
        <v>2410</v>
      </c>
      <c r="I712" s="248">
        <v>46259</v>
      </c>
      <c r="J712" s="248">
        <v>46268</v>
      </c>
      <c r="K712" s="236" t="s">
        <v>32</v>
      </c>
      <c r="L712" s="302"/>
      <c r="M712" s="250"/>
      <c r="N712" s="252">
        <v>30</v>
      </c>
      <c r="O712" s="255"/>
      <c r="P712" s="255"/>
      <c r="Q712" s="255"/>
      <c r="R712" s="255">
        <f t="shared" si="2"/>
        <v>0</v>
      </c>
      <c r="S712" s="236">
        <v>20</v>
      </c>
      <c r="T712" s="244" t="s">
        <v>2414</v>
      </c>
    </row>
    <row r="713" spans="1:21" ht="22.5" customHeight="1" x14ac:dyDescent="0.25">
      <c r="A713" s="189" t="str">
        <f>IF(B713="","",B713&amp;"-"&amp;TEXT(COUNTIF(B$2:B713,B713),"000"))</f>
        <v>2026-057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2407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customHeight="1" x14ac:dyDescent="0.25">
      <c r="A714" s="189" t="str">
        <f>IF(B714="","",B714&amp;"-"&amp;TEXT(COUNTIF(B$2:B714,B714),"000"))</f>
        <v>2026-058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2026-060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2026-061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2026-062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customHeight="1" x14ac:dyDescent="0.25">
      <c r="A719" s="188" t="str">
        <f>IF(B719="","",B719&amp;"-"&amp;TEXT(COUNTIF(B$2:B719,B719),"000"))</f>
        <v>2026-063</v>
      </c>
      <c r="B719" s="63">
        <v>2026</v>
      </c>
      <c r="C719" s="21" t="s">
        <v>2102</v>
      </c>
      <c r="D719" s="163" t="s">
        <v>2110</v>
      </c>
      <c r="E719" s="321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customHeight="1" x14ac:dyDescent="0.25">
      <c r="A720" s="282" t="str">
        <f>IF(B720="","",B720&amp;"-"&amp;TEXT(COUNTIF(B$2:B720,B720),"000"))</f>
        <v>2026-064</v>
      </c>
      <c r="B720" s="69">
        <v>2026</v>
      </c>
      <c r="C720" s="261" t="s">
        <v>2102</v>
      </c>
      <c r="D720" s="284" t="s">
        <v>2158</v>
      </c>
      <c r="E720" s="285" t="s">
        <v>2159</v>
      </c>
      <c r="F720" s="322" t="s">
        <v>22</v>
      </c>
      <c r="G720" s="287" t="s">
        <v>56</v>
      </c>
      <c r="H720" s="289" t="s">
        <v>2417</v>
      </c>
      <c r="I720" s="291">
        <v>46344</v>
      </c>
      <c r="J720" s="291">
        <v>46345</v>
      </c>
      <c r="K720" s="284" t="s">
        <v>25</v>
      </c>
      <c r="L720" s="303">
        <v>13000</v>
      </c>
      <c r="M720" s="264"/>
      <c r="N720" s="292"/>
      <c r="O720" s="293"/>
      <c r="P720" s="293"/>
      <c r="Q720" s="293"/>
      <c r="R720" s="293">
        <f t="shared" ref="R720:R748" si="3">IF(B720="","",SUM(O720:Q720))</f>
        <v>0</v>
      </c>
      <c r="S720" s="284">
        <v>10</v>
      </c>
      <c r="T720" s="287" t="s">
        <v>2161</v>
      </c>
    </row>
    <row r="721" spans="1:20" ht="22.5" customHeight="1" x14ac:dyDescent="0.25">
      <c r="A721" s="188" t="str">
        <f>IF(B721="","",B721&amp;"-"&amp;TEXT(COUNTIF(B$2:B721,B721),"000"))</f>
        <v>2026-065</v>
      </c>
      <c r="B721" s="21">
        <v>2026</v>
      </c>
      <c r="C721" s="234" t="s">
        <v>2102</v>
      </c>
      <c r="D721" s="235" t="s">
        <v>2173</v>
      </c>
      <c r="E721" s="237" t="s">
        <v>2174</v>
      </c>
      <c r="F721" s="241" t="s">
        <v>51</v>
      </c>
      <c r="G721" s="243" t="s">
        <v>59</v>
      </c>
      <c r="H721" s="245" t="s">
        <v>2145</v>
      </c>
      <c r="I721" s="247" t="s">
        <v>2175</v>
      </c>
      <c r="J721" s="247" t="s">
        <v>2176</v>
      </c>
      <c r="K721" s="235" t="s">
        <v>32</v>
      </c>
      <c r="L721" s="302"/>
      <c r="M721" s="250"/>
      <c r="N721" s="251"/>
      <c r="O721" s="254"/>
      <c r="P721" s="254"/>
      <c r="Q721" s="254"/>
      <c r="R721" s="254">
        <f t="shared" si="3"/>
        <v>0</v>
      </c>
      <c r="S721" s="235">
        <v>17.45</v>
      </c>
      <c r="T721" s="243" t="s">
        <v>2177</v>
      </c>
    </row>
    <row r="722" spans="1:20" ht="22.5" customHeight="1" x14ac:dyDescent="0.25">
      <c r="A722" s="189" t="str">
        <f>IF(B722="","",B722&amp;"-"&amp;TEXT(COUNTIF(B$2:B722,B722),"000"))</f>
        <v>2026-066</v>
      </c>
      <c r="B722" s="69">
        <v>2026</v>
      </c>
      <c r="C722" s="234" t="s">
        <v>2102</v>
      </c>
      <c r="D722" s="236" t="s">
        <v>2397</v>
      </c>
      <c r="E722" s="238" t="s">
        <v>2405</v>
      </c>
      <c r="F722" s="242" t="s">
        <v>51</v>
      </c>
      <c r="G722" s="244" t="s">
        <v>59</v>
      </c>
      <c r="H722" s="316" t="s">
        <v>2394</v>
      </c>
      <c r="I722" s="317" t="s">
        <v>2394</v>
      </c>
      <c r="J722" s="317" t="s">
        <v>2394</v>
      </c>
      <c r="K722" s="236" t="s">
        <v>32</v>
      </c>
      <c r="L722" s="302">
        <v>3520</v>
      </c>
      <c r="M722" s="250"/>
      <c r="N722" s="252">
        <v>30</v>
      </c>
      <c r="O722" s="255"/>
      <c r="P722" s="255"/>
      <c r="Q722" s="255"/>
      <c r="R722" s="318">
        <f t="shared" si="3"/>
        <v>0</v>
      </c>
      <c r="S722" s="236">
        <v>4</v>
      </c>
      <c r="T722" s="244" t="s">
        <v>2396</v>
      </c>
    </row>
    <row r="723" spans="1:20" ht="22.5" customHeight="1" x14ac:dyDescent="0.25">
      <c r="A723" s="188" t="str">
        <f>IF(B723="","",B723&amp;"-"&amp;TEXT(COUNTIF(B$2:B723,B723),"000"))</f>
        <v>2026-067</v>
      </c>
      <c r="B723" s="232">
        <v>2026</v>
      </c>
      <c r="C723" s="234" t="s">
        <v>2102</v>
      </c>
      <c r="D723" s="235" t="s">
        <v>2418</v>
      </c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>
        <f t="shared" si="3"/>
        <v>0</v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 t="shared" si="3"/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 t="shared" si="3"/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 t="shared" si="3"/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 t="shared" si="3"/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 t="shared" si="3"/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 t="shared" si="3"/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 t="shared" si="3"/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 t="shared" si="3"/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 t="shared" si="3"/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 t="shared" si="3"/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 t="shared" si="3"/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 t="shared" si="3"/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 t="shared" si="3"/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 t="shared" si="3"/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 t="shared" si="3"/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 t="shared" si="3"/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 t="shared" si="3"/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 t="shared" si="3"/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 t="shared" si="3"/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 t="shared" si="3"/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 t="shared" si="3"/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 t="shared" si="3"/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 t="shared" si="3"/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 t="shared" si="3"/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 t="shared" si="3"/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721:J1048576 I704:J719 I681:J702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8" activePane="bottomLeft" state="frozen"/>
      <selection pane="bottomLeft" activeCell="K69" sqref="K6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3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8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2415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2415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2026-045</v>
      </c>
      <c r="N40" t="str">
        <v>A realizar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 Luiz Felipe Tenório de Lima Gondim; Priscila Nolasco de Oliveira</v>
      </c>
      <c r="R49">
        <v>5</v>
      </c>
      <c r="S49">
        <v>99</v>
      </c>
      <c r="T49">
        <v>94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104</v>
      </c>
      <c r="T50">
        <v>99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Curso de formação sobre "Programa de Descentralização Progressiva das Ações de Saúde - PDPAS</v>
      </c>
      <c r="P51">
        <v>20</v>
      </c>
      <c r="Q51" t="str">
        <v>Tarsila Firmino Ely; Sara Cristina Lins Ramos; Carina de Souza Mariuba Herthel; Elvis Aaron Teixeira dos Santos Lima</v>
      </c>
      <c r="R51">
        <v>4</v>
      </c>
      <c r="S51">
        <v>108</v>
      </c>
      <c r="T51">
        <v>104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2026-058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113</v>
      </c>
      <c r="T52">
        <v>108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118</v>
      </c>
      <c r="T53">
        <v>113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123</v>
      </c>
      <c r="T54">
        <v>118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128</v>
      </c>
      <c r="T55">
        <v>123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2026-065</v>
      </c>
      <c r="N56" t="str">
        <v>A realizar</v>
      </c>
      <c r="O56" t="str">
        <v>Contratações de TIC com base na jurisprudência do TCDF - EAD</v>
      </c>
      <c r="P56">
        <v>17.45</v>
      </c>
      <c r="Q56" t="str">
        <v>Flávio José Fonseca de Souza; Felipe da Costa Malaquias</v>
      </c>
      <c r="R56">
        <v>2</v>
      </c>
      <c r="S56">
        <v>130</v>
      </c>
      <c r="T56">
        <v>128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Oficina Temática - SEMAT: Matriz de Riscos em contratos de obras e serviços de engenharia</v>
      </c>
      <c r="P57">
        <v>4</v>
      </c>
      <c r="Q57" t="str">
        <v>Silvia Lima Damasceno Carvalho; Renan Dias da Silva</v>
      </c>
      <c r="R57">
        <v>2</v>
      </c>
      <c r="S57">
        <v>132</v>
      </c>
      <c r="T57">
        <v>130</v>
      </c>
      <c r="X57" t="s">
        <v>2416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T58">
        <v>132</v>
      </c>
      <c r="X58" t="s">
        <v>2416</v>
      </c>
      <c r="Y58" s="320" t="s">
        <v>2413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X59" t="s">
        <v>2416</v>
      </c>
      <c r="Y59" t="s">
        <v>2412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2416</v>
      </c>
      <c r="Y60" t="s">
        <v>2411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>A realizar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Adriana Cuoco Portugal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Cinthia Thais de Carvalho Luz Thomazi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Fernanda Viana de Souza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Luiz Felipe Tenório de Lima Gondim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2026-054</v>
      </c>
      <c r="C100" t="str">
        <v>A realizar</v>
      </c>
      <c r="D100" t="str">
        <v>TCendo o Futuro</v>
      </c>
      <c r="E100">
        <v>4</v>
      </c>
      <c r="F100" t="str">
        <v>Priscila Nolasco de Oliveira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Adriana Cuoco Portugal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Cinthia Thais de Carvalho Luz Thomazi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Fernanda Viana de Souza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Luiz Felipe Tenório de Lima Gondim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Priscila Nolasco de Oliveira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Curso de formação sobre "Programa de Descentralização Progressiva das Ações de Saúde - PDPAS</v>
      </c>
      <c r="E106">
        <v>20</v>
      </c>
      <c r="F106" t="str">
        <v>Tarsila Firmino Ely</v>
      </c>
      <c r="G106">
        <v>4</v>
      </c>
      <c r="H106">
        <v>20</v>
      </c>
      <c r="I106">
        <v>3.6</v>
      </c>
      <c r="J106">
        <v>23.6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Curso de formação sobre "Programa de Descentralização Progressiva das Ações de Saúde - PDPAS</v>
      </c>
      <c r="E107">
        <v>20</v>
      </c>
      <c r="F107" t="str">
        <v>Sara Cristina Lins Ramos</v>
      </c>
      <c r="G107">
        <v>4</v>
      </c>
      <c r="H107">
        <v>8</v>
      </c>
      <c r="I107">
        <v>2.4</v>
      </c>
      <c r="J107">
        <v>10.4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Curso de formação sobre "Programa de Descentralização Progressiva das Ações de Saúde - PDPAS</v>
      </c>
      <c r="E108">
        <v>20</v>
      </c>
      <c r="F108" t="str">
        <v>Carina de Souza Mariuba Herthel</v>
      </c>
      <c r="G108">
        <v>4</v>
      </c>
      <c r="H108">
        <v>8</v>
      </c>
      <c r="I108">
        <v>2.4</v>
      </c>
      <c r="J108">
        <v>10.4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Curso de formação sobre "Programa de Descentralização Progressiva das Ações de Saúde - PDPAS</v>
      </c>
      <c r="E109">
        <v>20</v>
      </c>
      <c r="F109" t="str">
        <v>Elvis Aaron Teixeira dos Santos Lima</v>
      </c>
      <c r="G109">
        <v>4</v>
      </c>
      <c r="H109">
        <v>0</v>
      </c>
      <c r="I109">
        <v>0</v>
      </c>
      <c r="J109">
        <v>0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Adriana Cuoco Portugal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Cinthia Thais de Carvalho Luz Thomazi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Fernanda Viana de Souza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Luiz Felipe Tenório de Lima Gondim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2026-061</v>
      </c>
      <c r="C129" t="str">
        <v>A realizar</v>
      </c>
      <c r="D129" t="str">
        <v>TCendo o Futuro</v>
      </c>
      <c r="E129">
        <v>4</v>
      </c>
      <c r="F129" t="str">
        <v>Priscila Nolasco de Oliveira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2026-065</v>
      </c>
      <c r="C130" t="str">
        <v>A realizar</v>
      </c>
      <c r="D130" t="str">
        <v>Contratações de TIC com base na jurisprudência do TCDF - EAD</v>
      </c>
      <c r="E130">
        <v>17.45</v>
      </c>
      <c r="F130" t="str">
        <v>Flávio José Fonseca de Souza</v>
      </c>
      <c r="G130">
        <v>2</v>
      </c>
      <c r="H130">
        <v>17.45</v>
      </c>
      <c r="I130">
        <v>5.2349999999999994</v>
      </c>
      <c r="J130">
        <v>22.684999999999999</v>
      </c>
      <c r="R130" t="str">
        <v/>
      </c>
      <c r="S130" t="str">
        <v/>
      </c>
    </row>
    <row r="131" spans="1:19" x14ac:dyDescent="0.25">
      <c r="A131">
        <v>2026</v>
      </c>
      <c r="B131" t="str">
        <v>2026-065</v>
      </c>
      <c r="C131" t="str">
        <v>A realizar</v>
      </c>
      <c r="D131" t="str">
        <v>Contratações de TIC com base na jurisprudência do TCDF - EAD</v>
      </c>
      <c r="E131">
        <v>17.45</v>
      </c>
      <c r="F131" t="str">
        <v>Felipe da Costa Malaquias</v>
      </c>
      <c r="G131">
        <v>2</v>
      </c>
      <c r="H131">
        <v>17.45</v>
      </c>
      <c r="I131">
        <v>5.2349999999999994</v>
      </c>
      <c r="J131">
        <v>22.684999999999999</v>
      </c>
      <c r="R131" t="str">
        <v/>
      </c>
      <c r="S131" t="str">
        <v/>
      </c>
    </row>
    <row r="132" spans="1:19" x14ac:dyDescent="0.25">
      <c r="A132">
        <v>2026</v>
      </c>
      <c r="B132" t="str">
        <v>2026-066</v>
      </c>
      <c r="C132" t="str">
        <v>A realizar</v>
      </c>
      <c r="D132" t="str">
        <v>Oficina Temática - SEMAT: Matriz de Riscos em contratos de obras e serviços de engenharia</v>
      </c>
      <c r="E132">
        <v>4</v>
      </c>
      <c r="F132" t="str">
        <v>Silvia Lima Damasceno Carvalho</v>
      </c>
      <c r="G132">
        <v>2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2026-066</v>
      </c>
      <c r="C133" t="str">
        <v>A realizar</v>
      </c>
      <c r="D133" t="str">
        <v>Oficina Temática - SEMAT: Matriz de Riscos em contratos de obras e serviços de engenharia</v>
      </c>
      <c r="E133">
        <v>4</v>
      </c>
      <c r="F133" t="str">
        <v>Renan Dias da Silva</v>
      </c>
      <c r="G133">
        <v>2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R134" t="str">
        <v/>
      </c>
      <c r="S134" t="str">
        <v/>
      </c>
    </row>
    <row r="135" spans="1:19" x14ac:dyDescent="0.25">
      <c r="R135" t="str">
        <v/>
      </c>
      <c r="S135" t="str">
        <v/>
      </c>
    </row>
    <row r="136" spans="1:19" x14ac:dyDescent="0.25">
      <c r="R136" t="str">
        <v/>
      </c>
      <c r="S136" t="str">
        <v/>
      </c>
    </row>
    <row r="137" spans="1:19" x14ac:dyDescent="0.25"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5" t="s">
        <v>2291</v>
      </c>
      <c r="B1" s="325"/>
      <c r="C1" s="325"/>
      <c r="D1" s="325"/>
      <c r="E1" s="325"/>
      <c r="F1" s="325"/>
      <c r="G1" s="325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6" t="s">
        <v>2292</v>
      </c>
      <c r="B4" s="327"/>
      <c r="D4" s="328" t="s">
        <v>2293</v>
      </c>
      <c r="E4" s="329"/>
      <c r="G4" s="123" t="s">
        <v>2294</v>
      </c>
    </row>
    <row r="5" spans="1:7" ht="54.95" customHeight="1" thickBot="1" x14ac:dyDescent="0.75">
      <c r="A5" s="113">
        <f>COUNTIF('Ações InCompany'!B:B,2026)</f>
        <v>67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27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3" t="s">
        <v>2296</v>
      </c>
      <c r="B8" s="323"/>
      <c r="D8" s="323" t="s">
        <v>2297</v>
      </c>
      <c r="E8" s="323"/>
    </row>
    <row r="9" spans="1:7" ht="5.0999999999999996" customHeight="1" x14ac:dyDescent="0.25">
      <c r="A9" s="324"/>
      <c r="B9" s="324"/>
      <c r="D9" s="324"/>
      <c r="E9" s="324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481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1824</v>
      </c>
    </row>
    <row r="30" spans="1:5" ht="17.25" x14ac:dyDescent="0.3">
      <c r="A30" s="323" t="s">
        <v>2306</v>
      </c>
      <c r="B30" s="323"/>
      <c r="C30" s="323"/>
      <c r="D30" s="323"/>
      <c r="E30" s="323"/>
    </row>
    <row r="31" spans="1:5" ht="5.0999999999999996" customHeight="1" x14ac:dyDescent="0.25">
      <c r="A31" s="324"/>
      <c r="B31" s="324"/>
      <c r="C31" s="324"/>
      <c r="D31" s="324"/>
      <c r="E31" s="324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0.328125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4.6875E-2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9.375E-2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1</v>
      </c>
      <c r="D36" s="117">
        <f t="shared" si="0"/>
        <v>3</v>
      </c>
      <c r="E36" s="118">
        <f t="shared" si="1"/>
        <v>4.6875E-2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3.125E-2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0.21875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1</v>
      </c>
      <c r="D40" s="151">
        <f>B40+C40</f>
        <v>1</v>
      </c>
      <c r="E40" s="156">
        <f>D40/$D$45</f>
        <v>1.5625E-2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0.109375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3.125E-2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1</v>
      </c>
      <c r="D44" s="147">
        <f t="shared" si="0"/>
        <v>1</v>
      </c>
      <c r="E44" s="148">
        <f t="shared" si="1"/>
        <v>1.5625E-2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27</v>
      </c>
      <c r="D45" s="119">
        <f>SUM(D33:D44)</f>
        <v>64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0" t="s">
        <v>2356</v>
      </c>
      <c r="B1" s="330"/>
      <c r="C1" s="330"/>
      <c r="D1" s="330"/>
      <c r="E1" s="330"/>
      <c r="F1" s="330"/>
      <c r="G1" s="330"/>
      <c r="H1" s="330"/>
    </row>
    <row r="2" spans="1:8" x14ac:dyDescent="0.25">
      <c r="A2" s="128" t="s">
        <v>2357</v>
      </c>
    </row>
    <row r="4" spans="1:8" ht="21.95" customHeight="1" x14ac:dyDescent="0.25">
      <c r="A4" s="331" t="s">
        <v>2358</v>
      </c>
      <c r="B4" s="332"/>
      <c r="D4" s="331" t="s">
        <v>2359</v>
      </c>
      <c r="E4" s="332"/>
      <c r="G4" s="331" t="s">
        <v>2360</v>
      </c>
      <c r="H4" s="332"/>
    </row>
    <row r="5" spans="1:8" ht="35.1" customHeight="1" x14ac:dyDescent="0.25">
      <c r="A5" s="335">
        <f>COUNTIF('Ações InCompany'!E:E,"*maratona*")</f>
        <v>13</v>
      </c>
      <c r="B5" s="334"/>
      <c r="D5" s="333">
        <f>SUM(H8:H100)</f>
        <v>1762</v>
      </c>
      <c r="E5" s="334"/>
      <c r="G5" s="333">
        <f>IFERROR(ROUND(D5/A5,0),"-")</f>
        <v>136</v>
      </c>
      <c r="H5" s="334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6" t="s">
        <v>2366</v>
      </c>
      <c r="B1" s="336"/>
      <c r="C1" s="336"/>
      <c r="D1" s="336"/>
      <c r="E1" s="336"/>
      <c r="F1" s="336"/>
    </row>
    <row r="2" spans="1:7" x14ac:dyDescent="0.25">
      <c r="A2" s="337" t="s">
        <v>2367</v>
      </c>
      <c r="B2" s="337"/>
      <c r="C2" s="337"/>
      <c r="D2" s="337"/>
      <c r="E2" s="337"/>
      <c r="F2" s="337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4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Carina de Souza Mariuba Herthel</v>
      </c>
      <c r="B9" s="101">
        <f>IF($A9="","",SUMIFS('GECC 2026'!H$2:H$200,'GECC 2026'!F$2:F$200,$A9))</f>
        <v>8</v>
      </c>
      <c r="C9" s="101">
        <f>IF($A9="","",SUMIFS('GECC 2026'!I$2:I$200,'GECC 2026'!F$2:F$200,$A9))</f>
        <v>2.4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10.4</v>
      </c>
      <c r="F9" s="99">
        <f>IF($A9="","",COUNTIFS('GECC 2026'!F$2:F$200,$A9))</f>
        <v>1</v>
      </c>
    </row>
    <row r="10" spans="1:7" x14ac:dyDescent="0.25">
      <c r="A10" t="str">
        <v>Carlos Antônio</v>
      </c>
      <c r="B10" s="101">
        <f>IF($A10="","",SUMIFS('GECC 2026'!H$2:H$200,'GECC 2026'!F$2:F$200,$A10))</f>
        <v>4</v>
      </c>
      <c r="C10" s="101">
        <f>IF($A10="","",SUMIFS('GECC 2026'!I$2:I$200,'GECC 2026'!F$2:F$200,$A10))</f>
        <v>1.2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5.2</v>
      </c>
      <c r="F10" s="99">
        <f>IF($A10="","",COUNTIFS('GECC 2026'!F$2:F$200,$A10))</f>
        <v>1</v>
      </c>
    </row>
    <row r="11" spans="1:7" x14ac:dyDescent="0.25">
      <c r="A11" t="str">
        <v>Carolina Pereira de Oliveira</v>
      </c>
      <c r="B11" s="101">
        <f>IF($A11="","",SUMIFS('GECC 2026'!H$2:H$200,'GECC 2026'!F$2:F$200,$A11))</f>
        <v>8</v>
      </c>
      <c r="C11" s="101">
        <f>IF($A11="","",SUMIFS('GECC 2026'!I$2:I$200,'GECC 2026'!F$2:F$200,$A11))</f>
        <v>0.24</v>
      </c>
      <c r="D11" s="214">
        <f>IF($A11="","",SUMIFS('GECC 2026'!$AE$3:$AE$32,'GECC 2026'!$AD$3:$AD$32,$A11))</f>
        <v>0</v>
      </c>
      <c r="E11" s="203">
        <f>IF($A11="","",SUMIFS('GECC 2026'!J$2:J$200,'GECC 2026'!F$2:F$200,$A11)+SUMIFS('GECC 2026'!$AE$3:$AE$32,'GECC 2026'!$AD$3:$AD$32,$A11))</f>
        <v>8.24</v>
      </c>
      <c r="F11" s="99">
        <f>IF($A11="","",COUNTIFS('GECC 2026'!F$2:F$200,$A11))</f>
        <v>1</v>
      </c>
    </row>
    <row r="12" spans="1:7" x14ac:dyDescent="0.25">
      <c r="A12" t="str">
        <v>Cássio Murilo Alves Costa Filho</v>
      </c>
      <c r="B12" s="101">
        <f>IF($A12="","",SUMIFS('GECC 2026'!H$2:H$200,'GECC 2026'!F$2:F$200,$A12))</f>
        <v>16</v>
      </c>
      <c r="C12" s="101">
        <f>IF($A12="","",SUMIFS('GECC 2026'!I$2:I$200,'GECC 2026'!F$2:F$200,$A12))</f>
        <v>4.8</v>
      </c>
      <c r="D12" s="214">
        <f>IF($A12="","",SUMIFS('GECC 2026'!$AE$3:$AE$32,'GECC 2026'!$AD$3:$AD$32,$A12))</f>
        <v>16</v>
      </c>
      <c r="E12" s="203">
        <f>IF($A12="","",SUMIFS('GECC 2026'!J$2:J$200,'GECC 2026'!F$2:F$200,$A12)+SUMIFS('GECC 2026'!$AE$3:$AE$32,'GECC 2026'!$AD$3:$AD$32,$A12))</f>
        <v>36.799999999999997</v>
      </c>
      <c r="F12" s="99">
        <f>IF($A12="","",COUNTIFS('GECC 2026'!F$2:F$200,$A12))</f>
        <v>1</v>
      </c>
    </row>
    <row r="13" spans="1:7" x14ac:dyDescent="0.25">
      <c r="A13" t="str">
        <v>Cinthia Thais de Carvalho Luz Thomazi</v>
      </c>
      <c r="B13" s="101">
        <f>IF($A13="","",SUMIFS('GECC 2026'!H$2:H$200,'GECC 2026'!F$2:F$200,$A13))</f>
        <v>76</v>
      </c>
      <c r="C13" s="101">
        <f>IF($A13="","",SUMIFS('GECC 2026'!I$2:I$200,'GECC 2026'!F$2:F$200,$A13))</f>
        <v>11.879999999999999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87.88000000000001</v>
      </c>
      <c r="F13" s="99">
        <f>IF($A13="","",COUNTIFS('GECC 2026'!F$2:F$200,$A13))</f>
        <v>12</v>
      </c>
    </row>
    <row r="14" spans="1:7" x14ac:dyDescent="0.25">
      <c r="A14" t="str">
        <v>Davi Assunção Salvador Nery de Castro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David da Silva de Araújo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1.2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13.2</v>
      </c>
      <c r="F15" s="99">
        <f>IF($A15="","",COUNTIFS('GECC 2026'!F$2:F$200,$A15))</f>
        <v>1</v>
      </c>
    </row>
    <row r="16" spans="1:7" x14ac:dyDescent="0.25">
      <c r="A16" t="str">
        <v>Denise Duarte Guirra Kuhlmann</v>
      </c>
      <c r="B16" s="101">
        <f>IF($A16="","",SUMIFS('GECC 2026'!H$2:H$200,'GECC 2026'!F$2:F$200,$A16))</f>
        <v>12</v>
      </c>
      <c r="C16" s="101">
        <f>IF($A16="","",SUMIFS('GECC 2026'!I$2:I$200,'GECC 2026'!F$2:F$200,$A16))</f>
        <v>2.6399999999999997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14.64</v>
      </c>
      <c r="F16" s="99">
        <f>IF($A16="","",COUNTIFS('GECC 2026'!F$2:F$200,$A16))</f>
        <v>3</v>
      </c>
    </row>
    <row r="17" spans="1:6" x14ac:dyDescent="0.25">
      <c r="A17" t="str">
        <v>Diversos</v>
      </c>
      <c r="B17" s="101">
        <f>IF($A17="","",SUMIFS('GECC 2026'!H$2:H$200,'GECC 2026'!F$2:F$200,$A17))</f>
        <v>24</v>
      </c>
      <c r="C17" s="101">
        <f>IF($A17="","",SUMIFS('GECC 2026'!I$2:I$200,'GECC 2026'!F$2:F$200,$A17))</f>
        <v>7.2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31.2</v>
      </c>
      <c r="F17" s="99">
        <f>IF($A17="","",COUNTIFS('GECC 2026'!F$2:F$200,$A17))</f>
        <v>2</v>
      </c>
    </row>
    <row r="18" spans="1:6" x14ac:dyDescent="0.25">
      <c r="A18" t="str">
        <v>Douglas Vieira Silva Filho</v>
      </c>
      <c r="B18" s="101">
        <f>IF($A18="","",SUMIFS('GECC 2026'!H$2:H$200,'GECC 2026'!F$2:F$200,$A18))</f>
        <v>4</v>
      </c>
      <c r="C18" s="101">
        <f>IF($A18="","",SUMIFS('GECC 2026'!I$2:I$200,'GECC 2026'!F$2:F$200,$A18))</f>
        <v>0.6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4.5999999999999996</v>
      </c>
      <c r="F18" s="99">
        <f>IF($A18="","",COUNTIFS('GECC 2026'!F$2:F$200,$A18))</f>
        <v>1</v>
      </c>
    </row>
    <row r="19" spans="1:6" x14ac:dyDescent="0.25">
      <c r="A19" t="str">
        <v>Elvis Aaron Teixeira dos Santos Lima</v>
      </c>
      <c r="B19" s="101">
        <f>IF($A19="","",SUMIFS('GECC 2026'!H$2:H$200,'GECC 2026'!F$2:F$200,$A19))</f>
        <v>0</v>
      </c>
      <c r="C19" s="101">
        <f>IF($A19="","",SUMIFS('GECC 2026'!I$2:I$200,'GECC 2026'!F$2:F$200,$A19))</f>
        <v>0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0</v>
      </c>
      <c r="F19" s="99">
        <f>IF($A19="","",COUNTIFS('GECC 2026'!F$2:F$200,$A19))</f>
        <v>1</v>
      </c>
    </row>
    <row r="20" spans="1:6" x14ac:dyDescent="0.25">
      <c r="A20" t="str">
        <v>Eustáquio Rabelo de Souza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Felipe da Costa Malaquias</v>
      </c>
      <c r="B21" s="101">
        <f>IF($A21="","",SUMIFS('GECC 2026'!H$2:H$200,'GECC 2026'!F$2:F$200,$A21))</f>
        <v>25.45</v>
      </c>
      <c r="C21" s="101">
        <f>IF($A21="","",SUMIFS('GECC 2026'!I$2:I$200,'GECC 2026'!F$2:F$200,$A21))</f>
        <v>7.6349999999999998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33.085000000000001</v>
      </c>
      <c r="F21" s="99">
        <f>IF($A21="","",COUNTIFS('GECC 2026'!F$2:F$200,$A21))</f>
        <v>2</v>
      </c>
    </row>
    <row r="22" spans="1:6" x14ac:dyDescent="0.25">
      <c r="A22" t="str">
        <v>Felipe Ramos Barbosa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0.24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8.24</v>
      </c>
      <c r="F22" s="99">
        <f>IF($A22="","",COUNTIFS('GECC 2026'!F$2:F$200,$A22))</f>
        <v>1</v>
      </c>
    </row>
    <row r="23" spans="1:6" x14ac:dyDescent="0.25">
      <c r="A23" t="str">
        <v>Fernanda Viana de Souza</v>
      </c>
      <c r="B23" s="101">
        <f>IF($A23="","",SUMIFS('GECC 2026'!H$2:H$200,'GECC 2026'!F$2:F$200,$A23))</f>
        <v>39</v>
      </c>
      <c r="C23" s="101">
        <f>IF($A23="","",SUMIFS('GECC 2026'!I$2:I$200,'GECC 2026'!F$2:F$200,$A23))</f>
        <v>8.370000000000001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47.370000000000012</v>
      </c>
      <c r="F23" s="99">
        <f>IF($A23="","",COUNTIFS('GECC 2026'!F$2:F$200,$A23))</f>
        <v>10</v>
      </c>
    </row>
    <row r="24" spans="1:6" x14ac:dyDescent="0.25">
      <c r="A24" t="str">
        <v>Flávio José Fonseca de Souza</v>
      </c>
      <c r="B24" s="101">
        <f>IF($A24="","",SUMIFS('GECC 2026'!H$2:H$200,'GECC 2026'!F$2:F$200,$A24))</f>
        <v>25.45</v>
      </c>
      <c r="C24" s="101">
        <f>IF($A24="","",SUMIFS('GECC 2026'!I$2:I$200,'GECC 2026'!F$2:F$200,$A24))</f>
        <v>7.6349999999999998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33.085000000000001</v>
      </c>
      <c r="F24" s="99">
        <f>IF($A24="","",COUNTIFS('GECC 2026'!F$2:F$200,$A24))</f>
        <v>2</v>
      </c>
    </row>
    <row r="25" spans="1:6" x14ac:dyDescent="0.25">
      <c r="A25" t="str">
        <v>Gabriel Heller</v>
      </c>
      <c r="B25" s="101">
        <f>IF($A25="","",SUMIFS('GECC 2026'!H$2:H$200,'GECC 2026'!F$2:F$200,$A25))</f>
        <v>28</v>
      </c>
      <c r="C25" s="101">
        <f>IF($A25="","",SUMIFS('GECC 2026'!I$2:I$200,'GECC 2026'!F$2:F$200,$A25))</f>
        <v>5.52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33.520000000000003</v>
      </c>
      <c r="F25" s="99">
        <f>IF($A25="","",COUNTIFS('GECC 2026'!F$2:F$200,$A25))</f>
        <v>2</v>
      </c>
    </row>
    <row r="26" spans="1:6" x14ac:dyDescent="0.25">
      <c r="A26" t="str">
        <v>Guilherme Bride Fernandes</v>
      </c>
      <c r="B26" s="101">
        <f>IF($A26="","",SUMIFS('GECC 2026'!H$2:H$200,'GECC 2026'!F$2:F$200,$A26))</f>
        <v>8</v>
      </c>
      <c r="C26" s="101">
        <f>IF($A26="","",SUMIFS('GECC 2026'!I$2:I$200,'GECC 2026'!F$2:F$200,$A26))</f>
        <v>0.24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8.24</v>
      </c>
      <c r="F26" s="99">
        <f>IF($A26="","",COUNTIFS('GECC 2026'!F$2:F$200,$A26))</f>
        <v>1</v>
      </c>
    </row>
    <row r="27" spans="1:6" x14ac:dyDescent="0.25">
      <c r="A27" t="str">
        <v>Gustavo Takahashi</v>
      </c>
      <c r="B27" s="101">
        <f>IF($A27="","",SUMIFS('GECC 2026'!H$2:H$200,'GECC 2026'!F$2:F$200,$A27))</f>
        <v>33</v>
      </c>
      <c r="C27" s="101">
        <f>IF($A27="","",SUMIFS('GECC 2026'!I$2:I$200,'GECC 2026'!F$2:F$200,$A27))</f>
        <v>3.5999999999999996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36.599999999999994</v>
      </c>
      <c r="F27" s="99">
        <f>IF($A27="","",COUNTIFS('GECC 2026'!F$2:F$200,$A27))</f>
        <v>5</v>
      </c>
    </row>
    <row r="28" spans="1:6" x14ac:dyDescent="0.25">
      <c r="A28" t="str">
        <v>Hamilton de Jesus Lopes Neto</v>
      </c>
      <c r="B28" s="101">
        <f>IF($A28="","",SUMIFS('GECC 2026'!H$2:H$200,'GECC 2026'!F$2:F$200,$A28))</f>
        <v>12</v>
      </c>
      <c r="C28" s="101">
        <f>IF($A28="","",SUMIFS('GECC 2026'!I$2:I$200,'GECC 2026'!F$2:F$200,$A28))</f>
        <v>1.2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13.2</v>
      </c>
      <c r="F28" s="99">
        <f>IF($A28="","",COUNTIFS('GECC 2026'!F$2:F$200,$A28))</f>
        <v>1</v>
      </c>
    </row>
    <row r="29" spans="1:6" x14ac:dyDescent="0.25">
      <c r="A29" t="str">
        <v>Igor Queiroz</v>
      </c>
      <c r="B29" s="101">
        <f>IF($A29="","",SUMIFS('GECC 2026'!H$2:H$200,'GECC 2026'!F$2:F$200,$A29))</f>
        <v>8</v>
      </c>
      <c r="C29" s="101">
        <f>IF($A29="","",SUMIFS('GECC 2026'!I$2:I$200,'GECC 2026'!F$2:F$200,$A29))</f>
        <v>0.24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8.24</v>
      </c>
      <c r="F29" s="99">
        <f>IF($A29="","",COUNTIFS('GECC 2026'!F$2:F$200,$A29))</f>
        <v>1</v>
      </c>
    </row>
    <row r="30" spans="1:6" x14ac:dyDescent="0.25">
      <c r="A30" t="str">
        <v>Indio Artiaga do Brasil Rabelo</v>
      </c>
      <c r="B30" s="101">
        <f>IF($A30="","",SUMIFS('GECC 2026'!H$2:H$200,'GECC 2026'!F$2:F$200,$A30))</f>
        <v>16</v>
      </c>
      <c r="C30" s="101">
        <f>IF($A30="","",SUMIFS('GECC 2026'!I$2:I$200,'GECC 2026'!F$2:F$200,$A30))</f>
        <v>2.4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18.399999999999999</v>
      </c>
      <c r="F30" s="99">
        <f>IF($A30="","",COUNTIFS('GECC 2026'!F$2:F$200,$A30))</f>
        <v>2</v>
      </c>
    </row>
    <row r="31" spans="1:6" x14ac:dyDescent="0.25">
      <c r="A31" t="str">
        <v>Jamile Medeiros Fon</v>
      </c>
      <c r="B31" s="101">
        <f>IF($A31="","",SUMIFS('GECC 2026'!H$2:H$200,'GECC 2026'!F$2:F$200,$A31))</f>
        <v>4</v>
      </c>
      <c r="C31" s="101">
        <f>IF($A31="","",SUMIFS('GECC 2026'!I$2:I$200,'GECC 2026'!F$2:F$200,$A31))</f>
        <v>0.6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4.5999999999999996</v>
      </c>
      <c r="F31" s="99">
        <f>IF($A31="","",COUNTIFS('GECC 2026'!F$2:F$200,$A31))</f>
        <v>1</v>
      </c>
    </row>
    <row r="32" spans="1:6" x14ac:dyDescent="0.25">
      <c r="A32" t="str">
        <v>José Roberto Alcuri Júnior</v>
      </c>
      <c r="B32" s="101">
        <f>IF($A32="","",SUMIFS('GECC 2026'!H$2:H$200,'GECC 2026'!F$2:F$200,$A32))</f>
        <v>12</v>
      </c>
      <c r="C32" s="101">
        <f>IF($A32="","",SUMIFS('GECC 2026'!I$2:I$200,'GECC 2026'!F$2:F$200,$A32))</f>
        <v>0.84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12.84</v>
      </c>
      <c r="F32" s="99">
        <f>IF($A32="","",COUNTIFS('GECC 2026'!F$2:F$200,$A32))</f>
        <v>2</v>
      </c>
    </row>
    <row r="33" spans="1:6" x14ac:dyDescent="0.25">
      <c r="A33" t="str">
        <v>Leonardo de Melo</v>
      </c>
      <c r="B33" s="101">
        <f>IF($A33="","",SUMIFS('GECC 2026'!H$2:H$200,'GECC 2026'!F$2:F$200,$A33))</f>
        <v>16</v>
      </c>
      <c r="C33" s="101">
        <f>IF($A33="","",SUMIFS('GECC 2026'!I$2:I$200,'GECC 2026'!F$2:F$200,$A33))</f>
        <v>2.4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18.399999999999999</v>
      </c>
      <c r="F33" s="99">
        <f>IF($A33="","",COUNTIFS('GECC 2026'!F$2:F$200,$A33))</f>
        <v>2</v>
      </c>
    </row>
    <row r="34" spans="1:6" x14ac:dyDescent="0.25">
      <c r="A34" t="str">
        <v>Leonardo José Alves Leal Neri</v>
      </c>
      <c r="B34" s="101">
        <f>IF($A34="","",SUMIFS('GECC 2026'!H$2:H$200,'GECC 2026'!F$2:F$200,$A34))</f>
        <v>40</v>
      </c>
      <c r="C34" s="101">
        <f>IF($A34="","",SUMIFS('GECC 2026'!I$2:I$200,'GECC 2026'!F$2:F$200,$A34))</f>
        <v>12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52</v>
      </c>
      <c r="F34" s="99">
        <f>IF($A34="","",COUNTIFS('GECC 2026'!F$2:F$200,$A34))</f>
        <v>2</v>
      </c>
    </row>
    <row r="35" spans="1:6" x14ac:dyDescent="0.25">
      <c r="A35" t="str">
        <v>Luciana Alvim</v>
      </c>
      <c r="B35" s="101">
        <f>IF($A35="","",SUMIFS('GECC 2026'!H$2:H$200,'GECC 2026'!F$2:F$200,$A35))</f>
        <v>60</v>
      </c>
      <c r="C35" s="101">
        <f>IF($A35="","",SUMIFS('GECC 2026'!I$2:I$200,'GECC 2026'!F$2:F$200,$A35))</f>
        <v>74</v>
      </c>
      <c r="D35" s="214">
        <f>IF($A35="","",SUMIFS('GECC 2026'!$AE$3:$AE$32,'GECC 2026'!$AD$3:$AD$32,$A35))</f>
        <v>0</v>
      </c>
      <c r="E35" s="203">
        <f>IF($A35="","",SUMIFS('GECC 2026'!J$2:J$200,'GECC 2026'!F$2:F$200,$A35)+SUMIFS('GECC 2026'!$AE$3:$AE$32,'GECC 2026'!$AD$3:$AD$32,$A35))</f>
        <v>134</v>
      </c>
      <c r="F35" s="99">
        <f>IF($A35="","",COUNTIFS('GECC 2026'!F$2:F$200,$A35))</f>
        <v>6</v>
      </c>
    </row>
    <row r="36" spans="1:6" x14ac:dyDescent="0.25">
      <c r="A36" t="str">
        <v>Luiz Felipe Tenório de Lima Gondim</v>
      </c>
      <c r="B36" s="101">
        <f>IF($A36="","",SUMIFS('GECC 2026'!H$2:H$200,'GECC 2026'!F$2:F$200,$A36))</f>
        <v>24</v>
      </c>
      <c r="C36" s="101">
        <f>IF($A36="","",SUMIFS('GECC 2026'!I$2:I$200,'GECC 2026'!F$2:F$200,$A36))</f>
        <v>5.28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29.279999999999998</v>
      </c>
      <c r="F36" s="99">
        <f>IF($A36="","",COUNTIFS('GECC 2026'!F$2:F$200,$A36))</f>
        <v>6</v>
      </c>
    </row>
    <row r="37" spans="1:6" x14ac:dyDescent="0.25">
      <c r="A37" t="str">
        <v>Marcelo Bálbio Moraes</v>
      </c>
      <c r="B37" s="101">
        <f>IF($A37="","",SUMIFS('GECC 2026'!H$2:H$200,'GECC 2026'!F$2:F$200,$A37))</f>
        <v>0</v>
      </c>
      <c r="C37" s="101">
        <f>IF($A37="","",SUMIFS('GECC 2026'!I$2:I$200,'GECC 2026'!F$2:F$200,$A37))</f>
        <v>0</v>
      </c>
      <c r="D37" s="214">
        <f>IF($A37="","",SUMIFS('GECC 2026'!$AE$3:$AE$32,'GECC 2026'!$AD$3:$AD$32,$A37))</f>
        <v>16</v>
      </c>
      <c r="E37" s="203">
        <f>IF($A37="","",SUMIFS('GECC 2026'!J$2:J$200,'GECC 2026'!F$2:F$200,$A37)+SUMIFS('GECC 2026'!$AE$3:$AE$32,'GECC 2026'!$AD$3:$AD$32,$A37))</f>
        <v>16</v>
      </c>
      <c r="F37" s="99">
        <f>IF($A37="","",COUNTIFS('GECC 2026'!F$2:F$200,$A37))</f>
        <v>0</v>
      </c>
    </row>
    <row r="38" spans="1:6" x14ac:dyDescent="0.25">
      <c r="A38" t="str">
        <v>Marcelo Santana</v>
      </c>
      <c r="B38" s="101">
        <f>IF($A38="","",SUMIFS('GECC 2026'!H$2:H$200,'GECC 2026'!F$2:F$200,$A38))</f>
        <v>8</v>
      </c>
      <c r="C38" s="101">
        <f>IF($A38="","",SUMIFS('GECC 2026'!I$2:I$200,'GECC 2026'!F$2:F$200,$A38))</f>
        <v>0.24</v>
      </c>
      <c r="D38" s="214">
        <f>IF($A38="","",SUMIFS('GECC 2026'!$AE$3:$AE$32,'GECC 2026'!$AD$3:$AD$32,$A38))</f>
        <v>0</v>
      </c>
      <c r="E38" s="203">
        <f>IF($A38="","",SUMIFS('GECC 2026'!J$2:J$200,'GECC 2026'!F$2:F$200,$A38)+SUMIFS('GECC 2026'!$AE$3:$AE$32,'GECC 2026'!$AD$3:$AD$32,$A38))</f>
        <v>8.24</v>
      </c>
      <c r="F38" s="99">
        <f>IF($A38="","",COUNTIFS('GECC 2026'!F$2:F$200,$A38))</f>
        <v>1</v>
      </c>
    </row>
    <row r="39" spans="1:6" x14ac:dyDescent="0.25">
      <c r="A39" t="str">
        <v>Marcelo Silva Santana</v>
      </c>
      <c r="B39" s="101">
        <f>IF($A39="","",SUMIFS('GECC 2026'!H$2:H$200,'GECC 2026'!F$2:F$200,$A39))</f>
        <v>4</v>
      </c>
      <c r="C39" s="101">
        <f>IF($A39="","",SUMIFS('GECC 2026'!I$2:I$200,'GECC 2026'!F$2:F$200,$A39))</f>
        <v>0.6</v>
      </c>
      <c r="D39" s="214">
        <f>IF($A39="","",SUMIFS('GECC 2026'!$AE$3:$AE$32,'GECC 2026'!$AD$3:$AD$32,$A39))</f>
        <v>0</v>
      </c>
      <c r="E39" s="203">
        <f>IF($A39="","",SUMIFS('GECC 2026'!J$2:J$200,'GECC 2026'!F$2:F$200,$A39)+SUMIFS('GECC 2026'!$AE$3:$AE$32,'GECC 2026'!$AD$3:$AD$32,$A39))</f>
        <v>4.5999999999999996</v>
      </c>
      <c r="F39" s="99">
        <f>IF($A39="","",COUNTIFS('GECC 2026'!F$2:F$200,$A39))</f>
        <v>1</v>
      </c>
    </row>
    <row r="40" spans="1:6" x14ac:dyDescent="0.25">
      <c r="A40" t="str">
        <v>Mauri Siqueira Montessi</v>
      </c>
      <c r="B40" s="101">
        <f>IF($A40="","",SUMIFS('GECC 2026'!H$2:H$200,'GECC 2026'!F$2:F$200,$A40))</f>
        <v>0</v>
      </c>
      <c r="C40" s="101">
        <f>IF($A40="","",SUMIFS('GECC 2026'!I$2:I$200,'GECC 2026'!F$2:F$200,$A40))</f>
        <v>0</v>
      </c>
      <c r="D40" s="214">
        <f>IF($A40="","",SUMIFS('GECC 2026'!$AE$3:$AE$32,'GECC 2026'!$AD$3:$AD$32,$A40))</f>
        <v>16</v>
      </c>
      <c r="E40" s="203">
        <f>IF($A40="","",SUMIFS('GECC 2026'!J$2:J$200,'GECC 2026'!F$2:F$200,$A40)+SUMIFS('GECC 2026'!$AE$3:$AE$32,'GECC 2026'!$AD$3:$AD$32,$A40))</f>
        <v>16</v>
      </c>
      <c r="F40" s="99">
        <f>IF($A40="","",COUNTIFS('GECC 2026'!F$2:F$200,$A40))</f>
        <v>0</v>
      </c>
    </row>
    <row r="41" spans="1:6" x14ac:dyDescent="0.25">
      <c r="A41" t="str">
        <v>Michel Martins de Morais</v>
      </c>
      <c r="B41" s="101">
        <f>IF($A41="","",SUMIFS('GECC 2026'!H$2:H$200,'GECC 2026'!F$2:F$200,$A41))</f>
        <v>0</v>
      </c>
      <c r="C41" s="101">
        <f>IF($A41="","",SUMIFS('GECC 2026'!I$2:I$200,'GECC 2026'!F$2:F$200,$A41))</f>
        <v>0</v>
      </c>
      <c r="D41" s="214">
        <f>IF($A41="","",SUMIFS('GECC 2026'!$AE$3:$AE$32,'GECC 2026'!$AD$3:$AD$32,$A41))</f>
        <v>16</v>
      </c>
      <c r="E41" s="203">
        <f>IF($A41="","",SUMIFS('GECC 2026'!J$2:J$200,'GECC 2026'!F$2:F$200,$A41)+SUMIFS('GECC 2026'!$AE$3:$AE$32,'GECC 2026'!$AD$3:$AD$32,$A41))</f>
        <v>16</v>
      </c>
      <c r="F41" s="99">
        <f>IF($A41="","",COUNTIFS('GECC 2026'!F$2:F$200,$A41))</f>
        <v>0</v>
      </c>
    </row>
    <row r="42" spans="1:6" x14ac:dyDescent="0.25">
      <c r="A42" t="str">
        <v>Paulo José Góes Daltro</v>
      </c>
      <c r="B42" s="101">
        <f>IF($A42="","",SUMIFS('GECC 2026'!H$2:H$200,'GECC 2026'!F$2:F$200,$A42))</f>
        <v>43</v>
      </c>
      <c r="C42" s="101">
        <f>IF($A42="","",SUMIFS('GECC 2026'!I$2:I$200,'GECC 2026'!F$2:F$200,$A42))</f>
        <v>12.899999999999999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55.9</v>
      </c>
      <c r="F42" s="99">
        <f>IF($A42="","",COUNTIFS('GECC 2026'!F$2:F$200,$A42))</f>
        <v>4</v>
      </c>
    </row>
    <row r="43" spans="1:6" x14ac:dyDescent="0.25">
      <c r="A43" t="str">
        <v>Priscila Nolasco de Oliveira</v>
      </c>
      <c r="B43" s="101">
        <f>IF($A43="","",SUMIFS('GECC 2026'!H$2:H$200,'GECC 2026'!F$2:F$200,$A43))</f>
        <v>36</v>
      </c>
      <c r="C43" s="101">
        <f>IF($A43="","",SUMIFS('GECC 2026'!I$2:I$200,'GECC 2026'!F$2:F$200,$A43))</f>
        <v>6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42.000000000000007</v>
      </c>
      <c r="F43" s="99">
        <f>IF($A43="","",COUNTIFS('GECC 2026'!F$2:F$200,$A43))</f>
        <v>9</v>
      </c>
    </row>
    <row r="44" spans="1:6" x14ac:dyDescent="0.25">
      <c r="A44" t="str">
        <v>Reinaldo Alencar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Renan Dias da Silva</v>
      </c>
      <c r="B45" s="101">
        <f>IF($A45="","",SUMIFS('GECC 2026'!H$2:H$200,'GECC 2026'!F$2:F$200,$A45))</f>
        <v>4</v>
      </c>
      <c r="C45" s="101">
        <f>IF($A45="","",SUMIFS('GECC 2026'!I$2:I$200,'GECC 2026'!F$2:F$200,$A45))</f>
        <v>1.2</v>
      </c>
      <c r="D45" s="214">
        <f>IF($A45="","",SUMIFS('GECC 2026'!$AE$3:$AE$32,'GECC 2026'!$AD$3:$AD$32,$A45))</f>
        <v>0</v>
      </c>
      <c r="E45" s="203">
        <f>IF($A45="","",SUMIFS('GECC 2026'!J$2:J$200,'GECC 2026'!F$2:F$200,$A45)+SUMIFS('GECC 2026'!$AE$3:$AE$32,'GECC 2026'!$AD$3:$AD$32,$A45))</f>
        <v>5.2</v>
      </c>
      <c r="F45" s="99">
        <f>IF($A45="","",COUNTIFS('GECC 2026'!F$2:F$200,$A45))</f>
        <v>1</v>
      </c>
    </row>
    <row r="46" spans="1:6" x14ac:dyDescent="0.25">
      <c r="A46" t="str">
        <v>Rogério Ribeiro</v>
      </c>
      <c r="B46" s="101">
        <f>IF($A46="","",SUMIFS('GECC 2026'!H$2:H$200,'GECC 2026'!F$2:F$200,$A46))</f>
        <v>56</v>
      </c>
      <c r="C46" s="101">
        <f>IF($A46="","",SUMIFS('GECC 2026'!I$2:I$200,'GECC 2026'!F$2:F$200,$A46))</f>
        <v>7.3199999999999994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63.32</v>
      </c>
      <c r="F46" s="99">
        <f>IF($A46="","",COUNTIFS('GECC 2026'!F$2:F$200,$A46))</f>
        <v>3</v>
      </c>
    </row>
    <row r="47" spans="1:6" x14ac:dyDescent="0.25">
      <c r="A47" t="str">
        <v>Rômulo Miranda Alvim</v>
      </c>
      <c r="B47" s="101">
        <f>IF($A47="","",SUMIFS('GECC 2026'!H$2:H$200,'GECC 2026'!F$2:F$200,$A47))</f>
        <v>32</v>
      </c>
      <c r="C47" s="101">
        <f>IF($A47="","",SUMIFS('GECC 2026'!I$2:I$200,'GECC 2026'!F$2:F$200,$A47))</f>
        <v>3.7199999999999998</v>
      </c>
      <c r="D47" s="214">
        <f>IF($A47="","",SUMIFS('GECC 2026'!$AE$3:$AE$32,'GECC 2026'!$AD$3:$AD$32,$A47))</f>
        <v>16</v>
      </c>
      <c r="E47" s="203">
        <f>IF($A47="","",SUMIFS('GECC 2026'!J$2:J$200,'GECC 2026'!F$2:F$200,$A47)+SUMIFS('GECC 2026'!$AE$3:$AE$32,'GECC 2026'!$AD$3:$AD$32,$A47))</f>
        <v>51.72</v>
      </c>
      <c r="F47" s="99">
        <f>IF($A47="","",COUNTIFS('GECC 2026'!F$2:F$200,$A47))</f>
        <v>2</v>
      </c>
    </row>
    <row r="48" spans="1:6" x14ac:dyDescent="0.25">
      <c r="A48" t="str">
        <v>Sara Cristina Lins Ramos</v>
      </c>
      <c r="B48" s="101">
        <f>IF($A48="","",SUMIFS('GECC 2026'!H$2:H$200,'GECC 2026'!F$2:F$200,$A48))</f>
        <v>8</v>
      </c>
      <c r="C48" s="101">
        <f>IF($A48="","",SUMIFS('GECC 2026'!I$2:I$200,'GECC 2026'!F$2:F$200,$A48))</f>
        <v>2.4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10.4</v>
      </c>
      <c r="F48" s="99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101">
        <f>IF($A49="","",SUMIFS('GECC 2026'!H$2:H$200,'GECC 2026'!F$2:F$200,$A49))</f>
        <v>0</v>
      </c>
      <c r="C49" s="101">
        <f>IF($A49="","",SUMIFS('GECC 2026'!I$2:I$200,'GECC 2026'!F$2:F$200,$A49))</f>
        <v>0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0</v>
      </c>
      <c r="F49" s="99">
        <f>IF($A49="","",COUNTIFS('GECC 2026'!F$2:F$200,$A49))</f>
        <v>1</v>
      </c>
    </row>
    <row r="50" spans="1:6" x14ac:dyDescent="0.25">
      <c r="A50" t="str">
        <v>Silvia Lima Damasceno Carvalho</v>
      </c>
      <c r="B50" s="101">
        <f>IF($A50="","",SUMIFS('GECC 2026'!H$2:H$200,'GECC 2026'!F$2:F$200,$A50))</f>
        <v>28</v>
      </c>
      <c r="C50" s="101">
        <f>IF($A50="","",SUMIFS('GECC 2026'!I$2:I$200,'GECC 2026'!F$2:F$200,$A50))</f>
        <v>3.84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31.84</v>
      </c>
      <c r="F50" s="99">
        <f>IF($A50="","",COUNTIFS('GECC 2026'!F$2:F$200,$A50))</f>
        <v>6</v>
      </c>
    </row>
    <row r="51" spans="1:6" x14ac:dyDescent="0.25">
      <c r="A51" t="str">
        <v>Tarsila Firmino Ely</v>
      </c>
      <c r="B51" s="101">
        <f>IF($A51="","",SUMIFS('GECC 2026'!H$2:H$200,'GECC 2026'!F$2:F$200,$A51))</f>
        <v>76</v>
      </c>
      <c r="C51" s="101">
        <f>IF($A51="","",SUMIFS('GECC 2026'!I$2:I$200,'GECC 2026'!F$2:F$200,$A51))</f>
        <v>79.999999999999986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155.99999999999997</v>
      </c>
      <c r="F51" s="99">
        <f>IF($A51="","",COUNTIFS('GECC 2026'!F$2:F$200,$A51))</f>
        <v>6</v>
      </c>
    </row>
    <row r="52" spans="1:6" x14ac:dyDescent="0.25">
      <c r="A52" t="str">
        <v>Thiago Magalhães de Oliveira</v>
      </c>
      <c r="B52" s="101">
        <f>IF($A52="","",SUMIFS('GECC 2026'!H$2:H$200,'GECC 2026'!F$2:F$200,$A52))</f>
        <v>4</v>
      </c>
      <c r="C52" s="101">
        <f>IF($A52="","",SUMIFS('GECC 2026'!I$2:I$200,'GECC 2026'!F$2:F$200,$A52))</f>
        <v>0.6</v>
      </c>
      <c r="D52" s="214">
        <f>IF($A52="","",SUMIFS('GECC 2026'!$AE$3:$AE$32,'GECC 2026'!$AD$3:$AD$32,$A52))</f>
        <v>0</v>
      </c>
      <c r="E52" s="203">
        <f>IF($A52="","",SUMIFS('GECC 2026'!J$2:J$200,'GECC 2026'!F$2:F$200,$A52)+SUMIFS('GECC 2026'!$AE$3:$AE$32,'GECC 2026'!$AD$3:$AD$32,$A52))</f>
        <v>4.5999999999999996</v>
      </c>
      <c r="F52" s="99">
        <f>IF($A52="","",COUNTIFS('GECC 2026'!F$2:F$200,$A52))</f>
        <v>1</v>
      </c>
    </row>
    <row r="53" spans="1:6" x14ac:dyDescent="0.25">
      <c r="A53" t="str">
        <v>Túllio Herbeth Teixeira Moraes</v>
      </c>
      <c r="B53" s="101">
        <f>IF($A53="","",SUMIFS('GECC 2026'!H$2:H$200,'GECC 2026'!F$2:F$200,$A53))</f>
        <v>3</v>
      </c>
      <c r="C53" s="101">
        <f>IF($A53="","",SUMIFS('GECC 2026'!I$2:I$200,'GECC 2026'!F$2:F$200,$A53))</f>
        <v>0.44999999999999996</v>
      </c>
      <c r="D53" s="214">
        <f>IF($A53="","",SUMIFS('GECC 2026'!$AE$3:$AE$32,'GECC 2026'!$AD$3:$AD$32,$A53))</f>
        <v>0</v>
      </c>
      <c r="E53" s="203">
        <f>IF($A53="","",SUMIFS('GECC 2026'!J$2:J$200,'GECC 2026'!F$2:F$200,$A53)+SUMIFS('GECC 2026'!$AE$3:$AE$32,'GECC 2026'!$AD$3:$AD$32,$A53))</f>
        <v>3.45</v>
      </c>
      <c r="F53" s="99">
        <f>IF($A53="","",COUNTIFS('GECC 2026'!F$2:F$200,$A53))</f>
        <v>1</v>
      </c>
    </row>
    <row r="54" spans="1:6" x14ac:dyDescent="0.25">
      <c r="A54" t="str">
        <v>Wibys Pereira</v>
      </c>
      <c r="B54" s="101">
        <f>IF($A54="","",SUMIFS('GECC 2026'!H$2:H$200,'GECC 2026'!F$2:F$200,$A54))</f>
        <v>4</v>
      </c>
      <c r="C54" s="101">
        <f>IF($A54="","",SUMIFS('GECC 2026'!I$2:I$200,'GECC 2026'!F$2:F$200,$A54))</f>
        <v>0.6</v>
      </c>
      <c r="D54" s="214">
        <f>IF($A54="","",SUMIFS('GECC 2026'!$AE$3:$AE$32,'GECC 2026'!$AD$3:$AD$32,$A54))</f>
        <v>0</v>
      </c>
      <c r="E54" s="203">
        <f>IF($A54="","",SUMIFS('GECC 2026'!J$2:J$200,'GECC 2026'!F$2:F$200,$A54)+SUMIFS('GECC 2026'!$AE$3:$AE$32,'GECC 2026'!$AD$3:$AD$32,$A54))</f>
        <v>4.5999999999999996</v>
      </c>
      <c r="F54" s="99">
        <f>IF($A54="","",COUNTIFS('GECC 2026'!F$2:F$200,$A54))</f>
        <v>1</v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1017.9</v>
      </c>
      <c r="C105" s="205">
        <f>SUM(C5:C100)</f>
        <v>314.95000000000005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132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2026-07-28T20:10:09Z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