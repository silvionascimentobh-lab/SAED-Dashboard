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5" documentId="13_ncr:1_{6A2CC3E2-FAFB-4D8F-B284-5E8FB5045DFE}" xr6:coauthVersionLast="47" xr6:coauthVersionMax="47" xr10:uidLastSave="{52192189-B68E-4E28-A917-7F2389FD4853}"/>
  <bookViews>
    <workbookView xWindow="-13095" yWindow="3270" windowWidth="10905" windowHeight="1300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s="1"/>
  <c r="A2" i="20" l="1" a="1"/>
  <c r="A5" i="23" l="1" a="1"/>
  <c r="E105" i="23"/>
  <c r="A2" i="20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A5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<sst xmlns="http://schemas.openxmlformats.org/spreadsheetml/2006/main" count="7259" uniqueCount="3189">
  <si>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</si>
  <si>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</si>
  <si>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</si>
  <si>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</si>
  <si>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</si>
  <si>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</si>
  <si>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</si>
  <si>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</si>
  <si>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</si>
  <si>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</si>
  <si>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</si>
  <si>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</si>
  <si>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</si>
  <si>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</si>
  <si>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</si>
  <si>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</si>
  <si>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</si>
  <si>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</si>
  <si>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</si>
  <si>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</si>
  <si>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</si>
  <si>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</si>
  <si>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</si>
  <si>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</si>
  <si>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</si>
  <si>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</si>
  <si>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</si>
  <si>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</si>
  <si>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</si>
  <si>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</si>
  <si>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</si>
  <si>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</si>
  <si>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</si>
  <si>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</si>
  <si>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</si>
  <si>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</si>
  <si>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</si>
  <si>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</si>
  <si>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</si>
  <si>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</si>
  <si>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</si>
  <si>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</si>
  <si>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</si>
  <si>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</si>
  <si>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</si>
  <si>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</si>
  <si>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</si>
  <si>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</si>
  <si>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</si>
  <si>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</si>
  <si>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</si>
  <si>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</si>
  <si>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</si>
  <si>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</si>
  <si>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</si>
  <si>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</si>
  <si>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</si>
  <si>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</si>
  <si>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</si>
  <si>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</si>
  <si>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</si>
  <si>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</si>
  <si>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</si>
  <si>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</si>
  <si>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</si>
  <si>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</si>
  <si>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</si>
  <si>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</si>
  <si>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</si>
  <si>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</si>
  <si>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</si>
  <si>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</si>
  <si>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</si>
  <si>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</si>
  <si>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</si>
  <si>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</si>
  <si>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</si>
  <si>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</si>
  <si>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</si>
  <si>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</si>
  <si>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</si>
  <si>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</si>
  <si>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</si>
  <si>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</si>
  <si>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</si>
  <si>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</si>
  <si>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</si>
  <si>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</si>
  <si>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</si>
  <si>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</si>
  <si>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</si>
  <si>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</si>
  <si>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</si>
  <si>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</si>
  <si>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</si>
  <si>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</si>
  <si>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</si>
  <si>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</si>
  <si>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</si>
  <si>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</si>
  <si>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</si>
  <si>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</si>
  <si>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</si>
  <si>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</si>
  <si>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</si>
  <si>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</si>
  <si>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</si>
  <si>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</si>
  <si>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</si>
  <si>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</si>
  <si>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</si>
  <si>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</si>
  <si>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</si>
  <si>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</si>
  <si>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</si>
  <si>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</si>
  <si>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</si>
  <si>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</si>
  <si>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</si>
  <si>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</si>
  <si>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</si>
  <si>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</si>
  <si>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</si>
  <si>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</si>
  <si>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</si>
  <si>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</si>
  <si>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</si>
  <si>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</si>
  <si>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</si>
  <si>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</si>
  <si>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</si>
  <si>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</si>
  <si>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</si>
  <si>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</si>
  <si>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</si>
  <si>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</si>
  <si>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</si>
  <si>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</si>
  <si>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</si>
  <si>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</si>
  <si>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</si>
  <si>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</si>
  <si>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</si>
  <si>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</si>
  <si>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</si>
  <si>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</si>
  <si>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</si>
  <si>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</si>
  <si>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</si>
  <si>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</si>
  <si>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</si>
  <si>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</si>
  <si>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</si>
  <si>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</si>
  <si>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</si>
  <si>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</si>
  <si>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</si>
  <si>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</si>
  <si>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</si>
  <si>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</si>
  <si>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</si>
  <si>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</si>
  <si>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</si>
  <si>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</si>
  <si>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</si>
  <si>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</si>
  <si>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</si>
  <si>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</si>
  <si>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</si>
  <si>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</si>
  <si>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</si>
  <si>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</si>
  <si>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</si>
  <si>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</si>
  <si>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</si>
  <si>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</si>
  <si>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</si>
  <si>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</si>
  <si>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</si>
  <si>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</si>
  <si>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</si>
  <si>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</si>
  <si>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</si>
  <si>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</si>
  <si>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</si>
  <si>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</si>
  <si>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</si>
  <si>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</si>
  <si>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</si>
  <si>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</si>
  <si>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</si>
  <si>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</si>
  <si>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</si>
  <si>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</si>
  <si>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</si>
  <si>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</si>
  <si>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</si>
  <si>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</si>
  <si>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</si>
  <si>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</si>
  <si>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</si>
  <si>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</si>
  <si>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</si>
  <si>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</si>
  <si>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</si>
  <si>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</si>
  <si>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</si>
  <si>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</si>
  <si>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</si>
  <si>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</si>
  <si>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</si>
  <si>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</si>
  <si>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</si>
  <si>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</si>
  <si>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</si>
  <si>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</si>
  <si>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</si>
  <si>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</si>
  <si>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</si>
  <si>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</si>
  <si>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</si>
  <si>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</si>
  <si>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</si>
  <si>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</si>
  <si>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</si>
  <si>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</si>
  <si>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</si>
  <si>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</si>
  <si>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</si>
  <si>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</si>
  <si>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</si>
  <si>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</si>
  <si>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</si>
  <si>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</si>
  <si>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</si>
  <si>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</si>
  <si>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</si>
  <si>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</si>
  <si>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</si>
  <si>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</si>
  <si>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</si>
  <si>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</si>
  <si>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</si>
  <si>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</si>
  <si>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</si>
  <si>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</si>
  <si>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</si>
  <si>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</si>
  <si>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</si>
  <si>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</si>
  <si>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</si>
  <si>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</si>
  <si>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</si>
  <si>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</si>
  <si>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</si>
  <si>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</si>
  <si>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</si>
  <si>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</si>
  <si>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</si>
  <si>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</si>
  <si>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</si>
  <si>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</si>
  <si>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</si>
  <si>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</si>
  <si>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</si>
  <si>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</si>
  <si>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</si>
  <si>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</si>
  <si>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</si>
  <si>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</si>
  <si>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</si>
  <si>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</si>
  <si>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</si>
  <si>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</si>
  <si>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</si>
  <si>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</si>
  <si>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</si>
  <si>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</si>
  <si>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</si>
  <si>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</si>
  <si>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</si>
  <si>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</si>
  <si>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</si>
  <si>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</si>
  <si>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</si>
  <si>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</si>
  <si>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</si>
  <si>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</si>
  <si>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</si>
  <si>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</si>
  <si>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</si>
  <si>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</si>
  <si>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</si>
  <si>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</si>
  <si>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</si>
  <si>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</si>
  <si>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</si>
  <si>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</si>
  <si>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</si>
  <si>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</si>
  <si>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</si>
  <si>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</si>
  <si>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</si>
  <si>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</si>
  <si>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</si>
  <si>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</si>
  <si>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</si>
  <si>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</si>
  <si>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</si>
  <si>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</si>
  <si>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</si>
  <si>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</si>
  <si>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</si>
  <si>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</si>
  <si>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</si>
  <si>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</si>
  <si>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</si>
  <si>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</si>
  <si>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</si>
  <si>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</si>
  <si>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</si>
  <si>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</si>
  <si>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</si>
  <si>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</si>
  <si>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</si>
  <si>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</si>
  <si>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</si>
  <si>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</si>
  <si>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</si>
  <si>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</si>
  <si>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</si>
  <si>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</si>
  <si>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</si>
  <si>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</si>
  <si>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</si>
  <si>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</si>
  <si>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</si>
  <si>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</si>
  <si>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</si>
  <si>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</si>
  <si>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</si>
  <si>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</si>
  <si>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</si>
  <si>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</si>
  <si>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</si>
  <si>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</si>
  <si>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</si>
  <si>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</si>
  <si>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</si>
  <si>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</si>
  <si>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</si>
  <si>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</si>
  <si>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</si>
  <si>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</si>
  <si>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</si>
  <si>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</si>
  <si>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</si>
  <si>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</si>
  <si>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</si>
  <si>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</si>
  <si>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</si>
  <si>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</si>
  <si>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</si>
  <si>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</si>
  <si>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</si>
  <si>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</si>
  <si>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</si>
  <si>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</si>
  <si>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</si>
  <si>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</si>
  <si>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</si>
  <si>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</si>
  <si>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</si>
  <si>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</si>
  <si>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</si>
  <si>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</si>
  <si>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</si>
  <si>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</si>
  <si>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</si>
  <si>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</si>
  <si>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</si>
  <si>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</si>
  <si>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</si>
  <si>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</si>
  <si>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</si>
  <si>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</si>
  <si>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</si>
  <si>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</si>
  <si>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</si>
  <si>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</si>
  <si>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</si>
  <si>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</si>
  <si>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</si>
  <si>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</si>
  <si>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</si>
  <si>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</si>
  <si>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</si>
  <si>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</si>
  <si>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</si>
  <si>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</si>
  <si>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</si>
  <si>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</si>
  <si>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</si>
  <si>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</si>
  <si>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</si>
  <si>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</si>
  <si>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</si>
  <si>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</si>
  <si>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</si>
  <si>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</si>
  <si>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</si>
  <si>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</si>
  <si>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</si>
  <si>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</si>
  <si>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</si>
  <si>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</si>
  <si>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</si>
  <si>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</si>
  <si>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</si>
  <si>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</si>
  <si>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</si>
  <si>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</si>
  <si>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</si>
  <si>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</si>
  <si>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</si>
  <si>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</si>
  <si>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</si>
  <si>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</si>
  <si>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</si>
  <si>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</si>
  <si>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</si>
  <si>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</si>
  <si>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</si>
  <si>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</si>
  <si>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</si>
  <si>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</si>
  <si>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</si>
  <si>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</si>
  <si>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</si>
  <si>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</si>
  <si>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</si>
  <si>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</si>
  <si>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</si>
  <si>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</si>
  <si>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</si>
  <si>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</si>
  <si>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</si>
  <si>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</si>
  <si>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</si>
  <si>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</si>
  <si>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</si>
  <si>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</si>
  <si>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</si>
  <si>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</si>
  <si>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</si>
  <si>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</si>
  <si>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</si>
  <si>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</si>
  <si>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</si>
  <si>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</si>
  <si>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</si>
  <si>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</si>
  <si>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</si>
  <si>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</si>
  <si>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</si>
  <si>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</si>
  <si>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</si>
  <si>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</si>
  <si>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</si>
  <si>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</si>
  <si>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</si>
  <si>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</si>
  <si>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</si>
  <si>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</si>
  <si>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</si>
  <si>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</si>
  <si>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</si>
  <si>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</si>
  <si>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</si>
  <si>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</si>
  <si>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</si>
  <si>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</si>
  <si>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</si>
  <si>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</si>
  <si>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</si>
  <si>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</si>
  <si>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</si>
  <si>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</si>
  <si>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</si>
  <si>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</si>
  <si>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</si>
  <si>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</si>
  <si>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</si>
  <si>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</si>
  <si>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</si>
  <si>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</si>
  <si>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</si>
  <si>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</si>
  <si>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</si>
  <si>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</si>
  <si>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</si>
  <si>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</si>
  <si>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</si>
  <si>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</si>
  <si>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</si>
  <si>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</si>
  <si>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</si>
  <si>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</si>
  <si>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</si>
  <si>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</si>
  <si>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</si>
  <si>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</si>
  <si>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</si>
  <si>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</si>
  <si>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</si>
  <si>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</si>
  <si>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</si>
  <si>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</si>
  <si>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</si>
  <si>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</si>
  <si>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</si>
  <si>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</si>
  <si>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</si>
  <si>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</si>
  <si>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</si>
  <si>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</si>
  <si>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</si>
  <si>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</si>
  <si>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</si>
  <si>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</si>
  <si>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</si>
  <si>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</si>
  <si>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</si>
  <si>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</si>
  <si>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</si>
  <si>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</si>
  <si>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</si>
  <si>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</si>
  <si>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</si>
  <si>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</si>
  <si>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</si>
  <si>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</si>
  <si>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</si>
  <si>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</si>
  <si>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</si>
  <si>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</si>
  <si>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</si>
  <si>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</si>
  <si>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</si>
  <si>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</si>
  <si>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</si>
  <si>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</si>
  <si>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</si>
  <si>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</si>
  <si>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</si>
  <si>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</si>
  <si>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</si>
  <si>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</si>
  <si>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</si>
  <si>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</si>
  <si>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</si>
  <si>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</si>
  <si>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</si>
  <si>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</si>
  <si>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</si>
  <si>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</si>
  <si>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</si>
  <si>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</si>
  <si>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</si>
  <si>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</si>
  <si>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</si>
  <si>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</si>
  <si>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</si>
  <si>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</si>
  <si>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</si>
  <si>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</si>
  <si>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</si>
  <si>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</si>
  <si>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</si>
  <si>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</si>
  <si>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</si>
  <si>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</si>
  <si>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</si>
  <si>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</si>
  <si>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</si>
  <si>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</si>
  <si>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</si>
  <si>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</si>
  <si>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</si>
  <si>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</si>
  <si>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</si>
  <si>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</si>
  <si>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</si>
  <si>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</si>
  <si>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</si>
  <si>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</si>
  <si>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</si>
  <si>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</si>
  <si>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</si>
  <si>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</si>
  <si>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</si>
  <si>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</si>
  <si>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</si>
  <si>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</si>
  <si>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</si>
  <si>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</si>
  <si>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</si>
  <si>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</si>
  <si>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</si>
  <si>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</si>
  <si>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</si>
  <si>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</si>
  <si>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</si>
  <si>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</si>
  <si>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</si>
  <si>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</si>
  <si>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</si>
  <si>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</si>
  <si>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</si>
  <si>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</si>
  <si>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</si>
  <si>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</si>
  <si>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</si>
  <si>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</si>
  <si>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</si>
  <si>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</si>
  <si>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</si>
  <si>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</si>
  <si>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</si>
  <si>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</si>
  <si>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</si>
  <si>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</si>
  <si>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</si>
  <si>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</si>
  <si>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</si>
  <si>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</si>
  <si>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</si>
  <si>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</si>
  <si>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</si>
  <si>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</si>
  <si>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</si>
  <si>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</si>
  <si>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</si>
  <si>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</si>
  <si>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</si>
  <si>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</si>
  <si>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</si>
  <si>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</si>
  <si>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</si>
  <si>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</si>
  <si>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</si>
  <si>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</si>
  <si>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</si>
  <si>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</si>
  <si>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</si>
  <si>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</si>
  <si>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</si>
  <si>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</si>
  <si>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</si>
  <si>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</si>
  <si>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</si>
  <si>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</si>
  <si>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</si>
  <si>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</si>
  <si>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</si>
  <si>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</si>
  <si>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</si>
  <si>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</si>
  <si>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</si>
  <si>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</si>
  <si>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</si>
  <si>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</si>
  <si>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</si>
  <si>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</si>
  <si>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</si>
  <si>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</si>
  <si>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</si>
  <si>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</si>
  <si>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</si>
  <si>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</si>
  <si>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</si>
  <si>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</si>
  <si>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</si>
  <si>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</si>
  <si>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</si>
  <si>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</si>
  <si>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</si>
  <si>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</si>
  <si>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</si>
  <si>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</si>
  <si>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</si>
  <si>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</si>
  <si>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</si>
  <si>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</si>
  <si>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</si>
  <si>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</si>
  <si>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</si>
  <si>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</si>
  <si>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</si>
  <si>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</si>
  <si>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</si>
  <si>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</si>
  <si>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</si>
  <si>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</si>
  <si>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</si>
  <si>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</si>
  <si>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</si>
  <si>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</si>
  <si>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</si>
  <si>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</si>
  <si>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</si>
  <si>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</si>
  <si>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</si>
  <si>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</si>
  <si>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</si>
  <si>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</si>
  <si>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</si>
  <si>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</si>
  <si>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</si>
  <si>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</si>
  <si>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</si>
  <si>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</si>
  <si>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</si>
  <si>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</si>
  <si>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</si>
  <si>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</si>
  <si>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</si>
  <si>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</si>
  <si>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</si>
  <si>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</si>
  <si>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</si>
  <si>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</si>
  <si>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</si>
  <si>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</si>
  <si>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</si>
  <si>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</si>
  <si>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</si>
  <si>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</si>
  <si>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</si>
  <si>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</si>
  <si>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</si>
  <si>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</si>
  <si>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</si>
  <si>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</si>
  <si>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</si>
  <si>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</si>
  <si>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</si>
  <si>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</si>
  <si>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</si>
  <si>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</si>
  <si>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</si>
  <si>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</si>
  <si>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</si>
  <si>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</si>
  <si>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</si>
  <si>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</si>
  <si>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</si>
  <si>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</si>
  <si>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</si>
  <si>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</si>
  <si>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</si>
  <si>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</si>
  <si>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</si>
  <si>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</si>
  <si>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</si>
  <si>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</si>
  <si>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</si>
  <si>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</si>
  <si>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</si>
  <si>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</si>
  <si>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</si>
  <si>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</si>
  <si>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</si>
  <si>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</si>
  <si>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</si>
  <si>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</si>
  <si>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</si>
  <si>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</si>
  <si>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</si>
  <si>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</si>
  <si>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</si>
  <si>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</si>
  <si>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</si>
  <si>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</si>
  <si>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</si>
  <si>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</si>
  <si>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</si>
  <si>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</si>
  <si>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</si>
  <si>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</si>
  <si>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</si>
  <si>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</si>
  <si>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</si>
  <si>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</si>
  <si>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</si>
  <si>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</si>
  <si>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</si>
  <si>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</si>
  <si>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</si>
  <si>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</si>
  <si>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</si>
  <si>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</si>
  <si>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</si>
  <si>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</si>
  <si>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</si>
  <si>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</si>
  <si>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</si>
  <si>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</si>
  <si>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</si>
  <si>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</si>
  <si>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</si>
  <si>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</si>
  <si>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</si>
  <si>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</si>
  <si>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</si>
  <si>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</si>
  <si>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</si>
  <si>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</si>
  <si>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</si>
  <si>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</si>
  <si>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</si>
  <si>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</si>
  <si>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</si>
  <si>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</si>
  <si>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</si>
  <si>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</si>
  <si>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</si>
  <si>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</si>
  <si>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</si>
  <si>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</si>
  <si>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</si>
  <si>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</si>
  <si>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</si>
  <si>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</si>
  <si>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</si>
  <si>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</si>
  <si>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</si>
  <si>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</si>
  <si>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</si>
  <si>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</si>
  <si>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</si>
  <si>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</si>
  <si>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</si>
  <si>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</si>
  <si>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</si>
  <si>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</si>
  <si>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</si>
  <si>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</si>
  <si>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</si>
  <si>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</si>
  <si>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</si>
  <si>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</si>
  <si>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</si>
  <si>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</si>
  <si>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</si>
  <si>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</si>
  <si>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</si>
  <si>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</si>
  <si>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</si>
  <si>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</si>
  <si>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</si>
  <si>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</si>
  <si>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</si>
  <si>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</si>
  <si>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</si>
  <si>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</si>
  <si>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</si>
  <si>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</si>
  <si>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</si>
  <si>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</si>
  <si>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</si>
  <si>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</si>
  <si>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</si>
  <si>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</si>
  <si>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</si>
  <si>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</si>
  <si>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</si>
  <si>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</si>
  <si>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</si>
  <si>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</si>
  <si>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</si>
  <si>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</si>
  <si>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</si>
  <si>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</si>
  <si>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</si>
  <si>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</si>
  <si>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</si>
  <si>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</si>
  <si>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</si>
  <si>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</si>
  <si>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</si>
  <si>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</si>
  <si>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</si>
  <si>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</si>
  <si>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</si>
  <si>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</si>
  <si>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</si>
  <si>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</si>
  <si>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</si>
  <si>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</si>
  <si>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</si>
  <si>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</si>
  <si>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</si>
  <si>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</si>
  <si>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</si>
  <si>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</si>
  <si>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</si>
  <si>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</si>
  <si>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</si>
  <si>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</si>
  <si>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</si>
  <si>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</si>
  <si>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</si>
  <si>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</si>
  <si>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</si>
  <si>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</si>
  <si>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</si>
  <si>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</si>
  <si>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</si>
  <si>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</si>
  <si>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</si>
  <si>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</si>
  <si>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</si>
  <si>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</si>
  <si>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</si>
  <si>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</si>
  <si>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</si>
  <si>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</si>
  <si>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</si>
  <si>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</si>
  <si>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</si>
  <si>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</si>
  <si>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</si>
  <si>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</si>
  <si>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</si>
  <si>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</si>
  <si>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</si>
  <si>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</si>
  <si>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</si>
  <si>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</si>
  <si>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</si>
  <si>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</si>
  <si>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</si>
  <si>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</si>
  <si>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</si>
  <si>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</si>
  <si>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</si>
  <si>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</si>
  <si>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</si>
  <si>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</si>
  <si>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</si>
  <si>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</si>
  <si>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</si>
  <si>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</si>
  <si>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</si>
  <si>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</si>
  <si>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</si>
  <si>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</si>
  <si>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</si>
  <si>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</si>
  <si>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</si>
  <si>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</si>
  <si>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</si>
  <si>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</si>
  <si>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</si>
  <si>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</si>
  <si>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</si>
  <si>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</si>
  <si>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</si>
  <si>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</si>
  <si>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</si>
  <si>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</si>
  <si>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</si>
  <si>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</si>
  <si>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</si>
  <si>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</si>
  <si>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</si>
  <si>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</si>
  <si>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</si>
  <si>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</si>
  <si>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</si>
  <si>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</si>
  <si>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</si>
  <si>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</si>
  <si>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</si>
  <si>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</si>
  <si>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</si>
  <si>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</si>
  <si>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</si>
  <si>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</si>
  <si>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</si>
  <si>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</si>
  <si>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</si>
  <si>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</si>
  <si>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</si>
  <si>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</si>
  <si>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</si>
  <si>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</si>
  <si>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</si>
  <si>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</si>
  <si>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</si>
  <si>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</si>
  <si>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</si>
  <si>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</si>
  <si>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</si>
  <si>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</si>
  <si>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</si>
  <si>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</si>
  <si>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</si>
  <si>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</si>
  <si>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</si>
  <si>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</si>
  <si>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</si>
  <si>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</si>
  <si>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</si>
  <si>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</si>
  <si>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</si>
  <si>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</si>
  <si>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</si>
  <si>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</si>
  <si>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</si>
  <si>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</si>
  <si>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</si>
  <si>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</si>
  <si>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</si>
  <si>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</si>
  <si>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</si>
  <si>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</si>
  <si>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</si>
  <si>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</si>
  <si>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</si>
  <si>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</si>
  <si>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</si>
  <si>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</si>
  <si>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</si>
  <si>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</si>
  <si>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</si>
  <si>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</si>
  <si>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</si>
  <si>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</si>
  <si>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</si>
  <si>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</si>
  <si>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</si>
  <si>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</si>
  <si>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</si>
  <si>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</si>
  <si>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</si>
  <si>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</si>
  <si>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</si>
  <si>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</si>
  <si>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</si>
  <si>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</si>
  <si>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</si>
  <si>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</si>
  <si>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</si>
  <si>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</si>
  <si>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</si>
  <si>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</si>
  <si>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</si>
  <si>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</si>
  <si>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</si>
  <si>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</si>
  <si>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</si>
  <si>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</si>
  <si>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</si>
  <si>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</si>
  <si>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</si>
  <si>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</si>
  <si>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</si>
  <si>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</si>
  <si>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</si>
  <si>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</si>
  <si>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</si>
  <si>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</si>
  <si>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</si>
  <si>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</si>
  <si>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</si>
  <si>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</si>
  <si>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</si>
  <si>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</si>
  <si>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</si>
  <si>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</si>
  <si>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</si>
  <si>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</si>
  <si>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</si>
  <si>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</si>
  <si>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</si>
  <si>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</si>
  <si>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</si>
  <si>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</si>
  <si>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</si>
  <si>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</si>
  <si>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</si>
  <si>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</si>
  <si>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</si>
  <si>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</si>
  <si>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</si>
  <si>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</si>
  <si>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</si>
  <si>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</si>
  <si>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</si>
  <si>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</si>
  <si>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</si>
  <si>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</si>
  <si>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</si>
  <si>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</si>
  <si>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</si>
  <si>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</si>
  <si>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</si>
  <si>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</si>
  <si>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</si>
  <si>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</si>
  <si>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</si>
  <si>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</si>
  <si>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</si>
  <si>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</si>
  <si>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</si>
  <si>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</si>
  <si>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</si>
  <si>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</si>
  <si>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</si>
  <si>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</si>
  <si>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</si>
  <si>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</si>
  <si>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</si>
  <si>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</si>
  <si>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</si>
  <si>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</si>
  <si>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</si>
  <si>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</si>
  <si>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</si>
  <si>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</si>
  <si>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</si>
  <si>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</si>
  <si>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</si>
  <si>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</si>
  <si>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</si>
  <si>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</si>
  <si>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</si>
  <si>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</si>
  <si>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</si>
  <si>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</si>
  <si>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</si>
  <si>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</si>
  <si>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</si>
  <si>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</si>
  <si>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</si>
  <si>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</si>
  <si>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</si>
  <si>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</si>
  <si>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</si>
  <si>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</si>
  <si>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</si>
  <si>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</si>
  <si>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</si>
  <si>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</si>
  <si>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</si>
  <si>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</si>
  <si>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</si>
  <si>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</si>
  <si>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</si>
  <si>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</si>
  <si>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</si>
  <si>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</si>
  <si>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</si>
  <si>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</si>
  <si>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</si>
  <si>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</si>
  <si>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</si>
  <si>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</si>
  <si>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</si>
  <si>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</si>
  <si>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</si>
  <si>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</si>
  <si>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</si>
  <si>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</si>
  <si>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</si>
  <si>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</si>
  <si>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</si>
  <si>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</si>
  <si>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</si>
  <si>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</si>
  <si>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</si>
  <si>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</si>
  <si>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</si>
  <si>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</si>
  <si>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</si>
  <si>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</si>
  <si>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</si>
  <si>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</si>
  <si>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</si>
  <si>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</si>
  <si>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</si>
  <si>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</si>
  <si>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</si>
  <si>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</si>
  <si>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</si>
  <si>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</si>
  <si>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</si>
  <si>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</si>
  <si>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</si>
  <si>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</si>
  <si>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</si>
  <si>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</si>
  <si>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</si>
  <si>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</si>
  <si>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</si>
  <si>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</si>
  <si>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</si>
  <si>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</si>
  <si>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</si>
  <si>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</si>
  <si>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</si>
  <si>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</si>
  <si>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</si>
  <si>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</si>
  <si>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</si>
  <si>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</si>
  <si>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</si>
  <si>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</si>
  <si>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</si>
  <si>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</si>
  <si>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</si>
  <si>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</si>
  <si>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</si>
  <si>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</si>
  <si>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</si>
  <si>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</si>
  <si>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</si>
  <si>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</si>
  <si>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</si>
  <si>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</si>
  <si>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</si>
  <si>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</si>
  <si>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</si>
  <si>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</si>
  <si>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</si>
  <si>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</si>
  <si>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</si>
  <si>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</si>
  <si>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</si>
  <si>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</si>
  <si>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</si>
  <si>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</si>
  <si>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</si>
  <si>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</si>
  <si>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</si>
  <si>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</si>
  <si>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</si>
  <si>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</si>
  <si>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</si>
  <si>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</si>
  <si>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</si>
  <si>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</si>
  <si>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</si>
  <si>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</si>
  <si>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</si>
  <si>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</si>
  <si>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</si>
  <si>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</si>
  <si>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</si>
  <si>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</si>
  <si>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</si>
  <si>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</si>
  <si>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</si>
  <si>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</si>
  <si>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</si>
  <si>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</si>
  <si>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</si>
  <si>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</si>
  <si>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</si>
  <si>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</si>
  <si>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</si>
  <si>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</si>
  <si>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</si>
  <si>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</si>
  <si>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</si>
  <si>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</si>
  <si>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</si>
  <si>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</si>
  <si>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</si>
  <si>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</si>
  <si>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</si>
  <si>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</si>
  <si>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</si>
  <si>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</si>
  <si>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</si>
  <si>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</si>
  <si>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</si>
  <si>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</si>
  <si>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</si>
  <si>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</si>
  <si>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</si>
  <si>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</si>
  <si>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</si>
  <si>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</si>
  <si>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</si>
  <si>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</si>
  <si>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</si>
  <si>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</si>
  <si>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</si>
  <si>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</si>
  <si>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</si>
  <si>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</si>
  <si>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</si>
  <si>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</si>
  <si>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</si>
  <si>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</si>
  <si>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</si>
  <si>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</si>
  <si>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</si>
  <si>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</si>
  <si>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</si>
  <si>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</si>
  <si>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</si>
  <si>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</si>
  <si>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</si>
  <si>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</si>
  <si>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</si>
  <si>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</si>
  <si>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</si>
  <si>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</si>
  <si>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</si>
  <si>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</si>
  <si>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</si>
  <si>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</si>
  <si>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</si>
  <si>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</si>
  <si>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</si>
  <si>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</si>
  <si>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</si>
  <si>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</si>
  <si>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</si>
  <si>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</si>
  <si>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</si>
  <si>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</si>
  <si>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</si>
  <si>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</si>
  <si>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</si>
  <si>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</si>
  <si>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</si>
  <si>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</si>
  <si>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</si>
  <si>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</si>
  <si>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</si>
  <si>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</si>
  <si>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</si>
  <si>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</si>
  <si>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</si>
  <si>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</si>
  <si>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</si>
  <si>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</si>
  <si>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</si>
  <si>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</si>
  <si>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</si>
  <si>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</si>
  <si>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</si>
  <si>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</si>
  <si>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</si>
  <si>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</si>
  <si>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</si>
  <si>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</si>
  <si>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</si>
  <si>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</si>
  <si>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</si>
  <si>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</si>
  <si>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</si>
  <si>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</si>
  <si>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</si>
  <si>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</si>
  <si>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</si>
  <si>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</si>
  <si>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</si>
  <si>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</si>
  <si>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</si>
  <si>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</si>
  <si>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</si>
  <si>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</si>
  <si>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</si>
  <si>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</si>
  <si>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</si>
  <si>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</si>
  <si>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</si>
  <si>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</si>
  <si>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</si>
  <si>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</si>
  <si>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</si>
  <si>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</si>
  <si>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</si>
  <si>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</si>
  <si>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</si>
  <si>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</si>
  <si>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</si>
  <si>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</si>
  <si>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</si>
  <si>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</si>
  <si>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</si>
  <si>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</si>
  <si>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</si>
  <si>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</si>
  <si>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</si>
  <si>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</si>
  <si>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</si>
  <si>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</si>
  <si>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</si>
  <si>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</si>
  <si>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</si>
  <si>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</si>
  <si>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</si>
  <si>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</si>
  <si>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</si>
  <si>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</si>
  <si>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</si>
  <si>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</si>
  <si>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</si>
  <si>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</si>
  <si>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</si>
  <si>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</si>
  <si>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</si>
  <si>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</si>
  <si>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</si>
  <si>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</si>
  <si>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</si>
  <si>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</si>
  <si>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</si>
  <si>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</si>
  <si>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</si>
  <si>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</si>
  <si>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</si>
  <si>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</si>
  <si>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</si>
  <si>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</si>
  <si>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</si>
  <si>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</si>
  <si>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</si>
  <si>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</si>
  <si>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</si>
  <si>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</si>
  <si>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</si>
  <si>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</si>
  <si>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</si>
  <si>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</si>
  <si>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</si>
  <si>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</si>
  <si>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</si>
  <si>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</si>
  <si>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</si>
  <si>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</si>
  <si>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</si>
  <si>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</si>
  <si>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</si>
  <si>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</si>
  <si>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</si>
  <si>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</si>
  <si>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</si>
  <si>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</si>
  <si>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</si>
  <si>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</si>
  <si>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</si>
  <si>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</si>
  <si>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</si>
  <si>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</si>
  <si>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</si>
  <si>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</si>
  <si>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</si>
  <si>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</si>
  <si>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</si>
  <si>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</si>
  <si>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</si>
  <si>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</si>
  <si>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</si>
  <si>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</si>
  <si>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</si>
  <si>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</si>
  <si>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</si>
  <si>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</si>
  <si>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</si>
  <si>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</si>
  <si>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</si>
  <si>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</si>
  <si>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</si>
  <si>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</si>
  <si>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</si>
  <si>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</si>
  <si>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</si>
  <si>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</si>
  <si>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</si>
  <si>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</si>
  <si>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</si>
  <si>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</si>
  <si>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</si>
  <si>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</si>
  <si>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</si>
  <si>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</si>
  <si>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</si>
  <si>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</si>
  <si>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</si>
  <si>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</si>
  <si>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</si>
  <si>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</si>
  <si>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</si>
  <si>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</si>
  <si>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</si>
  <si>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</si>
  <si>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</si>
  <si>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</si>
  <si>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</si>
  <si>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</si>
  <si>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</si>
  <si>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</si>
  <si>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</si>
  <si>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</si>
  <si>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</si>
  <si>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</si>
  <si>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</si>
  <si>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</si>
  <si>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</si>
  <si>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</si>
  <si>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</si>
  <si>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</si>
  <si>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</si>
  <si>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</si>
  <si>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</si>
  <si>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</si>
  <si>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</si>
  <si>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</si>
  <si>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</si>
  <si>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</si>
  <si>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</si>
  <si>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</si>
  <si>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</si>
  <si>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</si>
  <si>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</si>
  <si>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</si>
  <si>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</si>
  <si>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</si>
  <si>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</si>
  <si>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</si>
  <si>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</si>
  <si>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</si>
  <si>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</si>
  <si>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</si>
  <si>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</si>
  <si>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</si>
  <si>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</si>
  <si>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</si>
  <si>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</si>
  <si>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</si>
  <si>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</si>
  <si>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</si>
  <si>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</si>
  <si>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</si>
  <si>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</si>
  <si>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</si>
  <si>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</si>
  <si>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</si>
  <si>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</si>
  <si>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</si>
  <si>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</si>
  <si>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</si>
  <si>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</si>
  <si>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</si>
  <si>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</si>
  <si>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</si>
  <si>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</si>
  <si>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</si>
  <si>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</si>
  <si>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</si>
  <si>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</si>
  <si>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</si>
  <si>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</si>
  <si>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</si>
  <si>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</si>
  <si>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</si>
  <si>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</si>
  <si>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</si>
  <si>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</si>
  <si>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</si>
  <si>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</si>
  <si>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</si>
  <si>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</si>
  <si>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</si>
  <si>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</si>
  <si>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</si>
  <si>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</si>
  <si>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</si>
  <si>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</si>
  <si>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</si>
  <si>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</si>
  <si>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</si>
  <si>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</si>
  <si>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</si>
  <si>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</si>
  <si>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</si>
  <si>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</si>
  <si>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</si>
  <si>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</si>
  <si>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</si>
  <si>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</si>
  <si>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</si>
  <si>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</si>
  <si>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</si>
  <si>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</si>
  <si>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</si>
  <si>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</si>
  <si>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</si>
  <si>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</si>
  <si>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</si>
  <si>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</si>
  <si>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</si>
  <si>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</si>
  <si>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</si>
  <si>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</si>
  <si>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</si>
  <si>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</si>
  <si>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</si>
  <si>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</si>
  <si>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</si>
  <si>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</si>
  <si>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</si>
  <si>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</si>
  <si>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</si>
  <si>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</si>
  <si>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</si>
  <si>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</si>
  <si>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</si>
  <si>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</si>
  <si>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</si>
  <si>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</si>
  <si>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</si>
  <si>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</si>
  <si>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</si>
  <si>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</si>
  <si>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</si>
  <si>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</si>
  <si>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</si>
  <si>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</si>
  <si>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</si>
  <si>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</si>
  <si>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</si>
  <si>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</si>
  <si>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</si>
  <si>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</si>
  <si>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</si>
  <si>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</si>
  <si>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</si>
  <si>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</si>
  <si>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</si>
  <si>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</si>
  <si>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</si>
  <si>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</si>
  <si>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</si>
  <si>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</si>
  <si>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</si>
  <si>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</si>
  <si>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</si>
  <si>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</si>
  <si>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</si>
  <si>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</si>
  <si>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</si>
  <si>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</si>
  <si>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</si>
  <si>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</si>
  <si>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</si>
  <si>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</si>
  <si>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</si>
  <si>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</si>
  <si>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</si>
  <si>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</si>
  <si>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</si>
  <si>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</si>
  <si>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</si>
  <si>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</si>
  <si>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</si>
  <si>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</si>
  <si>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</si>
  <si>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</si>
  <si>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</si>
  <si>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</si>
  <si>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</si>
  <si>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</si>
  <si>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</si>
  <si>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</si>
  <si>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</si>
  <si>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</si>
  <si>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</si>
  <si>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</si>
  <si>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</si>
  <si>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</si>
  <si>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</si>
  <si>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</si>
  <si>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</si>
  <si>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</si>
  <si>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</si>
  <si>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</si>
  <si>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</si>
  <si>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</si>
  <si>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</si>
  <si>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</si>
  <si>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</si>
  <si>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</si>
  <si>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</si>
  <si>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</si>
  <si>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</si>
  <si>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</si>
  <si>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</si>
  <si>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</si>
  <si>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</si>
  <si>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</si>
  <si>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</si>
  <si>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</si>
  <si>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</si>
  <si>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</si>
  <si>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</si>
  <si>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</si>
  <si>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</si>
  <si>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</si>
  <si>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</si>
  <si>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</si>
  <si>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</si>
  <si>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</si>
  <si>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</si>
  <si>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</si>
  <si>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</si>
  <si>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</si>
  <si>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</si>
  <si>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</si>
  <si>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</si>
  <si>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</si>
  <si>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</si>
  <si>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</si>
  <si>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</si>
  <si>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</si>
  <si>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</si>
  <si>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</si>
  <si>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</si>
  <si>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</si>
  <si>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</si>
  <si>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</si>
  <si>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</si>
  <si>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</si>
  <si>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</si>
  <si>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</si>
  <si>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</si>
  <si>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</si>
  <si>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</si>
  <si>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</si>
  <si>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</si>
  <si>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</si>
  <si>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</si>
  <si>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</si>
  <si>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</si>
  <si>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</si>
  <si>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</si>
  <si>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</si>
  <si>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</si>
  <si>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</si>
  <si>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</si>
  <si>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</si>
  <si>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</si>
  <si>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</si>
  <si>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</si>
  <si>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</si>
  <si>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</si>
  <si>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</si>
  <si>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</si>
  <si>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</si>
  <si>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</si>
  <si>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</si>
  <si>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</si>
  <si>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</si>
  <si>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</si>
  <si>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</si>
  <si>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</si>
  <si>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</si>
  <si>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</si>
  <si>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</si>
  <si>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</si>
  <si>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</si>
  <si>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</si>
  <si>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</si>
  <si>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</si>
  <si>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</si>
  <si>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</si>
  <si>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</si>
  <si>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</si>
  <si>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</si>
  <si>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</si>
  <si>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</si>
  <si>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</si>
  <si>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</si>
  <si>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</si>
  <si>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</si>
  <si>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</si>
  <si>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</si>
  <si>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</si>
  <si>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</si>
  <si>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</si>
  <si>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</si>
  <si>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</si>
  <si>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</si>
  <si>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</si>
  <si>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</si>
  <si>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</si>
  <si>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</si>
  <si>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</si>
  <si>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</si>
  <si>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</si>
  <si>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</si>
  <si>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</si>
  <si>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</si>
  <si>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</si>
  <si>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</si>
  <si>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</si>
  <si>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</si>
  <si>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</si>
  <si>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</si>
  <si>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</si>
  <si>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</si>
  <si>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</si>
  <si>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</si>
  <si>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</si>
  <si>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</si>
  <si>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</si>
  <si>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</si>
  <si>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</si>
  <si>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</si>
  <si>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</si>
  <si>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</si>
  <si>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</si>
  <si>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</si>
  <si>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</si>
  <si>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</si>
  <si>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</si>
  <si>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</si>
  <si>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</si>
  <si>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</si>
  <si>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</si>
  <si>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</si>
  <si>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</si>
  <si>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</si>
  <si>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</si>
  <si>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</si>
  <si>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</si>
  <si>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</si>
  <si>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</si>
  <si>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</si>
  <si>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</si>
  <si>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</si>
  <si>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</si>
  <si>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</si>
  <si>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</si>
  <si>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</si>
  <si>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</si>
  <si>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</si>
  <si>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</si>
  <si>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</si>
  <si>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</si>
  <si>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</si>
  <si>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</si>
  <si>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</si>
  <si>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</si>
  <si>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</si>
  <si>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</si>
  <si>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</si>
  <si>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</si>
  <si>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</si>
  <si>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</si>
  <si>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</si>
  <si>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</si>
  <si>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</si>
  <si>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</si>
  <si>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</si>
  <si>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</si>
  <si>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</si>
  <si>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</si>
  <si>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</si>
  <si>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</si>
  <si>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</si>
  <si>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</si>
  <si>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</si>
  <si>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</si>
  <si>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</si>
  <si>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</si>
  <si>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</si>
  <si>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</si>
  <si>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</si>
  <si>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</si>
  <si>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</si>
  <si>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</si>
  <si>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</si>
  <si>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</si>
  <si>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</si>
  <si>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</si>
  <si>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</si>
  <si>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</si>
  <si>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</si>
  <si>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</si>
  <si>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</si>
  <si>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</si>
  <si>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</si>
  <si>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</si>
  <si>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</si>
  <si>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</si>
  <si>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</si>
  <si>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</si>
  <si>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</si>
  <si>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</si>
  <si>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</si>
  <si>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</si>
  <si>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</si>
  <si>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</si>
  <si>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</si>
  <si>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</si>
  <si>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</si>
  <si>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</si>
  <si>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</si>
  <si>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</si>
  <si>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</si>
  <si>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</si>
  <si>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</si>
  <si>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</si>
  <si>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</si>
  <si>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</si>
  <si>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</si>
  <si>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</si>
  <si>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</si>
  <si>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</si>
  <si>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</si>
  <si>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</si>
  <si>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</si>
  <si>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</si>
  <si>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</si>
  <si>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</si>
  <si>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</si>
  <si>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</si>
  <si>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</si>
  <si>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</si>
  <si>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</si>
  <si>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</si>
  <si>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</si>
  <si>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</si>
  <si>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</si>
  <si>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</si>
  <si>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</si>
  <si>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</si>
  <si>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</si>
  <si>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</si>
  <si>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</si>
  <si>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</si>
  <si>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</si>
  <si>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</si>
  <si>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</si>
  <si>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</si>
  <si>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</si>
  <si>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</si>
  <si>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</si>
  <si>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</si>
  <si>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</si>
  <si>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</si>
  <si>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</si>
  <si>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</si>
  <si>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</si>
  <si>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</si>
  <si>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</si>
  <si>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</si>
  <si>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</si>
  <si>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</si>
  <si>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</si>
  <si>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</si>
  <si>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</si>
  <si>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</si>
  <si>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</si>
  <si>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</si>
  <si>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</si>
  <si>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</si>
  <si>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</si>
  <si>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</si>
  <si>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</si>
  <si>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</si>
  <si>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</si>
  <si>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</si>
  <si>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</si>
  <si>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</si>
  <si>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</si>
  <si>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</si>
  <si>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</si>
  <si>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</si>
  <si>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</si>
  <si>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</si>
  <si>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</si>
  <si>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</si>
  <si>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</si>
  <si>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</si>
  <si>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</si>
  <si>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</si>
  <si>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</si>
  <si>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</si>
  <si>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</si>
  <si>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</si>
  <si>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</si>
  <si>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</si>
  <si>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</si>
  <si>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</si>
  <si>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</si>
  <si>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</si>
  <si>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</si>
  <si>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</si>
  <si>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</si>
  <si>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</si>
  <si>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</si>
  <si>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</si>
  <si>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</si>
  <si>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</si>
  <si>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</si>
  <si>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</si>
  <si>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</si>
  <si>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</si>
  <si>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</si>
  <si>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</si>
  <si>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</si>
  <si>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</si>
  <si>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</si>
  <si>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</si>
  <si>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</si>
  <si>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</si>
  <si>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</si>
  <si>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</si>
  <si>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</si>
  <si>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</si>
  <si>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</si>
  <si>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</si>
  <si>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</si>
  <si>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</si>
  <si>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</si>
  <si>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</si>
  <si>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</si>
  <si>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</si>
  <si>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</si>
  <si>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</si>
  <si>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</si>
  <si>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</si>
  <si>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</si>
  <si>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</si>
  <si>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</si>
  <si>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</si>
  <si>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</si>
  <si>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</si>
  <si>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</si>
  <si>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</si>
  <si>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</si>
  <si>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</si>
  <si>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</si>
  <si>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</si>
  <si>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</si>
  <si>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</si>
  <si>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</si>
  <si>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</si>
  <si>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</si>
  <si>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</si>
  <si>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</si>
  <si>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</si>
  <si>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</si>
  <si>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</si>
  <si>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</si>
  <si>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</si>
  <si>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</si>
  <si>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</si>
  <si>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</si>
  <si>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</si>
  <si>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</si>
  <si>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</si>
  <si>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</si>
  <si>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</si>
  <si>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</si>
  <si>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</si>
  <si>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</si>
  <si>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</si>
  <si>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</si>
  <si>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</si>
  <si>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</si>
  <si>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</si>
  <si>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</si>
  <si>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</si>
  <si>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</si>
  <si>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</si>
  <si>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</si>
  <si>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</si>
  <si>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</si>
  <si>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</si>
  <si>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</si>
  <si>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</si>
  <si>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</si>
  <si>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</si>
  <si>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</si>
  <si>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</si>
  <si>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</si>
  <si>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</si>
  <si>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</si>
  <si>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</si>
  <si>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</si>
  <si>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</si>
  <si>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</si>
  <si>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</si>
  <si>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</si>
  <si>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</si>
  <si>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</si>
  <si>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</si>
  <si>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</si>
  <si>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</si>
  <si>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</si>
  <si>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</si>
  <si>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</si>
  <si>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</si>
  <si>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</si>
  <si>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</si>
  <si>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</si>
  <si>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</si>
  <si>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</si>
  <si>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</si>
  <si>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</si>
  <si>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</si>
  <si>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</si>
  <si>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</si>
  <si>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</si>
  <si>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</si>
  <si>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</si>
  <si>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</si>
  <si>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</si>
  <si>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</si>
  <si>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</si>
  <si>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</si>
  <si>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</si>
  <si>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</si>
  <si>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</si>
  <si>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</si>
  <si>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</si>
  <si>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</si>
  <si>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</si>
  <si>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</si>
  <si>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</si>
  <si>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</si>
  <si>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</si>
  <si>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</si>
  <si>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</si>
  <si>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</si>
  <si>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</si>
  <si>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</si>
  <si>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</si>
  <si>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</si>
  <si>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</si>
  <si>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</si>
  <si>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</si>
  <si>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</si>
  <si>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</si>
  <si>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</si>
  <si>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</si>
  <si>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</si>
  <si>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</si>
  <si>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</si>
  <si>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</si>
  <si>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</si>
  <si>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</si>
  <si>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</si>
  <si>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</si>
  <si>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</si>
  <si>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</si>
  <si>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</si>
  <si>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</si>
  <si>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</si>
  <si>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</si>
  <si>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</si>
  <si>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</si>
  <si>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</si>
  <si>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</si>
  <si>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</si>
  <si>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</si>
  <si>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</si>
  <si>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</si>
  <si>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</si>
  <si>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</si>
  <si>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</si>
  <si>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</si>
  <si>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</si>
  <si>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</si>
  <si>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</si>
  <si>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</si>
  <si>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</si>
  <si>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</si>
  <si>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</si>
  <si>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</si>
  <si>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</si>
  <si>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</si>
  <si>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</si>
  <si>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</si>
  <si>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</si>
  <si>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</si>
  <si>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</si>
  <si>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</si>
  <si>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</si>
  <si>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</si>
  <si>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</si>
  <si>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</si>
  <si>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</si>
  <si>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</si>
  <si>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</si>
  <si>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</si>
  <si>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</si>
  <si>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</si>
  <si>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</si>
  <si>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</si>
  <si>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</si>
  <si>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</si>
  <si>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</si>
  <si>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</si>
  <si>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</si>
  <si>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</si>
  <si>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</si>
  <si>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</si>
  <si>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</si>
  <si>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</si>
  <si>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</si>
  <si>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</si>
  <si>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</si>
  <si>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</si>
  <si>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</si>
  <si>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</si>
  <si>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</si>
  <si>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</si>
  <si>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</si>
  <si>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</si>
  <si>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</si>
  <si>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</si>
  <si>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</si>
  <si>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</si>
  <si>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</si>
  <si>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</si>
  <si>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</si>
  <si>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</si>
  <si>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</si>
  <si>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</si>
  <si>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</si>
  <si>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</si>
  <si>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</si>
  <si>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</si>
  <si>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</si>
  <si>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</si>
  <si>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</si>
  <si>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</si>
  <si>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</si>
  <si>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</si>
  <si>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</si>
  <si>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</si>
  <si>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</si>
  <si>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</si>
  <si>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</si>
  <si>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</si>
  <si>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</si>
  <si>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</si>
  <si>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</si>
  <si>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</si>
  <si>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</si>
  <si>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</si>
  <si>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</si>
  <si>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</si>
  <si>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</si>
  <si>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</si>
  <si>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</si>
  <si>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</si>
  <si>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</si>
  <si>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</si>
  <si>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</si>
  <si>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</si>
  <si>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</si>
  <si>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</si>
  <si>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</si>
  <si>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</si>
  <si>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</si>
  <si>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</si>
  <si>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</si>
  <si>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</si>
  <si>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</si>
  <si>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</si>
  <si>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</si>
  <si>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</si>
  <si>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</si>
  <si>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</si>
  <si>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</si>
  <si>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</si>
  <si>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</si>
  <si>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</si>
  <si>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</si>
  <si>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</si>
  <si>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</si>
  <si>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</si>
  <si>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</si>
  <si>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</si>
  <si>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</si>
  <si>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</si>
  <si>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</si>
  <si>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</si>
  <si>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</si>
  <si>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</si>
  <si>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</si>
  <si>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</si>
  <si>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</si>
  <si>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</si>
  <si>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</si>
  <si>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</si>
  <si>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</si>
  <si>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</si>
  <si>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</si>
  <si>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</si>
  <si>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</si>
  <si>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</si>
  <si>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</si>
  <si>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</si>
  <si>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</si>
  <si>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</si>
  <si>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</si>
  <si>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</si>
  <si>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</si>
  <si>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</si>
  <si>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</si>
  <si>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</si>
  <si>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</si>
  <si>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</si>
  <si>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</si>
  <si>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</si>
  <si>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</si>
  <si>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</si>
  <si>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</si>
  <si>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</si>
  <si>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</si>
  <si>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</si>
  <si>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</si>
  <si>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</si>
  <si>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</si>
  <si>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</si>
  <si>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</si>
  <si>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</si>
  <si>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</si>
  <si>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</si>
  <si>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</si>
  <si>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</si>
  <si>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</si>
  <si>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</si>
  <si>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</si>
  <si>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</si>
  <si>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</si>
  <si>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</si>
  <si>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</si>
  <si>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</si>
  <si>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</si>
  <si>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</si>
  <si>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</si>
  <si>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</si>
  <si>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</si>
  <si>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</si>
  <si>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</si>
  <si>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</si>
  <si>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</si>
  <si>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</si>
  <si>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</si>
  <si>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</si>
  <si>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</si>
  <si>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</si>
  <si>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</si>
  <si>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</si>
  <si>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</si>
  <si>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</si>
  <si>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</si>
  <si>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</si>
  <si>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</si>
  <si>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</si>
  <si>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</si>
  <si>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</si>
  <si>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</si>
  <si>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</si>
  <si>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</si>
  <si>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</si>
  <si>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</si>
  <si>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</si>
  <si>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</si>
  <si>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</si>
  <si>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</si>
  <si>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</si>
  <si>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</si>
  <si>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</si>
  <si>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</si>
  <si>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</si>
  <si>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</si>
  <si>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</si>
  <si>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</si>
  <si>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</si>
  <si>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</si>
  <si>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</si>
  <si>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</si>
  <si>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</si>
  <si>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</si>
  <si>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</si>
  <si>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</si>
  <si>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</si>
  <si>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</si>
  <si>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</si>
  <si>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</si>
  <si>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</si>
  <si>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</si>
  <si>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</si>
  <si>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</si>
  <si>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</si>
  <si>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</si>
  <si>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</si>
  <si>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</si>
  <si>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</si>
  <si>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</si>
  <si>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</si>
  <si>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</si>
  <si>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</si>
  <si>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</si>
  <si>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</si>
  <si>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</si>
  <si>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</si>
  <si>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</si>
  <si>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</si>
  <si>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</si>
  <si>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</si>
  <si>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</si>
  <si>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</si>
  <si>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</si>
  <si>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</si>
  <si>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</si>
  <si>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</si>
  <si>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</si>
  <si>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</si>
  <si>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</si>
  <si>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</si>
  <si>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</si>
  <si>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</si>
  <si>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</si>
  <si>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</si>
  <si>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</si>
  <si>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</si>
  <si>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</si>
  <si>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</si>
  <si>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</si>
  <si>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</si>
  <si>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</si>
  <si>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</si>
  <si>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</si>
  <si>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</si>
  <si>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</si>
  <si>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</si>
  <si>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</si>
  <si>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</si>
  <si>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</si>
  <si>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</si>
  <si>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</si>
  <si>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</si>
  <si>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</si>
  <si>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</si>
  <si>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</si>
  <si>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</si>
  <si>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</si>
  <si>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</si>
  <si>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</si>
  <si>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</si>
  <si>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</si>
  <si>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</si>
  <si>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</si>
  <si>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</si>
  <si>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</si>
  <si>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</si>
  <si>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</si>
  <si>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</si>
  <si>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</si>
  <si>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</si>
  <si>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</si>
  <si>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</si>
  <si>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</si>
  <si>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</si>
  <si>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</si>
  <si>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</si>
  <si>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</si>
  <si>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</si>
  <si>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</si>
  <si>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</si>
  <si>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</si>
  <si>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</si>
  <si>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</si>
  <si>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</si>
  <si>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</si>
  <si>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</si>
  <si>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</si>
  <si>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</si>
  <si>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</si>
  <si>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</si>
  <si>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</si>
  <si>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</si>
  <si>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</si>
  <si>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</si>
  <si>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</si>
  <si>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</si>
  <si>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</si>
  <si>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</si>
  <si>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</si>
  <si>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</si>
  <si>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</si>
  <si>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</si>
  <si>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</si>
  <si>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</si>
  <si>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</si>
  <si>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</si>
  <si>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</si>
  <si>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</si>
  <si>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</si>
  <si>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</si>
  <si>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</si>
  <si>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</si>
  <si>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</si>
  <si>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</si>
  <si>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</si>
  <si>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</si>
  <si>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</si>
  <si>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</si>
  <si>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</si>
  <si>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</si>
  <si>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</si>
  <si>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</si>
  <si>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</si>
  <si>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</si>
  <si>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</si>
  <si>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</si>
  <si>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</si>
  <si>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</si>
  <si>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</si>
  <si>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</si>
  <si>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</si>
  <si>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</si>
  <si>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</si>
  <si>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</si>
  <si>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</si>
  <si>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</si>
  <si>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</si>
  <si>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</si>
  <si>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</si>
  <si>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</si>
  <si>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</si>
  <si>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</si>
  <si>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</si>
  <si>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</si>
  <si>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</si>
  <si>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</si>
  <si>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</si>
  <si>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</si>
  <si>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</si>
  <si>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</si>
  <si>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</si>
  <si>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</si>
  <si>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</si>
  <si>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</si>
  <si>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</si>
  <si>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</si>
  <si>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</si>
  <si>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</si>
  <si>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</si>
  <si>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</si>
  <si>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</si>
  <si>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</si>
  <si>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</si>
  <si>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</si>
  <si>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</si>
  <si>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</si>
  <si>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</si>
  <si>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</si>
  <si>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</si>
  <si>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</si>
  <si>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</si>
  <si>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</si>
  <si>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</si>
  <si>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</si>
  <si>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</si>
  <si>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</si>
  <si>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</si>
  <si>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</si>
  <si>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</si>
  <si>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</si>
  <si>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</si>
  <si>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</si>
  <si>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</si>
  <si>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</si>
  <si>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</si>
  <si>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</si>
  <si>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</si>
  <si>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</si>
  <si>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</si>
  <si>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</si>
  <si>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</si>
  <si>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</si>
  <si>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</si>
  <si>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</si>
  <si>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</si>
  <si>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</si>
  <si>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</si>
  <si>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</si>
  <si>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</si>
  <si>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</si>
  <si>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</si>
  <si>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</si>
  <si>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</si>
  <si>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</si>
  <si>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</si>
  <si>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</si>
  <si>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</si>
  <si>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</si>
  <si>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</si>
  <si>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</si>
  <si>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</si>
  <si>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</si>
  <si>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</si>
  <si>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</si>
  <si>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</si>
  <si>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</si>
  <si>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</si>
  <si>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</si>
  <si>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</si>
  <si>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</si>
  <si>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</si>
  <si>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</si>
  <si>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</si>
  <si>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</si>
  <si>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</si>
  <si>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</si>
  <si>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</si>
  <si>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</si>
  <si>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</si>
  <si>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</si>
  <si>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</si>
  <si>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</si>
  <si>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</si>
  <si>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</si>
  <si>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</si>
  <si>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</si>
  <si>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</si>
  <si>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</si>
  <si>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</si>
  <si>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</si>
  <si>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</si>
  <si>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</si>
  <si>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</si>
  <si>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</si>
  <si>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</si>
  <si>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</si>
  <si>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</si>
  <si>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</si>
  <si>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</si>
  <si>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</si>
  <si>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</si>
  <si>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</si>
  <si>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</si>
  <si>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</si>
  <si>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</si>
  <si>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</si>
  <si>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</si>
  <si>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</si>
  <si>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</si>
  <si>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</si>
  <si>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</si>
  <si>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</si>
  <si>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</si>
  <si>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</si>
  <si>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</si>
  <si>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</si>
  <si>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</si>
  <si>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</si>
  <si>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</si>
  <si>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</si>
  <si>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</si>
  <si>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</si>
  <si>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</si>
  <si>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</si>
  <si>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</si>
  <si>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</si>
  <si>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</si>
  <si>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</si>
  <si>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</si>
  <si>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</si>
  <si>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</si>
  <si>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</si>
  <si>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</si>
  <si>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</si>
  <si>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</si>
  <si>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</si>
  <si>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</si>
  <si>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</si>
  <si>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</si>
  <si>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</si>
  <si>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</si>
  <si>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</si>
  <si>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</si>
  <si>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</si>
  <si>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</si>
  <si>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</si>
  <si>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</si>
  <si>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</si>
  <si>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</si>
  <si>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</si>
  <si>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</si>
  <si>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</si>
  <si>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</si>
  <si>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</si>
  <si>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</si>
  <si>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</si>
  <si>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</si>
  <si>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</si>
  <si>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</si>
  <si>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</si>
  <si>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</si>
  <si>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</si>
  <si>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</si>
  <si>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</si>
  <si>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</si>
  <si>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</si>
  <si>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</si>
  <si>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</si>
  <si>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</si>
  <si>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</si>
  <si>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</si>
  <si>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</si>
  <si>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</si>
  <si>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</si>
  <si>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</si>
  <si>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</si>
  <si>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</si>
  <si>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</si>
  <si>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</si>
  <si>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</si>
  <si>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</si>
  <si>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</si>
  <si>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</si>
  <si>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</si>
  <si>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</si>
  <si>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</si>
  <si>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</si>
  <si>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</si>
  <si>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</si>
  <si>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</si>
  <si>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</si>
  <si>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</si>
  <si>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</si>
  <si>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</si>
  <si>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</si>
  <si>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</si>
  <si>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</si>
  <si>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</si>
  <si>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</si>
  <si>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</si>
  <si>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</si>
  <si>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</si>
  <si>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</si>
  <si>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</si>
  <si>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</si>
  <si>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</si>
  <si>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</si>
  <si>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</si>
  <si>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</si>
  <si>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</si>
  <si>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</si>
  <si>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</si>
  <si>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</si>
  <si>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</si>
  <si>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</si>
  <si>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</si>
  <si>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</si>
  <si>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</si>
  <si>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</si>
  <si>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</si>
  <si>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</si>
  <si>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</si>
  <si>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</si>
  <si>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</si>
  <si>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</si>
  <si>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</si>
  <si>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</si>
  <si>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</si>
  <si>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</si>
  <si>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</si>
  <si>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</si>
  <si>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</si>
  <si>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</si>
  <si>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</si>
  <si>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</si>
  <si>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</si>
  <si>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</si>
  <si>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</si>
  <si>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</si>
  <si>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</si>
  <si>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</si>
  <si>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</si>
  <si>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</si>
  <si>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</si>
  <si>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</si>
  <si>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</si>
  <si>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</si>
  <si>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</si>
  <si>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</si>
  <si>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</si>
  <si>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</si>
  <si>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</si>
  <si>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</si>
  <si>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</si>
  <si>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</si>
  <si>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</si>
  <si>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</si>
  <si>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</si>
  <si>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</si>
  <si>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</si>
  <si>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</si>
  <si>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</si>
  <si>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</si>
  <si>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</si>
  <si>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</si>
  <si>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</si>
  <si>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</si>
  <si>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</si>
  <si>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</si>
  <si>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</si>
  <si>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</si>
  <si>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</si>
  <si>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</si>
  <si>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</si>
  <si>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</si>
  <si>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</si>
  <si>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</si>
  <si>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</si>
  <si>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</si>
  <si>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</si>
  <si>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</si>
  <si>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</si>
  <si>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</si>
  <si>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</si>
  <si>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</si>
  <si>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</si>
  <si>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</si>
  <si>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</si>
  <si>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</si>
  <si>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</si>
  <si>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</si>
  <si>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</si>
  <si>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</si>
  <si>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</si>
  <si>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</si>
  <si>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</si>
  <si>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</si>
  <si>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</si>
  <si>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</si>
  <si>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</si>
  <si>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</si>
  <si>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</si>
  <si>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</si>
  <si>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</si>
  <si>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</si>
  <si>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</si>
  <si>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</si>
  <si>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</si>
  <si>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</si>
  <si>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</si>
  <si>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</si>
  <si>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</si>
  <si>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</si>
  <si>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</si>
  <si>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</si>
  <si>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</si>
  <si>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</si>
  <si>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</si>
  <si>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</si>
  <si>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</si>
  <si>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</si>
  <si>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</si>
  <si>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</si>
  <si>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</si>
  <si>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</si>
  <si>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</si>
  <si>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</si>
  <si>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</si>
  <si>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</si>
  <si>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</si>
  <si>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</si>
  <si>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</si>
  <si>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</si>
  <si>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</si>
  <si>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</si>
  <si>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</si>
  <si>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</si>
  <si>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</si>
  <si>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</si>
  <si>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</si>
  <si>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</si>
  <si>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</si>
  <si>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</si>
  <si>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</si>
  <si>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</si>
  <si>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</si>
  <si>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</si>
  <si>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</si>
  <si>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</si>
  <si>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</si>
  <si>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</si>
  <si>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</si>
  <si>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</si>
  <si>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</si>
  <si>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</si>
  <si>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</si>
  <si>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</si>
  <si>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</si>
  <si>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</si>
  <si>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</si>
  <si>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</si>
  <si>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</si>
  <si>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</si>
  <si>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</si>
  <si>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</si>
  <si>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</si>
  <si>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</si>
  <si>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</si>
  <si>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</si>
  <si>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</si>
  <si>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</si>
  <si>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</si>
  <si>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</si>
  <si>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</si>
  <si>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</si>
  <si>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</si>
  <si>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</si>
  <si>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</si>
  <si>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</si>
  <si>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</si>
  <si>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</si>
  <si>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</si>
  <si>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</si>
  <si>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</si>
  <si>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</si>
  <si>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</si>
  <si>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</si>
  <si>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</si>
  <si>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</si>
  <si>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</si>
  <si>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</si>
  <si>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</si>
  <si>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</si>
  <si>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</si>
  <si>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</si>
  <si>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</si>
  <si>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</si>
  <si>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</si>
  <si>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</si>
  <si>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</si>
  <si>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</si>
  <si>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</si>
  <si>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</si>
  <si>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</si>
  <si>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</si>
  <si>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</si>
  <si>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</si>
  <si>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</si>
  <si>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</si>
  <si>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</si>
  <si>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</si>
  <si>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</si>
  <si>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</si>
  <si>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</si>
  <si>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</si>
  <si>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</si>
  <si>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</si>
  <si>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</si>
  <si>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</si>
  <si>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</si>
  <si>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</si>
  <si>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</si>
  <si>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</si>
  <si>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</si>
  <si>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</si>
  <si>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</si>
  <si>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</si>
  <si>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</si>
  <si>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</si>
  <si>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</si>
  <si>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</si>
  <si>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</si>
  <si>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</si>
  <si>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</si>
  <si>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</si>
  <si>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</si>
  <si>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</si>
  <si>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</si>
  <si>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</si>
  <si>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</si>
  <si>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</si>
  <si>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</si>
  <si>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</si>
  <si>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</si>
  <si>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</si>
  <si>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</si>
  <si>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</si>
  <si>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</si>
  <si>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</si>
  <si>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</si>
  <si>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</si>
  <si>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</si>
  <si>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</si>
  <si>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</si>
  <si>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</si>
  <si>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</si>
  <si>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</si>
  <si>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</si>
  <si>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</si>
  <si>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</si>
  <si>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</si>
  <si>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</si>
  <si>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</si>
  <si>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</si>
  <si>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</si>
  <si>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</si>
  <si>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</si>
  <si>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</si>
  <si>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</si>
  <si>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</si>
  <si>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</si>
  <si>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</si>
  <si>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</si>
  <si>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</si>
  <si>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</si>
  <si>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</si>
  <si>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</si>
  <si>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</si>
  <si>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</si>
  <si>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</si>
  <si>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</si>
  <si>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</si>
  <si>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</si>
  <si>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</si>
  <si>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</si>
  <si>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</si>
  <si>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</si>
  <si>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</si>
  <si>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</si>
  <si>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</si>
  <si>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</si>
  <si>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</si>
  <si>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</si>
  <si>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</si>
  <si>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</si>
  <si>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</si>
  <si>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</si>
  <si>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</si>
  <si>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</si>
  <si>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</si>
  <si>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</si>
  <si>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</si>
  <si>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</si>
  <si>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</si>
  <si>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</si>
  <si>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</si>
  <si>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</si>
  <si>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</si>
  <si>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</si>
  <si>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</si>
  <si>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</si>
  <si>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</si>
  <si>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</si>
  <si>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</si>
  <si>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</si>
  <si>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</si>
  <si>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</si>
  <si>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</si>
  <si>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</si>
  <si>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</si>
  <si>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</si>
  <si>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</si>
  <si>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</si>
  <si>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</si>
  <si>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</si>
  <si>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</si>
  <si>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</si>
  <si>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</si>
  <si>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</si>
  <si>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</si>
  <si>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</si>
  <si>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</si>
  <si>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</si>
  <si>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</si>
  <si>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</si>
  <si>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</si>
  <si>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</si>
  <si>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</si>
  <si>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</si>
  <si>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</si>
  <si>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</si>
  <si>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</si>
  <si>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</si>
  <si>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</si>
  <si>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</si>
  <si>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</si>
  <si>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</si>
  <si>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</si>
  <si>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</si>
  <si>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</si>
  <si>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</si>
  <si>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</si>
  <si>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</si>
  <si>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</si>
  <si>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</si>
  <si>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</si>
  <si>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</si>
  <si>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</si>
  <si>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</si>
  <si>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</si>
  <si>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</si>
  <si>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</si>
  <si>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</si>
  <si>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</si>
  <si>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</si>
  <si>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</si>
  <si>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</si>
  <si>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</si>
  <si>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</si>
  <si>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</si>
  <si>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</si>
  <si>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</si>
  <si>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</si>
  <si>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</si>
  <si>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</si>
  <si>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</si>
  <si>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</si>
  <si>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</si>
  <si>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</si>
  <si>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</si>
  <si>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</si>
  <si>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</si>
  <si>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</si>
  <si>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</si>
  <si>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</si>
  <si>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</si>
  <si>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</si>
  <si>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</si>
  <si>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</si>
  <si>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</si>
  <si>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</si>
  <si>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</si>
  <si>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</si>
  <si>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</si>
  <si>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</si>
  <si>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</si>
  <si>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</si>
  <si>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</si>
  <si>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</si>
  <si>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</si>
  <si>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</si>
  <si>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</si>
  <si>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</si>
  <si>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</si>
  <si>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</si>
  <si>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</si>
  <si>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</si>
  <si>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</si>
  <si>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</si>
  <si>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</si>
  <si>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</si>
  <si>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</si>
  <si>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</si>
  <si>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</si>
  <si>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</si>
  <si>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</si>
  <si>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</si>
  <si>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</si>
  <si>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</si>
  <si>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</si>
  <si>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</si>
  <si>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</si>
  <si>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</si>
  <si>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</si>
  <si>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</si>
  <si>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</si>
  <si>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</si>
  <si>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</si>
  <si>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2026-081</t>
  </si>
  <si>
    <t>9520/2026</t>
  </si>
  <si>
    <t>Contratações de TIC com base na jurisprudência do TCDF</t>
  </si>
  <si>
    <t>02 e 04/09/2026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</si>
</sst>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Controle Externo das parcerias firmadas com base no Marco Regulatório das Organizações da Sociedade Civil (MROSC)"/>
        <filter val="Curso “MROSC para servidores públicas distritais”"/>
        <filter val="MROSC para os gestores das Organizações da Sociedade Civil – OSCs"/>
        <filter val="Oficina Temática - SEMAT: MROSC para servidores do GDF"/>
        <filter val="Painel MROSC"/>
        <filter val="Parcerias do Estado com a Sociedade Civil e Inovações do Regime do MROSC"/>
        <filter val="Treinamento para Organizações da Sociedade Civil – MROSC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101" activePane="bottomLeft" state="frozen"/>
      <selection pane="bottomLeft" activeCell="E2010" sqref="E2010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42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2892</v>
      </c>
    </row>
    <row r="663" spans="1:20" ht="30" hidden="1" x14ac:dyDescent="0.25">
      <c r="A663" s="191" t="s">
        <v>2715</v>
      </c>
      <c r="B663" s="127">
        <v>2026</v>
      </c>
      <c r="C663" s="164" t="s">
        <v>2697</v>
      </c>
      <c r="D663" s="127" t="s">
        <v>2716</v>
      </c>
      <c r="E663" s="162" t="s">
        <v>2717</v>
      </c>
      <c r="F663" s="129" t="s">
        <v>88</v>
      </c>
      <c r="G663" s="130" t="s">
        <v>2718</v>
      </c>
      <c r="H663" s="131" t="s">
        <v>2719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2720</v>
      </c>
    </row>
    <row r="664" spans="1:20" ht="15" hidden="1" x14ac:dyDescent="0.25">
      <c r="A664" s="191" t="s">
        <v>2721</v>
      </c>
      <c r="B664" s="127">
        <v>2026</v>
      </c>
      <c r="C664" s="183" t="s">
        <v>22</v>
      </c>
      <c r="D664" s="183" t="s">
        <v>2722</v>
      </c>
      <c r="E664" s="184" t="s">
        <v>2723</v>
      </c>
      <c r="F664" s="185" t="s">
        <v>24</v>
      </c>
      <c r="G664" s="186" t="s">
        <v>25</v>
      </c>
      <c r="H664" s="191" t="s">
        <v>2724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2725</v>
      </c>
    </row>
    <row r="665" spans="1:20" ht="15" hidden="1" x14ac:dyDescent="0.25">
      <c r="A665" s="137" t="s">
        <v>2726</v>
      </c>
      <c r="B665" s="127">
        <v>2026</v>
      </c>
      <c r="C665" s="183" t="s">
        <v>22</v>
      </c>
      <c r="D665" s="183" t="s">
        <v>2727</v>
      </c>
      <c r="E665" s="184" t="s">
        <v>2676</v>
      </c>
      <c r="F665" s="185" t="s">
        <v>24</v>
      </c>
      <c r="G665" s="186" t="s">
        <v>42</v>
      </c>
      <c r="H665" s="191" t="s">
        <v>2728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2729</v>
      </c>
      <c r="B666" s="127">
        <v>2026</v>
      </c>
      <c r="C666" s="183" t="s">
        <v>22</v>
      </c>
      <c r="D666" s="183" t="s">
        <v>2730</v>
      </c>
      <c r="E666" s="184" t="s">
        <v>2731</v>
      </c>
      <c r="F666" s="185" t="s">
        <v>24</v>
      </c>
      <c r="G666" s="186" t="s">
        <v>371</v>
      </c>
      <c r="H666" s="191" t="s">
        <v>2732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2733</v>
      </c>
      <c r="B667" s="127">
        <v>2026</v>
      </c>
      <c r="C667" s="127" t="s">
        <v>22</v>
      </c>
      <c r="D667" s="173" t="s">
        <v>2734</v>
      </c>
      <c r="E667" s="180" t="s">
        <v>2735</v>
      </c>
      <c r="F667" s="129" t="s">
        <v>88</v>
      </c>
      <c r="G667" s="130" t="s">
        <v>2718</v>
      </c>
      <c r="H667" s="175" t="s">
        <v>2736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2737</v>
      </c>
      <c r="B668" s="127">
        <v>2026</v>
      </c>
      <c r="C668" s="215" t="s">
        <v>22</v>
      </c>
      <c r="D668" s="183" t="s">
        <v>2738</v>
      </c>
      <c r="E668" s="184" t="s">
        <v>2739</v>
      </c>
      <c r="F668" s="185" t="s">
        <v>88</v>
      </c>
      <c r="G668" s="186" t="s">
        <v>2718</v>
      </c>
      <c r="H668" s="191" t="s">
        <v>2740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2741</v>
      </c>
      <c r="B669" s="127">
        <v>2026</v>
      </c>
      <c r="C669" s="127" t="s">
        <v>22</v>
      </c>
      <c r="D669" s="173" t="s">
        <v>2742</v>
      </c>
      <c r="E669" s="180" t="s">
        <v>2743</v>
      </c>
      <c r="F669" s="129" t="s">
        <v>69</v>
      </c>
      <c r="G669" s="174" t="s">
        <v>2694</v>
      </c>
      <c r="H669" s="175" t="s">
        <v>2744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2745</v>
      </c>
    </row>
    <row r="670" spans="1:20" ht="30" hidden="1" x14ac:dyDescent="0.25">
      <c r="A670" s="191" t="s">
        <v>2746</v>
      </c>
      <c r="B670" s="127">
        <v>2026</v>
      </c>
      <c r="C670" s="127" t="s">
        <v>22</v>
      </c>
      <c r="D670" s="173" t="s">
        <v>2742</v>
      </c>
      <c r="E670" s="208" t="s">
        <v>2747</v>
      </c>
      <c r="F670" s="129" t="s">
        <v>69</v>
      </c>
      <c r="G670" s="174" t="s">
        <v>2694</v>
      </c>
      <c r="H670" s="175" t="s">
        <v>2748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2745</v>
      </c>
    </row>
    <row r="671" spans="1:20" ht="15" hidden="1" x14ac:dyDescent="0.25">
      <c r="A671" s="191" t="s">
        <v>2749</v>
      </c>
      <c r="B671" s="127">
        <v>2026</v>
      </c>
      <c r="C671" s="183" t="s">
        <v>2697</v>
      </c>
      <c r="D671" s="183" t="s">
        <v>2750</v>
      </c>
      <c r="E671" s="184" t="s">
        <v>2751</v>
      </c>
      <c r="F671" s="185" t="s">
        <v>69</v>
      </c>
      <c r="G671" s="186" t="s">
        <v>79</v>
      </c>
      <c r="H671" s="209" t="s">
        <v>2752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2753</v>
      </c>
    </row>
    <row r="672" spans="1:20" ht="15" hidden="1" x14ac:dyDescent="0.25">
      <c r="A672" s="137" t="s">
        <v>2754</v>
      </c>
      <c r="B672" s="127">
        <v>2026</v>
      </c>
      <c r="C672" s="183" t="s">
        <v>22</v>
      </c>
      <c r="D672" s="183" t="s">
        <v>2755</v>
      </c>
      <c r="E672" s="184" t="s">
        <v>2756</v>
      </c>
      <c r="F672" s="185" t="s">
        <v>24</v>
      </c>
      <c r="G672" s="186" t="s">
        <v>25</v>
      </c>
      <c r="H672" s="191" t="s">
        <v>2757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2758</v>
      </c>
    </row>
    <row r="673" spans="1:20" ht="15" hidden="1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44" t="s">
        <v>371</v>
      </c>
      <c r="H673" s="155" t="s">
        <v>2762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2763</v>
      </c>
    </row>
    <row r="674" spans="1:20" ht="15" hidden="1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69</v>
      </c>
      <c r="G674" s="130" t="s">
        <v>2694</v>
      </c>
      <c r="H674" s="172" t="s">
        <v>2767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2768</v>
      </c>
    </row>
    <row r="675" spans="1:20" ht="15" hidden="1" x14ac:dyDescent="0.25">
      <c r="A675" s="137" t="s">
        <v>2769</v>
      </c>
      <c r="B675" s="127">
        <v>2026</v>
      </c>
      <c r="C675" s="127" t="s">
        <v>22</v>
      </c>
      <c r="D675" s="173" t="s">
        <v>2770</v>
      </c>
      <c r="E675" s="128" t="s">
        <v>2771</v>
      </c>
      <c r="F675" s="129" t="s">
        <v>69</v>
      </c>
      <c r="G675" s="174" t="s">
        <v>2694</v>
      </c>
      <c r="H675" s="217" t="s">
        <v>2772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2768</v>
      </c>
    </row>
    <row r="676" spans="1:20" ht="15" hidden="1" x14ac:dyDescent="0.25">
      <c r="A676" s="137" t="s">
        <v>2773</v>
      </c>
      <c r="B676" s="127">
        <v>2026</v>
      </c>
      <c r="C676" s="127" t="s">
        <v>22</v>
      </c>
      <c r="D676" s="127" t="s">
        <v>2774</v>
      </c>
      <c r="E676" s="128" t="s">
        <v>2775</v>
      </c>
      <c r="F676" s="129" t="s">
        <v>69</v>
      </c>
      <c r="G676" s="130" t="s">
        <v>79</v>
      </c>
      <c r="H676" s="127" t="s">
        <v>2776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2777</v>
      </c>
      <c r="B677" s="127">
        <v>2026</v>
      </c>
      <c r="C677" s="193" t="s">
        <v>2697</v>
      </c>
      <c r="D677" s="193" t="s">
        <v>2778</v>
      </c>
      <c r="E677" s="184" t="s">
        <v>2779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2745</v>
      </c>
    </row>
    <row r="678" spans="1:20" ht="15" hidden="1" x14ac:dyDescent="0.2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2784</v>
      </c>
      <c r="B679" s="127">
        <v>2026</v>
      </c>
      <c r="C679" s="193" t="s">
        <v>22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2788</v>
      </c>
    </row>
    <row r="680" spans="1:20" ht="15" hidden="1" x14ac:dyDescent="0.2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 hidden="1" x14ac:dyDescent="0.2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 hidden="1" x14ac:dyDescent="0.2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 hidden="1" x14ac:dyDescent="0.2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 hidden="1" x14ac:dyDescent="0.2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 hidden="1" x14ac:dyDescent="0.2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 hidden="1" x14ac:dyDescent="0.2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2745</v>
      </c>
    </row>
    <row r="687" spans="1:20" ht="15" hidden="1" x14ac:dyDescent="0.2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 hidden="1" x14ac:dyDescent="0.2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 hidden="1" x14ac:dyDescent="0.2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 hidden="1" x14ac:dyDescent="0.2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 hidden="1" x14ac:dyDescent="0.2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 hidden="1" x14ac:dyDescent="0.2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 hidden="1" x14ac:dyDescent="0.2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 hidden="1" x14ac:dyDescent="0.2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 x14ac:dyDescent="0.2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2718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 hidden="1" x14ac:dyDescent="0.25">
      <c r="A702" s="191" t="s">
        <v>2880</v>
      </c>
      <c r="B702" s="152">
        <v>2026</v>
      </c>
      <c r="C702" s="183" t="s">
        <v>22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2883</v>
      </c>
    </row>
    <row r="703" spans="1:20" ht="15" hidden="1" x14ac:dyDescent="0.2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2887</v>
      </c>
    </row>
    <row r="704" spans="1:20" ht="15" hidden="1" x14ac:dyDescent="0.2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2892</v>
      </c>
    </row>
    <row r="705" spans="1:21" ht="15" hidden="1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2718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2718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2718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2718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2718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2718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2718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2718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2718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2718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2718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2718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2718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2718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2718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2718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2718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2718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3185</v>
      </c>
      <c r="B737" s="183">
        <v>2026</v>
      </c>
      <c r="C737" s="183" t="s">
        <v>2697</v>
      </c>
      <c r="D737" s="183" t="s">
        <v>3186</v>
      </c>
      <c r="E737" s="180" t="s">
        <v>3187</v>
      </c>
      <c r="F737" s="185"/>
      <c r="G737" s="186" t="s">
        <v>79</v>
      </c>
      <c r="H737" s="191" t="s">
        <v>3188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2892</v>
      </c>
    </row>
    <row r="738" spans="1:20" ht="15" hidden="1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2990</v>
      </c>
      <c r="H1" s="213" t="s">
        <v>2991</v>
      </c>
    </row>
    <row r="2" spans="1:8" x14ac:dyDescent="0.25">
      <c r="H2" s="212" t="s">
        <v>2992</v>
      </c>
    </row>
    <row r="3" spans="1:8" x14ac:dyDescent="0.25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2" t="s">
        <v>2996</v>
      </c>
    </row>
    <row r="4" spans="1:8" x14ac:dyDescent="0.25">
      <c r="A4">
        <v>1</v>
      </c>
      <c r="B4" t="s">
        <v>2997</v>
      </c>
      <c r="D4" t="s">
        <v>2998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2999</v>
      </c>
    </row>
    <row r="5" spans="1:8" x14ac:dyDescent="0.25">
      <c r="A5">
        <v>2</v>
      </c>
      <c r="B5" t="s">
        <v>2507</v>
      </c>
      <c r="D5" t="s">
        <v>2998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3000</v>
      </c>
    </row>
    <row r="6" spans="1:8" x14ac:dyDescent="0.25">
      <c r="A6">
        <v>3</v>
      </c>
      <c r="B6" t="s">
        <v>1030</v>
      </c>
      <c r="D6" t="s">
        <v>2998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3001</v>
      </c>
      <c r="D7" t="s">
        <v>2998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3002</v>
      </c>
    </row>
    <row r="8" spans="1:8" x14ac:dyDescent="0.25">
      <c r="A8">
        <v>5</v>
      </c>
      <c r="B8" t="s">
        <v>3003</v>
      </c>
      <c r="D8" t="s">
        <v>2998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2998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2998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3004</v>
      </c>
      <c r="D23" t="s">
        <v>2998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3005</v>
      </c>
      <c r="D25" t="s">
        <v>2998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3006</v>
      </c>
      <c r="D26" t="s">
        <v>2998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3007</v>
      </c>
      <c r="D29" t="s">
        <v>2998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3008</v>
      </c>
      <c r="D33" t="s">
        <v>2998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3009</v>
      </c>
      <c r="D34" t="s">
        <v>2998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3010</v>
      </c>
      <c r="D38" t="s">
        <v>2998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3011</v>
      </c>
      <c r="D40" t="s">
        <v>2998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3012</v>
      </c>
      <c r="D42" t="s">
        <v>2998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3013</v>
      </c>
      <c r="D45" t="s">
        <v>2998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3014</v>
      </c>
      <c r="D50" t="s">
        <v>2998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2720</v>
      </c>
      <c r="D51" t="s">
        <v>2998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3015</v>
      </c>
      <c r="D52" t="s">
        <v>2998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3016</v>
      </c>
      <c r="D55" t="s">
        <v>2998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3017</v>
      </c>
      <c r="D59" t="s">
        <v>2998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3018</v>
      </c>
      <c r="D63" t="s">
        <v>2998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3019</v>
      </c>
      <c r="D64" t="s">
        <v>2998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3020</v>
      </c>
      <c r="D65" t="s">
        <v>2998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3021</v>
      </c>
      <c r="D66" t="s">
        <v>2998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2795</v>
      </c>
      <c r="D67" t="s">
        <v>2998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3022</v>
      </c>
      <c r="D69" t="s">
        <v>2998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3023</v>
      </c>
      <c r="D70" t="s">
        <v>2998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3024</v>
      </c>
      <c r="D72" t="s">
        <v>2998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3025</v>
      </c>
      <c r="D76" t="s">
        <v>2998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3026</v>
      </c>
      <c r="D81" t="s">
        <v>2998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3027</v>
      </c>
      <c r="D82" t="s">
        <v>2998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3028</v>
      </c>
      <c r="D83" t="s">
        <v>2998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3029</v>
      </c>
      <c r="D84" t="s">
        <v>2998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3030</v>
      </c>
      <c r="D86" t="s">
        <v>2998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3031</v>
      </c>
      <c r="D88" t="s">
        <v>2998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3032</v>
      </c>
      <c r="D89" t="s">
        <v>2998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3033</v>
      </c>
      <c r="D90" t="s">
        <v>2998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3034</v>
      </c>
      <c r="D91" t="s">
        <v>2998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3035</v>
      </c>
      <c r="D92" t="s">
        <v>2998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3036</v>
      </c>
      <c r="D93" t="s">
        <v>2998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3037</v>
      </c>
      <c r="D94" t="s">
        <v>2998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3038</v>
      </c>
      <c r="D95" t="s">
        <v>2998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3039</v>
      </c>
      <c r="D96" t="s">
        <v>2998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2998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3040</v>
      </c>
      <c r="D98" t="s">
        <v>2998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2998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3041</v>
      </c>
      <c r="D100" t="s">
        <v>2998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3042</v>
      </c>
      <c r="D101" t="s">
        <v>2998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3043</v>
      </c>
      <c r="D102" t="s">
        <v>2998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3044</v>
      </c>
      <c r="D103" t="s">
        <v>2998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2892</v>
      </c>
      <c r="D104" t="s">
        <v>2998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3045</v>
      </c>
      <c r="D105" t="s">
        <v>2998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3046</v>
      </c>
      <c r="D106" t="s">
        <v>2998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3047</v>
      </c>
      <c r="D107" t="s">
        <v>2998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2866</v>
      </c>
      <c r="D108" t="s">
        <v>2998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2871</v>
      </c>
      <c r="D109" t="s">
        <v>2998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2929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2836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3005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3005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3005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3011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3011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2721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2721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2721</v>
      </c>
      <c r="Y30" s="18" t="s">
        <v>3042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2754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2754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2754</v>
      </c>
      <c r="Y34" t="s">
        <v>3025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2754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2754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3043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3047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2784</v>
      </c>
      <c r="Y55" t="s">
        <v>3032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2749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2749</v>
      </c>
      <c r="Y58" s="110" t="s">
        <v>3039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2749</v>
      </c>
      <c r="Y59" t="s">
        <v>3038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2749</v>
      </c>
      <c r="Y60" t="s">
        <v>3037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2892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3027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3011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3016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3030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3034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3031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3035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3077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3078</v>
      </c>
      <c r="B4" s="230"/>
      <c r="D4" s="231" t="s">
        <v>3079</v>
      </c>
      <c r="E4" s="232"/>
      <c r="G4" s="45" t="s">
        <v>3080</v>
      </c>
    </row>
    <row r="5" spans="1:7" ht="54.95" customHeight="1" thickBot="1" x14ac:dyDescent="0.75">
      <c r="A5" s="35">
        <f>COUNTIF('Ações InCompany'!B:B,2026)</f>
        <v>81</v>
      </c>
      <c r="B5" s="36" t="s">
        <v>3081</v>
      </c>
      <c r="D5" s="43">
        <f>COUNTIFS('Ações InCompany'!B:B,2026,'Ações InCompany'!C:C,"Realizado")</f>
        <v>50</v>
      </c>
      <c r="E5" s="44" t="s">
        <v>3081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3082</v>
      </c>
      <c r="B8" s="226"/>
      <c r="D8" s="226" t="s">
        <v>3083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3088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3090</v>
      </c>
      <c r="B14" s="34">
        <f>SUM(B11:B13)</f>
        <v>48</v>
      </c>
      <c r="D14" s="33" t="s">
        <v>3091</v>
      </c>
      <c r="E14" s="34">
        <f>SUM(E11:E13)</f>
        <v>2768</v>
      </c>
    </row>
    <row r="30" spans="1:5" ht="17.25" x14ac:dyDescent="0.3">
      <c r="A30" s="226" t="s">
        <v>3092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2718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3090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 x14ac:dyDescent="0.25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 x14ac:dyDescent="0.25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 x14ac:dyDescent="0.25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 x14ac:dyDescent="0.25">
      <c r="A6" s="12" t="s">
        <v>3104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 x14ac:dyDescent="0.25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 x14ac:dyDescent="0.25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 x14ac:dyDescent="0.25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 x14ac:dyDescent="0.25">
      <c r="A2" s="103" t="s">
        <v>24</v>
      </c>
      <c r="B2" s="103" t="s">
        <v>38</v>
      </c>
      <c r="C2" s="12" t="s">
        <v>3127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2790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 x14ac:dyDescent="0.25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 x14ac:dyDescent="0.25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 x14ac:dyDescent="0.25">
      <c r="A5" s="12" t="s">
        <v>3130</v>
      </c>
      <c r="B5" s="12" t="s">
        <v>3105</v>
      </c>
      <c r="C5" s="12" t="s">
        <v>2694</v>
      </c>
      <c r="D5" s="17" t="s">
        <v>3134</v>
      </c>
      <c r="E5" s="12" t="s">
        <v>3135</v>
      </c>
    </row>
    <row r="6" spans="1:5" ht="18" customHeight="1" x14ac:dyDescent="0.25">
      <c r="A6" s="12" t="s">
        <v>3130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 x14ac:dyDescent="0.25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3130</v>
      </c>
      <c r="B9" s="12" t="s">
        <v>3115</v>
      </c>
      <c r="C9" s="12" t="s">
        <v>2793</v>
      </c>
      <c r="D9" s="12" t="s">
        <v>3138</v>
      </c>
      <c r="E9" s="17" t="s">
        <v>3139</v>
      </c>
    </row>
    <row r="10" spans="1:5" ht="18" customHeight="1" x14ac:dyDescent="0.25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 x14ac:dyDescent="0.25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 x14ac:dyDescent="0.25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3143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3144</v>
      </c>
    </row>
    <row r="4" spans="1:8" ht="21.95" customHeight="1" x14ac:dyDescent="0.25">
      <c r="A4" s="234" t="s">
        <v>3145</v>
      </c>
      <c r="B4" s="235"/>
      <c r="D4" s="234" t="s">
        <v>3146</v>
      </c>
      <c r="E4" s="235"/>
      <c r="G4" s="234" t="s">
        <v>3147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3153</v>
      </c>
      <c r="B1" s="239"/>
      <c r="C1" s="239"/>
      <c r="D1" s="239"/>
      <c r="E1" s="239"/>
      <c r="F1" s="239"/>
    </row>
    <row r="2" spans="1:7" x14ac:dyDescent="0.25">
      <c r="A2" s="240" t="s">
        <v>3154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3091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2754</v>
      </c>
      <c r="P12" t="s">
        <v>3180</v>
      </c>
      <c r="Q12">
        <v>0</v>
      </c>
      <c r="R12">
        <v>0</v>
      </c>
      <c r="S12" t="s">
        <v>3181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openxmlformats.org/package/2006/metadata/core-properties"/>
    <ds:schemaRef ds:uri="http://schemas.microsoft.com/office/2006/documentManagement/types"/>
    <ds:schemaRef ds:uri="http://purl.org/dc/terms/"/>
    <ds:schemaRef ds:uri="91ce1707-6d34-452b-b217-9734c03e6729"/>
    <ds:schemaRef ds:uri="http://schemas.microsoft.com/office/2006/metadata/properties"/>
    <ds:schemaRef ds:uri="http://purl.org/dc/dcmitype/"/>
    <ds:schemaRef ds:uri="http://purl.org/dc/elements/1.1/"/>
    <ds:schemaRef ds:uri="fe686eaa-0658-4f15-b230-9e46c4d089fd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2026-08-17T21:39:50Z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