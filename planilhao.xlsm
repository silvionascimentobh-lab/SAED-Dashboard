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1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51" documentId="13_ncr:1_{6A2CC3E2-FAFB-4D8F-B284-5E8FB5045DFE}" xr6:coauthVersionLast="47" xr6:coauthVersionMax="47" xr10:uidLastSave="{F53C691F-6F0F-4C0D-A58A-55331A25EC36}"/>
  <bookViews>
    <workbookView xWindow="-120" yWindow="-120" windowWidth="29040" windowHeight="15720" firstSheet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AE33" i="20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0" i="23" l="1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<sst xmlns="http://schemas.openxmlformats.org/spreadsheetml/2006/main" count="7307" uniqueCount="3216">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</sst>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5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16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4">
      <filters>
        <filter val="TCendo o Futuro"/>
        <filter val="Tcendo o Futuro - Edição Especial Filhos"/>
        <filter val="Tcendo o Futuro 1"/>
        <filter val="Tcendo o Futuro 2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H714" activePane="bottomLeft" state="frozen"/>
      <selection pane="bottomLeft" activeCell="T2013" sqref="T2013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2"/>
    </row>
    <row r="715" spans="1:21" ht="1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2952</v>
      </c>
    </row>
    <row r="721" spans="1:20" ht="30">
      <c r="A721" s="137" t="s">
        <v>2953</v>
      </c>
      <c r="B721" s="152">
        <v>2026</v>
      </c>
      <c r="C721" s="152" t="s">
        <v>22</v>
      </c>
      <c r="D721" s="152" t="s">
        <v>2930</v>
      </c>
      <c r="E721" s="153" t="s">
        <v>2954</v>
      </c>
      <c r="F721" s="161" t="s">
        <v>88</v>
      </c>
      <c r="G721" s="168" t="s">
        <v>2719</v>
      </c>
      <c r="H721" s="155" t="s">
        <v>2955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2956</v>
      </c>
    </row>
    <row r="722" spans="1:20" ht="30">
      <c r="A722" s="137" t="s">
        <v>2957</v>
      </c>
      <c r="B722" s="127">
        <v>2026</v>
      </c>
      <c r="C722" s="127" t="s">
        <v>22</v>
      </c>
      <c r="D722" s="127" t="s">
        <v>2930</v>
      </c>
      <c r="E722" s="128" t="s">
        <v>2958</v>
      </c>
      <c r="F722" s="129" t="s">
        <v>88</v>
      </c>
      <c r="G722" s="164" t="s">
        <v>2719</v>
      </c>
      <c r="H722" s="131" t="s">
        <v>2959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2956</v>
      </c>
    </row>
    <row r="723" spans="1:20" ht="15" hidden="1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2719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2719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/>
      <c r="G725" s="186" t="s">
        <v>2719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>
      <c r="A728" s="191" t="s">
        <v>2975</v>
      </c>
      <c r="B728" s="183">
        <v>2026</v>
      </c>
      <c r="C728" s="183" t="s">
        <v>2697</v>
      </c>
      <c r="D728" s="183" t="s">
        <v>2961</v>
      </c>
      <c r="E728" s="180" t="s">
        <v>2976</v>
      </c>
      <c r="F728" s="185"/>
      <c r="G728" s="186" t="s">
        <v>2719</v>
      </c>
      <c r="H728" s="191" t="s">
        <v>2977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>
      <c r="A729" s="191" t="s">
        <v>2978</v>
      </c>
      <c r="B729" s="183">
        <v>2026</v>
      </c>
      <c r="C729" s="183" t="s">
        <v>2697</v>
      </c>
      <c r="D729" s="183" t="s">
        <v>2961</v>
      </c>
      <c r="E729" s="180" t="s">
        <v>2979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>
      <c r="A730" s="175" t="s">
        <v>2980</v>
      </c>
      <c r="B730" s="183">
        <v>2026</v>
      </c>
      <c r="C730" s="183" t="s">
        <v>2697</v>
      </c>
      <c r="D730" s="183" t="s">
        <v>2961</v>
      </c>
      <c r="E730" s="203" t="s">
        <v>2981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>
      <c r="A731" s="191" t="s">
        <v>2982</v>
      </c>
      <c r="B731" s="183">
        <v>2026</v>
      </c>
      <c r="C731" s="183" t="s">
        <v>2697</v>
      </c>
      <c r="D731" s="183" t="s">
        <v>2961</v>
      </c>
      <c r="E731" s="203" t="s">
        <v>2983</v>
      </c>
      <c r="F731" s="185"/>
      <c r="G731" s="186" t="s">
        <v>2719</v>
      </c>
      <c r="H731" s="191" t="s">
        <v>2984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>
      <c r="A732" s="191" t="s">
        <v>2985</v>
      </c>
      <c r="B732" s="183">
        <v>2026</v>
      </c>
      <c r="C732" s="183" t="s">
        <v>2697</v>
      </c>
      <c r="D732" s="183"/>
      <c r="E732" s="184" t="s">
        <v>2986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>
      <c r="A733" s="191" t="s">
        <v>2987</v>
      </c>
      <c r="B733" s="183">
        <v>2026</v>
      </c>
      <c r="C733" s="183" t="s">
        <v>2697</v>
      </c>
      <c r="D733" s="183"/>
      <c r="E733" s="203" t="s">
        <v>2988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>
      <c r="A734" s="191" t="s">
        <v>2989</v>
      </c>
      <c r="B734" s="183">
        <v>2026</v>
      </c>
      <c r="C734" s="183" t="s">
        <v>2697</v>
      </c>
      <c r="D734" s="183"/>
      <c r="E734" s="184" t="s">
        <v>2990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2991</v>
      </c>
      <c r="E735" s="184" t="s">
        <v>2992</v>
      </c>
      <c r="F735" s="185"/>
      <c r="G735" s="186" t="s">
        <v>206</v>
      </c>
      <c r="H735" s="191" t="s">
        <v>2991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2993</v>
      </c>
    </row>
    <row r="736" spans="1:20" ht="15" hidden="1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2994</v>
      </c>
      <c r="E736" s="184" t="s">
        <v>2995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>
      <c r="A737" s="191" t="s">
        <v>2996</v>
      </c>
      <c r="B737" s="183">
        <v>2026</v>
      </c>
      <c r="C737" s="183" t="s">
        <v>2697</v>
      </c>
      <c r="D737" s="183" t="s">
        <v>2997</v>
      </c>
      <c r="E737" s="180" t="s">
        <v>2998</v>
      </c>
      <c r="F737" s="185"/>
      <c r="G737" s="186" t="s">
        <v>79</v>
      </c>
      <c r="H737" s="191" t="s">
        <v>2999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>
      <c r="A738" s="191" t="s">
        <v>3000</v>
      </c>
      <c r="B738" s="183">
        <v>2026</v>
      </c>
      <c r="C738" s="183" t="s">
        <v>2697</v>
      </c>
      <c r="D738" s="183" t="s">
        <v>3001</v>
      </c>
      <c r="E738" s="180" t="s">
        <v>3002</v>
      </c>
      <c r="F738" s="185" t="s">
        <v>69</v>
      </c>
      <c r="G738" s="186" t="s">
        <v>2694</v>
      </c>
      <c r="H738" s="191" t="s">
        <v>3003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3004</v>
      </c>
    </row>
    <row r="739" spans="1:20" ht="15" hidden="1">
      <c r="A739" s="191" t="s">
        <v>3005</v>
      </c>
      <c r="B739" s="183">
        <v>2026</v>
      </c>
      <c r="C739" s="183" t="s">
        <v>2697</v>
      </c>
      <c r="D739" s="183" t="s">
        <v>3006</v>
      </c>
      <c r="E739" s="180" t="s">
        <v>3007</v>
      </c>
      <c r="F739" s="185" t="s">
        <v>24</v>
      </c>
      <c r="G739" s="186" t="s">
        <v>2700</v>
      </c>
      <c r="H739" s="175" t="s">
        <v>3008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>
      <c r="A740" s="191" t="s">
        <v>3009</v>
      </c>
      <c r="B740" s="183">
        <v>2026</v>
      </c>
      <c r="C740" s="183" t="s">
        <v>2697</v>
      </c>
      <c r="D740" s="183" t="s">
        <v>3010</v>
      </c>
      <c r="E740" s="180" t="s">
        <v>3011</v>
      </c>
      <c r="F740" s="185" t="s">
        <v>24</v>
      </c>
      <c r="G740" s="186" t="s">
        <v>2700</v>
      </c>
      <c r="H740" s="191" t="s">
        <v>3012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>
      <c r="A741" s="191" t="s">
        <v>3013</v>
      </c>
      <c r="B741" s="183">
        <v>2026</v>
      </c>
      <c r="C741" s="183" t="s">
        <v>2697</v>
      </c>
      <c r="D741" s="183" t="s">
        <v>3014</v>
      </c>
      <c r="E741" s="180" t="s">
        <v>3015</v>
      </c>
      <c r="F741" s="185" t="s">
        <v>24</v>
      </c>
      <c r="G741" s="186" t="s">
        <v>2700</v>
      </c>
      <c r="H741" s="191" t="s">
        <v>3016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>
      <c r="A742" s="191" t="s">
        <v>3017</v>
      </c>
      <c r="B742" s="183">
        <v>2026</v>
      </c>
      <c r="C742" s="183" t="s">
        <v>2697</v>
      </c>
      <c r="D742" s="183" t="s">
        <v>3014</v>
      </c>
      <c r="E742" s="184" t="s">
        <v>3018</v>
      </c>
      <c r="F742" s="185" t="s">
        <v>24</v>
      </c>
      <c r="G742" s="186" t="s">
        <v>2700</v>
      </c>
      <c r="H742" s="191" t="s">
        <v>3019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25" workbookViewId="0">
      <selection activeCell="B112" sqref="B112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3020</v>
      </c>
      <c r="H1" s="213" t="s">
        <v>3021</v>
      </c>
    </row>
    <row r="2" spans="1:8">
      <c r="H2" s="212" t="s">
        <v>3022</v>
      </c>
    </row>
    <row r="3" spans="1:8">
      <c r="A3" t="s">
        <v>0</v>
      </c>
      <c r="B3" t="s">
        <v>19</v>
      </c>
      <c r="C3" t="s">
        <v>3023</v>
      </c>
      <c r="D3" t="s">
        <v>3024</v>
      </c>
      <c r="E3" t="s">
        <v>3025</v>
      </c>
      <c r="H3" s="212" t="s">
        <v>3026</v>
      </c>
    </row>
    <row r="4" spans="1:8">
      <c r="A4">
        <v>1</v>
      </c>
      <c r="B4" t="s">
        <v>3027</v>
      </c>
      <c r="D4" t="s">
        <v>3028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3029</v>
      </c>
    </row>
    <row r="5" spans="1:8">
      <c r="A5">
        <v>2</v>
      </c>
      <c r="B5" t="s">
        <v>2507</v>
      </c>
      <c r="D5" t="s">
        <v>3028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3030</v>
      </c>
    </row>
    <row r="6" spans="1:8">
      <c r="A6">
        <v>3</v>
      </c>
      <c r="B6" t="s">
        <v>1030</v>
      </c>
      <c r="D6" t="s">
        <v>3028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>
      <c r="A7">
        <v>4</v>
      </c>
      <c r="B7" t="s">
        <v>3031</v>
      </c>
      <c r="D7" t="s">
        <v>3028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3032</v>
      </c>
    </row>
    <row r="8" spans="1:8">
      <c r="A8">
        <v>5</v>
      </c>
      <c r="B8" t="s">
        <v>3033</v>
      </c>
      <c r="D8" t="s">
        <v>3028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3028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3028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3028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3028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3028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3028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3028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3028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3028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3028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3028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3028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3028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3028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3034</v>
      </c>
      <c r="D23" t="s">
        <v>3028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3028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3035</v>
      </c>
      <c r="D25" t="s">
        <v>3028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3036</v>
      </c>
      <c r="D26" t="s">
        <v>3028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3028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3028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3037</v>
      </c>
      <c r="D29" t="s">
        <v>3028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3028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3028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3028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3038</v>
      </c>
      <c r="D33" t="s">
        <v>3028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3039</v>
      </c>
      <c r="D34" t="s">
        <v>3028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3028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3028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3028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3040</v>
      </c>
      <c r="D38" t="s">
        <v>3028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3041</v>
      </c>
      <c r="D39" t="s">
        <v>3028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3028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3042</v>
      </c>
      <c r="D41" t="s">
        <v>3028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3028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3028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3043</v>
      </c>
      <c r="D44" t="s">
        <v>3028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3028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3028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3028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3028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3044</v>
      </c>
      <c r="D49" t="s">
        <v>3028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2721</v>
      </c>
      <c r="D50" t="s">
        <v>3028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3045</v>
      </c>
      <c r="D51" t="s">
        <v>3028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3028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3028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3046</v>
      </c>
      <c r="D54" t="s">
        <v>3028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3028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3028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3028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57</v>
      </c>
      <c r="B58" t="s">
        <v>3047</v>
      </c>
      <c r="D58" t="s">
        <v>3028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58</v>
      </c>
      <c r="B59" t="s">
        <v>1880</v>
      </c>
      <c r="D59" t="s">
        <v>3028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59</v>
      </c>
      <c r="B60" t="s">
        <v>2089</v>
      </c>
      <c r="D60" t="s">
        <v>3028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60</v>
      </c>
      <c r="B61" t="s">
        <v>2021</v>
      </c>
      <c r="D61" t="s">
        <v>3028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61</v>
      </c>
      <c r="B62" t="s">
        <v>3048</v>
      </c>
      <c r="D62" t="s">
        <v>3028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62</v>
      </c>
      <c r="B63" t="s">
        <v>3049</v>
      </c>
      <c r="D63" t="s">
        <v>3028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63</v>
      </c>
      <c r="B64" t="s">
        <v>3050</v>
      </c>
      <c r="D64" t="s">
        <v>3028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64</v>
      </c>
      <c r="B65" t="s">
        <v>3051</v>
      </c>
      <c r="D65" t="s">
        <v>3028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65</v>
      </c>
      <c r="B66" t="s">
        <v>2797</v>
      </c>
      <c r="D66" t="s">
        <v>3028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66</v>
      </c>
      <c r="B67" t="s">
        <v>2556</v>
      </c>
      <c r="D67" t="s">
        <v>3028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67</v>
      </c>
      <c r="B68" t="s">
        <v>3052</v>
      </c>
      <c r="D68" t="s">
        <v>3028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68</v>
      </c>
      <c r="B69" t="s">
        <v>3053</v>
      </c>
      <c r="D69" t="s">
        <v>3028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69</v>
      </c>
      <c r="B70" t="s">
        <v>2457</v>
      </c>
      <c r="D70" t="s">
        <v>3028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70</v>
      </c>
      <c r="B71" t="s">
        <v>3054</v>
      </c>
      <c r="D71" t="s">
        <v>3028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71</v>
      </c>
      <c r="B72" t="s">
        <v>2670</v>
      </c>
      <c r="D72" t="s">
        <v>3028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72</v>
      </c>
      <c r="B73" t="s">
        <v>2322</v>
      </c>
      <c r="D73" t="s">
        <v>3028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73</v>
      </c>
      <c r="B74" t="s">
        <v>2301</v>
      </c>
      <c r="D74" t="s">
        <v>3028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74</v>
      </c>
      <c r="B75" t="s">
        <v>3055</v>
      </c>
      <c r="D75" t="s">
        <v>3028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75</v>
      </c>
      <c r="B76" t="s">
        <v>115</v>
      </c>
      <c r="D76" t="s">
        <v>3028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76</v>
      </c>
      <c r="B77" t="s">
        <v>942</v>
      </c>
      <c r="D77" t="s">
        <v>3028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77</v>
      </c>
      <c r="B78" t="s">
        <v>803</v>
      </c>
      <c r="D78" t="s">
        <v>3028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78</v>
      </c>
      <c r="B79" t="s">
        <v>425</v>
      </c>
      <c r="D79" t="s">
        <v>3028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79</v>
      </c>
      <c r="B80" t="s">
        <v>3056</v>
      </c>
      <c r="D80" t="s">
        <v>3028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80</v>
      </c>
      <c r="B81" t="s">
        <v>3057</v>
      </c>
      <c r="D81" t="s">
        <v>3028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81</v>
      </c>
      <c r="B82" t="s">
        <v>3058</v>
      </c>
      <c r="D82" t="s">
        <v>3028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82</v>
      </c>
      <c r="B83" t="s">
        <v>3059</v>
      </c>
      <c r="D83" t="s">
        <v>3028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83</v>
      </c>
      <c r="B84" t="s">
        <v>2482</v>
      </c>
      <c r="D84" t="s">
        <v>3028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84</v>
      </c>
      <c r="B85" t="s">
        <v>3060</v>
      </c>
      <c r="D85" t="s">
        <v>3028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85</v>
      </c>
      <c r="B86" t="s">
        <v>2578</v>
      </c>
      <c r="D86" t="s">
        <v>3028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86</v>
      </c>
      <c r="B87" t="s">
        <v>3061</v>
      </c>
      <c r="D87" t="s">
        <v>3028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87</v>
      </c>
      <c r="B88" t="s">
        <v>3062</v>
      </c>
      <c r="D88" t="s">
        <v>3028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88</v>
      </c>
      <c r="B89" t="s">
        <v>3063</v>
      </c>
      <c r="D89" t="s">
        <v>3028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89</v>
      </c>
      <c r="B90" t="s">
        <v>3064</v>
      </c>
      <c r="D90" t="s">
        <v>3028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90</v>
      </c>
      <c r="B91" t="s">
        <v>3065</v>
      </c>
      <c r="D91" t="s">
        <v>3028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91</v>
      </c>
      <c r="B92" t="s">
        <v>3066</v>
      </c>
      <c r="D92" t="s">
        <v>3028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92</v>
      </c>
      <c r="B93" t="s">
        <v>3067</v>
      </c>
      <c r="D93" t="s">
        <v>3028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93</v>
      </c>
      <c r="B94" t="s">
        <v>3068</v>
      </c>
      <c r="D94" t="s">
        <v>3028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94</v>
      </c>
      <c r="B95" t="s">
        <v>3069</v>
      </c>
      <c r="D95" t="s">
        <v>3028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95</v>
      </c>
      <c r="B96" t="s">
        <v>2921</v>
      </c>
      <c r="D96" t="s">
        <v>3028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96</v>
      </c>
      <c r="B97" t="s">
        <v>3070</v>
      </c>
      <c r="D97" t="s">
        <v>3028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97</v>
      </c>
      <c r="B98" t="s">
        <v>2913</v>
      </c>
      <c r="D98" t="s">
        <v>3028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98</v>
      </c>
      <c r="B99" t="s">
        <v>3071</v>
      </c>
      <c r="D99" t="s">
        <v>3028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99</v>
      </c>
      <c r="B100" t="s">
        <v>3072</v>
      </c>
      <c r="D100" t="s">
        <v>3028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100</v>
      </c>
      <c r="B101" t="s">
        <v>3073</v>
      </c>
      <c r="D101" t="s">
        <v>3028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101</v>
      </c>
      <c r="B102" t="s">
        <v>3074</v>
      </c>
      <c r="D102" t="s">
        <v>3028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102</v>
      </c>
      <c r="B103" t="s">
        <v>2715</v>
      </c>
      <c r="D103" t="s">
        <v>3028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103</v>
      </c>
      <c r="B104" t="s">
        <v>3075</v>
      </c>
      <c r="D104" t="s">
        <v>3028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104</v>
      </c>
      <c r="B105" t="s">
        <v>3076</v>
      </c>
      <c r="D105" t="s">
        <v>3028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105</v>
      </c>
      <c r="B106" t="s">
        <v>3077</v>
      </c>
      <c r="D106" t="s">
        <v>3028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106</v>
      </c>
      <c r="B107" t="s">
        <v>2868</v>
      </c>
      <c r="D107" t="s">
        <v>3028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107</v>
      </c>
      <c r="B108" t="s">
        <v>2873</v>
      </c>
      <c r="D108" t="s">
        <v>3028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108</v>
      </c>
      <c r="B109" t="s">
        <v>3078</v>
      </c>
      <c r="D109" t="s">
        <v>3028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3079</v>
      </c>
      <c r="C1" s="19" t="s">
        <v>3080</v>
      </c>
      <c r="D1" s="19" t="s">
        <v>4</v>
      </c>
      <c r="E1" s="19" t="s">
        <v>3081</v>
      </c>
      <c r="F1" s="19" t="s">
        <v>19</v>
      </c>
      <c r="G1" s="19" t="s">
        <v>3082</v>
      </c>
      <c r="H1" s="19" t="s">
        <v>3083</v>
      </c>
      <c r="I1" s="19" t="s">
        <v>3084</v>
      </c>
      <c r="J1" s="19" t="s">
        <v>3085</v>
      </c>
      <c r="L1" s="112" t="s">
        <v>3086</v>
      </c>
      <c r="M1" s="23">
        <v>2026</v>
      </c>
      <c r="U1" s="80" t="s">
        <v>3087</v>
      </c>
      <c r="V1" s="79"/>
      <c r="X1" s="78" t="s">
        <v>3088</v>
      </c>
      <c r="Y1" s="27"/>
      <c r="Z1" s="27"/>
      <c r="AA1" s="27"/>
      <c r="AC1" s="100" t="s">
        <v>3089</v>
      </c>
    </row>
    <row r="2" spans="1:31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3090</v>
      </c>
      <c r="M2" s="107" t="s">
        <v>2929</v>
      </c>
      <c r="X2" s="114" t="s">
        <v>3079</v>
      </c>
      <c r="Y2" s="114" t="s">
        <v>19</v>
      </c>
      <c r="Z2" s="114" t="s">
        <v>3091</v>
      </c>
      <c r="AA2" s="114" t="s">
        <v>3092</v>
      </c>
      <c r="AC2" s="115" t="s">
        <v>1</v>
      </c>
      <c r="AD2" s="115" t="s">
        <v>3093</v>
      </c>
      <c r="AE2" s="115" t="s">
        <v>3094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3095</v>
      </c>
      <c r="M3" s="113" t="s">
        <v>3096</v>
      </c>
      <c r="N3" s="113" t="s">
        <v>3097</v>
      </c>
      <c r="O3" s="113" t="s">
        <v>3098</v>
      </c>
      <c r="P3" s="113" t="s">
        <v>3099</v>
      </c>
      <c r="Q3" s="113" t="s">
        <v>3100</v>
      </c>
      <c r="R3" s="113" t="s">
        <v>3101</v>
      </c>
      <c r="S3" s="113" t="s">
        <v>3102</v>
      </c>
      <c r="T3" s="113" t="s">
        <v>3103</v>
      </c>
      <c r="X3" t="s">
        <v>2838</v>
      </c>
      <c r="Y3" t="s">
        <v>3041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3104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3041</v>
      </c>
      <c r="Z6">
        <v>1</v>
      </c>
      <c r="AA6">
        <v>0</v>
      </c>
      <c r="AC6" s="97">
        <v>2026</v>
      </c>
      <c r="AD6" s="18" t="s">
        <v>3105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8" t="s">
        <v>3035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8" t="s">
        <v>3053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8" t="s">
        <v>3035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8" t="s">
        <v>3053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3041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3041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3072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3054</v>
      </c>
      <c r="Z33">
        <v>4</v>
      </c>
      <c r="AA33">
        <v>0.6</v>
      </c>
      <c r="AC33" s="99"/>
      <c r="AD33" s="116" t="s">
        <v>3106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3074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3071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3073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3070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3062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3041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3060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3061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 4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 5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 6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 7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 8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9" t="s">
        <v>3108</v>
      </c>
      <c r="B1" s="229"/>
      <c r="C1" s="229"/>
      <c r="D1" s="229"/>
      <c r="E1" s="229"/>
      <c r="F1" s="229"/>
      <c r="G1" s="229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30" t="s">
        <v>3109</v>
      </c>
      <c r="B4" s="231"/>
      <c r="D4" s="232" t="s">
        <v>3110</v>
      </c>
      <c r="E4" s="233"/>
      <c r="G4" s="45" t="s">
        <v>3111</v>
      </c>
    </row>
    <row r="5" spans="1:7" ht="54.95" customHeight="1" thickBot="1">
      <c r="A5" s="35">
        <f>COUNTIF('Ações InCompany'!B:B,2026)</f>
        <v>86</v>
      </c>
      <c r="B5" s="36" t="s">
        <v>3112</v>
      </c>
      <c r="D5" s="43">
        <f>COUNTIFS('Ações InCompany'!B:B,2026,'Ações InCompany'!C:C,"Realizado")</f>
        <v>53</v>
      </c>
      <c r="E5" s="44" t="s">
        <v>3112</v>
      </c>
      <c r="G5" s="46">
        <f>COUNTIFS('Ações InCompany'!B:B,2026,'Ações InCompany'!C:C,"A realizar")</f>
        <v>29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8" t="s">
        <v>3113</v>
      </c>
      <c r="B8" s="228"/>
      <c r="D8" s="228" t="s">
        <v>3114</v>
      </c>
      <c r="E8" s="228"/>
    </row>
    <row r="9" spans="1:7" ht="5.0999999999999996" customHeight="1">
      <c r="A9" s="240"/>
      <c r="B9" s="240"/>
      <c r="D9" s="240"/>
      <c r="E9" s="240"/>
    </row>
    <row r="10" spans="1:7" ht="24.95" customHeight="1">
      <c r="A10" s="28" t="s">
        <v>5</v>
      </c>
      <c r="B10" s="28" t="s">
        <v>3115</v>
      </c>
      <c r="D10" s="28" t="s">
        <v>3116</v>
      </c>
      <c r="E10" s="28" t="s">
        <v>3117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3118</v>
      </c>
      <c r="E11" s="30">
        <f>SUMIFS('Ações InCompany'!O:O,'Ações InCompany'!B:B,2026,'Ações InCompany'!C:C,"Realizado")</f>
        <v>818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3119</v>
      </c>
      <c r="E12" s="32">
        <f>SUMIFS('Ações InCompany'!P:P,'Ações InCompany'!B:B,2026,'Ações InCompany'!C:C,"Realizado")</f>
        <v>1486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3120</v>
      </c>
      <c r="E13" s="30">
        <f>SUMIFS('Ações InCompany'!Q:Q,'Ações InCompany'!B:B,2026,'Ações InCompany'!C:C,"Realizado")</f>
        <v>510</v>
      </c>
    </row>
    <row r="14" spans="1:7" ht="27.95" customHeight="1">
      <c r="A14" s="33" t="s">
        <v>3121</v>
      </c>
      <c r="B14" s="34">
        <f>SUM(B11:B13)</f>
        <v>51</v>
      </c>
      <c r="D14" s="33" t="s">
        <v>3122</v>
      </c>
      <c r="E14" s="34">
        <f>SUM(E11:E13)</f>
        <v>2814</v>
      </c>
    </row>
    <row r="30" spans="1:5" ht="17.25">
      <c r="A30" s="228" t="s">
        <v>3123</v>
      </c>
      <c r="B30" s="228"/>
      <c r="C30" s="228"/>
      <c r="D30" s="228"/>
      <c r="E30" s="228"/>
    </row>
    <row r="31" spans="1:5" ht="5.0999999999999996" customHeight="1">
      <c r="A31" s="240"/>
      <c r="B31" s="240"/>
      <c r="C31" s="240"/>
      <c r="D31" s="240"/>
      <c r="E31" s="240"/>
    </row>
    <row r="32" spans="1:5" ht="24.95" customHeight="1">
      <c r="A32" s="28" t="s">
        <v>6</v>
      </c>
      <c r="B32" s="28" t="s">
        <v>3124</v>
      </c>
      <c r="C32" s="28" t="s">
        <v>3125</v>
      </c>
      <c r="D32" s="28" t="s">
        <v>3126</v>
      </c>
      <c r="E32" s="28" t="s">
        <v>3127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>
      <c r="A42" s="75" t="s">
        <v>3128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>
      <c r="A44" s="67" t="s">
        <v>3129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3121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3135</v>
      </c>
      <c r="B2" s="12" t="s">
        <v>3136</v>
      </c>
      <c r="C2" s="12" t="s">
        <v>1736</v>
      </c>
      <c r="D2" s="12" t="s">
        <v>3137</v>
      </c>
      <c r="E2" s="12" t="s">
        <v>3138</v>
      </c>
    </row>
    <row r="3" spans="1:5" ht="18" customHeight="1">
      <c r="A3" s="12" t="s">
        <v>3135</v>
      </c>
      <c r="B3" s="12" t="s">
        <v>3136</v>
      </c>
      <c r="C3" s="14" t="s">
        <v>25</v>
      </c>
      <c r="D3" s="12" t="s">
        <v>3139</v>
      </c>
      <c r="E3" s="12" t="s">
        <v>3140</v>
      </c>
    </row>
    <row r="4" spans="1:5" ht="18" customHeight="1">
      <c r="A4" s="12" t="s">
        <v>3135</v>
      </c>
      <c r="B4" s="12" t="s">
        <v>3136</v>
      </c>
      <c r="C4" s="12" t="s">
        <v>75</v>
      </c>
      <c r="D4" s="12" t="s">
        <v>3137</v>
      </c>
      <c r="E4" s="12" t="s">
        <v>3141</v>
      </c>
    </row>
    <row r="5" spans="1:5" ht="18" customHeight="1">
      <c r="A5" s="12" t="s">
        <v>3135</v>
      </c>
      <c r="B5" s="12" t="s">
        <v>3136</v>
      </c>
      <c r="C5" s="12" t="s">
        <v>79</v>
      </c>
      <c r="D5" s="12" t="s">
        <v>3142</v>
      </c>
      <c r="E5" s="12" t="s">
        <v>3143</v>
      </c>
    </row>
    <row r="6" spans="1:5" ht="18" customHeight="1">
      <c r="A6" s="12" t="s">
        <v>3135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3135</v>
      </c>
      <c r="B7" s="12" t="s">
        <v>3146</v>
      </c>
      <c r="C7" s="12" t="s">
        <v>36</v>
      </c>
      <c r="D7" s="12" t="s">
        <v>3147</v>
      </c>
      <c r="E7" s="12" t="s">
        <v>3148</v>
      </c>
    </row>
    <row r="8" spans="1:5" ht="18" customHeight="1">
      <c r="A8" s="12" t="s">
        <v>3135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3135</v>
      </c>
      <c r="B9" s="12" t="s">
        <v>3151</v>
      </c>
      <c r="C9" s="12" t="s">
        <v>464</v>
      </c>
      <c r="D9" s="12" t="s">
        <v>3152</v>
      </c>
      <c r="E9" s="12" t="s">
        <v>3153</v>
      </c>
    </row>
    <row r="10" spans="1:5" ht="18" customHeight="1">
      <c r="A10" s="12" t="s">
        <v>3135</v>
      </c>
      <c r="B10" s="12" t="s">
        <v>3151</v>
      </c>
      <c r="C10" s="12" t="s">
        <v>206</v>
      </c>
      <c r="D10" s="12" t="s">
        <v>24</v>
      </c>
      <c r="E10" s="12" t="s">
        <v>3154</v>
      </c>
    </row>
    <row r="11" spans="1:5" ht="18" customHeight="1">
      <c r="A11" s="12" t="s">
        <v>3135</v>
      </c>
      <c r="B11" s="12" t="s">
        <v>3151</v>
      </c>
      <c r="C11" s="12" t="s">
        <v>371</v>
      </c>
      <c r="D11" s="12" t="s">
        <v>24</v>
      </c>
      <c r="E11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3156</v>
      </c>
      <c r="B1" s="5" t="s">
        <v>10</v>
      </c>
      <c r="C1" s="15" t="s">
        <v>3157</v>
      </c>
      <c r="D1" s="15" t="s">
        <v>3080</v>
      </c>
    </row>
    <row r="2" spans="1:4" ht="21" customHeight="1">
      <c r="A2" s="103" t="s">
        <v>24</v>
      </c>
      <c r="B2" s="103" t="s">
        <v>38</v>
      </c>
      <c r="C2" s="12" t="s">
        <v>3158</v>
      </c>
      <c r="D2" s="12" t="s">
        <v>2697</v>
      </c>
    </row>
    <row r="3" spans="1:4" ht="21" customHeight="1">
      <c r="A3" s="12" t="s">
        <v>69</v>
      </c>
      <c r="B3" s="103" t="s">
        <v>27</v>
      </c>
      <c r="C3" s="12" t="s">
        <v>3159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2792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3130</v>
      </c>
      <c r="B1" s="12" t="s">
        <v>3131</v>
      </c>
      <c r="C1" s="13" t="s">
        <v>3132</v>
      </c>
      <c r="D1" s="13" t="s">
        <v>3133</v>
      </c>
      <c r="E1" s="13" t="s">
        <v>3134</v>
      </c>
    </row>
    <row r="2" spans="1:5" ht="18" customHeight="1">
      <c r="A2" s="12" t="s">
        <v>3161</v>
      </c>
      <c r="B2" s="12" t="s">
        <v>3136</v>
      </c>
      <c r="C2" s="14" t="s">
        <v>25</v>
      </c>
      <c r="D2" s="12" t="s">
        <v>3137</v>
      </c>
      <c r="E2" s="17" t="s">
        <v>3162</v>
      </c>
    </row>
    <row r="3" spans="1:5" ht="18" customHeight="1">
      <c r="A3" s="12" t="s">
        <v>3161</v>
      </c>
      <c r="B3" s="12" t="s">
        <v>3136</v>
      </c>
      <c r="C3" s="12" t="s">
        <v>75</v>
      </c>
      <c r="D3" s="12" t="s">
        <v>3139</v>
      </c>
      <c r="E3" s="12" t="s">
        <v>3163</v>
      </c>
    </row>
    <row r="4" spans="1:5" ht="18" customHeight="1">
      <c r="A4" s="12" t="s">
        <v>3161</v>
      </c>
      <c r="B4" s="12" t="s">
        <v>3136</v>
      </c>
      <c r="C4" s="12" t="s">
        <v>79</v>
      </c>
      <c r="D4" s="12" t="s">
        <v>3142</v>
      </c>
      <c r="E4" s="12" t="s">
        <v>3164</v>
      </c>
    </row>
    <row r="5" spans="1:5" ht="27.75" customHeight="1">
      <c r="A5" s="12" t="s">
        <v>3161</v>
      </c>
      <c r="B5" s="12" t="s">
        <v>3136</v>
      </c>
      <c r="C5" s="12" t="s">
        <v>2694</v>
      </c>
      <c r="D5" s="17" t="s">
        <v>3165</v>
      </c>
      <c r="E5" s="12" t="s">
        <v>3166</v>
      </c>
    </row>
    <row r="6" spans="1:5" ht="18" customHeight="1">
      <c r="A6" s="12" t="s">
        <v>3161</v>
      </c>
      <c r="B6" s="12" t="s">
        <v>3136</v>
      </c>
      <c r="C6" s="12" t="s">
        <v>2719</v>
      </c>
      <c r="D6" s="12" t="s">
        <v>3144</v>
      </c>
      <c r="E6" s="12" t="s">
        <v>3145</v>
      </c>
    </row>
    <row r="7" spans="1:5" ht="18" customHeight="1">
      <c r="A7" s="12" t="s">
        <v>3161</v>
      </c>
      <c r="B7" s="12" t="s">
        <v>3146</v>
      </c>
      <c r="C7" s="12" t="s">
        <v>2700</v>
      </c>
      <c r="D7" s="12" t="s">
        <v>3167</v>
      </c>
      <c r="E7" s="12" t="s">
        <v>3168</v>
      </c>
    </row>
    <row r="8" spans="1:5" ht="18" customHeight="1">
      <c r="A8" s="12" t="s">
        <v>3161</v>
      </c>
      <c r="B8" s="12" t="s">
        <v>3146</v>
      </c>
      <c r="C8" s="12" t="s">
        <v>42</v>
      </c>
      <c r="D8" s="12" t="s">
        <v>3149</v>
      </c>
      <c r="E8" s="12" t="s">
        <v>3150</v>
      </c>
    </row>
    <row r="9" spans="1:5" ht="18" customHeight="1">
      <c r="A9" s="12" t="s">
        <v>3161</v>
      </c>
      <c r="B9" s="12" t="s">
        <v>3146</v>
      </c>
      <c r="C9" s="12" t="s">
        <v>2795</v>
      </c>
      <c r="D9" s="12" t="s">
        <v>3169</v>
      </c>
      <c r="E9" s="17" t="s">
        <v>3170</v>
      </c>
    </row>
    <row r="10" spans="1:5" ht="18" customHeight="1">
      <c r="A10" s="12" t="s">
        <v>3161</v>
      </c>
      <c r="B10" s="12" t="s">
        <v>3171</v>
      </c>
      <c r="C10" s="12" t="s">
        <v>3128</v>
      </c>
      <c r="D10" s="12" t="s">
        <v>3172</v>
      </c>
      <c r="E10" s="17" t="s">
        <v>3173</v>
      </c>
    </row>
    <row r="11" spans="1:5" ht="18" customHeight="1">
      <c r="A11" s="12" t="s">
        <v>3161</v>
      </c>
      <c r="B11" s="12" t="s">
        <v>3171</v>
      </c>
      <c r="C11" s="12" t="s">
        <v>206</v>
      </c>
      <c r="D11" s="12" t="s">
        <v>24</v>
      </c>
      <c r="E11" s="12" t="s">
        <v>3154</v>
      </c>
    </row>
    <row r="12" spans="1:5" ht="18" customHeight="1">
      <c r="A12" s="12" t="s">
        <v>3161</v>
      </c>
      <c r="B12" s="12" t="s">
        <v>3171</v>
      </c>
      <c r="C12" s="12" t="s">
        <v>371</v>
      </c>
      <c r="D12" s="12" t="s">
        <v>24</v>
      </c>
      <c r="E12" s="12" t="s">
        <v>3155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4" t="s">
        <v>3174</v>
      </c>
      <c r="B1" s="234"/>
      <c r="C1" s="234"/>
      <c r="D1" s="234"/>
      <c r="E1" s="234"/>
      <c r="F1" s="234"/>
      <c r="G1" s="234"/>
      <c r="H1" s="234"/>
    </row>
    <row r="2" spans="1:8">
      <c r="A2" s="49" t="s">
        <v>3175</v>
      </c>
    </row>
    <row r="4" spans="1:8" ht="21.95" customHeight="1">
      <c r="A4" s="235" t="s">
        <v>3176</v>
      </c>
      <c r="B4" s="236"/>
      <c r="D4" s="235" t="s">
        <v>3177</v>
      </c>
      <c r="E4" s="236"/>
      <c r="G4" s="235" t="s">
        <v>3178</v>
      </c>
      <c r="H4" s="236"/>
    </row>
    <row r="5" spans="1:8" ht="35.1" customHeight="1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/>
    <row r="7" spans="1:8" ht="24.95" customHeight="1" thickBot="1">
      <c r="A7" s="62" t="s">
        <v>3179</v>
      </c>
      <c r="B7" s="62" t="s">
        <v>3180</v>
      </c>
      <c r="C7" s="62" t="s">
        <v>1</v>
      </c>
      <c r="D7" s="62" t="s">
        <v>3181</v>
      </c>
      <c r="E7" s="62" t="s">
        <v>3182</v>
      </c>
      <c r="F7" s="62" t="s">
        <v>3080</v>
      </c>
      <c r="G7" s="62" t="s">
        <v>5</v>
      </c>
      <c r="H7" s="62" t="s">
        <v>3183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1" t="s">
        <v>3184</v>
      </c>
      <c r="B1" s="241"/>
      <c r="C1" s="241"/>
      <c r="D1" s="241"/>
      <c r="E1" s="241"/>
      <c r="F1" s="241"/>
    </row>
    <row r="2" spans="1:7">
      <c r="A2" s="242" t="s">
        <v>3185</v>
      </c>
      <c r="B2" s="242"/>
      <c r="C2" s="242"/>
      <c r="D2" s="242"/>
      <c r="E2" s="242"/>
      <c r="F2" s="242"/>
    </row>
    <row r="4" spans="1:7">
      <c r="A4" s="25" t="s">
        <v>19</v>
      </c>
      <c r="B4" s="25" t="s">
        <v>3083</v>
      </c>
      <c r="C4" s="25" t="s">
        <v>3084</v>
      </c>
      <c r="D4" s="25" t="s">
        <v>3186</v>
      </c>
      <c r="E4" s="25" t="s">
        <v>3085</v>
      </c>
      <c r="F4" s="25" t="s">
        <v>3187</v>
      </c>
    </row>
    <row r="5" spans="1:7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3122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3188</v>
      </c>
      <c r="B1" s="123" t="s">
        <v>3189</v>
      </c>
      <c r="C1" s="123" t="s">
        <v>3190</v>
      </c>
      <c r="D1" s="123" t="s">
        <v>3191</v>
      </c>
      <c r="E1" s="123" t="s">
        <v>3192</v>
      </c>
      <c r="F1" s="123" t="s">
        <v>3193</v>
      </c>
      <c r="G1" s="123" t="s">
        <v>10</v>
      </c>
      <c r="H1" s="123" t="s">
        <v>3194</v>
      </c>
      <c r="I1" s="123" t="s">
        <v>3195</v>
      </c>
      <c r="J1" s="123" t="s">
        <v>3196</v>
      </c>
      <c r="K1" s="123" t="s">
        <v>3197</v>
      </c>
      <c r="L1" s="123" t="s">
        <v>3198</v>
      </c>
      <c r="N1" s="124" t="s">
        <v>3199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3200</v>
      </c>
      <c r="L2" t="str">
        <f>IF(K2="","",IFERROR(INDEX(Tabela2[Curso],MATCH(K2,Tabela2[ID],0)),""))</f>
        <v/>
      </c>
      <c r="N2" s="123" t="s">
        <v>3079</v>
      </c>
      <c r="O2" s="123" t="s">
        <v>4</v>
      </c>
      <c r="P2" s="123" t="s">
        <v>3201</v>
      </c>
      <c r="Q2" s="123" t="s">
        <v>3202</v>
      </c>
      <c r="R2" s="123" t="s">
        <v>3203</v>
      </c>
      <c r="S2" s="123" t="s">
        <v>3204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3200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3200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3200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3200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3200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3200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3200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3200</v>
      </c>
      <c r="L10" t="str">
        <f>IF(K10="","",IFERROR(INDEX(Tabela2[Curso],MATCH(K10,Tabela2[ID],0)),""))</f>
        <v/>
      </c>
      <c r="N10" s="122" t="s">
        <v>3205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3200</v>
      </c>
      <c r="L11" t="str">
        <f>IF(K11="","",IFERROR(INDEX(Tabela2[Curso],MATCH(K11,Tabela2[ID],0)),""))</f>
        <v/>
      </c>
      <c r="N11" s="125" t="s">
        <v>3206</v>
      </c>
      <c r="O11" s="125" t="s">
        <v>3207</v>
      </c>
      <c r="P11" s="125" t="s">
        <v>3208</v>
      </c>
      <c r="Q11" s="125" t="s">
        <v>3191</v>
      </c>
      <c r="R11" s="125" t="s">
        <v>3192</v>
      </c>
      <c r="S11" s="125" t="s">
        <v>3209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3200</v>
      </c>
      <c r="L12" t="str">
        <f>IF(K12="","",IFERROR(INDEX(Tabela2[Curso],MATCH(K12,Tabela2[ID],0)),""))</f>
        <v/>
      </c>
      <c r="N12" t="s">
        <v>3210</v>
      </c>
      <c r="O12" t="s">
        <v>2755</v>
      </c>
      <c r="P12" t="s">
        <v>3211</v>
      </c>
      <c r="Q12">
        <v>0</v>
      </c>
      <c r="R12">
        <v>0</v>
      </c>
      <c r="S12" t="s">
        <v>3212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3200</v>
      </c>
      <c r="L13" t="str">
        <f>IF(K13="","",IFERROR(INDEX(Tabela2[Curso],MATCH(K13,Tabela2[ID],0)),""))</f>
        <v/>
      </c>
      <c r="N13" t="s">
        <v>3213</v>
      </c>
      <c r="O13" t="s">
        <v>2686</v>
      </c>
      <c r="P13" t="s">
        <v>3214</v>
      </c>
      <c r="Q13">
        <v>0</v>
      </c>
      <c r="R13">
        <v>0</v>
      </c>
      <c r="S13" t="s">
        <v>3215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3200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3200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3200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3200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3200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3200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3200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3200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3200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3200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3200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3200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3200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3200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3200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3200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3200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3200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3200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3200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3200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3200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3200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3200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3200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3200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3200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3200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3200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3200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3200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3200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3200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3200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3200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3200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3200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3200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3200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3200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3200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3200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3200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3200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3200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3200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3200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3200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3200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3200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3200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3200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C07A846-7927-4130-BFB7-172DFD21A058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2026-08-28T17:17:14Z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