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05" documentId="8_{454372C2-A99E-4E47-A759-72B38925853E}" xr6:coauthVersionLast="47" xr6:coauthVersionMax="47" xr10:uidLastSave="{12AECDF3-15F9-4A7F-9DF9-6BBC73725502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14" i="3" l="1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D51" i="23"/>
  <c r="E51" i="23"/>
  <c r="D50" i="23"/>
  <c r="E50" i="23"/>
  <c r="D49" i="23"/>
  <c r="E49" i="23"/>
  <c r="AE33" i="20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l="1"/>
  <c r="S4" i="20" s="1" a="1"/>
  <c r="S4" i="20" s="1"/>
  <c r="T4" i="20" l="1" a="1"/>
  <c r="T4" i="20" s="1"/>
  <c r="A2" i="20" s="1" a="1"/>
  <c r="A5" i="23" l="1" a="1"/>
  <c r="E105" i="23"/>
  <c r="A2" i="20"/>
  <c r="C48" i="23" l="1"/>
  <c r="B48" i="23"/>
  <c r="D48" i="23"/>
  <c r="F48" i="23"/>
  <c r="E48" i="23"/>
  <c r="D47" i="23"/>
  <c r="F47" i="23"/>
  <c r="E47" i="23"/>
  <c r="C47" i="23"/>
  <c r="B47" i="23"/>
  <c r="C33" i="23"/>
  <c r="B26" i="23"/>
  <c r="D18" i="23"/>
  <c r="B46" i="23"/>
  <c r="E8" i="23"/>
  <c r="C43" i="23"/>
  <c r="F6" i="23"/>
  <c r="C25" i="23"/>
  <c r="D8" i="23"/>
  <c r="E10" i="23"/>
  <c r="C21" i="23"/>
  <c r="C6" i="23"/>
  <c r="F14" i="23"/>
  <c r="B21" i="23"/>
  <c r="E6" i="23"/>
  <c r="F12" i="23"/>
  <c r="F31" i="23"/>
  <c r="F20" i="23"/>
  <c r="D23" i="23"/>
  <c r="D15" i="23"/>
  <c r="C38" i="23"/>
  <c r="B30" i="23"/>
  <c r="F37" i="23"/>
  <c r="B6" i="23"/>
  <c r="F35" i="23"/>
  <c r="F40" i="23"/>
  <c r="D27" i="23"/>
  <c r="B24" i="23"/>
  <c r="C12" i="23"/>
  <c r="D14" i="23"/>
  <c r="E12" i="23"/>
  <c r="F18" i="23"/>
  <c r="F26" i="23"/>
  <c r="D25" i="23"/>
  <c r="D44" i="23"/>
  <c r="D12" i="23"/>
  <c r="E9" i="23"/>
  <c r="C27" i="23"/>
  <c r="E18" i="23"/>
  <c r="B29" i="23"/>
  <c r="E35" i="23"/>
  <c r="D36" i="23"/>
  <c r="C20" i="23"/>
  <c r="E31" i="23"/>
  <c r="D6" i="23"/>
  <c r="C23" i="23"/>
  <c r="E32" i="23"/>
  <c r="E14" i="23"/>
  <c r="B17" i="23"/>
  <c r="F23" i="23"/>
  <c r="F30" i="23"/>
  <c r="F9" i="23"/>
  <c r="F38" i="23"/>
  <c r="C42" i="23"/>
  <c r="B7" i="23"/>
  <c r="C9" i="23"/>
  <c r="B32" i="23"/>
  <c r="D26" i="23"/>
  <c r="D21" i="23"/>
  <c r="E38" i="23"/>
  <c r="C13" i="23"/>
  <c r="D7" i="23"/>
  <c r="B43" i="23"/>
  <c r="B27" i="23"/>
  <c r="E36" i="23"/>
  <c r="C44" i="23"/>
  <c r="D20" i="23"/>
  <c r="E40" i="23"/>
  <c r="C19" i="23"/>
  <c r="F44" i="23"/>
  <c r="F28" i="23"/>
  <c r="F24" i="23"/>
  <c r="F10" i="23"/>
  <c r="B45" i="23"/>
  <c r="F25" i="23"/>
  <c r="B35" i="23"/>
  <c r="E22" i="23"/>
  <c r="E45" i="23"/>
  <c r="B36" i="23"/>
  <c r="C18" i="23"/>
  <c r="E17" i="23"/>
  <c r="C37" i="23"/>
  <c r="B34" i="23"/>
  <c r="E25" i="23"/>
  <c r="F42" i="23"/>
  <c r="D19" i="23"/>
  <c r="F8" i="23"/>
  <c r="B13" i="23"/>
  <c r="F11" i="23"/>
  <c r="E26" i="23"/>
  <c r="F19" i="23"/>
  <c r="B14" i="23"/>
  <c r="E46" i="23"/>
  <c r="F43" i="23"/>
  <c r="B42" i="23"/>
  <c r="F17" i="23"/>
  <c r="F41" i="23"/>
  <c r="F32" i="23"/>
  <c r="E7" i="23"/>
  <c r="D32" i="23"/>
  <c r="E28" i="23"/>
  <c r="B28" i="23"/>
  <c r="B11" i="23"/>
  <c r="D39" i="23"/>
  <c r="C39" i="23"/>
  <c r="D13" i="23"/>
  <c r="E20" i="23"/>
  <c r="B9" i="23"/>
  <c r="C26" i="23"/>
  <c r="E19" i="23"/>
  <c r="E13" i="23"/>
  <c r="B22" i="23"/>
  <c r="D40" i="23"/>
  <c r="B16" i="23"/>
  <c r="E27" i="23"/>
  <c r="E37" i="23"/>
  <c r="F13" i="23"/>
  <c r="D38" i="23"/>
  <c r="C11" i="23"/>
  <c r="D30" i="23"/>
  <c r="C29" i="23"/>
  <c r="F33" i="23"/>
  <c r="E42" i="23"/>
  <c r="C36" i="23"/>
  <c r="F46" i="23"/>
  <c r="D9" i="23"/>
  <c r="E30" i="23"/>
  <c r="D46" i="23"/>
  <c r="C24" i="23"/>
  <c r="E15" i="23"/>
  <c r="E21" i="23"/>
  <c r="C41" i="23"/>
  <c r="B12" i="23"/>
  <c r="F27" i="23"/>
  <c r="F7" i="23"/>
  <c r="E39" i="23"/>
  <c r="D24" i="23"/>
  <c r="C34" i="23"/>
  <c r="D29" i="23"/>
  <c r="F36" i="23"/>
  <c r="B23" i="23"/>
  <c r="C16" i="23"/>
  <c r="C31" i="23"/>
  <c r="E24" i="23"/>
  <c r="B33" i="23"/>
  <c r="D45" i="23"/>
  <c r="F16" i="23"/>
  <c r="D11" i="23"/>
  <c r="C28" i="23"/>
  <c r="B15" i="23"/>
  <c r="B31" i="23"/>
  <c r="E29" i="23"/>
  <c r="D42" i="23"/>
  <c r="E43" i="23"/>
  <c r="B44" i="23"/>
  <c r="D43" i="23"/>
  <c r="B25" i="23"/>
  <c r="B39" i="23"/>
  <c r="E11" i="23"/>
  <c r="D31" i="23"/>
  <c r="B20" i="23"/>
  <c r="D35" i="23"/>
  <c r="F45" i="23"/>
  <c r="C32" i="23"/>
  <c r="D41" i="23"/>
  <c r="F29" i="23"/>
  <c r="C40" i="23"/>
  <c r="D22" i="23"/>
  <c r="F39" i="23"/>
  <c r="E33" i="23"/>
  <c r="B8" i="23"/>
  <c r="D34" i="23"/>
  <c r="C7" i="23"/>
  <c r="C8" i="23"/>
  <c r="C22" i="23"/>
  <c r="C30" i="23"/>
  <c r="B38" i="23"/>
  <c r="B10" i="23"/>
  <c r="D28" i="23"/>
  <c r="B19" i="23"/>
  <c r="F22" i="23"/>
  <c r="D17" i="23"/>
  <c r="C15" i="23"/>
  <c r="C17" i="23"/>
  <c r="D33" i="23"/>
  <c r="B37" i="23"/>
  <c r="C14" i="23"/>
  <c r="E41" i="23"/>
  <c r="E44" i="23"/>
  <c r="E16" i="23"/>
  <c r="F21" i="23"/>
  <c r="E34" i="23"/>
  <c r="C35" i="23"/>
  <c r="F34" i="23"/>
  <c r="B41" i="23"/>
  <c r="B18" i="23"/>
  <c r="C46" i="23"/>
  <c r="B40" i="23"/>
  <c r="E23" i="23"/>
  <c r="F15" i="23"/>
  <c r="D10" i="23"/>
  <c r="D16" i="23"/>
  <c r="C45" i="23"/>
  <c r="D37" i="23"/>
  <c r="C10" i="23"/>
  <c r="A5" i="23"/>
  <c r="B5" i="23" l="1"/>
  <c r="B105" i="23" s="1"/>
  <c r="E5" i="23"/>
  <c r="F5" i="23"/>
  <c r="F105" i="23" s="1"/>
  <c r="D5" i="23"/>
  <c r="C5" i="23"/>
  <c r="C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<sst xmlns="http://schemas.openxmlformats.org/spreadsheetml/2006/main" count="6211" uniqueCount="2396">
  <si>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</si>
  <si>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</si>
  <si>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</si>
  <si>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</si>
  <si>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</si>
  <si>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</si>
  <si>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</si>
  <si>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</si>
  <si>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</si>
  <si>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</si>
  <si>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</si>
  <si>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</si>
  <si>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</si>
  <si>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</si>
  <si>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</si>
  <si>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</si>
  <si>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</si>
  <si>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</si>
  <si>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</si>
  <si>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</si>
  <si>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</si>
  <si>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</si>
  <si>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</si>
  <si>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</si>
  <si>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</si>
  <si>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</si>
  <si>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</si>
  <si>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</si>
  <si>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</si>
  <si>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</si>
  <si>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</si>
  <si>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</si>
  <si>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</si>
  <si>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</si>
  <si>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</si>
  <si>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</si>
  <si>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</si>
  <si>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</si>
  <si>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</si>
  <si>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</si>
  <si>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</si>
  <si>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</si>
  <si>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</si>
  <si>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</si>
  <si>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</si>
  <si>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</si>
  <si>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</si>
  <si>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</si>
  <si>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</si>
  <si>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</si>
  <si>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</si>
  <si>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</si>
  <si>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</si>
  <si>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</si>
  <si>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</si>
  <si>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</si>
  <si>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</si>
  <si>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</si>
  <si>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</si>
  <si>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</si>
  <si>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</si>
  <si>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</si>
  <si>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</si>
  <si>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</si>
  <si>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</si>
  <si>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</si>
  <si>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</si>
  <si>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</si>
  <si>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</si>
  <si>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</si>
  <si>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</si>
  <si>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</si>
  <si>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</si>
  <si>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</si>
  <si>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</si>
  <si>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</si>
  <si>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</si>
  <si>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</si>
  <si>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</si>
  <si>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</si>
  <si>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</si>
  <si>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</si>
  <si>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</si>
  <si>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</si>
  <si>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</si>
  <si>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</si>
  <si>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</si>
  <si>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</si>
  <si>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</si>
  <si>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</si>
  <si>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</si>
  <si>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</si>
  <si>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</si>
  <si>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</si>
  <si>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</si>
  <si>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</si>
  <si>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</si>
  <si>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</si>
  <si>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</si>
  <si>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</si>
  <si>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</si>
  <si>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</si>
  <si>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</si>
  <si>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</si>
  <si>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</si>
  <si>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</si>
  <si>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</si>
  <si>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</si>
  <si>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</si>
  <si>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</si>
  <si>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</si>
  <si>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</si>
  <si>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</si>
  <si>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</si>
  <si>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</si>
  <si>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</si>
  <si>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</si>
  <si>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</si>
  <si>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</si>
  <si>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</si>
  <si>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</si>
  <si>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</si>
  <si>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</si>
  <si>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</si>
  <si>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</si>
  <si>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</si>
  <si>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</si>
  <si>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</si>
  <si>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</si>
  <si>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</si>
  <si>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</si>
  <si>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</si>
  <si>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</si>
  <si>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</si>
  <si>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</si>
  <si>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</si>
  <si>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</si>
  <si>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</si>
  <si>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</si>
  <si>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</si>
  <si>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</si>
  <si>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</si>
  <si>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</si>
  <si>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</si>
  <si>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</si>
  <si>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</si>
  <si>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</si>
  <si>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</si>
  <si>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</si>
  <si>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</si>
  <si>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</si>
  <si>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</si>
  <si>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</si>
  <si>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</si>
  <si>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</si>
  <si>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</si>
  <si>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</si>
  <si>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</si>
  <si>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</si>
  <si>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</si>
  <si>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</si>
  <si>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</si>
  <si>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</si>
  <si>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</si>
  <si>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</si>
  <si>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</si>
  <si>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</si>
  <si>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</si>
  <si>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</si>
  <si>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</si>
  <si>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</si>
  <si>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</si>
  <si>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</si>
  <si>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</si>
  <si>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</si>
  <si>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</si>
  <si>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</si>
  <si>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</si>
  <si>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</si>
  <si>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</si>
  <si>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</si>
  <si>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</si>
  <si>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</si>
  <si>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</si>
  <si>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</si>
  <si>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</si>
  <si>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</si>
  <si>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</si>
  <si>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</si>
  <si>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</si>
  <si>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</si>
  <si>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</si>
  <si>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</si>
  <si>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</si>
  <si>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</si>
  <si>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</si>
  <si>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</si>
  <si>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</si>
  <si>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</si>
  <si>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</si>
  <si>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</si>
  <si>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</si>
  <si>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</si>
  <si>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</si>
  <si>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</si>
  <si>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</si>
  <si>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</si>
  <si>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</si>
  <si>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</si>
  <si>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</si>
  <si>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</si>
  <si>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</si>
  <si>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</si>
  <si>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</si>
  <si>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</si>
  <si>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</si>
  <si>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</si>
  <si>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</si>
  <si>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</si>
  <si>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</si>
  <si>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</si>
  <si>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</si>
  <si>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</si>
  <si>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</si>
  <si>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</si>
  <si>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</si>
  <si>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</si>
  <si>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</si>
  <si>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</si>
  <si>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</si>
  <si>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</si>
  <si>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</si>
  <si>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</si>
  <si>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</si>
  <si>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</si>
  <si>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</si>
  <si>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</si>
  <si>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</si>
  <si>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</si>
  <si>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</si>
  <si>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</si>
  <si>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</si>
  <si>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</si>
  <si>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</si>
  <si>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</si>
  <si>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</si>
  <si>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</si>
  <si>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</si>
  <si>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</si>
  <si>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</si>
  <si>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</si>
  <si>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</si>
  <si>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</si>
  <si>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</si>
  <si>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</si>
  <si>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</si>
  <si>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</si>
  <si>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</si>
  <si>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</si>
  <si>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</si>
  <si>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</si>
  <si>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</si>
  <si>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</si>
  <si>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</si>
  <si>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</si>
  <si>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</si>
  <si>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</si>
  <si>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</si>
  <si>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</si>
  <si>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</si>
  <si>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</si>
  <si>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</si>
  <si>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</si>
  <si>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</si>
  <si>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</si>
  <si>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</si>
  <si>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</si>
  <si>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</si>
  <si>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</si>
  <si>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</si>
  <si>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</si>
  <si>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</si>
  <si>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</si>
  <si>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</si>
  <si>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</si>
  <si>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</si>
  <si>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</si>
  <si>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</si>
  <si>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</si>
  <si>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</si>
  <si>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</si>
  <si>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</si>
  <si>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</si>
  <si>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</si>
  <si>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</si>
  <si>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</si>
  <si>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</si>
  <si>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</si>
  <si>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</si>
  <si>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</si>
  <si>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</si>
  <si>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</si>
  <si>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</si>
  <si>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</si>
  <si>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</si>
  <si>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</si>
  <si>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</si>
  <si>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</si>
  <si>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</si>
  <si>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</si>
  <si>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</si>
  <si>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</si>
  <si>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</si>
  <si>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</si>
  <si>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</si>
  <si>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</si>
  <si>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</si>
  <si>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</si>
  <si>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</si>
  <si>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</si>
  <si>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</si>
  <si>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</si>
  <si>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</si>
  <si>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</si>
  <si>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</si>
  <si>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</si>
  <si>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</si>
  <si>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</si>
  <si>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</si>
  <si>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</si>
  <si>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</si>
  <si>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</si>
  <si>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</si>
  <si>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</si>
  <si>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</si>
  <si>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</si>
  <si>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</si>
  <si>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</si>
  <si>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</si>
  <si>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</si>
  <si>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</si>
  <si>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</si>
  <si>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</si>
  <si>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</si>
  <si>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</si>
  <si>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</si>
  <si>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</si>
  <si>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</si>
  <si>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</si>
  <si>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</si>
  <si>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</si>
  <si>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</si>
  <si>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</si>
  <si>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</si>
  <si>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</si>
  <si>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</si>
  <si>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</si>
  <si>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</si>
  <si>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</si>
  <si>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</si>
  <si>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</si>
  <si>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</si>
  <si>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</si>
  <si>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</si>
  <si>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</si>
  <si>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</si>
  <si>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</si>
  <si>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</si>
  <si>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</si>
  <si>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</si>
  <si>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</si>
  <si>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</si>
  <si>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</si>
  <si>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</si>
  <si>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</si>
  <si>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</si>
  <si>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</si>
  <si>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</si>
  <si>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</si>
  <si>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</si>
  <si>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</si>
  <si>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</si>
  <si>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</si>
  <si>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</si>
  <si>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</si>
  <si>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</si>
  <si>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</si>
  <si>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</si>
  <si>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</si>
  <si>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</si>
  <si>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</si>
  <si>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</si>
  <si>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</si>
  <si>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</si>
  <si>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</si>
  <si>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</si>
  <si>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</si>
  <si>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</si>
  <si>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</si>
  <si>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</si>
  <si>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</si>
  <si>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</si>
  <si>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</si>
  <si>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</si>
  <si>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</si>
  <si>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</si>
  <si>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</si>
  <si>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</si>
  <si>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</si>
  <si>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</si>
  <si>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</si>
  <si>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</si>
  <si>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</si>
  <si>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</si>
  <si>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</si>
  <si>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</si>
  <si>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</si>
  <si>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</si>
  <si>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</si>
  <si>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</si>
  <si>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</si>
  <si>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</si>
  <si>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</si>
  <si>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</si>
  <si>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</si>
  <si>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</si>
  <si>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</si>
  <si>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</si>
  <si>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</si>
  <si>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</si>
  <si>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</si>
  <si>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</si>
  <si>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</si>
  <si>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</si>
  <si>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</si>
  <si>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</si>
  <si>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</si>
  <si>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</si>
  <si>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</si>
  <si>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</si>
  <si>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</si>
  <si>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</si>
  <si>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</si>
  <si>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</si>
  <si>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</si>
  <si>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</si>
  <si>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</si>
  <si>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</si>
  <si>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</si>
  <si>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</si>
  <si>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</si>
  <si>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</si>
  <si>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</si>
  <si>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</si>
  <si>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</si>
  <si>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</si>
  <si>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</si>
  <si>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</si>
  <si>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</si>
  <si>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</si>
  <si>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</si>
  <si>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</si>
  <si>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</si>
  <si>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</si>
  <si>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</si>
  <si>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</si>
  <si>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</si>
  <si>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</si>
  <si>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</si>
  <si>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</si>
  <si>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</si>
  <si>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</si>
  <si>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</si>
  <si>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</si>
  <si>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</si>
  <si>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</si>
  <si>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</si>
  <si>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</si>
  <si>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</si>
  <si>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</si>
  <si>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</si>
  <si>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</si>
  <si>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</si>
  <si>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</si>
  <si>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</si>
  <si>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</si>
  <si>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</si>
  <si>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</si>
  <si>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</si>
  <si>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</si>
  <si>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</si>
  <si>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</si>
  <si>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</si>
  <si>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</si>
  <si>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</si>
  <si>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</si>
  <si>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</si>
  <si>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</si>
  <si>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</si>
  <si>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</si>
  <si>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</si>
  <si>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</si>
  <si>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</si>
  <si>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</si>
  <si>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</si>
  <si>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</si>
  <si>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</si>
  <si>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</si>
  <si>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</si>
  <si>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</si>
  <si>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</si>
  <si>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</si>
  <si>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</si>
  <si>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</si>
  <si>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</si>
  <si>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</si>
  <si>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</si>
  <si>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</si>
  <si>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</si>
  <si>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</si>
  <si>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</si>
  <si>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</si>
  <si>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</si>
  <si>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</si>
  <si>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</si>
  <si>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</si>
  <si>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</si>
  <si>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</si>
  <si>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</si>
  <si>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</si>
  <si>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</si>
  <si>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</si>
  <si>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</si>
  <si>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</si>
  <si>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</si>
  <si>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</si>
  <si>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</si>
  <si>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</si>
  <si>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</si>
  <si>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</si>
  <si>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</si>
  <si>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</si>
  <si>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</si>
  <si>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</si>
  <si>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</si>
  <si>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</si>
  <si>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</si>
  <si>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</si>
  <si>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</si>
  <si>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</si>
  <si>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</si>
  <si>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</si>
  <si>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</si>
  <si>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</si>
  <si>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</si>
  <si>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</si>
  <si>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</si>
  <si>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</si>
  <si>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</si>
  <si>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</si>
  <si>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</si>
  <si>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</si>
  <si>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</si>
  <si>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</si>
  <si>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</si>
  <si>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</si>
  <si>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</si>
  <si>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</si>
  <si>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</si>
  <si>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</si>
  <si>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</si>
  <si>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</si>
  <si>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</si>
  <si>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</si>
  <si>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</si>
  <si>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</si>
  <si>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</si>
  <si>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</si>
  <si>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</si>
  <si>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</si>
  <si>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</si>
  <si>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</si>
  <si>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</si>
  <si>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</si>
  <si>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</si>
  <si>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</si>
  <si>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</si>
  <si>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</si>
  <si>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</si>
  <si>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</si>
  <si>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</si>
  <si>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</si>
  <si>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</si>
  <si>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</si>
  <si>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</si>
  <si>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</si>
  <si>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</si>
  <si>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</si>
  <si>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</si>
  <si>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</si>
  <si>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</si>
  <si>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</si>
  <si>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</si>
  <si>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</si>
  <si>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</si>
  <si>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</si>
  <si>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</si>
  <si>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</si>
  <si>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</si>
  <si>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</si>
  <si>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</si>
  <si>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</si>
  <si>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</si>
  <si>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</si>
  <si>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</si>
  <si>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</si>
  <si>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</si>
  <si>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</si>
  <si>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</si>
  <si>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</si>
  <si>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</si>
  <si>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</si>
  <si>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</si>
  <si>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</si>
  <si>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</si>
  <si>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</si>
  <si>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</si>
  <si>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</si>
  <si>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</si>
  <si>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</si>
  <si>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</si>
  <si>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</si>
  <si>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</si>
  <si>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</si>
  <si>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</si>
  <si>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</si>
  <si>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</si>
  <si>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</si>
  <si>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</si>
  <si>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</si>
  <si>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</si>
  <si>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</si>
  <si>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</si>
  <si>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</si>
  <si>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</si>
  <si>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</si>
  <si>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</si>
  <si>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</si>
  <si>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</si>
  <si>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</si>
  <si>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</si>
  <si>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</si>
  <si>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</si>
  <si>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</si>
  <si>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</si>
  <si>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</si>
  <si>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</si>
  <si>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</si>
  <si>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</si>
  <si>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</si>
  <si>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</si>
  <si>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</si>
  <si>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</si>
  <si>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</si>
  <si>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</si>
  <si>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</si>
  <si>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</si>
  <si>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</si>
  <si>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</si>
  <si>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</si>
  <si>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</si>
  <si>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</si>
  <si>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</si>
  <si>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</si>
  <si>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</si>
  <si>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</si>
  <si>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</si>
  <si>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</si>
  <si>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</si>
  <si>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</si>
  <si>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</si>
  <si>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</si>
  <si>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</si>
  <si>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</si>
  <si>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</si>
  <si>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</si>
  <si>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</si>
  <si>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</si>
  <si>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</si>
  <si>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</si>
  <si>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</si>
  <si>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</si>
  <si>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</si>
  <si>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</si>
  <si>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</si>
  <si>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</si>
  <si>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</si>
  <si>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</si>
  <si>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</si>
  <si>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</si>
  <si>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</si>
  <si>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</si>
  <si>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</si>
  <si>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</si>
  <si>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</si>
  <si>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</si>
  <si>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</si>
  <si>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</si>
  <si>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</si>
  <si>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</si>
  <si>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</si>
  <si>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</si>
  <si>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</si>
  <si>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</si>
  <si>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</si>
  <si>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</si>
  <si>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</si>
  <si>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</si>
  <si>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</si>
  <si>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</si>
  <si>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</si>
  <si>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</si>
  <si>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</si>
  <si>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</si>
  <si>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</si>
  <si>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</si>
  <si>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</si>
  <si>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</si>
  <si>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</si>
  <si>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</si>
  <si>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</si>
  <si>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</si>
  <si>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</si>
  <si>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</si>
  <si>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</si>
  <si>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</si>
  <si>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</si>
  <si>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</si>
  <si>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</si>
  <si>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</si>
  <si>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</si>
  <si>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</si>
  <si>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</si>
  <si>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</si>
  <si>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</si>
  <si>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</si>
  <si>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</si>
  <si>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</si>
  <si>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</si>
  <si>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</si>
  <si>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</si>
  <si>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</si>
  <si>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</si>
  <si>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</si>
  <si>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</si>
  <si>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</si>
  <si>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</si>
  <si>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</si>
  <si>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</si>
  <si>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</si>
  <si>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</si>
  <si>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</si>
  <si>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</si>
  <si>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</si>
  <si>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</si>
  <si>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</si>
  <si>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</si>
  <si>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</si>
  <si>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</si>
  <si>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</si>
  <si>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</si>
  <si>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</si>
  <si>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</si>
  <si>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</si>
  <si>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</si>
  <si>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</si>
  <si>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</si>
  <si>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</si>
  <si>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</si>
  <si>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</si>
  <si>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</si>
  <si>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</si>
  <si>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</si>
  <si>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</si>
  <si>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</si>
  <si>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</si>
  <si>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</si>
  <si>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</si>
  <si>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</si>
  <si>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</si>
  <si>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</si>
  <si>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</si>
  <si>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</si>
  <si>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</si>
  <si>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</si>
  <si>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</si>
  <si>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</si>
  <si>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</si>
  <si>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</si>
  <si>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</si>
  <si>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</si>
  <si>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</si>
  <si>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</si>
  <si>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</si>
  <si>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</si>
  <si>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</si>
  <si>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</si>
  <si>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</si>
  <si>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</si>
  <si>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</si>
  <si>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</si>
  <si>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</si>
  <si>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</si>
  <si>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</si>
  <si>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</si>
  <si>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</si>
  <si>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</si>
  <si>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</si>
  <si>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</si>
  <si>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</si>
  <si>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</si>
  <si>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</si>
  <si>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</si>
  <si>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</si>
  <si>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</si>
  <si>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</si>
  <si>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</si>
  <si>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</si>
  <si>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</si>
  <si>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</si>
  <si>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</si>
  <si>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</si>
  <si>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</si>
  <si>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</si>
  <si>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</si>
  <si>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</si>
  <si>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</si>
  <si>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</si>
  <si>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</si>
  <si>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</si>
  <si>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</si>
  <si>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</si>
  <si>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</si>
  <si>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</si>
  <si>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</si>
  <si>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</si>
  <si>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</si>
  <si>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</si>
  <si>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</si>
  <si>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</si>
  <si>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</si>
  <si>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</si>
  <si>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</si>
  <si>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</si>
  <si>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</si>
  <si>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</si>
  <si>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</si>
  <si>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</si>
  <si>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</si>
  <si>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</si>
  <si>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</si>
  <si>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</si>
  <si>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</si>
  <si>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</si>
  <si>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</si>
  <si>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</si>
  <si>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</si>
  <si>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</si>
  <si>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</si>
  <si>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</si>
  <si>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</si>
  <si>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</si>
  <si>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</si>
  <si>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</si>
  <si>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</si>
  <si>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</si>
  <si>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</si>
  <si>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</si>
  <si>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</si>
  <si>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</si>
  <si>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</si>
  <si>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</si>
  <si>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</si>
  <si>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</si>
  <si>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</si>
  <si>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</si>
  <si>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</si>
  <si>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</si>
  <si>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</si>
  <si>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</si>
  <si>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</si>
  <si>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</si>
  <si>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</si>
  <si>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</si>
  <si>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</si>
  <si>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</si>
  <si>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</si>
  <si>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</si>
  <si>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</si>
  <si>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</si>
  <si>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</si>
  <si>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</si>
  <si>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</si>
  <si>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</si>
  <si>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</si>
  <si>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</si>
  <si>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</si>
  <si>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</si>
  <si>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</si>
  <si>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</si>
  <si>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</si>
  <si>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</si>
  <si>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</si>
  <si>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</si>
  <si>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</si>
  <si>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</si>
  <si>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</si>
  <si>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</si>
  <si>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</si>
  <si>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</si>
  <si>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</si>
  <si>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</si>
  <si>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</si>
  <si>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</si>
  <si>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</si>
  <si>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</si>
  <si>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</si>
  <si>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</si>
  <si>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</si>
  <si>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</si>
  <si>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</si>
  <si>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</si>
  <si>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</si>
  <si>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</si>
  <si>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</si>
  <si>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</si>
  <si>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</si>
  <si>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</si>
  <si>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</si>
  <si>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</si>
  <si>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</si>
  <si>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</si>
  <si>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</si>
  <si>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</si>
  <si>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</si>
  <si>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</si>
  <si>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</si>
  <si>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</si>
  <si>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</si>
  <si>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</si>
  <si>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</si>
  <si>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</si>
  <si>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</si>
  <si>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</si>
  <si>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</si>
  <si>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</si>
  <si>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</si>
  <si>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</si>
  <si>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</si>
  <si>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</si>
  <si>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</si>
  <si>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</si>
  <si>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</si>
  <si>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</si>
  <si>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</si>
  <si>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</si>
  <si>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</si>
  <si>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</si>
  <si>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</si>
  <si>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</si>
  <si>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</si>
  <si>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</si>
  <si>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</si>
  <si>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</si>
  <si>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</si>
  <si>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</si>
  <si>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</si>
  <si>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</si>
  <si>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</si>
  <si>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</si>
  <si>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</si>
  <si>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</si>
  <si>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</si>
  <si>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</si>
  <si>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</si>
  <si>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</si>
  <si>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</si>
  <si>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</si>
  <si>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</si>
  <si>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</si>
  <si>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</si>
  <si>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</si>
  <si>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</si>
  <si>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</si>
  <si>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</si>
  <si>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</si>
  <si>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</si>
  <si>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</si>
  <si>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</si>
  <si>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</si>
  <si>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</si>
  <si>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</si>
  <si>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</si>
  <si>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</si>
  <si>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</si>
  <si>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</si>
  <si>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</si>
  <si>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</si>
  <si>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</si>
  <si>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</si>
  <si>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</si>
  <si>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</si>
  <si>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</si>
  <si>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</si>
  <si>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</si>
  <si>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</si>
  <si>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</si>
  <si>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</si>
  <si>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</si>
  <si>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</si>
  <si>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</si>
  <si>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</si>
  <si>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</si>
  <si>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</si>
  <si>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</si>
  <si>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</si>
  <si>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</si>
  <si>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</si>
  <si>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</si>
  <si>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</si>
  <si>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</si>
  <si>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</si>
  <si>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</si>
  <si>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</si>
  <si>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</si>
  <si>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</si>
  <si>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</si>
  <si>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</si>
  <si>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</si>
  <si>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</si>
  <si>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</si>
  <si>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</si>
  <si>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</si>
  <si>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</si>
  <si>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</si>
  <si>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</si>
  <si>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</si>
  <si>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</si>
  <si>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</si>
  <si>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</si>
  <si>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</si>
  <si>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</si>
  <si>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</si>
  <si>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</si>
  <si>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</si>
  <si>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</si>
  <si>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</si>
  <si>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</si>
  <si>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</si>
  <si>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</si>
  <si>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</si>
  <si>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</si>
  <si>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</si>
  <si>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</si>
  <si>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</si>
  <si>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</si>
  <si>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</si>
  <si>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</si>
  <si>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</si>
  <si>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</si>
  <si>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</si>
  <si>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</si>
  <si>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</si>
  <si>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</si>
  <si>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</si>
  <si>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</si>
  <si>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</si>
  <si>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</si>
  <si>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</si>
  <si>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</si>
  <si>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</si>
  <si>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</si>
  <si>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</si>
  <si>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</si>
  <si>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</si>
  <si>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</si>
  <si>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</si>
  <si>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</si>
  <si>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</si>
  <si>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</si>
  <si>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</si>
  <si>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</si>
  <si>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</si>
  <si>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</si>
  <si>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</si>
  <si>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</si>
  <si>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</si>
  <si>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</si>
  <si>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</si>
  <si>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</si>
  <si>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</si>
  <si>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</si>
  <si>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</si>
  <si>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</si>
  <si>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</si>
  <si>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</si>
  <si>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</si>
  <si>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</si>
  <si>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</si>
  <si>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</si>
  <si>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</si>
  <si>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</si>
  <si>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</si>
  <si>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</si>
  <si>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</si>
  <si>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</si>
  <si>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</si>
  <si>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</si>
  <si>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</si>
  <si>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</si>
  <si>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</si>
  <si>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</si>
  <si>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</si>
  <si>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</si>
  <si>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</si>
  <si>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</si>
  <si>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</si>
  <si>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</si>
  <si>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</si>
  <si>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</si>
  <si>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</si>
  <si>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</si>
  <si>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</si>
  <si>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</si>
  <si>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</si>
  <si>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</si>
  <si>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</si>
  <si>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</si>
  <si>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</si>
  <si>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</si>
  <si>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</si>
  <si>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</si>
  <si>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</si>
  <si>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</si>
  <si>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</si>
  <si>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</si>
  <si>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</si>
  <si>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</si>
  <si>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</si>
  <si>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</si>
  <si>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</si>
  <si>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</si>
  <si>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</si>
  <si>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</si>
  <si>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</si>
  <si>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</si>
  <si>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</si>
  <si>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</si>
  <si>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</si>
  <si>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</si>
  <si>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</si>
  <si>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</si>
  <si>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</si>
  <si>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</si>
  <si>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</si>
  <si>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</si>
  <si>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</si>
  <si>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</si>
  <si>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</si>
  <si>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</si>
  <si>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</si>
  <si>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</si>
  <si>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</si>
  <si>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</si>
  <si>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</si>
  <si>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</si>
  <si>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</si>
  <si>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</si>
  <si>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</si>
  <si>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</si>
  <si>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</si>
  <si>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</si>
  <si>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</si>
  <si>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</si>
  <si>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</si>
  <si>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</si>
  <si>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</si>
  <si>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</si>
  <si>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</si>
  <si>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</si>
  <si>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</si>
  <si>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</si>
  <si>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</si>
  <si>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</si>
  <si>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</si>
  <si>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</si>
  <si>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</si>
  <si>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</si>
  <si>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</si>
  <si>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</si>
  <si>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</si>
  <si>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</si>
  <si>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</si>
  <si>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</si>
  <si>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</si>
  <si>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</si>
  <si>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</si>
  <si>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</si>
  <si>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</si>
  <si>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</si>
  <si>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</si>
  <si>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</si>
  <si>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</si>
  <si>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</si>
  <si>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</si>
  <si>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</si>
  <si>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</si>
  <si>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</si>
  <si>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</si>
  <si>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</si>
  <si>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</si>
  <si>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</si>
  <si>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</si>
  <si>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</si>
  <si>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</si>
  <si>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</si>
  <si>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</si>
  <si>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</si>
  <si>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</si>
  <si>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</si>
  <si>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</si>
  <si>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</si>
  <si>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</si>
  <si>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</si>
  <si>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</si>
  <si>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</si>
  <si>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</si>
  <si>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</si>
  <si>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</si>
  <si>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</si>
  <si>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</si>
  <si>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</si>
  <si>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</si>
  <si>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</si>
  <si>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</si>
  <si>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</si>
  <si>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</si>
  <si>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</si>
  <si>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</si>
  <si>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</si>
  <si>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</si>
  <si>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</si>
  <si>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</si>
  <si>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</si>
  <si>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</si>
  <si>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</si>
  <si>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</si>
  <si>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</si>
  <si>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</si>
  <si>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</si>
  <si>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</si>
  <si>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</si>
  <si>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</si>
  <si>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</si>
  <si>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</si>
  <si>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</si>
  <si>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</si>
  <si>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</si>
  <si>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</si>
  <si>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</si>
  <si>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</si>
  <si>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</si>
  <si>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</si>
  <si>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</si>
  <si>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</si>
  <si>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</si>
  <si>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</si>
  <si>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</si>
  <si>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</si>
  <si>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</si>
  <si>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</si>
  <si>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</si>
  <si>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</si>
  <si>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</si>
  <si>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</si>
  <si>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</si>
  <si>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</si>
  <si>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</si>
  <si>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</si>
  <si>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</si>
  <si>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</si>
  <si>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</si>
  <si>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</si>
  <si>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</si>
  <si>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</si>
  <si>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</si>
  <si>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</si>
  <si>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</si>
  <si>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</si>
  <si>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</si>
  <si>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</si>
  <si>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</si>
  <si>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</si>
  <si>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</si>
  <si>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</si>
  <si>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</si>
  <si>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</si>
  <si>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</si>
  <si>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</si>
  <si>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</si>
  <si>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</si>
  <si>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</si>
  <si>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</si>
  <si>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</si>
  <si>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</si>
  <si>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</si>
  <si>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</si>
  <si>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</si>
  <si>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</si>
  <si>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</si>
  <si>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</si>
  <si>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</si>
  <si>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</si>
  <si>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</si>
  <si>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</si>
  <si>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</si>
  <si>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</si>
  <si>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</si>
  <si>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</si>
  <si>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</si>
  <si>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</si>
  <si>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</si>
  <si>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</si>
  <si>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</si>
  <si>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</si>
  <si>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</si>
  <si>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</si>
  <si>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</si>
  <si>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</si>
  <si>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</si>
  <si>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</si>
  <si>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</si>
  <si>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</si>
  <si>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</si>
  <si>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</si>
  <si>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</si>
  <si>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</si>
  <si>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</si>
  <si>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</si>
  <si>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</si>
  <si>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</si>
  <si>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</si>
  <si>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</si>
  <si>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</si>
  <si>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</si>
  <si>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</si>
  <si>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</si>
  <si>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</si>
  <si>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</si>
  <si>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</si>
  <si>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</si>
  <si>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</si>
  <si>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</si>
  <si>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</si>
  <si>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</si>
  <si>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</si>
  <si>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</si>
  <si>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</si>
  <si>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</si>
  <si>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</si>
  <si>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</si>
  <si>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</si>
  <si>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</si>
  <si>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</si>
  <si>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</si>
  <si>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</si>
  <si>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</si>
  <si>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</si>
  <si>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</si>
  <si>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</si>
  <si>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</si>
  <si>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</si>
  <si>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</si>
  <si>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</si>
  <si>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</si>
  <si>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</si>
  <si>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</si>
  <si>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</si>
  <si>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</si>
  <si>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</si>
  <si>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</si>
  <si>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</si>
  <si>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</si>
  <si>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</si>
  <si>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</si>
  <si>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</si>
  <si>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</si>
  <si>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</si>
  <si>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</si>
  <si>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</si>
  <si>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</si>
  <si>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</si>
  <si>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</si>
  <si>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</si>
  <si>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</si>
  <si>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</si>
  <si>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</si>
  <si>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</si>
  <si>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</si>
  <si>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</si>
  <si>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</si>
  <si>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</si>
  <si>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</si>
  <si>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</si>
  <si>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</si>
  <si>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</si>
  <si>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</si>
  <si>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</si>
  <si>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</si>
  <si>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</si>
  <si>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</si>
  <si>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</si>
  <si>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</si>
  <si>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</si>
  <si>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</si>
  <si>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</si>
  <si>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</si>
  <si>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</si>
  <si>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</si>
  <si>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</si>
  <si>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</si>
  <si>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</si>
  <si>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</si>
  <si>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</si>
  <si>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</si>
  <si>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</si>
  <si>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</si>
  <si>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</si>
  <si>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</si>
  <si>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</si>
  <si>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</si>
  <si>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</si>
  <si>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</si>
  <si>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</si>
  <si>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</si>
  <si>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</si>
  <si>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</si>
  <si>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</si>
  <si>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</si>
  <si>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</si>
  <si>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</si>
  <si>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</si>
  <si>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</si>
  <si>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</si>
  <si>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</si>
  <si>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</si>
  <si>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</si>
  <si>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</si>
  <si>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</si>
  <si>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</si>
  <si>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</si>
  <si>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</si>
  <si>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</si>
  <si>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</si>
  <si>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</si>
  <si>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</si>
  <si>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</si>
  <si>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</si>
  <si>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</si>
  <si>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</si>
  <si>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</si>
  <si>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</si>
  <si>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</si>
  <si>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</si>
  <si>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</si>
  <si>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</si>
  <si>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</si>
  <si>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</si>
  <si>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</si>
  <si>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</si>
  <si>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</si>
  <si>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</si>
  <si>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</si>
  <si>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</si>
  <si>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</si>
  <si>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</si>
  <si>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</si>
  <si>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</si>
  <si>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</si>
  <si>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</si>
  <si>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</si>
  <si>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</si>
  <si>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</si>
  <si>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</si>
  <si>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</si>
  <si>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</si>
  <si>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</si>
  <si>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</si>
  <si>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</si>
  <si>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</si>
  <si>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</si>
  <si>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</si>
  <si>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</si>
  <si>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</si>
  <si>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</si>
  <si>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</si>
  <si>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</si>
  <si>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</si>
  <si>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</si>
  <si>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</si>
  <si>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</si>
  <si>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</si>
  <si>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</si>
  <si>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</si>
  <si>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</si>
  <si>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</si>
  <si>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</si>
  <si>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</si>
  <si>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</si>
  <si>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</si>
  <si>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</si>
  <si>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</si>
  <si>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</si>
  <si>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</si>
  <si>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</si>
  <si>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</si>
  <si>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</si>
  <si>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</si>
  <si>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</si>
  <si>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</si>
  <si>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</si>
  <si>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</si>
  <si>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</si>
  <si>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</si>
  <si>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</si>
  <si>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</si>
  <si>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</si>
  <si>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</si>
  <si>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</si>
  <si>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</si>
  <si>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</si>
  <si>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</si>
  <si>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</si>
  <si>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</si>
  <si>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</si>
  <si>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</si>
  <si>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</si>
  <si>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</si>
  <si>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</si>
  <si>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</si>
  <si>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</si>
  <si>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</si>
  <si>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</si>
  <si>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</si>
  <si>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</si>
  <si>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</si>
  <si>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</si>
  <si>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</si>
  <si>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</si>
  <si>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</si>
  <si>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</si>
  <si>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</si>
  <si>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</si>
  <si>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</si>
  <si>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</si>
  <si>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</si>
  <si>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</si>
  <si>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</si>
  <si>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</si>
  <si>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</si>
  <si>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</si>
  <si>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</si>
  <si>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</si>
  <si>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</si>
  <si>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</si>
  <si>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</si>
  <si>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</si>
  <si>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</si>
  <si>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</si>
  <si>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</si>
  <si>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</si>
  <si>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</si>
  <si>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</si>
  <si>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</si>
  <si>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</si>
  <si>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</si>
  <si>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</si>
  <si>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</si>
  <si>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</si>
  <si>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</si>
  <si>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</si>
  <si>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</si>
  <si>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</si>
  <si>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</si>
  <si>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</si>
  <si>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</si>
  <si>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</si>
  <si>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</si>
  <si>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</si>
  <si>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</si>
  <si>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</si>
  <si>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</si>
  <si>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</si>
  <si>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</si>
  <si>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</si>
  <si>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</si>
  <si>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</si>
  <si>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</si>
  <si>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</si>
  <si>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</si>
  <si>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</si>
  <si>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</si>
  <si>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</si>
  <si>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</si>
  <si>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</si>
  <si>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</si>
  <si>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</si>
  <si>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</si>
  <si>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</si>
  <si>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</si>
  <si>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</si>
  <si>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</si>
  <si>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</si>
  <si>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</si>
  <si>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</si>
  <si>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</si>
  <si>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</si>
  <si>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</si>
  <si>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</si>
  <si>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</si>
  <si>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</si>
  <si>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</si>
  <si>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</si>
  <si>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</si>
  <si>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</si>
  <si>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</si>
  <si>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</si>
  <si>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</si>
  <si>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</si>
  <si>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</si>
  <si>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</si>
  <si>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</si>
  <si>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</si>
  <si>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</si>
  <si>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</si>
  <si>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</si>
  <si>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</si>
  <si>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</si>
  <si>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</si>
  <si>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</si>
  <si>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</si>
  <si>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</si>
  <si>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</si>
  <si>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</si>
  <si>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</si>
  <si>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</si>
  <si>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</si>
  <si>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</si>
  <si>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</si>
  <si>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</si>
  <si>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</si>
  <si>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</si>
  <si>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</si>
  <si>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</si>
  <si>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</si>
  <si>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</si>
  <si>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</si>
  <si>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</si>
  <si>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</si>
  <si>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</si>
  <si>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</si>
  <si>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</si>
  <si>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</si>
  <si>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</si>
  <si>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</si>
  <si>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</si>
  <si>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</si>
  <si>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</si>
  <si>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</si>
  <si>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</si>
  <si>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</si>
  <si>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</si>
  <si>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</si>
  <si>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</si>
  <si>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</si>
  <si>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</si>
  <si>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</si>
  <si>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</si>
  <si>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</si>
  <si>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</si>
  <si>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</si>
  <si>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</si>
  <si>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</si>
  <si>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</si>
  <si>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</si>
  <si>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</si>
  <si>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</si>
  <si>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</si>
  <si>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</si>
  <si>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</si>
  <si>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</si>
  <si>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</si>
  <si>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</si>
  <si>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</si>
  <si>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</si>
  <si>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</si>
  <si>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</si>
  <si>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</si>
  <si>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</si>
  <si>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</si>
  <si>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</si>
  <si>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</si>
  <si>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</si>
  <si>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</si>
  <si>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</si>
  <si>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</si>
  <si>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</si>
  <si>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</si>
  <si>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</si>
  <si>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</si>
  <si>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</si>
  <si>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</si>
  <si>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</si>
  <si>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</si>
  <si>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</si>
  <si>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</si>
  <si>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</si>
  <si>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</si>
  <si>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</si>
  <si>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</si>
  <si>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</si>
  <si>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</si>
  <si>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</si>
  <si>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</si>
  <si>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</si>
  <si>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</si>
  <si>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</si>
  <si>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</si>
  <si>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</si>
  <si>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</si>
  <si>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</si>
  <si>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</si>
  <si>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</si>
  <si>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</si>
  <si>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</si>
  <si>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</si>
  <si>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</si>
  <si>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</si>
  <si>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</si>
  <si>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</si>
  <si>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</si>
  <si>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</si>
  <si>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</si>
  <si>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</si>
  <si>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</si>
  <si>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</si>
  <si>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</si>
  <si>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</si>
  <si>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</si>
  <si>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</si>
  <si>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</si>
  <si>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</si>
  <si>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</si>
  <si>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</si>
  <si>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</si>
  <si>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</si>
  <si>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</si>
  <si>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</si>
  <si>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</si>
  <si>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</si>
  <si>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</si>
  <si>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</si>
  <si>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</si>
  <si>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</si>
  <si>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</si>
  <si>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</si>
  <si>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</si>
  <si>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</si>
  <si>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</si>
  <si>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</si>
  <si>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</si>
  <si>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</si>
  <si>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</si>
  <si>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</si>
  <si>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</si>
  <si>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</si>
  <si>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</si>
  <si>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</si>
  <si>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</si>
  <si>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</si>
  <si>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</si>
  <si>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</si>
  <si>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</si>
  <si>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</si>
  <si>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</si>
  <si>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</si>
  <si>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</si>
  <si>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</si>
  <si>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</si>
  <si>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</si>
  <si>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</si>
  <si>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</si>
  <si>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</si>
  <si>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</si>
  <si>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</si>
  <si>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</si>
  <si>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</si>
  <si>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</si>
  <si>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</si>
  <si>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</si>
  <si>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</si>
  <si>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</si>
  <si>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</si>
  <si>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</si>
  <si>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</si>
  <si>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</si>
  <si>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</si>
  <si>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</si>
  <si>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</si>
  <si>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</si>
  <si>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</si>
  <si>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</si>
  <si>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</si>
  <si>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</si>
  <si>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</si>
  <si>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</si>
  <si>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</si>
  <si>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</si>
  <si>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</si>
  <si>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</si>
  <si>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</si>
  <si>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</si>
  <si>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</si>
  <si>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</si>
  <si>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</si>
  <si>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</si>
  <si>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</si>
  <si>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</si>
  <si>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</si>
  <si>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</si>
  <si>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</si>
  <si>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</si>
  <si>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</si>
  <si>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</si>
  <si>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</si>
  <si>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</si>
  <si>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</si>
  <si>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</si>
  <si>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</si>
  <si>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</si>
  <si>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</si>
  <si>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</si>
  <si>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</si>
  <si>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</si>
  <si>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</si>
  <si>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</si>
  <si>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</si>
  <si>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</si>
  <si>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</si>
  <si>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</si>
  <si>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</si>
  <si>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</si>
  <si>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</si>
  <si>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</si>
  <si>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</si>
  <si>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</si>
  <si>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</si>
  <si>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</si>
  <si>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</si>
  <si>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</si>
  <si>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</si>
  <si>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</si>
  <si>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</si>
  <si>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</si>
  <si>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</si>
  <si>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</si>
  <si>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</si>
  <si>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</si>
  <si>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</si>
  <si>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</si>
  <si>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</si>
  <si>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</si>
  <si>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</si>
  <si>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</si>
  <si>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</si>
  <si>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</si>
  <si>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</si>
  <si>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</si>
  <si>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</si>
  <si>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</si>
  <si>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</si>
  <si>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</si>
  <si>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</si>
  <si>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</si>
  <si>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</si>
  <si>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</si>
  <si>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</si>
  <si>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</si>
  <si>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</si>
  <si>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</si>
  <si>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</si>
  <si>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</si>
  <si>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</si>
  <si>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</si>
  <si>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</si>
  <si>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</si>
  <si>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</si>
  <si>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</si>
  <si>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</si>
  <si>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</si>
  <si>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</si>
  <si>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</si>
  <si>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</si>
  <si>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</si>
  <si>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</si>
  <si>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</si>
  <si>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</si>
  <si>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</si>
  <si>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</si>
  <si>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</si>
  <si>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</si>
  <si>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</si>
  <si>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</si>
  <si>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</si>
  <si>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</si>
  <si>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</si>
  <si>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</si>
  <si>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</si>
  <si>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</si>
  <si>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</si>
  <si>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</si>
  <si>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</si>
  <si>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</si>
  <si>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</si>
  <si>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</si>
  <si>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</si>
  <si>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</si>
  <si>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</si>
  <si>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</si>
  <si>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</si>
  <si>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</si>
  <si>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</si>
  <si>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</si>
  <si>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</si>
  <si>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</si>
  <si>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</si>
  <si>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</si>
  <si>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</si>
  <si>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</si>
  <si>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</si>
  <si>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</si>
  <si>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</si>
  <si>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</si>
  <si>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</si>
  <si>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</si>
  <si>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</si>
  <si>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</si>
  <si>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</si>
  <si>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</si>
  <si>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</si>
  <si>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</si>
  <si>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</si>
  <si>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</si>
  <si>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</si>
  <si>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</si>
  <si>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</si>
  <si>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</si>
  <si>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</si>
  <si>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</si>
  <si>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</si>
  <si>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</si>
  <si>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</si>
  <si>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</si>
  <si>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</si>
  <si>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</si>
  <si>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</si>
  <si>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</si>
  <si>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</si>
  <si>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</si>
  <si>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</si>
  <si>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</si>
  <si>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</si>
  <si>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</si>
  <si>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</si>
  <si>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</si>
  <si>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</si>
  <si>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</si>
  <si>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</si>
  <si>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</si>
  <si>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</si>
  <si>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</si>
  <si>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</si>
  <si>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</si>
  <si>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</si>
  <si>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</si>
  <si>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</si>
  <si>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</si>
  <si>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</si>
  <si>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</si>
  <si>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</si>
  <si>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</si>
  <si>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</si>
  <si>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</si>
  <si>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</si>
  <si>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</si>
  <si>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</si>
  <si>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</si>
  <si>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</si>
  <si>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</si>
  <si>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</si>
  <si>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</si>
  <si>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</si>
  <si>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</si>
  <si>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</si>
  <si>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</si>
  <si>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</si>
  <si>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</si>
  <si>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</si>
  <si>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</si>
  <si>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</si>
  <si>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</si>
  <si>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</si>
  <si>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</si>
  <si>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</si>
  <si>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</si>
  <si>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</si>
  <si>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</si>
  <si>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</si>
  <si>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</si>
  <si>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</si>
  <si>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</si>
  <si>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</si>
  <si>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</si>
  <si>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</si>
  <si>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</si>
  <si>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</si>
  <si>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</si>
  <si>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</si>
  <si>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</si>
  <si>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</si>
  <si>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</si>
  <si>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</si>
  <si>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</si>
  <si>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</si>
  <si>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</si>
  <si>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</si>
  <si>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</si>
  <si>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</si>
  <si>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</si>
  <si>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</si>
  <si>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</si>
  <si>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</si>
  <si>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</si>
  <si>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</si>
  <si>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</si>
  <si>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</si>
  <si>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</si>
  <si>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</si>
  <si>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</si>
  <si>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</si>
  <si>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</si>
  <si>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</si>
  <si>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</si>
  <si>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</si>
  <si>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</si>
  <si>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</si>
  <si>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</si>
  <si>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</si>
  <si>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</si>
  <si>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</si>
  <si>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</si>
  <si>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</si>
  <si>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</si>
  <si>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</si>
  <si>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</si>
  <si>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</si>
  <si>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</si>
  <si>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</si>
  <si>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</si>
  <si>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</si>
  <si>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</si>
  <si>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</si>
  <si>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</si>
  <si>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</si>
  <si>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</si>
  <si>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</si>
  <si>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</si>
  <si>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</si>
  <si>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</si>
  <si>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</si>
  <si>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</si>
  <si>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</si>
  <si>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</si>
  <si>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</si>
  <si>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</si>
  <si>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</si>
  <si>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</si>
  <si>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</si>
  <si>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</si>
  <si>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</si>
  <si>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</si>
  <si>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</si>
  <si>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</si>
  <si>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</si>
  <si>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</si>
  <si>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</si>
  <si>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</si>
  <si>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</si>
  <si>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</si>
  <si>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</si>
  <si>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</si>
  <si>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</si>
  <si>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</si>
  <si>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</si>
  <si>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</si>
  <si>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</si>
  <si>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</si>
  <si>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</si>
  <si>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</si>
  <si>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</si>
  <si>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</si>
  <si>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</si>
  <si>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</si>
  <si>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</si>
  <si>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</si>
  <si>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</si>
  <si>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</si>
  <si>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</si>
  <si>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</si>
  <si>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</si>
  <si>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</si>
  <si>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</si>
  <si>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</si>
  <si>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</si>
  <si>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</si>
  <si>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</si>
  <si>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</si>
  <si>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</si>
  <si>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</si>
  <si>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</si>
  <si>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</si>
  <si>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</si>
  <si>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</si>
  <si>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</si>
  <si>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</si>
  <si>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</si>
  <si>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</si>
  <si>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</si>
  <si>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</si>
  <si>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</si>
  <si>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</si>
  <si>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</si>
  <si>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</si>
  <si>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</si>
  <si>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</si>
  <si>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</si>
  <si>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</si>
  <si>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</si>
  <si>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</si>
  <si>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</si>
  <si>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</si>
  <si>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</si>
  <si>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</si>
  <si>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</si>
  <si>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</si>
  <si>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</si>
  <si>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</si>
  <si>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</si>
  <si>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</si>
  <si>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</si>
  <si>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</si>
  <si>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</si>
  <si>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</si>
  <si>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</si>
  <si>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</si>
  <si>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</si>
  <si>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</si>
  <si>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</si>
  <si>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</si>
  <si>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</si>
  <si>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</si>
  <si>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</si>
  <si>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</si>
  <si>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</si>
  <si>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</si>
  <si>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</si>
  <si>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</si>
  <si>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</si>
  <si>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</si>
  <si>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</si>
  <si>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</si>
  <si>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</si>
  <si>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</si>
  <si>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</si>
  <si>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</si>
  <si>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</si>
  <si>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</si>
  <si>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</si>
  <si>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</si>
  <si>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</si>
  <si>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</si>
  <si>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</si>
  <si>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</si>
  <si>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</si>
  <si>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</si>
  <si>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</si>
  <si>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</si>
  <si>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</si>
  <si>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</si>
  <si>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</si>
  <si>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</si>
  <si>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</si>
  <si>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</si>
  <si>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</si>
  <si>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</si>
  <si>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</si>
  <si>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</si>
  <si>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</si>
  <si>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</si>
  <si>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</si>
  <si>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</si>
  <si>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</si>
  <si>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</si>
  <si>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</si>
  <si>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</si>
  <si>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</si>
  <si>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</si>
  <si>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</si>
  <si>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</si>
  <si>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</si>
  <si>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</si>
  <si>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</si>
  <si>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</si>
  <si>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</si>
  <si>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</si>
  <si>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</si>
  <si>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</si>
  <si>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</si>
  <si>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</si>
  <si>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</si>
  <si>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</si>
  <si>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</si>
  <si>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</si>
  <si>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</si>
  <si>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</si>
  <si>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</si>
  <si>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</si>
  <si>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</si>
  <si>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</si>
  <si>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</si>
  <si>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</si>
  <si>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</si>
  <si>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</si>
  <si>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</si>
  <si>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</si>
  <si>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</si>
  <si>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</si>
  <si>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</si>
  <si>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</si>
  <si>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</si>
  <si>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</si>
  <si>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</si>
  <si>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</si>
  <si>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</si>
  <si>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</si>
  <si>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</si>
  <si>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</si>
  <si>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</si>
  <si>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</si>
  <si>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</si>
  <si>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</si>
  <si>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</si>
  <si>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</si>
  <si>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</si>
  <si>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</si>
  <si>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</si>
  <si>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</si>
  <si>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</si>
  <si>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</si>
  <si>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</si>
  <si>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</si>
  <si>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</si>
  <si>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</si>
  <si>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</si>
  <si>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</si>
  <si>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</si>
  <si>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</si>
  <si>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</si>
  <si>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</si>
  <si>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</si>
  <si>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</si>
  <si>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</si>
  <si>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</si>
  <si>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</si>
  <si>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</si>
  <si>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</si>
  <si>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</si>
  <si>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</si>
  <si>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</si>
  <si>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</si>
  <si>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</si>
  <si>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</si>
  <si>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</si>
  <si>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</si>
  <si>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</si>
  <si>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</si>
  <si>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</si>
  <si>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</si>
  <si>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</si>
  <si>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</si>
  <si>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</si>
  <si>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</si>
  <si>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</si>
  <si>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</si>
  <si>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</si>
  <si>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</si>
  <si>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</si>
  <si>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</si>
  <si>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</si>
  <si>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</si>
  <si>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</si>
  <si>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</si>
  <si>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</si>
  <si>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</si>
  <si>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</si>
  <si>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</si>
  <si>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</si>
  <si>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</si>
  <si>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</si>
  <si>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</si>
  <si>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</si>
  <si>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</si>
  <si>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</si>
  <si>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</si>
  <si>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</si>
  <si>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</si>
  <si>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</si>
  <si>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</si>
  <si>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</si>
  <si>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</si>
  <si>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</si>
  <si>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</si>
  <si>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</si>
  <si>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</si>
  <si>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</si>
  <si>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</si>
  <si>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</si>
  <si>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</si>
  <si>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</si>
  <si>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</si>
  <si>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</si>
  <si>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</si>
  <si>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</si>
  <si>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</si>
  <si>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</si>
  <si>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</si>
  <si>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</si>
  <si>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</si>
  <si>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</si>
  <si>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</si>
  <si>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</si>
  <si>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</si>
  <si>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</si>
  <si>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</si>
  <si>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</si>
  <si>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</si>
  <si>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</si>
  <si>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</si>
  <si>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</si>
  <si>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</si>
  <si>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</si>
  <si>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</si>
  <si>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</si>
  <si>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</si>
  <si>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</si>
  <si>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</si>
  <si>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Encontro Técnico– SEMAT: Concessões e Fiscalização de Pessoa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</si>
  <si>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</si>
  <si>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</si>
  <si>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</si>
  <si>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</si>
  <si>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</si>
  <si>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</si>
  <si>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</si>
  <si>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Oficina MROSC para servidores do GDF</t>
  </si>
  <si>
    <t>10/08/2026</t>
  </si>
  <si>
    <t>2026-059</t>
  </si>
  <si>
    <t>8446/2026</t>
  </si>
  <si>
    <t>Oficina Temática de Obras 1 - SEMAT: Reajuste de preços</t>
  </si>
  <si>
    <t>Thiago Magalhães de Oliveira</t>
  </si>
  <si>
    <t>Thiago Magalhães de Oliveira; Silvia Lima Damasceno Carvalho</t>
  </si>
  <si>
    <t>8450/2026</t>
  </si>
  <si>
    <t>Oficina Temática de Obras 2 - SEMAT: Pesquisa de Preços</t>
  </si>
  <si>
    <t>11/08/2026</t>
  </si>
  <si>
    <t>8510/2026</t>
  </si>
  <si>
    <t>Oficina Temática de Obras 3 – SEMAT: Controle Tecnológico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</si>
</sst>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504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/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0" totalsRowShown="0">
  <autoFilter ref="A3:D90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706" activePane="bottomLeft" state="frozen"/>
      <selection pane="bottomLeft" activeCell="H718" sqref="H718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/>
      <c r="N682" s="73"/>
      <c r="O682" s="73"/>
      <c r="P682" s="73"/>
      <c r="Q682" s="73"/>
      <c r="R682" s="73">
        <f t="shared" si="13"/>
        <v>0</v>
      </c>
      <c r="S682" s="70">
        <v>12</v>
      </c>
      <c r="T682" s="20" t="s">
        <v>2043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2114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/>
      <c r="I684" s="69"/>
      <c r="J684" s="69"/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7687.86</v>
      </c>
      <c r="M688" s="214">
        <v>4.6900000000000004</v>
      </c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2103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/>
      <c r="I699" s="213"/>
      <c r="J699" s="213"/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/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9745.9500000000007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1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2103</v>
      </c>
      <c r="D713" s="209" t="s">
        <v>2375</v>
      </c>
      <c r="E713" s="244" t="s">
        <v>2376</v>
      </c>
      <c r="F713" s="211" t="s">
        <v>51</v>
      </c>
      <c r="G713" s="208" t="s">
        <v>59</v>
      </c>
      <c r="H713" s="212" t="s">
        <v>2377</v>
      </c>
      <c r="I713" s="213">
        <v>46247</v>
      </c>
      <c r="J713" s="213">
        <v>46247</v>
      </c>
      <c r="K713" s="209" t="s">
        <v>32</v>
      </c>
      <c r="L713" s="223"/>
      <c r="M713" s="214"/>
      <c r="N713" s="215">
        <v>50</v>
      </c>
      <c r="O713" s="216"/>
      <c r="P713" s="216"/>
      <c r="Q713" s="216"/>
      <c r="R713" s="216">
        <f t="shared" si="14"/>
        <v>0</v>
      </c>
      <c r="S713" s="209">
        <v>4</v>
      </c>
      <c r="T713" s="208" t="s">
        <v>2379</v>
      </c>
    </row>
    <row r="714" spans="1:21" ht="23.2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2103</v>
      </c>
      <c r="D714" s="218" t="s">
        <v>2380</v>
      </c>
      <c r="E714" s="245" t="s">
        <v>2382</v>
      </c>
      <c r="F714" s="220" t="s">
        <v>51</v>
      </c>
      <c r="G714" s="217" t="s">
        <v>59</v>
      </c>
      <c r="H714" s="221" t="s">
        <v>2383</v>
      </c>
      <c r="I714" s="222">
        <v>46246</v>
      </c>
      <c r="J714" s="222">
        <v>46246</v>
      </c>
      <c r="K714" s="218" t="s">
        <v>32</v>
      </c>
      <c r="L714" s="223"/>
      <c r="M714" s="214"/>
      <c r="N714" s="225">
        <v>50</v>
      </c>
      <c r="O714" s="224"/>
      <c r="P714" s="224"/>
      <c r="Q714" s="224"/>
      <c r="R714" s="224">
        <f>IF(B714="","",SUM(O714:Q714))</f>
        <v>0</v>
      </c>
      <c r="S714" s="218">
        <v>4</v>
      </c>
      <c r="T714" s="217" t="s">
        <v>1478</v>
      </c>
    </row>
    <row r="715" spans="1:21" ht="23.2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2103</v>
      </c>
      <c r="D715" s="209" t="s">
        <v>2381</v>
      </c>
      <c r="E715" s="244" t="s">
        <v>2384</v>
      </c>
      <c r="F715" s="211" t="s">
        <v>51</v>
      </c>
      <c r="G715" s="208" t="s">
        <v>59</v>
      </c>
      <c r="H715" s="212" t="s">
        <v>2385</v>
      </c>
      <c r="I715" s="213">
        <v>46244</v>
      </c>
      <c r="J715" s="213">
        <v>46244</v>
      </c>
      <c r="K715" s="209" t="s">
        <v>32</v>
      </c>
      <c r="L715" s="223"/>
      <c r="M715" s="214"/>
      <c r="N715" s="215">
        <v>20</v>
      </c>
      <c r="O715" s="216"/>
      <c r="P715" s="216"/>
      <c r="Q715" s="216"/>
      <c r="R715" s="216">
        <f t="shared" si="14"/>
        <v>0</v>
      </c>
      <c r="S715" s="209">
        <v>4</v>
      </c>
      <c r="T715" s="208" t="s">
        <v>1848</v>
      </c>
    </row>
    <row r="716" spans="1:21" ht="23.25" customHeight="1" x14ac:dyDescent="0.25">
      <c r="A716" s="217" t="str">
        <f>IF(B716="","",B716&amp;"-"&amp;TEXT(COUNTIF(B$2:B716,B716),"000"))</f>
        <v>2026-060</v>
      </c>
      <c r="B716" s="218">
        <v>2026</v>
      </c>
      <c r="C716" s="218" t="s">
        <v>2103</v>
      </c>
      <c r="D716" s="218" t="s">
        <v>2387</v>
      </c>
      <c r="E716" s="245" t="s">
        <v>2388</v>
      </c>
      <c r="F716" s="220" t="s">
        <v>51</v>
      </c>
      <c r="G716" s="217" t="s">
        <v>59</v>
      </c>
      <c r="H716" s="221" t="s">
        <v>2385</v>
      </c>
      <c r="I716" s="222">
        <v>46244</v>
      </c>
      <c r="J716" s="222">
        <v>46244</v>
      </c>
      <c r="K716" s="218" t="s">
        <v>32</v>
      </c>
      <c r="L716" s="223"/>
      <c r="M716" s="214"/>
      <c r="N716" s="225">
        <v>30</v>
      </c>
      <c r="O716" s="224"/>
      <c r="P716" s="224"/>
      <c r="Q716" s="224"/>
      <c r="R716" s="224">
        <f t="shared" si="14"/>
        <v>0</v>
      </c>
      <c r="S716" s="218">
        <v>4</v>
      </c>
      <c r="T716" s="217" t="s">
        <v>2390</v>
      </c>
    </row>
    <row r="717" spans="1:21" ht="23.25" customHeight="1" x14ac:dyDescent="0.25">
      <c r="A717" s="208" t="str">
        <f>IF(B717="","",B717&amp;"-"&amp;TEXT(COUNTIF(B$2:B717,B717),"000"))</f>
        <v>2026-061</v>
      </c>
      <c r="B717" s="209">
        <v>2026</v>
      </c>
      <c r="C717" s="218" t="s">
        <v>2103</v>
      </c>
      <c r="D717" s="209" t="s">
        <v>2391</v>
      </c>
      <c r="E717" s="244" t="s">
        <v>2392</v>
      </c>
      <c r="F717" s="211" t="s">
        <v>51</v>
      </c>
      <c r="G717" s="208" t="s">
        <v>59</v>
      </c>
      <c r="H717" s="212" t="s">
        <v>2393</v>
      </c>
      <c r="I717" s="213">
        <v>46245</v>
      </c>
      <c r="J717" s="213">
        <v>46245</v>
      </c>
      <c r="K717" s="209" t="s">
        <v>32</v>
      </c>
      <c r="L717" s="223"/>
      <c r="M717" s="214"/>
      <c r="N717" s="215">
        <v>30</v>
      </c>
      <c r="O717" s="216"/>
      <c r="P717" s="216"/>
      <c r="Q717" s="216"/>
      <c r="R717" s="216">
        <f t="shared" si="14"/>
        <v>0</v>
      </c>
      <c r="S717" s="209">
        <v>4</v>
      </c>
      <c r="T717" s="208" t="s">
        <v>1856</v>
      </c>
    </row>
    <row r="718" spans="1:21" ht="23.25" customHeight="1" x14ac:dyDescent="0.25">
      <c r="A718" s="217" t="str">
        <f>IF(B718="","",B718&amp;"-"&amp;TEXT(COUNTIF(B$2:B718,B718),"000"))</f>
        <v>2026-062</v>
      </c>
      <c r="B718" s="218">
        <v>2026</v>
      </c>
      <c r="C718" s="218" t="s">
        <v>2103</v>
      </c>
      <c r="D718" s="218" t="s">
        <v>2394</v>
      </c>
      <c r="E718" s="245" t="s">
        <v>2395</v>
      </c>
      <c r="F718" s="220" t="s">
        <v>51</v>
      </c>
      <c r="G718" s="217" t="s">
        <v>59</v>
      </c>
      <c r="H718" s="221"/>
      <c r="I718" s="222"/>
      <c r="J718" s="222"/>
      <c r="K718" s="218"/>
      <c r="L718" s="223"/>
      <c r="M718" s="214"/>
      <c r="N718" s="225"/>
      <c r="O718" s="224"/>
      <c r="P718" s="224"/>
      <c r="Q718" s="224"/>
      <c r="R718" s="224">
        <f t="shared" si="14"/>
        <v>0</v>
      </c>
      <c r="S718" s="218"/>
      <c r="T718" s="217"/>
    </row>
    <row r="719" spans="1:21" ht="23.25" customHeight="1" x14ac:dyDescent="0.25">
      <c r="A719" s="208" t="str">
        <f>IF(B719="","",B719&amp;"-"&amp;TEXT(COUNTIF(B$2:B719,B719),"000"))</f>
        <v>2026-063</v>
      </c>
      <c r="B719" s="209">
        <v>2026</v>
      </c>
      <c r="C719" s="218" t="s">
        <v>2103</v>
      </c>
      <c r="D719" s="209"/>
      <c r="E719" s="244"/>
      <c r="F719" s="211"/>
      <c r="G719" s="208"/>
      <c r="H719" s="212"/>
      <c r="I719" s="213"/>
      <c r="J719" s="213"/>
      <c r="K719" s="209"/>
      <c r="L719" s="223"/>
      <c r="M719" s="214"/>
      <c r="N719" s="215"/>
      <c r="O719" s="216"/>
      <c r="P719" s="216"/>
      <c r="Q719" s="216"/>
      <c r="R719" s="216">
        <f t="shared" si="14"/>
        <v>0</v>
      </c>
      <c r="S719" s="209"/>
      <c r="T719" s="208"/>
    </row>
    <row r="720" spans="1:21" ht="23.25" customHeight="1" x14ac:dyDescent="0.25">
      <c r="A720" s="217" t="str">
        <f>IF(B720="","",B720&amp;"-"&amp;TEXT(COUNTIF(B$2:B720,B720),"000"))</f>
        <v/>
      </c>
      <c r="B720" s="218"/>
      <c r="C720" s="218"/>
      <c r="D720" s="218"/>
      <c r="E720" s="219"/>
      <c r="F720" s="220"/>
      <c r="G720" s="217"/>
      <c r="H720" s="221"/>
      <c r="I720" s="222"/>
      <c r="J720" s="222"/>
      <c r="K720" s="218"/>
      <c r="L720" s="223"/>
      <c r="M720" s="214"/>
      <c r="N720" s="225"/>
      <c r="O720" s="224"/>
      <c r="P720" s="224"/>
      <c r="Q720" s="224"/>
      <c r="R720" s="224" t="str">
        <f t="shared" si="14"/>
        <v/>
      </c>
      <c r="S720" s="218"/>
      <c r="T720" s="217"/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0"/>
  <sheetViews>
    <sheetView topLeftCell="A57" workbookViewId="0">
      <selection activeCell="D91" sqref="D91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  <row r="88" spans="1:4" x14ac:dyDescent="0.25">
      <c r="A88">
        <v>86</v>
      </c>
      <c r="B88" t="s">
        <v>2378</v>
      </c>
      <c r="D88" t="s">
        <v>2203</v>
      </c>
    </row>
    <row r="89" spans="1:4" x14ac:dyDescent="0.25">
      <c r="A89">
        <v>87</v>
      </c>
      <c r="B89" t="s">
        <v>2285</v>
      </c>
      <c r="D89" t="s">
        <v>2203</v>
      </c>
    </row>
    <row r="90" spans="1:4" x14ac:dyDescent="0.25">
      <c r="A90">
        <v>88</v>
      </c>
      <c r="B90" t="s">
        <v>2389</v>
      </c>
      <c r="D90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107" activePane="bottomLeft" state="frozen"/>
      <selection pane="bottomLeft" activeCell="H128" sqref="H128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22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2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3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Realizado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Realizado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L50">
        <v>2026</v>
      </c>
      <c r="M50" t="str">
        <v>2026-059</v>
      </c>
      <c r="N50" t="str">
        <v>A realizar</v>
      </c>
      <c r="O50" t="str">
        <v>Oficina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L51">
        <v>2026</v>
      </c>
      <c r="M51" t="str">
        <v>2026-060</v>
      </c>
      <c r="N51" t="str">
        <v>A realizar</v>
      </c>
      <c r="O51" t="str">
        <v>Oficina Temática de Obras 1 - SEMAT: Reajuste de preços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2026-061</v>
      </c>
      <c r="N52" t="str">
        <v>A realizar</v>
      </c>
      <c r="O52" t="str">
        <v>Oficina Temática de Obras 2 - SEMAT: Pesquisa de Preços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R53" t="str">
        <v/>
      </c>
      <c r="S53" t="str">
        <v/>
      </c>
      <c r="T53">
        <v>121</v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R54" t="str">
        <v/>
      </c>
      <c r="S54" t="str">
        <v/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R55" t="str">
        <v/>
      </c>
      <c r="S55" t="str">
        <v/>
      </c>
      <c r="X55" t="s">
        <v>2248</v>
      </c>
      <c r="Y55" t="s">
        <v>2285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  <c r="X56" t="s">
        <v>2386</v>
      </c>
      <c r="Y56" t="s">
        <v>2221</v>
      </c>
      <c r="Z56">
        <v>0</v>
      </c>
      <c r="AA56">
        <v>0</v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1 - SEMAT: Reajuste de preços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1 - SEMAT: Reajuste de preços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2 - SEMAT: Pesquisa de Preços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2 - SEMAT: Pesquisa de Preços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8" t="s">
        <v>2293</v>
      </c>
      <c r="B1" s="288"/>
      <c r="C1" s="288"/>
      <c r="D1" s="288"/>
      <c r="E1" s="288"/>
      <c r="F1" s="288"/>
      <c r="G1" s="288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9" t="s">
        <v>2294</v>
      </c>
      <c r="B4" s="290"/>
      <c r="D4" s="291" t="s">
        <v>2295</v>
      </c>
      <c r="E4" s="292"/>
      <c r="G4" s="125" t="s">
        <v>2296</v>
      </c>
    </row>
    <row r="5" spans="1:7" ht="54.95" customHeight="1" thickBot="1" x14ac:dyDescent="0.75">
      <c r="A5" s="115">
        <f>COUNTIF('Ações InCompany'!B:B,2026)</f>
        <v>63</v>
      </c>
      <c r="B5" s="116" t="s">
        <v>2297</v>
      </c>
      <c r="D5" s="123">
        <f>COUNTIFS('Ações InCompany'!B:B,2026,'Ações InCompany'!C:C,"Realizado")</f>
        <v>35</v>
      </c>
      <c r="E5" s="124" t="s">
        <v>2297</v>
      </c>
      <c r="G5" s="126">
        <f>COUNTIFS('Ações InCompany'!B:B,2026,'Ações InCompany'!C:C,"A realizar")</f>
        <v>25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6" t="s">
        <v>2298</v>
      </c>
      <c r="B8" s="286"/>
      <c r="D8" s="286" t="s">
        <v>2299</v>
      </c>
      <c r="E8" s="286"/>
    </row>
    <row r="9" spans="1:7" ht="5.0999999999999996" customHeight="1" x14ac:dyDescent="0.25">
      <c r="A9" s="287"/>
      <c r="B9" s="287"/>
      <c r="D9" s="287"/>
      <c r="E9" s="287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2303</v>
      </c>
      <c r="E11" s="110">
        <f>SUMIFS('Ações InCompany'!O:O,'Ações InCompany'!B:B,2026,'Ações InCompany'!C:C,"Realizado")</f>
        <v>504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35</v>
      </c>
      <c r="D14" s="113" t="s">
        <v>2307</v>
      </c>
      <c r="E14" s="114">
        <f>SUM(E11:E13)</f>
        <v>1544</v>
      </c>
    </row>
    <row r="30" spans="1:5" ht="17.25" x14ac:dyDescent="0.3">
      <c r="A30" s="286" t="s">
        <v>2308</v>
      </c>
      <c r="B30" s="286"/>
      <c r="C30" s="286"/>
      <c r="D30" s="286"/>
      <c r="E30" s="286"/>
    </row>
    <row r="31" spans="1:5" ht="5.0999999999999996" customHeight="1" x14ac:dyDescent="0.25">
      <c r="A31" s="287"/>
      <c r="B31" s="287"/>
      <c r="C31" s="287"/>
      <c r="D31" s="287"/>
      <c r="E31" s="287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12</v>
      </c>
      <c r="D33" s="117">
        <f t="shared" ref="D33:D44" si="0">B33+C33</f>
        <v>18</v>
      </c>
      <c r="E33" s="118">
        <f t="shared" ref="E33:E44" si="1">D33/$D$45</f>
        <v>0.3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0.05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3.3333333333333333E-2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3.3333333333333333E-2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0.21666666666666667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6.6666666666666666E-2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3.3333333333333333E-2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0.11666666666666667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3.3333333333333333E-2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1</v>
      </c>
      <c r="D44" s="149">
        <f t="shared" si="0"/>
        <v>1</v>
      </c>
      <c r="E44" s="150">
        <f t="shared" si="1"/>
        <v>1.6666666666666666E-2</v>
      </c>
    </row>
    <row r="45" spans="1:5" ht="24" customHeight="1" x14ac:dyDescent="0.25">
      <c r="A45" s="113" t="s">
        <v>2306</v>
      </c>
      <c r="B45" s="121">
        <f>SUM(B33:B44)</f>
        <v>35</v>
      </c>
      <c r="C45" s="121">
        <f>SUM(C33:C44)</f>
        <v>25</v>
      </c>
      <c r="D45" s="121">
        <f>SUM(D33:D44)</f>
        <v>60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3" t="s">
        <v>2358</v>
      </c>
      <c r="B1" s="293"/>
      <c r="C1" s="293"/>
      <c r="D1" s="293"/>
      <c r="E1" s="293"/>
      <c r="F1" s="293"/>
      <c r="G1" s="293"/>
      <c r="H1" s="293"/>
    </row>
    <row r="2" spans="1:8" x14ac:dyDescent="0.25">
      <c r="A2" s="130" t="s">
        <v>2359</v>
      </c>
    </row>
    <row r="4" spans="1:8" ht="21.95" customHeight="1" x14ac:dyDescent="0.25">
      <c r="A4" s="294" t="s">
        <v>2360</v>
      </c>
      <c r="B4" s="295"/>
      <c r="D4" s="294" t="s">
        <v>2361</v>
      </c>
      <c r="E4" s="295"/>
      <c r="G4" s="294" t="s">
        <v>2362</v>
      </c>
      <c r="H4" s="295"/>
    </row>
    <row r="5" spans="1:8" ht="35.1" customHeight="1" x14ac:dyDescent="0.25">
      <c r="A5" s="298">
        <f>COUNTIF('Ações InCompany'!E:E,"*maratona*")</f>
        <v>13</v>
      </c>
      <c r="B5" s="297"/>
      <c r="D5" s="296">
        <f>SUM(H8:H100)</f>
        <v>1762</v>
      </c>
      <c r="E5" s="297"/>
      <c r="G5" s="296">
        <f>IFERROR(ROUND(D5/A5,0),"-")</f>
        <v>136</v>
      </c>
      <c r="H5" s="297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9" t="s">
        <v>2368</v>
      </c>
      <c r="B1" s="299"/>
      <c r="C1" s="299"/>
      <c r="D1" s="299"/>
      <c r="E1" s="299"/>
      <c r="F1" s="299"/>
    </row>
    <row r="2" spans="1:7" x14ac:dyDescent="0.25">
      <c r="A2" s="300" t="s">
        <v>2369</v>
      </c>
      <c r="B2" s="300"/>
      <c r="C2" s="300"/>
      <c r="D2" s="300"/>
      <c r="E2" s="300"/>
      <c r="F2" s="300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48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55">
        <f>IF($A10="","",SUMIFS('GECC 2026'!$AE$3:$AE$32,'GECC 2026'!$AD$3:$AD$32,$A10))</f>
        <v>0</v>
      </c>
      <c r="E10" s="240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55">
        <f>IF($A11="","",SUMIFS('GECC 2026'!$AE$3:$AE$32,'GECC 2026'!$AD$3:$AD$32,$A11))</f>
        <v>16</v>
      </c>
      <c r="E11" s="240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61</v>
      </c>
      <c r="C12" s="103">
        <f>IF($A12="","",SUMIFS('GECC 2026'!I$2:I$200,'GECC 2026'!F$2:F$200,$A12))</f>
        <v>7.9800000000000013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68.98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0</v>
      </c>
      <c r="C16" s="103">
        <f>IF($A16="","",SUMIFS('GECC 2026'!I$2:I$200,'GECC 2026'!F$2:F$200,$A16))</f>
        <v>0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0</v>
      </c>
      <c r="F16" s="101">
        <f>IF($A16="","",COUNTIFS('GECC 2026'!F$2:F$200,$A16))</f>
        <v>2</v>
      </c>
    </row>
    <row r="17" spans="1:6" x14ac:dyDescent="0.25">
      <c r="A17" t="str">
        <v>Eustáquio Rabelo de Souza</v>
      </c>
      <c r="B17" s="103">
        <f>IF($A17="","",SUMIFS('GECC 2026'!H$2:H$200,'GECC 2026'!F$2:F$200,$A17))</f>
        <v>1</v>
      </c>
      <c r="C17" s="103">
        <f>IF($A17="","",SUMIFS('GECC 2026'!I$2:I$200,'GECC 2026'!F$2:F$200,$A17))</f>
        <v>0.3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1.3</v>
      </c>
      <c r="F17" s="101">
        <f>IF($A17="","",COUNTIFS('GECC 2026'!F$2:F$200,$A17))</f>
        <v>1</v>
      </c>
    </row>
    <row r="18" spans="1:6" x14ac:dyDescent="0.25">
      <c r="A18" t="str">
        <v>Felipe da Costa Malaquias</v>
      </c>
      <c r="B18" s="103">
        <f>IF($A18="","",SUMIFS('GECC 2026'!H$2:H$200,'GECC 2026'!F$2:F$200,$A18))</f>
        <v>8</v>
      </c>
      <c r="C18" s="103">
        <f>IF($A18="","",SUMIFS('GECC 2026'!I$2:I$200,'GECC 2026'!F$2:F$200,$A18))</f>
        <v>37.299999999999997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45.3</v>
      </c>
      <c r="F18" s="101">
        <f>IF($A18="","",COUNTIFS('GECC 2026'!F$2:F$200,$A18))</f>
        <v>2</v>
      </c>
    </row>
    <row r="19" spans="1:6" x14ac:dyDescent="0.25">
      <c r="A19" t="str">
        <v>Felipe Ramos Barbosa</v>
      </c>
      <c r="B19" s="103">
        <f>IF($A19="","",SUMIFS('GECC 2026'!H$2:H$200,'GECC 2026'!F$2:F$200,$A19))</f>
        <v>1</v>
      </c>
      <c r="C19" s="103">
        <f>IF($A19="","",SUMIFS('GECC 2026'!I$2:I$200,'GECC 2026'!F$2:F$200,$A19))</f>
        <v>0.3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1.3</v>
      </c>
      <c r="F19" s="101">
        <f>IF($A19="","",COUNTIFS('GECC 2026'!F$2:F$200,$A19))</f>
        <v>1</v>
      </c>
    </row>
    <row r="20" spans="1:6" x14ac:dyDescent="0.25">
      <c r="A20" t="str">
        <v>Fernanda Viana de Souza</v>
      </c>
      <c r="B20" s="103">
        <f>IF($A20="","",SUMIFS('GECC 2026'!H$2:H$200,'GECC 2026'!F$2:F$200,$A20))</f>
        <v>39</v>
      </c>
      <c r="C20" s="103">
        <f>IF($A20="","",SUMIFS('GECC 2026'!I$2:I$200,'GECC 2026'!F$2:F$200,$A20))</f>
        <v>4.5300000000000011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43.530000000000008</v>
      </c>
      <c r="F20" s="101">
        <f>IF($A20="","",COUNTIFS('GECC 2026'!F$2:F$200,$A20))</f>
        <v>10</v>
      </c>
    </row>
    <row r="21" spans="1:6" x14ac:dyDescent="0.25">
      <c r="A21" t="str">
        <v>Flávio José Fonseca de Souza</v>
      </c>
      <c r="B21" s="103">
        <f>IF($A21="","",SUMIFS('GECC 2026'!H$2:H$200,'GECC 2026'!F$2:F$200,$A21))</f>
        <v>8</v>
      </c>
      <c r="C21" s="103">
        <f>IF($A21="","",SUMIFS('GECC 2026'!I$2:I$200,'GECC 2026'!F$2:F$200,$A21))</f>
        <v>37.299999999999997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45.3</v>
      </c>
      <c r="F21" s="101">
        <f>IF($A21="","",COUNTIFS('GECC 2026'!F$2:F$200,$A21))</f>
        <v>2</v>
      </c>
    </row>
    <row r="22" spans="1:6" x14ac:dyDescent="0.25">
      <c r="A22" t="str">
        <v>Gabriel Heller</v>
      </c>
      <c r="B22" s="103">
        <f>IF($A22="","",SUMIFS('GECC 2026'!H$2:H$200,'GECC 2026'!F$2:F$200,$A22))</f>
        <v>4</v>
      </c>
      <c r="C22" s="103">
        <f>IF($A22="","",SUMIFS('GECC 2026'!I$2:I$200,'GECC 2026'!F$2:F$200,$A22))</f>
        <v>33.200000000000003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37.200000000000003</v>
      </c>
      <c r="F22" s="101">
        <f>IF($A22="","",COUNTIFS('GECC 2026'!F$2:F$200,$A22))</f>
        <v>2</v>
      </c>
    </row>
    <row r="23" spans="1:6" x14ac:dyDescent="0.25">
      <c r="A23" t="str">
        <v>Guilherme Bride Fernandes</v>
      </c>
      <c r="B23" s="103">
        <f>IF($A23="","",SUMIFS('GECC 2026'!H$2:H$200,'GECC 2026'!F$2:F$200,$A23))</f>
        <v>0</v>
      </c>
      <c r="C23" s="103">
        <f>IF($A23="","",SUMIFS('GECC 2026'!I$2:I$200,'GECC 2026'!F$2:F$200,$A23))</f>
        <v>0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0</v>
      </c>
      <c r="F23" s="101">
        <f>IF($A23="","",COUNTIFS('GECC 2026'!F$2:F$200,$A23))</f>
        <v>1</v>
      </c>
    </row>
    <row r="24" spans="1:6" x14ac:dyDescent="0.25">
      <c r="A24" t="str">
        <v>Gustavo Takahashi</v>
      </c>
      <c r="B24" s="103">
        <f>IF($A24="","",SUMIFS('GECC 2026'!H$2:H$200,'GECC 2026'!F$2:F$200,$A24))</f>
        <v>33</v>
      </c>
      <c r="C24" s="103">
        <f>IF($A24="","",SUMIFS('GECC 2026'!I$2:I$200,'GECC 2026'!F$2:F$200,$A24))</f>
        <v>0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33</v>
      </c>
      <c r="F24" s="101">
        <f>IF($A24="","",COUNTIFS('GECC 2026'!F$2:F$200,$A24))</f>
        <v>5</v>
      </c>
    </row>
    <row r="25" spans="1:6" x14ac:dyDescent="0.25">
      <c r="A25" t="str">
        <v>Hamilton de Jesus Lopes Neto</v>
      </c>
      <c r="B25" s="103">
        <f>IF($A25="","",SUMIFS('GECC 2026'!H$2:H$200,'GECC 2026'!F$2:F$200,$A25))</f>
        <v>12</v>
      </c>
      <c r="C25" s="103">
        <f>IF($A25="","",SUMIFS('GECC 2026'!I$2:I$200,'GECC 2026'!F$2:F$200,$A25))</f>
        <v>1.2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13.2</v>
      </c>
      <c r="F25" s="101">
        <f>IF($A25="","",COUNTIFS('GECC 2026'!F$2:F$200,$A25))</f>
        <v>1</v>
      </c>
    </row>
    <row r="26" spans="1:6" x14ac:dyDescent="0.25">
      <c r="A26" t="str">
        <v>Igor Queiroz</v>
      </c>
      <c r="B26" s="103">
        <f>IF($A26="","",SUMIFS('GECC 2026'!H$2:H$200,'GECC 2026'!F$2:F$200,$A26))</f>
        <v>1</v>
      </c>
      <c r="C26" s="103">
        <f>IF($A26="","",SUMIFS('GECC 2026'!I$2:I$200,'GECC 2026'!F$2:F$200,$A26))</f>
        <v>0.3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1.3</v>
      </c>
      <c r="F26" s="101">
        <f>IF($A26="","",COUNTIFS('GECC 2026'!F$2:F$200,$A26))</f>
        <v>1</v>
      </c>
    </row>
    <row r="27" spans="1:6" x14ac:dyDescent="0.25">
      <c r="A27" t="str">
        <v>Indio Artiaga do Brasil Rabelo</v>
      </c>
      <c r="B27" s="103">
        <f>IF($A27="","",SUMIFS('GECC 2026'!H$2:H$200,'GECC 2026'!F$2:F$200,$A27))</f>
        <v>16</v>
      </c>
      <c r="C27" s="103">
        <f>IF($A27="","",SUMIFS('GECC 2026'!I$2:I$200,'GECC 2026'!F$2:F$200,$A27))</f>
        <v>4.8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20.8</v>
      </c>
      <c r="F27" s="101">
        <f>IF($A27="","",COUNTIFS('GECC 2026'!F$2:F$200,$A27))</f>
        <v>2</v>
      </c>
    </row>
    <row r="28" spans="1:6" x14ac:dyDescent="0.25">
      <c r="A28" t="str">
        <v>Jamile Medeiros Fon</v>
      </c>
      <c r="B28" s="103">
        <f>IF($A28="","",SUMIFS('GECC 2026'!H$2:H$200,'GECC 2026'!F$2:F$200,$A28))</f>
        <v>4</v>
      </c>
      <c r="C28" s="103">
        <f>IF($A28="","",SUMIFS('GECC 2026'!I$2:I$200,'GECC 2026'!F$2:F$200,$A28))</f>
        <v>1.2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5.2</v>
      </c>
      <c r="F28" s="101">
        <f>IF($A28="","",COUNTIFS('GECC 2026'!F$2:F$200,$A28))</f>
        <v>1</v>
      </c>
    </row>
    <row r="29" spans="1:6" x14ac:dyDescent="0.25">
      <c r="A29" t="str">
        <v>José Roberto Alcuri Júnior</v>
      </c>
      <c r="B29" s="103">
        <f>IF($A29="","",SUMIFS('GECC 2026'!H$2:H$200,'GECC 2026'!F$2:F$200,$A29))</f>
        <v>1</v>
      </c>
      <c r="C29" s="103">
        <f>IF($A29="","",SUMIFS('GECC 2026'!I$2:I$200,'GECC 2026'!F$2:F$200,$A29))</f>
        <v>0.3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1.3</v>
      </c>
      <c r="F29" s="101">
        <f>IF($A29="","",COUNTIFS('GECC 2026'!F$2:F$200,$A29))</f>
        <v>2</v>
      </c>
    </row>
    <row r="30" spans="1:6" x14ac:dyDescent="0.25">
      <c r="A30" t="str">
        <v>Leonardo de Melo</v>
      </c>
      <c r="B30" s="103">
        <f>IF($A30="","",SUMIFS('GECC 2026'!H$2:H$200,'GECC 2026'!F$2:F$200,$A30))</f>
        <v>0</v>
      </c>
      <c r="C30" s="103">
        <f>IF($A30="","",SUMIFS('GECC 2026'!I$2:I$200,'GECC 2026'!F$2:F$200,$A30))</f>
        <v>0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0</v>
      </c>
      <c r="F30" s="101">
        <f>IF($A30="","",COUNTIFS('GECC 2026'!F$2:F$200,$A30))</f>
        <v>2</v>
      </c>
    </row>
    <row r="31" spans="1:6" x14ac:dyDescent="0.25">
      <c r="A31" t="str">
        <v>Leonardo José Alves Leal Neri</v>
      </c>
      <c r="B31" s="103">
        <f>IF($A31="","",SUMIFS('GECC 2026'!H$2:H$200,'GECC 2026'!F$2:F$200,$A31))</f>
        <v>40</v>
      </c>
      <c r="C31" s="103">
        <f>IF($A31="","",SUMIFS('GECC 2026'!I$2:I$200,'GECC 2026'!F$2:F$200,$A31))</f>
        <v>12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52</v>
      </c>
      <c r="F31" s="101">
        <f>IF($A31="","",COUNTIFS('GECC 2026'!F$2:F$200,$A31))</f>
        <v>2</v>
      </c>
    </row>
    <row r="32" spans="1:6" x14ac:dyDescent="0.25">
      <c r="A32" t="str">
        <v>Luciana Alvim</v>
      </c>
      <c r="B32" s="103">
        <f>IF($A32="","",SUMIFS('GECC 2026'!H$2:H$200,'GECC 2026'!F$2:F$200,$A32))</f>
        <v>60</v>
      </c>
      <c r="C32" s="103">
        <f>IF($A32="","",SUMIFS('GECC 2026'!I$2:I$200,'GECC 2026'!F$2:F$200,$A32))</f>
        <v>94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154</v>
      </c>
      <c r="F32" s="101">
        <f>IF($A32="","",COUNTIFS('GECC 2026'!F$2:F$200,$A32))</f>
        <v>6</v>
      </c>
    </row>
    <row r="33" spans="1:6" x14ac:dyDescent="0.25">
      <c r="A33" t="str">
        <v>Luiz Felipe Tenório de Lima Gondim</v>
      </c>
      <c r="B33" s="103">
        <f>IF($A33="","",SUMIFS('GECC 2026'!H$2:H$200,'GECC 2026'!F$2:F$200,$A33))</f>
        <v>24</v>
      </c>
      <c r="C33" s="103">
        <f>IF($A33="","",SUMIFS('GECC 2026'!I$2:I$200,'GECC 2026'!F$2:F$200,$A33))</f>
        <v>1.44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25.440000000000005</v>
      </c>
      <c r="F33" s="101">
        <f>IF($A33="","",COUNTIFS('GECC 2026'!F$2:F$200,$A33))</f>
        <v>6</v>
      </c>
    </row>
    <row r="34" spans="1:6" x14ac:dyDescent="0.25">
      <c r="A34" t="str">
        <v>Marcelo Bálbio Moraes</v>
      </c>
      <c r="B34" s="103">
        <f>IF($A34="","",SUMIFS('GECC 2026'!H$2:H$200,'GECC 2026'!F$2:F$200,$A34))</f>
        <v>0</v>
      </c>
      <c r="C34" s="103">
        <f>IF($A34="","",SUMIFS('GECC 2026'!I$2:I$200,'GECC 2026'!F$2:F$200,$A34))</f>
        <v>0</v>
      </c>
      <c r="D34" s="255">
        <f>IF($A34="","",SUMIFS('GECC 2026'!$AE$3:$AE$32,'GECC 2026'!$AD$3:$AD$32,$A34))</f>
        <v>16</v>
      </c>
      <c r="E34" s="240">
        <f>IF($A34="","",SUMIFS('GECC 2026'!J$2:J$200,'GECC 2026'!F$2:F$200,$A34)+SUMIFS('GECC 2026'!$AE$3:$AE$32,'GECC 2026'!$AD$3:$AD$32,$A34))</f>
        <v>16</v>
      </c>
      <c r="F34" s="101">
        <f>IF($A34="","",COUNTIFS('GECC 2026'!F$2:F$200,$A34))</f>
        <v>0</v>
      </c>
    </row>
    <row r="35" spans="1:6" x14ac:dyDescent="0.25">
      <c r="A35" t="str">
        <v>Marcelo Santana</v>
      </c>
      <c r="B35" s="103">
        <f>IF($A35="","",SUMIFS('GECC 2026'!H$2:H$200,'GECC 2026'!F$2:F$200,$A35))</f>
        <v>1</v>
      </c>
      <c r="C35" s="103">
        <f>IF($A35="","",SUMIFS('GECC 2026'!I$2:I$200,'GECC 2026'!F$2:F$200,$A35))</f>
        <v>0.3</v>
      </c>
      <c r="D35" s="255">
        <f>IF($A35="","",SUMIFS('GECC 2026'!$AE$3:$AE$32,'GECC 2026'!$AD$3:$AD$32,$A35))</f>
        <v>0</v>
      </c>
      <c r="E35" s="240">
        <f>IF($A35="","",SUMIFS('GECC 2026'!J$2:J$200,'GECC 2026'!F$2:F$200,$A35)+SUMIFS('GECC 2026'!$AE$3:$AE$32,'GECC 2026'!$AD$3:$AD$32,$A35))</f>
        <v>1.3</v>
      </c>
      <c r="F35" s="101">
        <f>IF($A35="","",COUNTIFS('GECC 2026'!F$2:F$200,$A35))</f>
        <v>1</v>
      </c>
    </row>
    <row r="36" spans="1:6" x14ac:dyDescent="0.25">
      <c r="A36" t="str">
        <v>Mauri Siqueira Montessi</v>
      </c>
      <c r="B36" s="103">
        <f>IF($A36="","",SUMIFS('GECC 2026'!H$2:H$200,'GECC 2026'!F$2:F$200,$A36))</f>
        <v>0</v>
      </c>
      <c r="C36" s="103">
        <f>IF($A36="","",SUMIFS('GECC 2026'!I$2:I$200,'GECC 2026'!F$2:F$200,$A36))</f>
        <v>0</v>
      </c>
      <c r="D36" s="255">
        <f>IF($A36="","",SUMIFS('GECC 2026'!$AE$3:$AE$32,'GECC 2026'!$AD$3:$AD$32,$A36))</f>
        <v>16</v>
      </c>
      <c r="E36" s="240">
        <f>IF($A36="","",SUMIFS('GECC 2026'!J$2:J$200,'GECC 2026'!F$2:F$200,$A36)+SUMIFS('GECC 2026'!$AE$3:$AE$32,'GECC 2026'!$AD$3:$AD$32,$A36))</f>
        <v>16</v>
      </c>
      <c r="F36" s="101">
        <f>IF($A36="","",COUNTIFS('GECC 2026'!F$2:F$200,$A36))</f>
        <v>0</v>
      </c>
    </row>
    <row r="37" spans="1:6" x14ac:dyDescent="0.25">
      <c r="A37" t="str">
        <v>Michel Martins de Morais</v>
      </c>
      <c r="B37" s="103">
        <f>IF($A37="","",SUMIFS('GECC 2026'!H$2:H$200,'GECC 2026'!F$2:F$200,$A37))</f>
        <v>0</v>
      </c>
      <c r="C37" s="103">
        <f>IF($A37="","",SUMIFS('GECC 2026'!I$2:I$200,'GECC 2026'!F$2:F$200,$A37))</f>
        <v>0</v>
      </c>
      <c r="D37" s="255">
        <f>IF($A37="","",SUMIFS('GECC 2026'!$AE$3:$AE$32,'GECC 2026'!$AD$3:$AD$32,$A37))</f>
        <v>16</v>
      </c>
      <c r="E37" s="240">
        <f>IF($A37="","",SUMIFS('GECC 2026'!J$2:J$200,'GECC 2026'!F$2:F$200,$A37)+SUMIFS('GECC 2026'!$AE$3:$AE$32,'GECC 2026'!$AD$3:$AD$32,$A37))</f>
        <v>16</v>
      </c>
      <c r="F37" s="101">
        <f>IF($A37="","",COUNTIFS('GECC 2026'!F$2:F$200,$A37))</f>
        <v>0</v>
      </c>
    </row>
    <row r="38" spans="1:6" x14ac:dyDescent="0.25">
      <c r="A38" t="str">
        <v>Paulo José Góes Daltro</v>
      </c>
      <c r="B38" s="103">
        <f>IF($A38="","",SUMIFS('GECC 2026'!H$2:H$200,'GECC 2026'!F$2:F$200,$A38))</f>
        <v>28</v>
      </c>
      <c r="C38" s="103">
        <f>IF($A38="","",SUMIFS('GECC 2026'!I$2:I$200,'GECC 2026'!F$2:F$200,$A38))</f>
        <v>8.3999999999999986</v>
      </c>
      <c r="D38" s="255">
        <f>IF($A38="","",SUMIFS('GECC 2026'!$AE$3:$AE$32,'GECC 2026'!$AD$3:$AD$32,$A38))</f>
        <v>0</v>
      </c>
      <c r="E38" s="240">
        <f>IF($A38="","",SUMIFS('GECC 2026'!J$2:J$200,'GECC 2026'!F$2:F$200,$A38)+SUMIFS('GECC 2026'!$AE$3:$AE$32,'GECC 2026'!$AD$3:$AD$32,$A38))</f>
        <v>36.4</v>
      </c>
      <c r="F38" s="101">
        <f>IF($A38="","",COUNTIFS('GECC 2026'!F$2:F$200,$A38))</f>
        <v>3</v>
      </c>
    </row>
    <row r="39" spans="1:6" x14ac:dyDescent="0.25">
      <c r="A39" t="str">
        <v>Priscila Nolasco de Oliveira</v>
      </c>
      <c r="B39" s="103">
        <f>IF($A39="","",SUMIFS('GECC 2026'!H$2:H$200,'GECC 2026'!F$2:F$200,$A39))</f>
        <v>36</v>
      </c>
      <c r="C39" s="103">
        <f>IF($A39="","",SUMIFS('GECC 2026'!I$2:I$200,'GECC 2026'!F$2:F$200,$A39))</f>
        <v>2.16</v>
      </c>
      <c r="D39" s="255">
        <f>IF($A39="","",SUMIFS('GECC 2026'!$AE$3:$AE$32,'GECC 2026'!$AD$3:$AD$32,$A39))</f>
        <v>0</v>
      </c>
      <c r="E39" s="240">
        <f>IF($A39="","",SUMIFS('GECC 2026'!J$2:J$200,'GECC 2026'!F$2:F$200,$A39)+SUMIFS('GECC 2026'!$AE$3:$AE$32,'GECC 2026'!$AD$3:$AD$32,$A39))</f>
        <v>38.160000000000011</v>
      </c>
      <c r="F39" s="101">
        <f>IF($A39="","",COUNTIFS('GECC 2026'!F$2:F$200,$A39))</f>
        <v>9</v>
      </c>
    </row>
    <row r="40" spans="1:6" x14ac:dyDescent="0.25">
      <c r="A40" t="str">
        <v>Reinaldo Alencar</v>
      </c>
      <c r="B40" s="103">
        <f>IF($A40="","",SUMIFS('GECC 2026'!H$2:H$200,'GECC 2026'!F$2:F$200,$A40))</f>
        <v>48</v>
      </c>
      <c r="C40" s="103">
        <f>IF($A40="","",SUMIFS('GECC 2026'!I$2:I$200,'GECC 2026'!F$2:F$200,$A40))</f>
        <v>7.1999999999999993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55.2</v>
      </c>
      <c r="F40" s="101">
        <f>IF($A40="","",COUNTIFS('GECC 2026'!F$2:F$200,$A40))</f>
        <v>3</v>
      </c>
    </row>
    <row r="41" spans="1:6" x14ac:dyDescent="0.25">
      <c r="A41" t="str">
        <v>Rogério Ribeiro</v>
      </c>
      <c r="B41" s="103">
        <f>IF($A41="","",SUMIFS('GECC 2026'!H$2:H$200,'GECC 2026'!F$2:F$200,$A41))</f>
        <v>48</v>
      </c>
      <c r="C41" s="103">
        <f>IF($A41="","",SUMIFS('GECC 2026'!I$2:I$200,'GECC 2026'!F$2:F$200,$A41))</f>
        <v>7.1999999999999993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55.2</v>
      </c>
      <c r="F41" s="101">
        <f>IF($A41="","",COUNTIFS('GECC 2026'!F$2:F$200,$A41))</f>
        <v>3</v>
      </c>
    </row>
    <row r="42" spans="1:6" x14ac:dyDescent="0.25">
      <c r="A42" t="str">
        <v>Rômulo Miranda Alvim</v>
      </c>
      <c r="B42" s="103">
        <f>IF($A42="","",SUMIFS('GECC 2026'!H$2:H$200,'GECC 2026'!F$2:F$200,$A42))</f>
        <v>24</v>
      </c>
      <c r="C42" s="103">
        <f>IF($A42="","",SUMIFS('GECC 2026'!I$2:I$200,'GECC 2026'!F$2:F$200,$A42))</f>
        <v>3.6</v>
      </c>
      <c r="D42" s="255">
        <f>IF($A42="","",SUMIFS('GECC 2026'!$AE$3:$AE$32,'GECC 2026'!$AD$3:$AD$32,$A42))</f>
        <v>16</v>
      </c>
      <c r="E42" s="240">
        <f>IF($A42="","",SUMIFS('GECC 2026'!J$2:J$200,'GECC 2026'!F$2:F$200,$A42)+SUMIFS('GECC 2026'!$AE$3:$AE$32,'GECC 2026'!$AD$3:$AD$32,$A42))</f>
        <v>43.6</v>
      </c>
      <c r="F42" s="101">
        <f>IF($A42="","",COUNTIFS('GECC 2026'!F$2:F$200,$A42))</f>
        <v>2</v>
      </c>
    </row>
    <row r="43" spans="1:6" x14ac:dyDescent="0.25">
      <c r="A43" t="str">
        <v>Servidores, colaboradores e estagiários do TCDF</v>
      </c>
      <c r="B43" s="103">
        <f>IF($A43="","",SUMIFS('GECC 2026'!H$2:H$200,'GECC 2026'!F$2:F$200,$A43))</f>
        <v>0</v>
      </c>
      <c r="C43" s="103">
        <f>IF($A43="","",SUMIFS('GECC 2026'!I$2:I$200,'GECC 2026'!F$2:F$200,$A43))</f>
        <v>0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0</v>
      </c>
      <c r="F43" s="101">
        <f>IF($A43="","",COUNTIFS('GECC 2026'!F$2:F$200,$A43))</f>
        <v>1</v>
      </c>
    </row>
    <row r="44" spans="1:6" x14ac:dyDescent="0.25">
      <c r="A44" t="str">
        <v>Silvia Lima Damasceno Carvalho</v>
      </c>
      <c r="B44" s="103">
        <f>IF($A44="","",SUMIFS('GECC 2026'!H$2:H$200,'GECC 2026'!F$2:F$200,$A44))</f>
        <v>9</v>
      </c>
      <c r="C44" s="103">
        <f>IF($A44="","",SUMIFS('GECC 2026'!I$2:I$200,'GECC 2026'!F$2:F$200,$A44))</f>
        <v>2.7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11.7</v>
      </c>
      <c r="F44" s="101">
        <f>IF($A44="","",COUNTIFS('GECC 2026'!F$2:F$200,$A44))</f>
        <v>3</v>
      </c>
    </row>
    <row r="45" spans="1:6" x14ac:dyDescent="0.25">
      <c r="A45" t="str">
        <v>Tarsila Firmino Ely</v>
      </c>
      <c r="B45" s="103">
        <f>IF($A45="","",SUMIFS('GECC 2026'!H$2:H$200,'GECC 2026'!F$2:F$200,$A45))</f>
        <v>56</v>
      </c>
      <c r="C45" s="103">
        <f>IF($A45="","",SUMIFS('GECC 2026'!I$2:I$200,'GECC 2026'!F$2:F$200,$A45))</f>
        <v>96.4</v>
      </c>
      <c r="D45" s="255">
        <f>IF($A45="","",SUMIFS('GECC 2026'!$AE$3:$AE$32,'GECC 2026'!$AD$3:$AD$32,$A45))</f>
        <v>0</v>
      </c>
      <c r="E45" s="240">
        <f>IF($A45="","",SUMIFS('GECC 2026'!J$2:J$200,'GECC 2026'!F$2:F$200,$A45)+SUMIFS('GECC 2026'!$AE$3:$AE$32,'GECC 2026'!$AD$3:$AD$32,$A45))</f>
        <v>152.4</v>
      </c>
      <c r="F45" s="101">
        <f>IF($A45="","",COUNTIFS('GECC 2026'!F$2:F$200,$A45))</f>
        <v>5</v>
      </c>
    </row>
    <row r="46" spans="1:6" x14ac:dyDescent="0.25">
      <c r="A46" t="str">
        <v>Thiago Magalhães de Oliveira</v>
      </c>
      <c r="B46" s="103">
        <f>IF($A46="","",SUMIFS('GECC 2026'!H$2:H$200,'GECC 2026'!F$2:F$200,$A46))</f>
        <v>4</v>
      </c>
      <c r="C46" s="103">
        <f>IF($A46="","",SUMIFS('GECC 2026'!I$2:I$200,'GECC 2026'!F$2:F$200,$A46))</f>
        <v>1.2</v>
      </c>
      <c r="D46" s="255">
        <f>IF($A46="","",SUMIFS('GECC 2026'!$AE$3:$AE$32,'GECC 2026'!$AD$3:$AD$32,$A46))</f>
        <v>0</v>
      </c>
      <c r="E46" s="240">
        <f>IF($A46="","",SUMIFS('GECC 2026'!J$2:J$200,'GECC 2026'!F$2:F$200,$A46)+SUMIFS('GECC 2026'!$AE$3:$AE$32,'GECC 2026'!$AD$3:$AD$32,$A46))</f>
        <v>5.2</v>
      </c>
      <c r="F46" s="101">
        <f>IF($A46="","",COUNTIFS('GECC 2026'!F$2:F$200,$A46))</f>
        <v>1</v>
      </c>
    </row>
    <row r="47" spans="1:6" x14ac:dyDescent="0.25">
      <c r="A47" t="str">
        <v>Túllio Herbeth Teixeira Moraes</v>
      </c>
      <c r="B47" s="103">
        <f>IF($A47="","",SUMIFS('GECC 2026'!H$2:H$200,'GECC 2026'!F$2:F$200,$A47))</f>
        <v>3</v>
      </c>
      <c r="C47" s="103">
        <f>IF($A47="","",SUMIFS('GECC 2026'!I$2:I$200,'GECC 2026'!F$2:F$200,$A47))</f>
        <v>0.44999999999999996</v>
      </c>
      <c r="D47" s="255">
        <f>IF($A47="","",SUMIFS('GECC 2026'!$AE$3:$AE$32,'GECC 2026'!$AD$3:$AD$32,$A47))</f>
        <v>0</v>
      </c>
      <c r="E47" s="240">
        <f>IF($A47="","",SUMIFS('GECC 2026'!J$2:J$200,'GECC 2026'!F$2:F$200,$A47)+SUMIFS('GECC 2026'!$AE$3:$AE$32,'GECC 2026'!$AD$3:$AD$32,$A47))</f>
        <v>3.45</v>
      </c>
      <c r="F47" s="101">
        <f>IF($A47="","",COUNTIFS('GECC 2026'!F$2:F$200,$A47))</f>
        <v>1</v>
      </c>
    </row>
    <row r="48" spans="1:6" x14ac:dyDescent="0.25">
      <c r="A48" t="str">
        <v>Wibys Pereira</v>
      </c>
      <c r="B48" s="103">
        <f>IF($A48="","",SUMIFS('GECC 2026'!H$2:H$200,'GECC 2026'!F$2:F$200,$A48))</f>
        <v>4</v>
      </c>
      <c r="C48" s="103">
        <f>IF($A48="","",SUMIFS('GECC 2026'!I$2:I$200,'GECC 2026'!F$2:F$200,$A48))</f>
        <v>1.2</v>
      </c>
      <c r="D48" s="255">
        <f>IF($A48="","",SUMIFS('GECC 2026'!$AE$3:$AE$32,'GECC 2026'!$AD$3:$AD$32,$A48))</f>
        <v>0</v>
      </c>
      <c r="E48" s="240">
        <f>IF($A48="","",SUMIFS('GECC 2026'!J$2:J$200,'GECC 2026'!F$2:F$200,$A48)+SUMIFS('GECC 2026'!$AE$3:$AE$32,'GECC 2026'!$AD$3:$AD$32,$A48))</f>
        <v>5.2</v>
      </c>
      <c r="F48" s="101">
        <f>IF($A48="","",COUNTIFS('GECC 2026'!F$2:F$200,$A48))</f>
        <v>1</v>
      </c>
    </row>
    <row r="49" spans="2:6" x14ac:dyDescent="0.25">
      <c r="B49" s="103" t="str">
        <f>IF($A49="","",SUMIFS('GECC 2026'!H$2:H$200,'GECC 2026'!F$2:F$200,$A49))</f>
        <v/>
      </c>
      <c r="C49" s="103" t="str">
        <f>IF($A49="","",SUMIFS('GECC 2026'!I$2:I$200,'GECC 2026'!F$2:F$200,$A49))</f>
        <v/>
      </c>
      <c r="D49" s="255" t="str">
        <f>IF($A49="","",SUMIFS('GECC 2026'!$AE$3:$AE$32,'GECC 2026'!$AD$3:$AD$32,$A49))</f>
        <v/>
      </c>
      <c r="E49" s="240" t="str">
        <f>IF($A49="","",SUMIFS('GECC 2026'!J$2:J$200,'GECC 2026'!F$2:F$200,$A49)+SUMIFS('GECC 2026'!$AE$3:$AE$32,'GECC 2026'!$AD$3:$AD$32,$A49))</f>
        <v/>
      </c>
      <c r="F49" s="101" t="str">
        <f>IF($A49="","",COUNTIFS('GECC 2026'!F$2:F$200,$A49))</f>
        <v/>
      </c>
    </row>
    <row r="50" spans="2:6" x14ac:dyDescent="0.25">
      <c r="B50" s="103" t="str">
        <f>IF($A50="","",SUMIFS('GECC 2026'!H$2:H$200,'GECC 2026'!F$2:F$200,$A50))</f>
        <v/>
      </c>
      <c r="C50" s="103" t="str">
        <f>IF($A50="","",SUMIFS('GECC 2026'!I$2:I$200,'GECC 2026'!F$2:F$200,$A50))</f>
        <v/>
      </c>
      <c r="D50" s="255" t="str">
        <f>IF($A50="","",SUMIFS('GECC 2026'!$AE$3:$AE$32,'GECC 2026'!$AD$3:$AD$32,$A50))</f>
        <v/>
      </c>
      <c r="E50" s="240" t="str">
        <f>IF($A50="","",SUMIFS('GECC 2026'!J$2:J$200,'GECC 2026'!F$2:F$200,$A50)+SUMIFS('GECC 2026'!$AE$3:$AE$32,'GECC 2026'!$AD$3:$AD$32,$A50))</f>
        <v/>
      </c>
      <c r="F50" s="101" t="str">
        <f>IF($A50="","",COUNTIFS('GECC 2026'!F$2:F$200,$A50))</f>
        <v/>
      </c>
    </row>
    <row r="51" spans="2:6" x14ac:dyDescent="0.25">
      <c r="B51" s="103" t="str">
        <f>IF($A51="","",SUMIFS('GECC 2026'!H$2:H$200,'GECC 2026'!F$2:F$200,$A51))</f>
        <v/>
      </c>
      <c r="C51" s="103" t="str">
        <f>IF($A51="","",SUMIFS('GECC 2026'!I$2:I$200,'GECC 2026'!F$2:F$200,$A51))</f>
        <v/>
      </c>
      <c r="D51" s="255" t="str">
        <f>IF($A51="","",SUMIFS('GECC 2026'!$AE$3:$AE$32,'GECC 2026'!$AD$3:$AD$32,$A51))</f>
        <v/>
      </c>
      <c r="E51" s="240" t="str">
        <f>IF($A51="","",SUMIFS('GECC 2026'!J$2:J$200,'GECC 2026'!F$2:F$200,$A51)+SUMIFS('GECC 2026'!$AE$3:$AE$32,'GECC 2026'!$AD$3:$AD$32,$A51))</f>
        <v/>
      </c>
      <c r="F51" s="101" t="str">
        <f>IF($A51="","",COUNTIFS('GECC 2026'!F$2:F$200,$A51))</f>
        <v/>
      </c>
    </row>
    <row r="52" spans="2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2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2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2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2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2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2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2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2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2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2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2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2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736</v>
      </c>
      <c r="C105" s="242">
        <f>SUM(C5:C100)</f>
        <v>399.78000000000003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121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2026-07-10T19:25:15Z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